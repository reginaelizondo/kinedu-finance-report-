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ginaelizondo/Desktop/CLAUDE/Kinedu Finance Report/"/>
    </mc:Choice>
  </mc:AlternateContent>
  <xr:revisionPtr revIDLastSave="0" documentId="13_ncr:1_{EF47C4D2-599B-C447-9AF0-4B23A90F0FBC}" xr6:coauthVersionLast="47" xr6:coauthVersionMax="47" xr10:uidLastSave="{00000000-0000-0000-0000-000000000000}"/>
  <bookViews>
    <workbookView xWindow="0" yWindow="660" windowWidth="29400" windowHeight="18460" activeTab="2" xr2:uid="{77C64CE5-A195-EF48-81DA-69053A3EB354}"/>
  </bookViews>
  <sheets>
    <sheet name="24-Operational Dashboard" sheetId="11" state="hidden" r:id="rId1"/>
    <sheet name="CONSEJO" sheetId="14" state="hidden" r:id="rId2"/>
    <sheet name="Results ACCMRR" sheetId="3" r:id="rId3"/>
    <sheet name="Prev. analysis" sheetId="15" state="hidden" r:id="rId4"/>
    <sheet name="Supuestos" sheetId="1" r:id="rId5"/>
    <sheet name="Escenarios BD" sheetId="27" r:id="rId6"/>
    <sheet name="Model" sheetId="2" r:id="rId7"/>
    <sheet name="Consolidated Costs" sheetId="22" r:id="rId8"/>
    <sheet name="BizOps 2026" sheetId="25" r:id="rId9"/>
    <sheet name="Product 2026" sheetId="19" r:id="rId10"/>
    <sheet name="Tech 2026" sheetId="20" r:id="rId11"/>
    <sheet name="Marketing 2025" sheetId="26" r:id="rId12"/>
    <sheet name="Content 2026" sheetId="23" r:id="rId13"/>
    <sheet name="Salary Increases" sheetId="28" r:id="rId14"/>
    <sheet name="Accounts" sheetId="21" r:id="rId15"/>
    <sheet name="AHORRO" sheetId="12" state="hidden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14" hidden="1">Accounts!$A$1:$C$113</definedName>
    <definedName name="_xlnm._FilterDatabase" localSheetId="15" hidden="1">AHORRO!$A$5:$AB$37</definedName>
    <definedName name="_xlnm._FilterDatabase" localSheetId="8" hidden="1">'BizOps 2026'!$B$4:$AA$39</definedName>
    <definedName name="_xlnm._FilterDatabase" localSheetId="7" hidden="1">'Consolidated Costs'!$A$5:$AO$145</definedName>
    <definedName name="_xlnm._FilterDatabase" localSheetId="9" hidden="1">'Product 2026'!$B$4:$AA$30</definedName>
    <definedName name="_xlnm._FilterDatabase" localSheetId="10" hidden="1">'Tech 2026'!$B$4:$AA$36</definedName>
    <definedName name="headcount" localSheetId="14">'[1]C. Assumptions'!#REF!</definedName>
    <definedName name="headcount" localSheetId="8">'[2]C. Assumptions'!$D$2</definedName>
    <definedName name="headcount">'[3]C. Assumptions'!#REF!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7" i="3" l="1"/>
  <c r="E38" i="3" s="1"/>
  <c r="R36" i="3"/>
  <c r="R35" i="3"/>
  <c r="R34" i="3"/>
  <c r="R33" i="3"/>
  <c r="P36" i="3"/>
  <c r="O36" i="3"/>
  <c r="N36" i="3"/>
  <c r="M36" i="3"/>
  <c r="L36" i="3"/>
  <c r="K36" i="3"/>
  <c r="J36" i="3"/>
  <c r="I36" i="3"/>
  <c r="H36" i="3"/>
  <c r="G36" i="3"/>
  <c r="F36" i="3"/>
  <c r="E36" i="3"/>
  <c r="P35" i="3"/>
  <c r="O35" i="3"/>
  <c r="N35" i="3"/>
  <c r="M35" i="3"/>
  <c r="L35" i="3"/>
  <c r="K35" i="3"/>
  <c r="J35" i="3"/>
  <c r="I35" i="3"/>
  <c r="H35" i="3"/>
  <c r="G35" i="3"/>
  <c r="F35" i="3"/>
  <c r="E35" i="3"/>
  <c r="P34" i="3"/>
  <c r="O34" i="3"/>
  <c r="N34" i="3"/>
  <c r="M34" i="3"/>
  <c r="L34" i="3"/>
  <c r="K34" i="3"/>
  <c r="J34" i="3"/>
  <c r="I34" i="3"/>
  <c r="H34" i="3"/>
  <c r="G34" i="3"/>
  <c r="F34" i="3"/>
  <c r="E34" i="3"/>
  <c r="P33" i="3"/>
  <c r="O33" i="3"/>
  <c r="N33" i="3"/>
  <c r="M33" i="3"/>
  <c r="L33" i="3"/>
  <c r="K33" i="3"/>
  <c r="J33" i="3"/>
  <c r="I33" i="3"/>
  <c r="H33" i="3"/>
  <c r="G33" i="3"/>
  <c r="F33" i="3"/>
  <c r="E33" i="3"/>
  <c r="AA19" i="25" l="1"/>
  <c r="Z19" i="25"/>
  <c r="Y19" i="25"/>
  <c r="X19" i="25"/>
  <c r="W19" i="25"/>
  <c r="V19" i="25"/>
  <c r="U19" i="25"/>
  <c r="T19" i="25"/>
  <c r="S19" i="25"/>
  <c r="R19" i="25"/>
  <c r="Q19" i="25"/>
  <c r="P19" i="25"/>
  <c r="AB19" i="25"/>
  <c r="P18" i="22"/>
  <c r="AU19" i="22"/>
  <c r="AP19" i="22"/>
  <c r="AO19" i="22"/>
  <c r="BC19" i="22" s="1"/>
  <c r="AN19" i="22"/>
  <c r="BB19" i="22" s="1"/>
  <c r="AM19" i="22"/>
  <c r="BA19" i="22" s="1"/>
  <c r="AL19" i="22"/>
  <c r="AZ19" i="22" s="1"/>
  <c r="AK19" i="22"/>
  <c r="AY19" i="22" s="1"/>
  <c r="AJ19" i="22"/>
  <c r="AX19" i="22" s="1"/>
  <c r="AI19" i="22"/>
  <c r="AW19" i="22" s="1"/>
  <c r="AH19" i="22"/>
  <c r="AV19" i="22" s="1"/>
  <c r="AG19" i="22"/>
  <c r="AF19" i="22"/>
  <c r="AT19" i="22" s="1"/>
  <c r="AE19" i="22"/>
  <c r="AS19" i="22" s="1"/>
  <c r="AD19" i="22"/>
  <c r="AR19" i="22" s="1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B134" i="2"/>
  <c r="AC136" i="2"/>
  <c r="AD136" i="2"/>
  <c r="AE138" i="2"/>
  <c r="AF138" i="2"/>
  <c r="AG140" i="2"/>
  <c r="AH140" i="2"/>
  <c r="D61" i="27"/>
  <c r="I57" i="27"/>
  <c r="H57" i="27"/>
  <c r="G57" i="27"/>
  <c r="F57" i="27"/>
  <c r="D54" i="27"/>
  <c r="D50" i="27"/>
  <c r="I47" i="27"/>
  <c r="H47" i="27"/>
  <c r="G47" i="27"/>
  <c r="F47" i="27"/>
  <c r="D47" i="27"/>
  <c r="D40" i="27"/>
  <c r="I36" i="27"/>
  <c r="H36" i="27"/>
  <c r="G36" i="27"/>
  <c r="F36" i="27"/>
  <c r="D33" i="27"/>
  <c r="D29" i="27"/>
  <c r="D26" i="27"/>
  <c r="D20" i="27"/>
  <c r="I16" i="27"/>
  <c r="H16" i="27"/>
  <c r="G16" i="27"/>
  <c r="F16" i="27"/>
  <c r="D13" i="27"/>
  <c r="D9" i="27"/>
  <c r="D6" i="27"/>
  <c r="R13" i="3"/>
  <c r="F44" i="28"/>
  <c r="M44" i="28" s="1"/>
  <c r="F43" i="28"/>
  <c r="L43" i="28" s="1"/>
  <c r="M43" i="28" s="1"/>
  <c r="F42" i="28"/>
  <c r="F45" i="28" s="1"/>
  <c r="N39" i="28"/>
  <c r="F39" i="28"/>
  <c r="L39" i="28" s="1"/>
  <c r="M39" i="28" s="1"/>
  <c r="F38" i="28"/>
  <c r="F37" i="28"/>
  <c r="L37" i="28" s="1"/>
  <c r="M37" i="28" s="1"/>
  <c r="F36" i="28"/>
  <c r="L36" i="28" s="1"/>
  <c r="M36" i="28" s="1"/>
  <c r="F35" i="28"/>
  <c r="L35" i="28" s="1"/>
  <c r="M35" i="28" s="1"/>
  <c r="F34" i="28"/>
  <c r="N31" i="28"/>
  <c r="F30" i="28"/>
  <c r="L30" i="28" s="1"/>
  <c r="M30" i="28" s="1"/>
  <c r="F29" i="28"/>
  <c r="L29" i="28" s="1"/>
  <c r="M29" i="28" s="1"/>
  <c r="F28" i="28"/>
  <c r="L28" i="28" s="1"/>
  <c r="M28" i="28" s="1"/>
  <c r="F27" i="28"/>
  <c r="L27" i="28" s="1"/>
  <c r="M27" i="28" s="1"/>
  <c r="F26" i="28"/>
  <c r="L26" i="28" s="1"/>
  <c r="M26" i="28" s="1"/>
  <c r="L25" i="28"/>
  <c r="M25" i="28" s="1"/>
  <c r="F25" i="28"/>
  <c r="F24" i="28"/>
  <c r="L24" i="28" s="1"/>
  <c r="M24" i="28" s="1"/>
  <c r="F23" i="28"/>
  <c r="L23" i="28" s="1"/>
  <c r="M23" i="28" s="1"/>
  <c r="M22" i="28"/>
  <c r="L22" i="28"/>
  <c r="F22" i="28"/>
  <c r="F21" i="28"/>
  <c r="L21" i="28" s="1"/>
  <c r="M21" i="28" s="1"/>
  <c r="F20" i="28"/>
  <c r="L20" i="28" s="1"/>
  <c r="M20" i="28" s="1"/>
  <c r="F19" i="28"/>
  <c r="L19" i="28" s="1"/>
  <c r="M19" i="28" s="1"/>
  <c r="F18" i="28"/>
  <c r="N14" i="28"/>
  <c r="F13" i="28"/>
  <c r="L13" i="28" s="1"/>
  <c r="M13" i="28" s="1"/>
  <c r="F12" i="28"/>
  <c r="L12" i="28" s="1"/>
  <c r="M12" i="28" s="1"/>
  <c r="F11" i="28"/>
  <c r="L11" i="28" s="1"/>
  <c r="M11" i="28" s="1"/>
  <c r="F10" i="28"/>
  <c r="L10" i="28" s="1"/>
  <c r="M10" i="28" s="1"/>
  <c r="F9" i="28"/>
  <c r="L9" i="28" s="1"/>
  <c r="M9" i="28" s="1"/>
  <c r="F8" i="28"/>
  <c r="L8" i="28" s="1"/>
  <c r="M8" i="28" s="1"/>
  <c r="P7" i="28"/>
  <c r="F14" i="28" s="1"/>
  <c r="L14" i="28" s="1"/>
  <c r="M14" i="28" s="1"/>
  <c r="F7" i="28"/>
  <c r="L7" i="28" s="1"/>
  <c r="Y46" i="2"/>
  <c r="X93" i="2"/>
  <c r="Y93" i="2" s="1"/>
  <c r="V87" i="2"/>
  <c r="U87" i="2"/>
  <c r="T87" i="2"/>
  <c r="S87" i="2"/>
  <c r="R87" i="2"/>
  <c r="Q87" i="2"/>
  <c r="P87" i="2"/>
  <c r="O87" i="2"/>
  <c r="N87" i="2"/>
  <c r="V86" i="2"/>
  <c r="V88" i="2" s="1"/>
  <c r="U86" i="2"/>
  <c r="T86" i="2"/>
  <c r="S86" i="2"/>
  <c r="R86" i="2"/>
  <c r="Q86" i="2"/>
  <c r="Q88" i="2" s="1"/>
  <c r="P86" i="2"/>
  <c r="O86" i="2"/>
  <c r="N86" i="2"/>
  <c r="N88" i="2" s="1"/>
  <c r="W85" i="2"/>
  <c r="X85" i="2" s="1"/>
  <c r="Y85" i="2" s="1"/>
  <c r="V82" i="2"/>
  <c r="U82" i="2"/>
  <c r="T82" i="2"/>
  <c r="S82" i="2"/>
  <c r="R82" i="2"/>
  <c r="Q82" i="2"/>
  <c r="P82" i="2"/>
  <c r="O82" i="2"/>
  <c r="N82" i="2"/>
  <c r="W81" i="2"/>
  <c r="W77" i="2"/>
  <c r="W75" i="2"/>
  <c r="X75" i="2" s="1"/>
  <c r="Y75" i="2" s="1"/>
  <c r="W65" i="2"/>
  <c r="X65" i="2" s="1"/>
  <c r="Y65" i="2" s="1"/>
  <c r="W64" i="2"/>
  <c r="W63" i="2"/>
  <c r="W62" i="2"/>
  <c r="X62" i="2" s="1"/>
  <c r="Y62" i="2" s="1"/>
  <c r="W60" i="2"/>
  <c r="X60" i="2" s="1"/>
  <c r="Y60" i="2" s="1"/>
  <c r="W59" i="2"/>
  <c r="V53" i="2"/>
  <c r="U53" i="2"/>
  <c r="T53" i="2"/>
  <c r="S53" i="2"/>
  <c r="R53" i="2"/>
  <c r="Q53" i="2"/>
  <c r="P53" i="2"/>
  <c r="O53" i="2"/>
  <c r="N53" i="2"/>
  <c r="W51" i="2"/>
  <c r="V49" i="2"/>
  <c r="U49" i="2"/>
  <c r="T49" i="2"/>
  <c r="S49" i="2"/>
  <c r="R49" i="2"/>
  <c r="Q49" i="2"/>
  <c r="P49" i="2"/>
  <c r="O49" i="2"/>
  <c r="N49" i="2"/>
  <c r="W48" i="2"/>
  <c r="X48" i="2" s="1"/>
  <c r="Y44" i="2"/>
  <c r="X44" i="2"/>
  <c r="W44" i="2"/>
  <c r="V44" i="2"/>
  <c r="U44" i="2"/>
  <c r="T44" i="2"/>
  <c r="AC137" i="2" s="1"/>
  <c r="S44" i="2"/>
  <c r="R44" i="2"/>
  <c r="Q44" i="2"/>
  <c r="AB139" i="2" s="1"/>
  <c r="P44" i="2"/>
  <c r="O44" i="2"/>
  <c r="N44" i="2"/>
  <c r="Y43" i="2"/>
  <c r="X43" i="2"/>
  <c r="W43" i="2"/>
  <c r="V43" i="2"/>
  <c r="U43" i="2"/>
  <c r="T43" i="2"/>
  <c r="S43" i="2"/>
  <c r="R43" i="2"/>
  <c r="Q43" i="2"/>
  <c r="P43" i="2"/>
  <c r="O43" i="2"/>
  <c r="N43" i="2"/>
  <c r="X42" i="2"/>
  <c r="Y42" i="2" s="1"/>
  <c r="V36" i="2"/>
  <c r="U36" i="2"/>
  <c r="T36" i="2"/>
  <c r="S36" i="2"/>
  <c r="R36" i="2"/>
  <c r="Q36" i="2"/>
  <c r="P36" i="2"/>
  <c r="O36" i="2"/>
  <c r="N36" i="2"/>
  <c r="V35" i="2"/>
  <c r="AC135" i="2" s="1"/>
  <c r="U35" i="2"/>
  <c r="AB135" i="2" s="1"/>
  <c r="T35" i="2"/>
  <c r="AB136" i="2" s="1"/>
  <c r="S35" i="2"/>
  <c r="AB137" i="2" s="1"/>
  <c r="R35" i="2"/>
  <c r="Q35" i="2"/>
  <c r="AC140" i="2" s="1"/>
  <c r="P35" i="2"/>
  <c r="AB140" i="2" s="1"/>
  <c r="O35" i="2"/>
  <c r="N35" i="2"/>
  <c r="W34" i="2"/>
  <c r="V31" i="2"/>
  <c r="U31" i="2"/>
  <c r="T31" i="2"/>
  <c r="S31" i="2"/>
  <c r="R31" i="2"/>
  <c r="Q31" i="2"/>
  <c r="P31" i="2"/>
  <c r="O31" i="2"/>
  <c r="N31" i="2"/>
  <c r="W30" i="2"/>
  <c r="X30" i="2" s="1"/>
  <c r="W26" i="2"/>
  <c r="X26" i="2" s="1"/>
  <c r="W24" i="2"/>
  <c r="W14" i="2"/>
  <c r="W13" i="2"/>
  <c r="X13" i="2" s="1"/>
  <c r="W12" i="2"/>
  <c r="X12" i="2" s="1"/>
  <c r="W11" i="2"/>
  <c r="W9" i="2"/>
  <c r="W8" i="2"/>
  <c r="X8" i="2" s="1"/>
  <c r="Y8" i="2" s="1"/>
  <c r="AC19" i="22" l="1"/>
  <c r="AQ19" i="22" s="1"/>
  <c r="F40" i="28"/>
  <c r="AF140" i="2"/>
  <c r="AD138" i="2"/>
  <c r="AE140" i="2"/>
  <c r="AC138" i="2"/>
  <c r="AD140" i="2"/>
  <c r="AG139" i="2"/>
  <c r="AB138" i="2"/>
  <c r="AE137" i="2"/>
  <c r="AC139" i="2"/>
  <c r="AF139" i="2"/>
  <c r="AD137" i="2"/>
  <c r="AE139" i="2"/>
  <c r="O88" i="2"/>
  <c r="AD139" i="2"/>
  <c r="U88" i="2"/>
  <c r="R88" i="2"/>
  <c r="P37" i="2"/>
  <c r="Y30" i="2"/>
  <c r="W87" i="2"/>
  <c r="P88" i="2"/>
  <c r="N37" i="2"/>
  <c r="O37" i="2"/>
  <c r="S88" i="2"/>
  <c r="F15" i="28"/>
  <c r="L15" i="28"/>
  <c r="M7" i="28"/>
  <c r="M15" i="28" s="1"/>
  <c r="F4" i="28"/>
  <c r="F31" i="28"/>
  <c r="L31" i="28" s="1"/>
  <c r="M31" i="28" s="1"/>
  <c r="L34" i="28"/>
  <c r="L18" i="28"/>
  <c r="L44" i="28"/>
  <c r="L42" i="28"/>
  <c r="Y13" i="2"/>
  <c r="X63" i="2"/>
  <c r="Y63" i="2" s="1"/>
  <c r="W82" i="2"/>
  <c r="X82" i="2" s="1"/>
  <c r="X14" i="2"/>
  <c r="Y14" i="2" s="1"/>
  <c r="X34" i="2"/>
  <c r="Y34" i="2" s="1"/>
  <c r="Q37" i="2"/>
  <c r="U37" i="2"/>
  <c r="X77" i="2"/>
  <c r="X87" i="2" s="1"/>
  <c r="T88" i="2"/>
  <c r="X51" i="2"/>
  <c r="Y51" i="2" s="1"/>
  <c r="Y53" i="2" s="1"/>
  <c r="Y48" i="2"/>
  <c r="X11" i="2"/>
  <c r="Y11" i="2" s="1"/>
  <c r="V37" i="2"/>
  <c r="X64" i="2"/>
  <c r="X35" i="2"/>
  <c r="Y26" i="2"/>
  <c r="X59" i="2"/>
  <c r="Y59" i="2" s="1"/>
  <c r="X31" i="2"/>
  <c r="Y12" i="2"/>
  <c r="X24" i="2"/>
  <c r="Y24" i="2" s="1"/>
  <c r="R37" i="2"/>
  <c r="W49" i="2"/>
  <c r="X81" i="2"/>
  <c r="Y81" i="2" s="1"/>
  <c r="W35" i="2"/>
  <c r="W36" i="2"/>
  <c r="S37" i="2"/>
  <c r="W53" i="2"/>
  <c r="X9" i="2"/>
  <c r="Y9" i="2" s="1"/>
  <c r="W31" i="2"/>
  <c r="T37" i="2"/>
  <c r="W86" i="2"/>
  <c r="AC134" i="2" l="1"/>
  <c r="AE136" i="2"/>
  <c r="AG138" i="2"/>
  <c r="AI140" i="2"/>
  <c r="AB133" i="2"/>
  <c r="AD135" i="2"/>
  <c r="AF137" i="2"/>
  <c r="AH139" i="2"/>
  <c r="AG137" i="2"/>
  <c r="W88" i="2"/>
  <c r="Y77" i="2"/>
  <c r="Y87" i="2" s="1"/>
  <c r="X36" i="2"/>
  <c r="X37" i="2" s="1"/>
  <c r="X53" i="2"/>
  <c r="X86" i="2"/>
  <c r="X88" i="2" s="1"/>
  <c r="Y31" i="2"/>
  <c r="L40" i="28"/>
  <c r="M34" i="28"/>
  <c r="M40" i="28" s="1"/>
  <c r="F5" i="28"/>
  <c r="L4" i="28"/>
  <c r="F32" i="28"/>
  <c r="F47" i="28" s="1"/>
  <c r="L45" i="28"/>
  <c r="M42" i="28"/>
  <c r="M45" i="28" s="1"/>
  <c r="L32" i="28"/>
  <c r="M18" i="28"/>
  <c r="M32" i="28" s="1"/>
  <c r="Y82" i="2"/>
  <c r="W37" i="2"/>
  <c r="Y64" i="2"/>
  <c r="Y86" i="2" s="1"/>
  <c r="X49" i="2"/>
  <c r="Y49" i="2" s="1"/>
  <c r="Y36" i="2"/>
  <c r="Y35" i="2"/>
  <c r="AE135" i="2" l="1"/>
  <c r="AH138" i="2"/>
  <c r="AF136" i="2"/>
  <c r="AC132" i="2"/>
  <c r="AE134" i="2"/>
  <c r="AG136" i="2"/>
  <c r="AI138" i="2"/>
  <c r="AK140" i="2"/>
  <c r="AJ139" i="2"/>
  <c r="AD133" i="2"/>
  <c r="AF135" i="2"/>
  <c r="AH137" i="2"/>
  <c r="AB131" i="2"/>
  <c r="AC133" i="2"/>
  <c r="AJ140" i="2"/>
  <c r="AD134" i="2"/>
  <c r="AI139" i="2"/>
  <c r="AB132" i="2"/>
  <c r="L47" i="28"/>
  <c r="L48" i="28" s="1"/>
  <c r="L49" i="28" s="1"/>
  <c r="L5" i="28"/>
  <c r="M4" i="28"/>
  <c r="M5" i="28" s="1"/>
  <c r="Y88" i="2"/>
  <c r="Y37" i="2"/>
  <c r="M47" i="28" l="1"/>
  <c r="M48" i="28" s="1"/>
  <c r="M49" i="28" s="1"/>
  <c r="P30" i="20"/>
  <c r="U22" i="20"/>
  <c r="U28" i="20"/>
  <c r="U27" i="20"/>
  <c r="U20" i="20"/>
  <c r="U19" i="20"/>
  <c r="P23" i="23"/>
  <c r="P25" i="23"/>
  <c r="R26" i="25"/>
  <c r="S26" i="25" s="1"/>
  <c r="T26" i="25" s="1"/>
  <c r="U26" i="25" s="1"/>
  <c r="V26" i="25" s="1"/>
  <c r="W26" i="25" s="1"/>
  <c r="X26" i="25" s="1"/>
  <c r="Y26" i="25" s="1"/>
  <c r="Z26" i="25" s="1"/>
  <c r="AA26" i="25" s="1"/>
  <c r="Q26" i="25"/>
  <c r="M145" i="22"/>
  <c r="L145" i="22"/>
  <c r="K145" i="22"/>
  <c r="J145" i="22"/>
  <c r="I145" i="22"/>
  <c r="H145" i="22"/>
  <c r="G145" i="22"/>
  <c r="F145" i="22"/>
  <c r="E145" i="22"/>
  <c r="D145" i="22"/>
  <c r="C145" i="22"/>
  <c r="B145" i="22"/>
  <c r="A145" i="22"/>
  <c r="M144" i="22"/>
  <c r="L144" i="22"/>
  <c r="K144" i="22"/>
  <c r="J144" i="22"/>
  <c r="I144" i="22"/>
  <c r="H144" i="22"/>
  <c r="G144" i="22"/>
  <c r="F144" i="22"/>
  <c r="E144" i="22"/>
  <c r="D144" i="22"/>
  <c r="C144" i="22"/>
  <c r="B144" i="22"/>
  <c r="A144" i="22"/>
  <c r="M143" i="22"/>
  <c r="L143" i="22"/>
  <c r="K143" i="22"/>
  <c r="J143" i="22"/>
  <c r="I143" i="22"/>
  <c r="H143" i="22"/>
  <c r="G143" i="22"/>
  <c r="F143" i="22"/>
  <c r="E143" i="22"/>
  <c r="D143" i="22"/>
  <c r="C143" i="22"/>
  <c r="B143" i="22"/>
  <c r="A143" i="22"/>
  <c r="AA142" i="22"/>
  <c r="Y142" i="22"/>
  <c r="W142" i="22"/>
  <c r="U142" i="22"/>
  <c r="S142" i="22"/>
  <c r="Q142" i="22"/>
  <c r="M142" i="22"/>
  <c r="L142" i="22"/>
  <c r="K142" i="22"/>
  <c r="J142" i="22"/>
  <c r="I142" i="22"/>
  <c r="H142" i="22"/>
  <c r="G142" i="22"/>
  <c r="F142" i="22"/>
  <c r="E142" i="22"/>
  <c r="D142" i="22"/>
  <c r="C142" i="22"/>
  <c r="B142" i="22"/>
  <c r="A142" i="22"/>
  <c r="L39" i="23"/>
  <c r="K39" i="23"/>
  <c r="L40" i="26"/>
  <c r="K40" i="26"/>
  <c r="L35" i="20"/>
  <c r="K35" i="20"/>
  <c r="L25" i="19"/>
  <c r="K25" i="19"/>
  <c r="F83" i="22"/>
  <c r="E27" i="3"/>
  <c r="F27" i="3"/>
  <c r="G27" i="3"/>
  <c r="H27" i="3"/>
  <c r="I27" i="3"/>
  <c r="J27" i="3"/>
  <c r="K27" i="3"/>
  <c r="L27" i="3"/>
  <c r="M27" i="3"/>
  <c r="N27" i="3"/>
  <c r="O27" i="3"/>
  <c r="P27" i="3"/>
  <c r="AA7" i="25"/>
  <c r="Z7" i="25"/>
  <c r="Y7" i="25"/>
  <c r="X7" i="25"/>
  <c r="W7" i="25"/>
  <c r="V7" i="25"/>
  <c r="U7" i="25"/>
  <c r="T7" i="25"/>
  <c r="S7" i="25"/>
  <c r="R7" i="25"/>
  <c r="Q7" i="25"/>
  <c r="P7" i="25"/>
  <c r="AE142" i="22" l="1"/>
  <c r="AG142" i="22"/>
  <c r="AI142" i="22"/>
  <c r="AO142" i="22"/>
  <c r="AK142" i="22"/>
  <c r="AM142" i="22"/>
  <c r="AA141" i="22"/>
  <c r="Z141" i="22"/>
  <c r="Y141" i="22"/>
  <c r="X141" i="22"/>
  <c r="W141" i="22"/>
  <c r="V141" i="22"/>
  <c r="U141" i="22"/>
  <c r="T141" i="22"/>
  <c r="S141" i="22"/>
  <c r="R141" i="22"/>
  <c r="Q141" i="22"/>
  <c r="P141" i="22"/>
  <c r="M141" i="22"/>
  <c r="AE141" i="22" s="1"/>
  <c r="L141" i="22"/>
  <c r="K141" i="22"/>
  <c r="J141" i="22"/>
  <c r="I141" i="22"/>
  <c r="H141" i="22"/>
  <c r="G141" i="22"/>
  <c r="F141" i="22"/>
  <c r="E141" i="22"/>
  <c r="D141" i="22"/>
  <c r="C141" i="22"/>
  <c r="B141" i="22"/>
  <c r="A141" i="22"/>
  <c r="A43" i="22"/>
  <c r="O50" i="25"/>
  <c r="N50" i="25" s="1"/>
  <c r="N141" i="22" s="1"/>
  <c r="AF141" i="22" l="1"/>
  <c r="AG141" i="22"/>
  <c r="AH141" i="22"/>
  <c r="AK141" i="22"/>
  <c r="AI141" i="22"/>
  <c r="AJ141" i="22"/>
  <c r="AR141" i="22"/>
  <c r="BB141" i="22"/>
  <c r="AY141" i="22"/>
  <c r="AV141" i="22"/>
  <c r="AW141" i="22"/>
  <c r="AS141" i="22"/>
  <c r="BC141" i="22"/>
  <c r="AX141" i="22"/>
  <c r="AZ141" i="22"/>
  <c r="AT141" i="22"/>
  <c r="AU141" i="22"/>
  <c r="BA141" i="22"/>
  <c r="AL141" i="22"/>
  <c r="AM141" i="22"/>
  <c r="AN141" i="22"/>
  <c r="AO141" i="22"/>
  <c r="AD141" i="22"/>
  <c r="O141" i="22"/>
  <c r="E22" i="3"/>
  <c r="P8" i="22"/>
  <c r="AC141" i="22" l="1"/>
  <c r="AB141" i="22" s="1"/>
  <c r="AQ141" i="22"/>
  <c r="AP141" i="22" s="1"/>
  <c r="T12" i="25"/>
  <c r="S12" i="25"/>
  <c r="AA12" i="25"/>
  <c r="Z12" i="25"/>
  <c r="Y12" i="25"/>
  <c r="X12" i="25"/>
  <c r="W12" i="25"/>
  <c r="V12" i="25"/>
  <c r="U12" i="25"/>
  <c r="R12" i="25"/>
  <c r="Q12" i="25"/>
  <c r="P12" i="25"/>
  <c r="Q25" i="23"/>
  <c r="R25" i="23" s="1"/>
  <c r="S25" i="23" s="1"/>
  <c r="T25" i="23" s="1"/>
  <c r="U25" i="23" s="1"/>
  <c r="V25" i="23" s="1"/>
  <c r="W25" i="23" s="1"/>
  <c r="X25" i="23" s="1"/>
  <c r="Y25" i="23" s="1"/>
  <c r="Z25" i="23" s="1"/>
  <c r="AA25" i="23" s="1"/>
  <c r="Q28" i="20"/>
  <c r="R28" i="20" s="1"/>
  <c r="S28" i="20" s="1"/>
  <c r="T28" i="20" s="1"/>
  <c r="V28" i="20" s="1"/>
  <c r="W28" i="20" s="1"/>
  <c r="X28" i="20" s="1"/>
  <c r="Y28" i="20" s="1"/>
  <c r="Z28" i="20" s="1"/>
  <c r="AA28" i="20" s="1"/>
  <c r="Q27" i="20"/>
  <c r="R27" i="20" s="1"/>
  <c r="S27" i="20" s="1"/>
  <c r="T27" i="20" s="1"/>
  <c r="O42" i="25"/>
  <c r="N42" i="25" s="1"/>
  <c r="L42" i="25"/>
  <c r="K42" i="25"/>
  <c r="O41" i="25"/>
  <c r="N41" i="25"/>
  <c r="L41" i="25"/>
  <c r="K41" i="25"/>
  <c r="O40" i="25"/>
  <c r="N40" i="25"/>
  <c r="L40" i="25"/>
  <c r="K40" i="25"/>
  <c r="O39" i="25"/>
  <c r="N39" i="25"/>
  <c r="L39" i="25"/>
  <c r="K39" i="25"/>
  <c r="U30" i="25"/>
  <c r="V30" i="25" s="1"/>
  <c r="W30" i="25" s="1"/>
  <c r="X30" i="25" s="1"/>
  <c r="Y30" i="25" s="1"/>
  <c r="Z30" i="25" s="1"/>
  <c r="AA30" i="25" s="1"/>
  <c r="P31" i="26"/>
  <c r="P27" i="26"/>
  <c r="U32" i="23"/>
  <c r="U28" i="23"/>
  <c r="V28" i="23" s="1"/>
  <c r="W28" i="23" s="1"/>
  <c r="X28" i="23" s="1"/>
  <c r="Y28" i="23" s="1"/>
  <c r="Z28" i="23" s="1"/>
  <c r="AA28" i="23" s="1"/>
  <c r="P25" i="20" l="1"/>
  <c r="Q25" i="20" s="1"/>
  <c r="R25" i="20" s="1"/>
  <c r="S25" i="20" s="1"/>
  <c r="T25" i="20" s="1"/>
  <c r="P31" i="23"/>
  <c r="P33" i="26"/>
  <c r="Q33" i="26" s="1"/>
  <c r="R33" i="26" s="1"/>
  <c r="S33" i="26" s="1"/>
  <c r="T33" i="26" s="1"/>
  <c r="U33" i="26" s="1"/>
  <c r="V33" i="26" s="1"/>
  <c r="W33" i="26" s="1"/>
  <c r="X33" i="26" s="1"/>
  <c r="Y33" i="26" s="1"/>
  <c r="Z33" i="26" s="1"/>
  <c r="AA33" i="26" s="1"/>
  <c r="P24" i="20"/>
  <c r="Q24" i="20" s="1"/>
  <c r="R24" i="20" s="1"/>
  <c r="S24" i="20" s="1"/>
  <c r="T24" i="20" s="1"/>
  <c r="P14" i="19"/>
  <c r="P17" i="19"/>
  <c r="P25" i="19" s="1"/>
  <c r="P29" i="25"/>
  <c r="Q29" i="25" s="1"/>
  <c r="R29" i="25" s="1"/>
  <c r="S29" i="25" s="1"/>
  <c r="T29" i="25" s="1"/>
  <c r="U29" i="25" s="1"/>
  <c r="V29" i="25" s="1"/>
  <c r="W29" i="25" s="1"/>
  <c r="X29" i="25" s="1"/>
  <c r="Y29" i="25" s="1"/>
  <c r="Z29" i="25" s="1"/>
  <c r="AA29" i="25" s="1"/>
  <c r="P21" i="20"/>
  <c r="P32" i="26"/>
  <c r="Q32" i="26" s="1"/>
  <c r="R32" i="26" s="1"/>
  <c r="S32" i="26" s="1"/>
  <c r="T32" i="26" s="1"/>
  <c r="U32" i="26" s="1"/>
  <c r="V32" i="26" s="1"/>
  <c r="W32" i="26" s="1"/>
  <c r="X32" i="26" s="1"/>
  <c r="Y32" i="26" s="1"/>
  <c r="Z32" i="26" s="1"/>
  <c r="AA32" i="26" s="1"/>
  <c r="P23" i="20"/>
  <c r="P27" i="23"/>
  <c r="P26" i="20"/>
  <c r="Q26" i="20" s="1"/>
  <c r="R26" i="20" s="1"/>
  <c r="S26" i="20" s="1"/>
  <c r="T26" i="20" s="1"/>
  <c r="P30" i="23"/>
  <c r="Q31" i="26"/>
  <c r="V27" i="20"/>
  <c r="W27" i="20" s="1"/>
  <c r="X27" i="20" s="1"/>
  <c r="Y27" i="20" s="1"/>
  <c r="Z27" i="20" s="1"/>
  <c r="AA27" i="20" s="1"/>
  <c r="U15" i="19"/>
  <c r="U26" i="20" l="1"/>
  <c r="V26" i="20" s="1"/>
  <c r="W26" i="20" s="1"/>
  <c r="X26" i="20" s="1"/>
  <c r="Y26" i="20" s="1"/>
  <c r="Z26" i="20" s="1"/>
  <c r="AA26" i="20" s="1"/>
  <c r="U24" i="20"/>
  <c r="V24" i="20" s="1"/>
  <c r="W24" i="20" s="1"/>
  <c r="X24" i="20" s="1"/>
  <c r="Y24" i="20" s="1"/>
  <c r="Z24" i="20" s="1"/>
  <c r="AA24" i="20" s="1"/>
  <c r="U25" i="20"/>
  <c r="V25" i="20" s="1"/>
  <c r="W25" i="20" s="1"/>
  <c r="X25" i="20" s="1"/>
  <c r="Y25" i="20" s="1"/>
  <c r="Z25" i="20" s="1"/>
  <c r="AA25" i="20" s="1"/>
  <c r="P40" i="26"/>
  <c r="P144" i="22" s="1"/>
  <c r="AD144" i="22" s="1"/>
  <c r="P36" i="20"/>
  <c r="P24" i="19"/>
  <c r="P41" i="26"/>
  <c r="P28" i="25"/>
  <c r="Q28" i="25" s="1"/>
  <c r="R28" i="25" s="1"/>
  <c r="S28" i="25" s="1"/>
  <c r="T28" i="25" s="1"/>
  <c r="U28" i="25" s="1"/>
  <c r="V28" i="25" s="1"/>
  <c r="W28" i="25" s="1"/>
  <c r="X28" i="25" s="1"/>
  <c r="Y28" i="25" s="1"/>
  <c r="Z28" i="25" s="1"/>
  <c r="AA28" i="25" s="1"/>
  <c r="P33" i="23"/>
  <c r="P39" i="23" s="1"/>
  <c r="P145" i="22" s="1"/>
  <c r="AD145" i="22" s="1"/>
  <c r="P13" i="19"/>
  <c r="Q13" i="19" s="1"/>
  <c r="R13" i="19" s="1"/>
  <c r="S13" i="19" s="1"/>
  <c r="T13" i="19" s="1"/>
  <c r="U13" i="19" s="1"/>
  <c r="V13" i="19" s="1"/>
  <c r="W13" i="19" s="1"/>
  <c r="X13" i="19" s="1"/>
  <c r="Y13" i="19" s="1"/>
  <c r="Z13" i="19" s="1"/>
  <c r="AA13" i="19" s="1"/>
  <c r="R31" i="26"/>
  <c r="Q40" i="26"/>
  <c r="Q144" i="22" s="1"/>
  <c r="AE144" i="22" s="1"/>
  <c r="P142" i="22"/>
  <c r="AD142" i="22" s="1"/>
  <c r="P35" i="20"/>
  <c r="P40" i="23" l="1"/>
  <c r="P143" i="22"/>
  <c r="AD143" i="22" s="1"/>
  <c r="S31" i="26"/>
  <c r="R41" i="26"/>
  <c r="R40" i="26"/>
  <c r="R15" i="3"/>
  <c r="R144" i="22" l="1"/>
  <c r="AF144" i="22" s="1"/>
  <c r="T31" i="26"/>
  <c r="S40" i="26"/>
  <c r="S144" i="22" s="1"/>
  <c r="AG144" i="22" s="1"/>
  <c r="N6" i="1"/>
  <c r="C4" i="1" s="1"/>
  <c r="AA140" i="22"/>
  <c r="Z140" i="22"/>
  <c r="Y140" i="22"/>
  <c r="X140" i="22"/>
  <c r="W140" i="22"/>
  <c r="V140" i="22"/>
  <c r="U140" i="22"/>
  <c r="T140" i="22"/>
  <c r="S140" i="22"/>
  <c r="R140" i="22"/>
  <c r="Q140" i="22"/>
  <c r="P140" i="22"/>
  <c r="M140" i="22"/>
  <c r="J140" i="22"/>
  <c r="I140" i="22"/>
  <c r="H140" i="22"/>
  <c r="G140" i="22"/>
  <c r="F140" i="22"/>
  <c r="E140" i="22"/>
  <c r="D140" i="22"/>
  <c r="C140" i="22"/>
  <c r="B140" i="22"/>
  <c r="A140" i="22"/>
  <c r="P139" i="22"/>
  <c r="M139" i="22"/>
  <c r="J139" i="22"/>
  <c r="I139" i="22"/>
  <c r="H139" i="22"/>
  <c r="G139" i="22"/>
  <c r="F139" i="22"/>
  <c r="E139" i="22"/>
  <c r="D139" i="22"/>
  <c r="C139" i="22"/>
  <c r="B139" i="22"/>
  <c r="A139" i="22"/>
  <c r="Q7" i="20"/>
  <c r="R7" i="20" s="1"/>
  <c r="S7" i="20" s="1"/>
  <c r="K7" i="20"/>
  <c r="L28" i="20"/>
  <c r="L140" i="22" s="1"/>
  <c r="K28" i="20"/>
  <c r="K140" i="22" s="1"/>
  <c r="Q18" i="19"/>
  <c r="R18" i="19" s="1"/>
  <c r="R139" i="22" s="1"/>
  <c r="L18" i="19"/>
  <c r="L139" i="22" s="1"/>
  <c r="K18" i="19"/>
  <c r="K139" i="22" s="1"/>
  <c r="A109" i="22"/>
  <c r="B109" i="22"/>
  <c r="C109" i="22"/>
  <c r="D109" i="22"/>
  <c r="E109" i="22"/>
  <c r="F109" i="22"/>
  <c r="G109" i="22"/>
  <c r="H109" i="22"/>
  <c r="I109" i="22"/>
  <c r="J109" i="22"/>
  <c r="M109" i="22"/>
  <c r="A110" i="22"/>
  <c r="B110" i="22"/>
  <c r="C110" i="22"/>
  <c r="D110" i="22"/>
  <c r="E110" i="22"/>
  <c r="F110" i="22"/>
  <c r="G110" i="22"/>
  <c r="H110" i="22"/>
  <c r="I110" i="22"/>
  <c r="J110" i="22"/>
  <c r="M110" i="22"/>
  <c r="AG110" i="22" s="1"/>
  <c r="P110" i="22"/>
  <c r="Q110" i="22"/>
  <c r="R110" i="22"/>
  <c r="S110" i="22"/>
  <c r="T110" i="22"/>
  <c r="U110" i="22"/>
  <c r="V110" i="22"/>
  <c r="W110" i="22"/>
  <c r="X110" i="22"/>
  <c r="Y110" i="22"/>
  <c r="Z110" i="22"/>
  <c r="AA110" i="22"/>
  <c r="A111" i="22"/>
  <c r="B111" i="22"/>
  <c r="C111" i="22"/>
  <c r="D111" i="22"/>
  <c r="E111" i="22"/>
  <c r="F111" i="22"/>
  <c r="G111" i="22"/>
  <c r="H111" i="22"/>
  <c r="I111" i="22"/>
  <c r="J111" i="22"/>
  <c r="M111" i="22"/>
  <c r="P111" i="22"/>
  <c r="Q111" i="22"/>
  <c r="R111" i="22"/>
  <c r="S111" i="22"/>
  <c r="T111" i="22"/>
  <c r="U111" i="22"/>
  <c r="V111" i="22"/>
  <c r="W111" i="22"/>
  <c r="X111" i="22"/>
  <c r="Y111" i="22"/>
  <c r="Z111" i="22"/>
  <c r="AA111" i="22"/>
  <c r="A112" i="22"/>
  <c r="B112" i="22"/>
  <c r="C112" i="22"/>
  <c r="D112" i="22"/>
  <c r="E112" i="22"/>
  <c r="F112" i="22"/>
  <c r="G112" i="22"/>
  <c r="H112" i="22"/>
  <c r="I112" i="22"/>
  <c r="J112" i="22"/>
  <c r="M112" i="22"/>
  <c r="P112" i="22"/>
  <c r="Q112" i="22"/>
  <c r="R112" i="22"/>
  <c r="S112" i="22"/>
  <c r="T112" i="22"/>
  <c r="U112" i="22"/>
  <c r="V112" i="22"/>
  <c r="W112" i="22"/>
  <c r="X112" i="22"/>
  <c r="Y112" i="22"/>
  <c r="Z112" i="22"/>
  <c r="AA112" i="22"/>
  <c r="A113" i="22"/>
  <c r="B113" i="22"/>
  <c r="C113" i="22"/>
  <c r="D113" i="22"/>
  <c r="E113" i="22"/>
  <c r="F113" i="22"/>
  <c r="G113" i="22"/>
  <c r="H113" i="22"/>
  <c r="I113" i="22"/>
  <c r="J113" i="22"/>
  <c r="M113" i="22"/>
  <c r="P113" i="22"/>
  <c r="Q113" i="22"/>
  <c r="R113" i="22"/>
  <c r="S113" i="22"/>
  <c r="T113" i="22"/>
  <c r="U113" i="22"/>
  <c r="V113" i="22"/>
  <c r="W113" i="22"/>
  <c r="X113" i="22"/>
  <c r="Y113" i="22"/>
  <c r="Z113" i="22"/>
  <c r="AA113" i="22"/>
  <c r="A114" i="22"/>
  <c r="B114" i="22"/>
  <c r="C114" i="22"/>
  <c r="D114" i="22"/>
  <c r="E114" i="22"/>
  <c r="F114" i="22"/>
  <c r="G114" i="22"/>
  <c r="H114" i="22"/>
  <c r="I114" i="22"/>
  <c r="J114" i="22"/>
  <c r="M114" i="22"/>
  <c r="P114" i="22"/>
  <c r="Q114" i="22"/>
  <c r="R114" i="22"/>
  <c r="S114" i="22"/>
  <c r="T114" i="22"/>
  <c r="U114" i="22"/>
  <c r="V114" i="22"/>
  <c r="W114" i="22"/>
  <c r="X114" i="22"/>
  <c r="Y114" i="22"/>
  <c r="Z114" i="22"/>
  <c r="AA114" i="22"/>
  <c r="A115" i="22"/>
  <c r="B115" i="22"/>
  <c r="C115" i="22"/>
  <c r="D115" i="22"/>
  <c r="E115" i="22"/>
  <c r="F115" i="22"/>
  <c r="G115" i="22"/>
  <c r="H115" i="22"/>
  <c r="I115" i="22"/>
  <c r="J115" i="22"/>
  <c r="M115" i="22"/>
  <c r="P115" i="22"/>
  <c r="Q115" i="22"/>
  <c r="R115" i="22"/>
  <c r="S115" i="22"/>
  <c r="T115" i="22"/>
  <c r="U115" i="22"/>
  <c r="V115" i="22"/>
  <c r="W115" i="22"/>
  <c r="Y115" i="22"/>
  <c r="Z115" i="22"/>
  <c r="AA115" i="22"/>
  <c r="A116" i="22"/>
  <c r="B116" i="22"/>
  <c r="C116" i="22"/>
  <c r="D116" i="22"/>
  <c r="E116" i="22"/>
  <c r="F116" i="22"/>
  <c r="G116" i="22"/>
  <c r="H116" i="22"/>
  <c r="I116" i="22"/>
  <c r="J116" i="22"/>
  <c r="M116" i="22"/>
  <c r="P116" i="22"/>
  <c r="Q116" i="22"/>
  <c r="R116" i="22"/>
  <c r="S116" i="22"/>
  <c r="T116" i="22"/>
  <c r="U116" i="22"/>
  <c r="V116" i="22"/>
  <c r="W116" i="22"/>
  <c r="X116" i="22"/>
  <c r="Y116" i="22"/>
  <c r="Z116" i="22"/>
  <c r="AA116" i="22"/>
  <c r="A117" i="22"/>
  <c r="B117" i="22"/>
  <c r="C117" i="22"/>
  <c r="D117" i="22"/>
  <c r="E117" i="22"/>
  <c r="F117" i="22"/>
  <c r="G117" i="22"/>
  <c r="H117" i="22"/>
  <c r="I117" i="22"/>
  <c r="J117" i="22"/>
  <c r="M117" i="22"/>
  <c r="P117" i="22"/>
  <c r="Q117" i="22"/>
  <c r="R117" i="22"/>
  <c r="S117" i="22"/>
  <c r="T117" i="22"/>
  <c r="U117" i="22"/>
  <c r="V117" i="22"/>
  <c r="W117" i="22"/>
  <c r="X117" i="22"/>
  <c r="Y117" i="22"/>
  <c r="Z117" i="22"/>
  <c r="AA117" i="22"/>
  <c r="A118" i="22"/>
  <c r="B118" i="22"/>
  <c r="C118" i="22"/>
  <c r="D118" i="22"/>
  <c r="E118" i="22"/>
  <c r="F118" i="22"/>
  <c r="G118" i="22"/>
  <c r="H118" i="22"/>
  <c r="I118" i="22"/>
  <c r="J118" i="22"/>
  <c r="M118" i="22"/>
  <c r="P118" i="22"/>
  <c r="Q118" i="22"/>
  <c r="R118" i="22"/>
  <c r="S118" i="22"/>
  <c r="T118" i="22"/>
  <c r="U118" i="22"/>
  <c r="V118" i="22"/>
  <c r="W118" i="22"/>
  <c r="X118" i="22"/>
  <c r="Y118" i="22"/>
  <c r="Z118" i="22"/>
  <c r="AA118" i="22"/>
  <c r="A119" i="22"/>
  <c r="B119" i="22"/>
  <c r="C119" i="22"/>
  <c r="D119" i="22"/>
  <c r="E119" i="22"/>
  <c r="F119" i="22"/>
  <c r="G119" i="22"/>
  <c r="H119" i="22"/>
  <c r="I119" i="22"/>
  <c r="J119" i="22"/>
  <c r="M119" i="22"/>
  <c r="P119" i="22"/>
  <c r="Q119" i="22"/>
  <c r="R119" i="22"/>
  <c r="S119" i="22"/>
  <c r="T119" i="22"/>
  <c r="U119" i="22"/>
  <c r="V119" i="22"/>
  <c r="W119" i="22"/>
  <c r="X119" i="22"/>
  <c r="Y119" i="22"/>
  <c r="Z119" i="22"/>
  <c r="AA119" i="22"/>
  <c r="A120" i="22"/>
  <c r="B120" i="22"/>
  <c r="C120" i="22"/>
  <c r="D120" i="22"/>
  <c r="E120" i="22"/>
  <c r="F120" i="22"/>
  <c r="G120" i="22"/>
  <c r="H120" i="22"/>
  <c r="I120" i="22"/>
  <c r="J120" i="22"/>
  <c r="M120" i="22"/>
  <c r="P120" i="22"/>
  <c r="Q120" i="22"/>
  <c r="R120" i="22"/>
  <c r="S120" i="22"/>
  <c r="T120" i="22"/>
  <c r="U120" i="22"/>
  <c r="V120" i="22"/>
  <c r="W120" i="22"/>
  <c r="X120" i="22"/>
  <c r="Y120" i="22"/>
  <c r="Z120" i="22"/>
  <c r="AA120" i="22"/>
  <c r="A121" i="22"/>
  <c r="B121" i="22"/>
  <c r="C121" i="22"/>
  <c r="D121" i="22"/>
  <c r="E121" i="22"/>
  <c r="F121" i="22"/>
  <c r="G121" i="22"/>
  <c r="H121" i="22"/>
  <c r="I121" i="22"/>
  <c r="J121" i="22"/>
  <c r="M121" i="22"/>
  <c r="P121" i="22"/>
  <c r="Q121" i="22"/>
  <c r="R121" i="22"/>
  <c r="S121" i="22"/>
  <c r="T121" i="22"/>
  <c r="U121" i="22"/>
  <c r="V121" i="22"/>
  <c r="W121" i="22"/>
  <c r="X121" i="22"/>
  <c r="Y121" i="22"/>
  <c r="Z121" i="22"/>
  <c r="AA121" i="22"/>
  <c r="A122" i="22"/>
  <c r="B122" i="22"/>
  <c r="C122" i="22"/>
  <c r="D122" i="22"/>
  <c r="E122" i="22"/>
  <c r="F122" i="22"/>
  <c r="G122" i="22"/>
  <c r="H122" i="22"/>
  <c r="I122" i="22"/>
  <c r="J122" i="22"/>
  <c r="M122" i="22"/>
  <c r="P122" i="22"/>
  <c r="A123" i="22"/>
  <c r="B123" i="22"/>
  <c r="C123" i="22"/>
  <c r="D123" i="22"/>
  <c r="E123" i="22"/>
  <c r="F123" i="22"/>
  <c r="G123" i="22"/>
  <c r="H123" i="22"/>
  <c r="I123" i="22"/>
  <c r="J123" i="22"/>
  <c r="M123" i="22"/>
  <c r="P123" i="22"/>
  <c r="Q123" i="22"/>
  <c r="R123" i="22"/>
  <c r="S123" i="22"/>
  <c r="T123" i="22"/>
  <c r="U123" i="22"/>
  <c r="V123" i="22"/>
  <c r="W123" i="22"/>
  <c r="X123" i="22"/>
  <c r="Y123" i="22"/>
  <c r="Z123" i="22"/>
  <c r="AA123" i="22"/>
  <c r="A124" i="22"/>
  <c r="B124" i="22"/>
  <c r="C124" i="22"/>
  <c r="D124" i="22"/>
  <c r="E124" i="22"/>
  <c r="F124" i="22"/>
  <c r="G124" i="22"/>
  <c r="H124" i="22"/>
  <c r="I124" i="22"/>
  <c r="J124" i="22"/>
  <c r="M124" i="22"/>
  <c r="P124" i="22"/>
  <c r="A125" i="22"/>
  <c r="B125" i="22"/>
  <c r="C125" i="22"/>
  <c r="D125" i="22"/>
  <c r="E125" i="22"/>
  <c r="F125" i="22"/>
  <c r="G125" i="22"/>
  <c r="H125" i="22"/>
  <c r="I125" i="22"/>
  <c r="J125" i="22"/>
  <c r="M125" i="22"/>
  <c r="P125" i="22"/>
  <c r="A126" i="22"/>
  <c r="B126" i="22"/>
  <c r="C126" i="22"/>
  <c r="D126" i="22"/>
  <c r="E126" i="22"/>
  <c r="F126" i="22"/>
  <c r="G126" i="22"/>
  <c r="H126" i="22"/>
  <c r="I126" i="22"/>
  <c r="J126" i="22"/>
  <c r="M126" i="22"/>
  <c r="P126" i="22"/>
  <c r="A127" i="22"/>
  <c r="B127" i="22"/>
  <c r="C127" i="22"/>
  <c r="D127" i="22"/>
  <c r="E127" i="22"/>
  <c r="F127" i="22"/>
  <c r="G127" i="22"/>
  <c r="H127" i="22"/>
  <c r="I127" i="22"/>
  <c r="J127" i="22"/>
  <c r="M127" i="22"/>
  <c r="P127" i="22"/>
  <c r="A128" i="22"/>
  <c r="B128" i="22"/>
  <c r="C128" i="22"/>
  <c r="D128" i="22"/>
  <c r="E128" i="22"/>
  <c r="F128" i="22"/>
  <c r="G128" i="22"/>
  <c r="H128" i="22"/>
  <c r="I128" i="22"/>
  <c r="J128" i="22"/>
  <c r="M128" i="22"/>
  <c r="P128" i="22"/>
  <c r="A129" i="22"/>
  <c r="B129" i="22"/>
  <c r="C129" i="22"/>
  <c r="D129" i="22"/>
  <c r="E129" i="22"/>
  <c r="F129" i="22"/>
  <c r="G129" i="22"/>
  <c r="H129" i="22"/>
  <c r="I129" i="22"/>
  <c r="J129" i="22"/>
  <c r="M129" i="22"/>
  <c r="P129" i="22"/>
  <c r="A130" i="22"/>
  <c r="B130" i="22"/>
  <c r="C130" i="22"/>
  <c r="D130" i="22"/>
  <c r="E130" i="22"/>
  <c r="F130" i="22"/>
  <c r="G130" i="22"/>
  <c r="H130" i="22"/>
  <c r="I130" i="22"/>
  <c r="J130" i="22"/>
  <c r="M130" i="22"/>
  <c r="A131" i="22"/>
  <c r="B131" i="22"/>
  <c r="C131" i="22"/>
  <c r="D131" i="22"/>
  <c r="E131" i="22"/>
  <c r="F131" i="22"/>
  <c r="G131" i="22"/>
  <c r="H131" i="22"/>
  <c r="I131" i="22"/>
  <c r="J131" i="22"/>
  <c r="M131" i="22"/>
  <c r="P131" i="22"/>
  <c r="Q131" i="22"/>
  <c r="R131" i="22"/>
  <c r="S131" i="22"/>
  <c r="T131" i="22"/>
  <c r="U131" i="22"/>
  <c r="V131" i="22"/>
  <c r="W131" i="22"/>
  <c r="X131" i="22"/>
  <c r="Y131" i="22"/>
  <c r="Z131" i="22"/>
  <c r="A132" i="22"/>
  <c r="B132" i="22"/>
  <c r="C132" i="22"/>
  <c r="D132" i="22"/>
  <c r="E132" i="22"/>
  <c r="F132" i="22"/>
  <c r="G132" i="22"/>
  <c r="H132" i="22"/>
  <c r="I132" i="22"/>
  <c r="J132" i="22"/>
  <c r="M132" i="22"/>
  <c r="P132" i="22"/>
  <c r="Q132" i="22"/>
  <c r="R132" i="22"/>
  <c r="S132" i="22"/>
  <c r="T132" i="22"/>
  <c r="U132" i="22"/>
  <c r="V132" i="22"/>
  <c r="W132" i="22"/>
  <c r="X132" i="22"/>
  <c r="Y132" i="22"/>
  <c r="Z132" i="22"/>
  <c r="A133" i="22"/>
  <c r="B133" i="22"/>
  <c r="C133" i="22"/>
  <c r="D133" i="22"/>
  <c r="E133" i="22"/>
  <c r="F133" i="22"/>
  <c r="G133" i="22"/>
  <c r="H133" i="22"/>
  <c r="I133" i="22"/>
  <c r="J133" i="22"/>
  <c r="M133" i="22"/>
  <c r="P133" i="22"/>
  <c r="Q133" i="22"/>
  <c r="R133" i="22"/>
  <c r="AF133" i="22" s="1"/>
  <c r="S133" i="22"/>
  <c r="T133" i="22"/>
  <c r="V133" i="22"/>
  <c r="W133" i="22"/>
  <c r="X133" i="22"/>
  <c r="Y133" i="22"/>
  <c r="Z133" i="22"/>
  <c r="AN133" i="22" s="1"/>
  <c r="AA133" i="22"/>
  <c r="A134" i="22"/>
  <c r="B134" i="22"/>
  <c r="C134" i="22"/>
  <c r="D134" i="22"/>
  <c r="E134" i="22"/>
  <c r="F134" i="22"/>
  <c r="G134" i="22"/>
  <c r="H134" i="22"/>
  <c r="I134" i="22"/>
  <c r="J134" i="22"/>
  <c r="M134" i="22"/>
  <c r="A135" i="22"/>
  <c r="B135" i="22"/>
  <c r="C135" i="22"/>
  <c r="D135" i="22"/>
  <c r="E135" i="22"/>
  <c r="F135" i="22"/>
  <c r="G135" i="22"/>
  <c r="H135" i="22"/>
  <c r="I135" i="22"/>
  <c r="J135" i="22"/>
  <c r="M135" i="22"/>
  <c r="P135" i="22"/>
  <c r="Q135" i="22"/>
  <c r="R135" i="22"/>
  <c r="S135" i="22"/>
  <c r="T135" i="22"/>
  <c r="U135" i="22"/>
  <c r="W135" i="22"/>
  <c r="X135" i="22"/>
  <c r="Y135" i="22"/>
  <c r="Z135" i="22"/>
  <c r="AA135" i="22"/>
  <c r="A136" i="22"/>
  <c r="B136" i="22"/>
  <c r="C136" i="22"/>
  <c r="D136" i="22"/>
  <c r="E136" i="22"/>
  <c r="F136" i="22"/>
  <c r="G136" i="22"/>
  <c r="H136" i="22"/>
  <c r="I136" i="22"/>
  <c r="J136" i="22"/>
  <c r="M136" i="22"/>
  <c r="P136" i="22"/>
  <c r="Q136" i="22"/>
  <c r="R136" i="22"/>
  <c r="S136" i="22"/>
  <c r="T136" i="22"/>
  <c r="U136" i="22"/>
  <c r="W136" i="22"/>
  <c r="X136" i="22"/>
  <c r="Y136" i="22"/>
  <c r="Z136" i="22"/>
  <c r="AA136" i="22"/>
  <c r="A137" i="22"/>
  <c r="B137" i="22"/>
  <c r="C137" i="22"/>
  <c r="D137" i="22"/>
  <c r="E137" i="22"/>
  <c r="F137" i="22"/>
  <c r="G137" i="22"/>
  <c r="H137" i="22"/>
  <c r="I137" i="22"/>
  <c r="J137" i="22"/>
  <c r="M137" i="22"/>
  <c r="P137" i="22"/>
  <c r="Q137" i="22"/>
  <c r="R137" i="22"/>
  <c r="S137" i="22"/>
  <c r="T137" i="22"/>
  <c r="U137" i="22"/>
  <c r="V137" i="22"/>
  <c r="W137" i="22"/>
  <c r="X137" i="22"/>
  <c r="Y137" i="22"/>
  <c r="Z137" i="22"/>
  <c r="AA137" i="22"/>
  <c r="A138" i="22"/>
  <c r="B138" i="22"/>
  <c r="C138" i="22"/>
  <c r="D138" i="22"/>
  <c r="E138" i="22"/>
  <c r="F138" i="22"/>
  <c r="G138" i="22"/>
  <c r="H138" i="22"/>
  <c r="I138" i="22"/>
  <c r="J138" i="22"/>
  <c r="M138" i="22"/>
  <c r="P138" i="22"/>
  <c r="Q138" i="22"/>
  <c r="R138" i="22"/>
  <c r="S138" i="22"/>
  <c r="T138" i="22"/>
  <c r="U138" i="22"/>
  <c r="W138" i="22"/>
  <c r="X138" i="22"/>
  <c r="Y138" i="22"/>
  <c r="Z138" i="22"/>
  <c r="AA138" i="22"/>
  <c r="AA108" i="22"/>
  <c r="Z108" i="22"/>
  <c r="Y108" i="22"/>
  <c r="X108" i="22"/>
  <c r="W108" i="22"/>
  <c r="V108" i="22"/>
  <c r="U108" i="22"/>
  <c r="T108" i="22"/>
  <c r="S108" i="22"/>
  <c r="R108" i="22"/>
  <c r="Q108" i="22"/>
  <c r="P108" i="22"/>
  <c r="M108" i="22"/>
  <c r="J108" i="22"/>
  <c r="I108" i="22"/>
  <c r="H108" i="22"/>
  <c r="G108" i="22"/>
  <c r="F108" i="22"/>
  <c r="E108" i="22"/>
  <c r="D108" i="22"/>
  <c r="C108" i="22"/>
  <c r="B108" i="22"/>
  <c r="A108" i="22"/>
  <c r="A85" i="22"/>
  <c r="B85" i="22"/>
  <c r="C85" i="22"/>
  <c r="D85" i="22"/>
  <c r="E85" i="22"/>
  <c r="F85" i="22"/>
  <c r="G85" i="22"/>
  <c r="H85" i="22"/>
  <c r="I85" i="22"/>
  <c r="J85" i="22"/>
  <c r="M85" i="22"/>
  <c r="P85" i="22"/>
  <c r="Q85" i="22"/>
  <c r="R85" i="22"/>
  <c r="S85" i="22"/>
  <c r="T85" i="22"/>
  <c r="U85" i="22"/>
  <c r="V85" i="22"/>
  <c r="W85" i="22"/>
  <c r="X85" i="22"/>
  <c r="Y85" i="22"/>
  <c r="Z85" i="22"/>
  <c r="AA85" i="22"/>
  <c r="A86" i="22"/>
  <c r="B86" i="22"/>
  <c r="C86" i="22"/>
  <c r="D86" i="22"/>
  <c r="E86" i="22"/>
  <c r="F86" i="22"/>
  <c r="G86" i="22"/>
  <c r="H86" i="22"/>
  <c r="I86" i="22"/>
  <c r="J86" i="22"/>
  <c r="M86" i="22"/>
  <c r="P86" i="22"/>
  <c r="Q86" i="22"/>
  <c r="R86" i="22"/>
  <c r="S86" i="22"/>
  <c r="T86" i="22"/>
  <c r="U86" i="22"/>
  <c r="V86" i="22"/>
  <c r="W86" i="22"/>
  <c r="X86" i="22"/>
  <c r="Y86" i="22"/>
  <c r="Z86" i="22"/>
  <c r="AA86" i="22"/>
  <c r="A87" i="22"/>
  <c r="B87" i="22"/>
  <c r="C87" i="22"/>
  <c r="D87" i="22"/>
  <c r="E87" i="22"/>
  <c r="F87" i="22"/>
  <c r="G87" i="22"/>
  <c r="H87" i="22"/>
  <c r="I87" i="22"/>
  <c r="J87" i="22"/>
  <c r="M87" i="22"/>
  <c r="P87" i="22"/>
  <c r="Q87" i="22"/>
  <c r="R87" i="22"/>
  <c r="S87" i="22"/>
  <c r="T87" i="22"/>
  <c r="U87" i="22"/>
  <c r="V87" i="22"/>
  <c r="W87" i="22"/>
  <c r="X87" i="22"/>
  <c r="Y87" i="22"/>
  <c r="Z87" i="22"/>
  <c r="AA87" i="22"/>
  <c r="A88" i="22"/>
  <c r="B88" i="22"/>
  <c r="C88" i="22"/>
  <c r="D88" i="22"/>
  <c r="E88" i="22"/>
  <c r="F88" i="22"/>
  <c r="G88" i="22"/>
  <c r="H88" i="22"/>
  <c r="I88" i="22"/>
  <c r="J88" i="22"/>
  <c r="M88" i="22"/>
  <c r="P88" i="22"/>
  <c r="Q88" i="22"/>
  <c r="R88" i="22"/>
  <c r="S88" i="22"/>
  <c r="T88" i="22"/>
  <c r="U88" i="22"/>
  <c r="V88" i="22"/>
  <c r="W88" i="22"/>
  <c r="X88" i="22"/>
  <c r="Y88" i="22"/>
  <c r="Z88" i="22"/>
  <c r="AA88" i="22"/>
  <c r="A89" i="22"/>
  <c r="B89" i="22"/>
  <c r="C89" i="22"/>
  <c r="D89" i="22"/>
  <c r="E89" i="22"/>
  <c r="F89" i="22"/>
  <c r="G89" i="22"/>
  <c r="H89" i="22"/>
  <c r="I89" i="22"/>
  <c r="J89" i="22"/>
  <c r="M89" i="22"/>
  <c r="P89" i="22"/>
  <c r="Q89" i="22"/>
  <c r="R89" i="22"/>
  <c r="S89" i="22"/>
  <c r="T89" i="22"/>
  <c r="U89" i="22"/>
  <c r="V89" i="22"/>
  <c r="W89" i="22"/>
  <c r="X89" i="22"/>
  <c r="Y89" i="22"/>
  <c r="Z89" i="22"/>
  <c r="AA89" i="22"/>
  <c r="A90" i="22"/>
  <c r="B90" i="22"/>
  <c r="C90" i="22"/>
  <c r="D90" i="22"/>
  <c r="E90" i="22"/>
  <c r="F90" i="22"/>
  <c r="G90" i="22"/>
  <c r="H90" i="22"/>
  <c r="I90" i="22"/>
  <c r="J90" i="22"/>
  <c r="M90" i="22"/>
  <c r="P90" i="22"/>
  <c r="Q90" i="22"/>
  <c r="R90" i="22"/>
  <c r="S90" i="22"/>
  <c r="T90" i="22"/>
  <c r="U90" i="22"/>
  <c r="V90" i="22"/>
  <c r="W90" i="22"/>
  <c r="X90" i="22"/>
  <c r="Y90" i="22"/>
  <c r="Z90" i="22"/>
  <c r="AA90" i="22"/>
  <c r="A91" i="22"/>
  <c r="B91" i="22"/>
  <c r="C91" i="22"/>
  <c r="D91" i="22"/>
  <c r="E91" i="22"/>
  <c r="F91" i="22"/>
  <c r="G91" i="22"/>
  <c r="H91" i="22"/>
  <c r="I91" i="22"/>
  <c r="J91" i="22"/>
  <c r="M91" i="22"/>
  <c r="P91" i="22"/>
  <c r="Q91" i="22"/>
  <c r="R91" i="22"/>
  <c r="S91" i="22"/>
  <c r="T91" i="22"/>
  <c r="U91" i="22"/>
  <c r="V91" i="22"/>
  <c r="W91" i="22"/>
  <c r="X91" i="22"/>
  <c r="Y91" i="22"/>
  <c r="Z91" i="22"/>
  <c r="AA91" i="22"/>
  <c r="A92" i="22"/>
  <c r="B92" i="22"/>
  <c r="C92" i="22"/>
  <c r="D92" i="22"/>
  <c r="E92" i="22"/>
  <c r="F92" i="22"/>
  <c r="G92" i="22"/>
  <c r="H92" i="22"/>
  <c r="I92" i="22"/>
  <c r="J92" i="22"/>
  <c r="M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93" i="22"/>
  <c r="B93" i="22"/>
  <c r="C93" i="22"/>
  <c r="D93" i="22"/>
  <c r="E93" i="22"/>
  <c r="F93" i="22"/>
  <c r="G93" i="22"/>
  <c r="H93" i="22"/>
  <c r="I93" i="22"/>
  <c r="J93" i="22"/>
  <c r="M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94" i="22"/>
  <c r="B94" i="22"/>
  <c r="C94" i="22"/>
  <c r="D94" i="22"/>
  <c r="E94" i="22"/>
  <c r="F94" i="22"/>
  <c r="G94" i="22"/>
  <c r="H94" i="22"/>
  <c r="I94" i="22"/>
  <c r="J94" i="22"/>
  <c r="M94" i="22"/>
  <c r="P94" i="22"/>
  <c r="Q94" i="22"/>
  <c r="R94" i="22"/>
  <c r="S94" i="22"/>
  <c r="T94" i="22"/>
  <c r="U94" i="22"/>
  <c r="V94" i="22"/>
  <c r="W94" i="22"/>
  <c r="X94" i="22"/>
  <c r="Y94" i="22"/>
  <c r="Z94" i="22"/>
  <c r="AA94" i="22"/>
  <c r="A95" i="22"/>
  <c r="B95" i="22"/>
  <c r="C95" i="22"/>
  <c r="D95" i="22"/>
  <c r="E95" i="22"/>
  <c r="F95" i="22"/>
  <c r="G95" i="22"/>
  <c r="H95" i="22"/>
  <c r="I95" i="22"/>
  <c r="J95" i="22"/>
  <c r="M95" i="22"/>
  <c r="P95" i="22"/>
  <c r="Q95" i="22"/>
  <c r="R95" i="22"/>
  <c r="S95" i="22"/>
  <c r="T95" i="22"/>
  <c r="U95" i="22"/>
  <c r="V95" i="22"/>
  <c r="W95" i="22"/>
  <c r="X95" i="22"/>
  <c r="Y95" i="22"/>
  <c r="Z95" i="22"/>
  <c r="AA95" i="22"/>
  <c r="A96" i="22"/>
  <c r="B96" i="22"/>
  <c r="C96" i="22"/>
  <c r="D96" i="22"/>
  <c r="E96" i="22"/>
  <c r="F96" i="22"/>
  <c r="G96" i="22"/>
  <c r="H96" i="22"/>
  <c r="I96" i="22"/>
  <c r="J96" i="22"/>
  <c r="M96" i="22"/>
  <c r="P96" i="22"/>
  <c r="Q96" i="22"/>
  <c r="R96" i="22"/>
  <c r="S96" i="22"/>
  <c r="T96" i="22"/>
  <c r="U96" i="22"/>
  <c r="V96" i="22"/>
  <c r="W96" i="22"/>
  <c r="X96" i="22"/>
  <c r="Y96" i="22"/>
  <c r="Z96" i="22"/>
  <c r="AA96" i="22"/>
  <c r="A97" i="22"/>
  <c r="B97" i="22"/>
  <c r="C97" i="22"/>
  <c r="D97" i="22"/>
  <c r="E97" i="22"/>
  <c r="F97" i="22"/>
  <c r="G97" i="22"/>
  <c r="H97" i="22"/>
  <c r="I97" i="22"/>
  <c r="J97" i="22"/>
  <c r="M97" i="22"/>
  <c r="P97" i="22"/>
  <c r="A98" i="22"/>
  <c r="B98" i="22"/>
  <c r="C98" i="22"/>
  <c r="D98" i="22"/>
  <c r="E98" i="22"/>
  <c r="F98" i="22"/>
  <c r="G98" i="22"/>
  <c r="H98" i="22"/>
  <c r="I98" i="22"/>
  <c r="J98" i="22"/>
  <c r="M98" i="22"/>
  <c r="P98" i="22"/>
  <c r="A99" i="22"/>
  <c r="B99" i="22"/>
  <c r="C99" i="22"/>
  <c r="D99" i="22"/>
  <c r="E99" i="22"/>
  <c r="F99" i="22"/>
  <c r="G99" i="22"/>
  <c r="H99" i="22"/>
  <c r="I99" i="22"/>
  <c r="J99" i="22"/>
  <c r="M99" i="22"/>
  <c r="P99" i="22"/>
  <c r="A100" i="22"/>
  <c r="B100" i="22"/>
  <c r="C100" i="22"/>
  <c r="D100" i="22"/>
  <c r="E100" i="22"/>
  <c r="F100" i="22"/>
  <c r="G100" i="22"/>
  <c r="H100" i="22"/>
  <c r="I100" i="22"/>
  <c r="J100" i="22"/>
  <c r="M100" i="22"/>
  <c r="P100" i="22"/>
  <c r="A101" i="22"/>
  <c r="B101" i="22"/>
  <c r="C101" i="22"/>
  <c r="D101" i="22"/>
  <c r="E101" i="22"/>
  <c r="F101" i="22"/>
  <c r="G101" i="22"/>
  <c r="H101" i="22"/>
  <c r="I101" i="22"/>
  <c r="J101" i="22"/>
  <c r="M101" i="22"/>
  <c r="P101" i="22"/>
  <c r="A102" i="22"/>
  <c r="B102" i="22"/>
  <c r="C102" i="22"/>
  <c r="D102" i="22"/>
  <c r="E102" i="22"/>
  <c r="F102" i="22"/>
  <c r="G102" i="22"/>
  <c r="H102" i="22"/>
  <c r="I102" i="22"/>
  <c r="J102" i="22"/>
  <c r="M102" i="22"/>
  <c r="P102" i="22"/>
  <c r="A103" i="22"/>
  <c r="B103" i="22"/>
  <c r="C103" i="22"/>
  <c r="D103" i="22"/>
  <c r="E103" i="22"/>
  <c r="F103" i="22"/>
  <c r="G103" i="22"/>
  <c r="H103" i="22"/>
  <c r="I103" i="22"/>
  <c r="J103" i="22"/>
  <c r="M103" i="22"/>
  <c r="A104" i="22"/>
  <c r="B104" i="22"/>
  <c r="C104" i="22"/>
  <c r="D104" i="22"/>
  <c r="E104" i="22"/>
  <c r="F104" i="22"/>
  <c r="G104" i="22"/>
  <c r="H104" i="22"/>
  <c r="I104" i="22"/>
  <c r="J104" i="22"/>
  <c r="M104" i="22"/>
  <c r="P104" i="22"/>
  <c r="Q104" i="22"/>
  <c r="R104" i="22"/>
  <c r="S104" i="22"/>
  <c r="T104" i="22"/>
  <c r="U104" i="22"/>
  <c r="V104" i="22"/>
  <c r="W104" i="22"/>
  <c r="X104" i="22"/>
  <c r="Y104" i="22"/>
  <c r="Z104" i="22"/>
  <c r="A105" i="22"/>
  <c r="B105" i="22"/>
  <c r="C105" i="22"/>
  <c r="D105" i="22"/>
  <c r="E105" i="22"/>
  <c r="F105" i="22"/>
  <c r="G105" i="22"/>
  <c r="H105" i="22"/>
  <c r="I105" i="22"/>
  <c r="J105" i="22"/>
  <c r="M105" i="22"/>
  <c r="P105" i="22"/>
  <c r="Q105" i="22"/>
  <c r="R105" i="22"/>
  <c r="S105" i="22"/>
  <c r="T105" i="22"/>
  <c r="U105" i="22"/>
  <c r="V105" i="22"/>
  <c r="W105" i="22"/>
  <c r="X105" i="22"/>
  <c r="Y105" i="22"/>
  <c r="Z105" i="22"/>
  <c r="A106" i="22"/>
  <c r="B106" i="22"/>
  <c r="C106" i="22"/>
  <c r="D106" i="22"/>
  <c r="E106" i="22"/>
  <c r="F106" i="22"/>
  <c r="G106" i="22"/>
  <c r="H106" i="22"/>
  <c r="I106" i="22"/>
  <c r="J106" i="22"/>
  <c r="M106" i="22"/>
  <c r="P106" i="22"/>
  <c r="Q106" i="22"/>
  <c r="R106" i="22"/>
  <c r="S106" i="22"/>
  <c r="T106" i="22"/>
  <c r="V106" i="22"/>
  <c r="W106" i="22"/>
  <c r="X106" i="22"/>
  <c r="Y106" i="22"/>
  <c r="Z106" i="22"/>
  <c r="AA106" i="22"/>
  <c r="A107" i="22"/>
  <c r="B107" i="22"/>
  <c r="C107" i="22"/>
  <c r="D107" i="22"/>
  <c r="E107" i="22"/>
  <c r="F107" i="22"/>
  <c r="G107" i="22"/>
  <c r="H107" i="22"/>
  <c r="I107" i="22"/>
  <c r="J107" i="22"/>
  <c r="M107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M84" i="22"/>
  <c r="J84" i="22"/>
  <c r="I84" i="22"/>
  <c r="H84" i="22"/>
  <c r="G84" i="22"/>
  <c r="F84" i="22"/>
  <c r="E84" i="22"/>
  <c r="D84" i="22"/>
  <c r="C84" i="22"/>
  <c r="B84" i="22"/>
  <c r="A84" i="22"/>
  <c r="A63" i="22"/>
  <c r="B63" i="22"/>
  <c r="C63" i="22"/>
  <c r="D63" i="22"/>
  <c r="E63" i="22"/>
  <c r="F63" i="22"/>
  <c r="G63" i="22"/>
  <c r="H63" i="22"/>
  <c r="I63" i="22"/>
  <c r="J63" i="22"/>
  <c r="M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64" i="22"/>
  <c r="B64" i="22"/>
  <c r="C64" i="22"/>
  <c r="D64" i="22"/>
  <c r="E64" i="22"/>
  <c r="F64" i="22"/>
  <c r="G64" i="22"/>
  <c r="H64" i="22"/>
  <c r="I64" i="22"/>
  <c r="J64" i="22"/>
  <c r="M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65" i="22"/>
  <c r="B65" i="22"/>
  <c r="C65" i="22"/>
  <c r="D65" i="22"/>
  <c r="E65" i="22"/>
  <c r="F65" i="22"/>
  <c r="G65" i="22"/>
  <c r="H65" i="22"/>
  <c r="I65" i="22"/>
  <c r="J65" i="22"/>
  <c r="M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66" i="22"/>
  <c r="B66" i="22"/>
  <c r="C66" i="22"/>
  <c r="D66" i="22"/>
  <c r="E66" i="22"/>
  <c r="F66" i="22"/>
  <c r="G66" i="22"/>
  <c r="H66" i="22"/>
  <c r="I66" i="22"/>
  <c r="J66" i="22"/>
  <c r="M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67" i="22"/>
  <c r="B67" i="22"/>
  <c r="C67" i="22"/>
  <c r="D67" i="22"/>
  <c r="E67" i="22"/>
  <c r="F67" i="22"/>
  <c r="G67" i="22"/>
  <c r="H67" i="22"/>
  <c r="I67" i="22"/>
  <c r="J67" i="22"/>
  <c r="M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68" i="22"/>
  <c r="B68" i="22"/>
  <c r="C68" i="22"/>
  <c r="D68" i="22"/>
  <c r="E68" i="22"/>
  <c r="F68" i="22"/>
  <c r="G68" i="22"/>
  <c r="H68" i="22"/>
  <c r="I68" i="22"/>
  <c r="J68" i="22"/>
  <c r="M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69" i="22"/>
  <c r="B69" i="22"/>
  <c r="C69" i="22"/>
  <c r="D69" i="22"/>
  <c r="E69" i="22"/>
  <c r="F69" i="22"/>
  <c r="G69" i="22"/>
  <c r="H69" i="22"/>
  <c r="I69" i="22"/>
  <c r="J69" i="22"/>
  <c r="M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70" i="22"/>
  <c r="B70" i="22"/>
  <c r="C70" i="22"/>
  <c r="D70" i="22"/>
  <c r="E70" i="22"/>
  <c r="F70" i="22"/>
  <c r="G70" i="22"/>
  <c r="H70" i="22"/>
  <c r="I70" i="22"/>
  <c r="J70" i="22"/>
  <c r="M70" i="22"/>
  <c r="P70" i="22"/>
  <c r="A71" i="22"/>
  <c r="B71" i="22"/>
  <c r="C71" i="22"/>
  <c r="D71" i="22"/>
  <c r="E71" i="22"/>
  <c r="F71" i="22"/>
  <c r="G71" i="22"/>
  <c r="H71" i="22"/>
  <c r="I71" i="22"/>
  <c r="J71" i="22"/>
  <c r="M71" i="22"/>
  <c r="P71" i="22"/>
  <c r="U71" i="22"/>
  <c r="A72" i="22"/>
  <c r="B72" i="22"/>
  <c r="C72" i="22"/>
  <c r="D72" i="22"/>
  <c r="E72" i="22"/>
  <c r="F72" i="22"/>
  <c r="G72" i="22"/>
  <c r="H72" i="22"/>
  <c r="I72" i="22"/>
  <c r="J72" i="22"/>
  <c r="M72" i="22"/>
  <c r="P72" i="22"/>
  <c r="A73" i="22"/>
  <c r="B73" i="22"/>
  <c r="C73" i="22"/>
  <c r="D73" i="22"/>
  <c r="E73" i="22"/>
  <c r="F73" i="22"/>
  <c r="G73" i="22"/>
  <c r="H73" i="22"/>
  <c r="I73" i="22"/>
  <c r="J73" i="22"/>
  <c r="M73" i="22"/>
  <c r="P73" i="22"/>
  <c r="A74" i="22"/>
  <c r="B74" i="22"/>
  <c r="C74" i="22"/>
  <c r="D74" i="22"/>
  <c r="E74" i="22"/>
  <c r="F74" i="22"/>
  <c r="G74" i="22"/>
  <c r="H74" i="22"/>
  <c r="I74" i="22"/>
  <c r="J74" i="22"/>
  <c r="M74" i="22"/>
  <c r="P74" i="22"/>
  <c r="A75" i="22"/>
  <c r="B75" i="22"/>
  <c r="C75" i="22"/>
  <c r="D75" i="22"/>
  <c r="E75" i="22"/>
  <c r="F75" i="22"/>
  <c r="G75" i="22"/>
  <c r="H75" i="22"/>
  <c r="I75" i="22"/>
  <c r="J75" i="22"/>
  <c r="M75" i="22"/>
  <c r="P75" i="22"/>
  <c r="U75" i="22"/>
  <c r="A76" i="22"/>
  <c r="B76" i="22"/>
  <c r="C76" i="22"/>
  <c r="D76" i="22"/>
  <c r="E76" i="22"/>
  <c r="F76" i="22"/>
  <c r="G76" i="22"/>
  <c r="H76" i="22"/>
  <c r="I76" i="22"/>
  <c r="J76" i="22"/>
  <c r="M76" i="22"/>
  <c r="P76" i="22"/>
  <c r="U76" i="22"/>
  <c r="A77" i="22"/>
  <c r="B77" i="22"/>
  <c r="C77" i="22"/>
  <c r="D77" i="22"/>
  <c r="E77" i="22"/>
  <c r="F77" i="22"/>
  <c r="G77" i="22"/>
  <c r="H77" i="22"/>
  <c r="I77" i="22"/>
  <c r="J77" i="22"/>
  <c r="M77" i="22"/>
  <c r="P77" i="22"/>
  <c r="U77" i="22"/>
  <c r="A78" i="22"/>
  <c r="B78" i="22"/>
  <c r="C78" i="22"/>
  <c r="D78" i="22"/>
  <c r="E78" i="22"/>
  <c r="F78" i="22"/>
  <c r="G78" i="22"/>
  <c r="H78" i="22"/>
  <c r="I78" i="22"/>
  <c r="J78" i="22"/>
  <c r="M78" i="22"/>
  <c r="P78" i="22"/>
  <c r="A79" i="22"/>
  <c r="B79" i="22"/>
  <c r="C79" i="22"/>
  <c r="D79" i="22"/>
  <c r="E79" i="22"/>
  <c r="F79" i="22"/>
  <c r="G79" i="22"/>
  <c r="H79" i="22"/>
  <c r="I79" i="22"/>
  <c r="J79" i="22"/>
  <c r="M79" i="22"/>
  <c r="P79" i="22"/>
  <c r="A80" i="22"/>
  <c r="B80" i="22"/>
  <c r="C80" i="22"/>
  <c r="D80" i="22"/>
  <c r="E80" i="22"/>
  <c r="F80" i="22"/>
  <c r="G80" i="22"/>
  <c r="H80" i="22"/>
  <c r="I80" i="22"/>
  <c r="J80" i="22"/>
  <c r="M80" i="22"/>
  <c r="A81" i="22"/>
  <c r="B81" i="22"/>
  <c r="C81" i="22"/>
  <c r="D81" i="22"/>
  <c r="E81" i="22"/>
  <c r="F81" i="22"/>
  <c r="G81" i="22"/>
  <c r="H81" i="22"/>
  <c r="I81" i="22"/>
  <c r="J81" i="22"/>
  <c r="M81" i="22"/>
  <c r="P81" i="22"/>
  <c r="Q81" i="22"/>
  <c r="R81" i="22"/>
  <c r="S81" i="22"/>
  <c r="T81" i="22"/>
  <c r="U81" i="22"/>
  <c r="V81" i="22"/>
  <c r="W81" i="22"/>
  <c r="X81" i="22"/>
  <c r="Y81" i="22"/>
  <c r="Z81" i="22"/>
  <c r="A82" i="22"/>
  <c r="B82" i="22"/>
  <c r="C82" i="22"/>
  <c r="D82" i="22"/>
  <c r="E82" i="22"/>
  <c r="F82" i="22"/>
  <c r="G82" i="22"/>
  <c r="H82" i="22"/>
  <c r="I82" i="22"/>
  <c r="J82" i="22"/>
  <c r="M82" i="22"/>
  <c r="P82" i="22"/>
  <c r="Q82" i="22"/>
  <c r="R82" i="22"/>
  <c r="S82" i="22"/>
  <c r="T82" i="22"/>
  <c r="V82" i="22"/>
  <c r="W82" i="22"/>
  <c r="X82" i="22"/>
  <c r="Y82" i="22"/>
  <c r="Z82" i="22"/>
  <c r="AA82" i="22"/>
  <c r="A83" i="22"/>
  <c r="B83" i="22"/>
  <c r="C83" i="22"/>
  <c r="D83" i="22"/>
  <c r="E83" i="22"/>
  <c r="G83" i="22"/>
  <c r="H83" i="22"/>
  <c r="I83" i="22"/>
  <c r="J83" i="22"/>
  <c r="M83" i="22"/>
  <c r="AA62" i="22"/>
  <c r="Z62" i="22"/>
  <c r="Y62" i="22"/>
  <c r="X62" i="22"/>
  <c r="W62" i="22"/>
  <c r="V62" i="22"/>
  <c r="U62" i="22"/>
  <c r="T62" i="22"/>
  <c r="S62" i="22"/>
  <c r="R62" i="22"/>
  <c r="Q62" i="22"/>
  <c r="P62" i="22"/>
  <c r="M62" i="22"/>
  <c r="J62" i="22"/>
  <c r="I62" i="22"/>
  <c r="H62" i="22"/>
  <c r="G62" i="22"/>
  <c r="F62" i="22"/>
  <c r="E62" i="22"/>
  <c r="D62" i="22"/>
  <c r="C62" i="22"/>
  <c r="B62" i="22"/>
  <c r="A62" i="22"/>
  <c r="A58" i="22"/>
  <c r="B58" i="22"/>
  <c r="C58" i="22"/>
  <c r="D58" i="22"/>
  <c r="E58" i="22"/>
  <c r="F58" i="22"/>
  <c r="G58" i="22"/>
  <c r="H58" i="22"/>
  <c r="I58" i="22"/>
  <c r="J58" i="22"/>
  <c r="M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59" i="22"/>
  <c r="B59" i="22"/>
  <c r="C59" i="22"/>
  <c r="D59" i="22"/>
  <c r="E59" i="22"/>
  <c r="F59" i="22"/>
  <c r="G59" i="22"/>
  <c r="H59" i="22"/>
  <c r="I59" i="22"/>
  <c r="J59" i="22"/>
  <c r="M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60" i="22"/>
  <c r="B60" i="22"/>
  <c r="C60" i="22"/>
  <c r="D60" i="22"/>
  <c r="E60" i="22"/>
  <c r="F60" i="22"/>
  <c r="G60" i="22"/>
  <c r="H60" i="22"/>
  <c r="I60" i="22"/>
  <c r="J60" i="22"/>
  <c r="M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61" i="22"/>
  <c r="B61" i="22"/>
  <c r="C61" i="22"/>
  <c r="D61" i="22"/>
  <c r="E61" i="22"/>
  <c r="F61" i="22"/>
  <c r="G61" i="22"/>
  <c r="H61" i="22"/>
  <c r="I61" i="22"/>
  <c r="J61" i="22"/>
  <c r="M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M57" i="22"/>
  <c r="J57" i="22"/>
  <c r="I57" i="22"/>
  <c r="H57" i="22"/>
  <c r="G57" i="22"/>
  <c r="F57" i="22"/>
  <c r="E57" i="22"/>
  <c r="D57" i="22"/>
  <c r="C57" i="22"/>
  <c r="B57" i="22"/>
  <c r="A57" i="22"/>
  <c r="AA56" i="22"/>
  <c r="Z56" i="22"/>
  <c r="Y56" i="22"/>
  <c r="X56" i="22"/>
  <c r="W56" i="22"/>
  <c r="V56" i="22"/>
  <c r="T56" i="22"/>
  <c r="S56" i="22"/>
  <c r="R56" i="22"/>
  <c r="Q56" i="22"/>
  <c r="P56" i="22"/>
  <c r="M56" i="22"/>
  <c r="J56" i="22"/>
  <c r="I56" i="22"/>
  <c r="H56" i="22"/>
  <c r="G56" i="22"/>
  <c r="F56" i="22"/>
  <c r="E56" i="22"/>
  <c r="D56" i="22"/>
  <c r="C56" i="22"/>
  <c r="B56" i="22"/>
  <c r="A56" i="22"/>
  <c r="Z55" i="22"/>
  <c r="Y55" i="22"/>
  <c r="X55" i="22"/>
  <c r="W55" i="22"/>
  <c r="V55" i="22"/>
  <c r="U55" i="22"/>
  <c r="T55" i="22"/>
  <c r="S55" i="22"/>
  <c r="R55" i="22"/>
  <c r="Q55" i="22"/>
  <c r="P55" i="22"/>
  <c r="M55" i="22"/>
  <c r="J55" i="22"/>
  <c r="I55" i="22"/>
  <c r="H55" i="22"/>
  <c r="G55" i="22"/>
  <c r="F55" i="22"/>
  <c r="E55" i="22"/>
  <c r="D55" i="22"/>
  <c r="C55" i="22"/>
  <c r="B55" i="22"/>
  <c r="A55" i="22"/>
  <c r="Z54" i="22"/>
  <c r="Y54" i="22"/>
  <c r="X54" i="22"/>
  <c r="W54" i="22"/>
  <c r="V54" i="22"/>
  <c r="U54" i="22"/>
  <c r="T54" i="22"/>
  <c r="S54" i="22"/>
  <c r="R54" i="22"/>
  <c r="Q54" i="22"/>
  <c r="P54" i="22"/>
  <c r="M54" i="22"/>
  <c r="J54" i="22"/>
  <c r="I54" i="22"/>
  <c r="H54" i="22"/>
  <c r="G54" i="22"/>
  <c r="F54" i="22"/>
  <c r="E54" i="22"/>
  <c r="D54" i="22"/>
  <c r="C54" i="22"/>
  <c r="B54" i="22"/>
  <c r="A54" i="22"/>
  <c r="AA53" i="22"/>
  <c r="Z53" i="22"/>
  <c r="Y53" i="22"/>
  <c r="X53" i="22"/>
  <c r="W53" i="22"/>
  <c r="V53" i="22"/>
  <c r="U53" i="22"/>
  <c r="T53" i="22"/>
  <c r="S53" i="22"/>
  <c r="R53" i="22"/>
  <c r="Q53" i="22"/>
  <c r="P53" i="22"/>
  <c r="M53" i="22"/>
  <c r="J53" i="22"/>
  <c r="I53" i="22"/>
  <c r="H53" i="22"/>
  <c r="G53" i="22"/>
  <c r="F53" i="22"/>
  <c r="E53" i="22"/>
  <c r="D53" i="22"/>
  <c r="C53" i="22"/>
  <c r="B53" i="22"/>
  <c r="A53" i="22"/>
  <c r="P52" i="22"/>
  <c r="M52" i="22"/>
  <c r="J52" i="22"/>
  <c r="I52" i="22"/>
  <c r="H52" i="22"/>
  <c r="G52" i="22"/>
  <c r="F52" i="22"/>
  <c r="E52" i="22"/>
  <c r="D52" i="22"/>
  <c r="C52" i="22"/>
  <c r="B52" i="22"/>
  <c r="A52" i="22"/>
  <c r="P51" i="22"/>
  <c r="M51" i="22"/>
  <c r="J51" i="22"/>
  <c r="I51" i="22"/>
  <c r="H51" i="22"/>
  <c r="G51" i="22"/>
  <c r="F51" i="22"/>
  <c r="E51" i="22"/>
  <c r="D51" i="22"/>
  <c r="C51" i="22"/>
  <c r="B51" i="22"/>
  <c r="A51" i="22"/>
  <c r="P50" i="22"/>
  <c r="M50" i="22"/>
  <c r="J50" i="22"/>
  <c r="I50" i="22"/>
  <c r="H50" i="22"/>
  <c r="G50" i="22"/>
  <c r="F50" i="22"/>
  <c r="E50" i="22"/>
  <c r="D50" i="22"/>
  <c r="C50" i="22"/>
  <c r="B50" i="22"/>
  <c r="A50" i="22"/>
  <c r="P49" i="22"/>
  <c r="M49" i="22"/>
  <c r="J49" i="22"/>
  <c r="I49" i="22"/>
  <c r="H49" i="22"/>
  <c r="G49" i="22"/>
  <c r="F49" i="22"/>
  <c r="E49" i="22"/>
  <c r="D49" i="22"/>
  <c r="C49" i="22"/>
  <c r="B49" i="22"/>
  <c r="A49" i="22"/>
  <c r="AA48" i="22"/>
  <c r="Z48" i="22"/>
  <c r="Y48" i="22"/>
  <c r="X48" i="22"/>
  <c r="W48" i="22"/>
  <c r="V48" i="22"/>
  <c r="U48" i="22"/>
  <c r="T48" i="22"/>
  <c r="S48" i="22"/>
  <c r="R48" i="22"/>
  <c r="Q48" i="22"/>
  <c r="P48" i="22"/>
  <c r="M48" i="22"/>
  <c r="J48" i="22"/>
  <c r="I48" i="22"/>
  <c r="H48" i="22"/>
  <c r="G48" i="22"/>
  <c r="F48" i="22"/>
  <c r="E48" i="22"/>
  <c r="D48" i="22"/>
  <c r="C48" i="22"/>
  <c r="B48" i="22"/>
  <c r="A48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M47" i="22"/>
  <c r="J47" i="22"/>
  <c r="I47" i="22"/>
  <c r="H47" i="22"/>
  <c r="G47" i="22"/>
  <c r="F47" i="22"/>
  <c r="E47" i="22"/>
  <c r="D47" i="22"/>
  <c r="C47" i="22"/>
  <c r="B47" i="22"/>
  <c r="A47" i="22"/>
  <c r="AA46" i="22"/>
  <c r="Z46" i="22"/>
  <c r="Y46" i="22"/>
  <c r="X46" i="22"/>
  <c r="W46" i="22"/>
  <c r="U46" i="22"/>
  <c r="T46" i="22"/>
  <c r="S46" i="22"/>
  <c r="R46" i="22"/>
  <c r="Q46" i="22"/>
  <c r="P46" i="22"/>
  <c r="M46" i="22"/>
  <c r="J46" i="22"/>
  <c r="I46" i="22"/>
  <c r="H46" i="22"/>
  <c r="G46" i="22"/>
  <c r="F46" i="22"/>
  <c r="E46" i="22"/>
  <c r="D46" i="22"/>
  <c r="C46" i="22"/>
  <c r="B46" i="22"/>
  <c r="A46" i="22"/>
  <c r="AA45" i="22"/>
  <c r="Z45" i="22"/>
  <c r="Y45" i="22"/>
  <c r="X45" i="22"/>
  <c r="W45" i="22"/>
  <c r="V45" i="22"/>
  <c r="U45" i="22"/>
  <c r="T45" i="22"/>
  <c r="S45" i="22"/>
  <c r="R45" i="22"/>
  <c r="Q45" i="22"/>
  <c r="P45" i="22"/>
  <c r="M45" i="22"/>
  <c r="J45" i="22"/>
  <c r="I45" i="22"/>
  <c r="H45" i="22"/>
  <c r="G45" i="22"/>
  <c r="F45" i="22"/>
  <c r="E45" i="22"/>
  <c r="D45" i="22"/>
  <c r="C45" i="22"/>
  <c r="B45" i="22"/>
  <c r="A45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M44" i="22"/>
  <c r="J44" i="22"/>
  <c r="I44" i="22"/>
  <c r="H44" i="22"/>
  <c r="G44" i="22"/>
  <c r="F44" i="22"/>
  <c r="E44" i="22"/>
  <c r="D44" i="22"/>
  <c r="C44" i="22"/>
  <c r="B44" i="22"/>
  <c r="A44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M43" i="22"/>
  <c r="J43" i="22"/>
  <c r="I43" i="22"/>
  <c r="H43" i="22"/>
  <c r="G43" i="22"/>
  <c r="F43" i="22"/>
  <c r="E43" i="22"/>
  <c r="D43" i="22"/>
  <c r="C43" i="22"/>
  <c r="B43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M42" i="22"/>
  <c r="J42" i="22"/>
  <c r="I42" i="22"/>
  <c r="H42" i="22"/>
  <c r="G42" i="22"/>
  <c r="F42" i="22"/>
  <c r="E42" i="22"/>
  <c r="D42" i="22"/>
  <c r="C42" i="22"/>
  <c r="B42" i="22"/>
  <c r="A42" i="22"/>
  <c r="AA41" i="22"/>
  <c r="Z41" i="22"/>
  <c r="Y41" i="22"/>
  <c r="X41" i="22"/>
  <c r="W41" i="22"/>
  <c r="V41" i="22"/>
  <c r="U41" i="22"/>
  <c r="T41" i="22"/>
  <c r="S41" i="22"/>
  <c r="R41" i="22"/>
  <c r="Q41" i="22"/>
  <c r="P41" i="22"/>
  <c r="M41" i="22"/>
  <c r="J41" i="22"/>
  <c r="I41" i="22"/>
  <c r="H41" i="22"/>
  <c r="G41" i="22"/>
  <c r="F41" i="22"/>
  <c r="E41" i="22"/>
  <c r="D41" i="22"/>
  <c r="C41" i="22"/>
  <c r="B41" i="22"/>
  <c r="A41" i="22"/>
  <c r="AA40" i="22"/>
  <c r="Z40" i="22"/>
  <c r="Y40" i="22"/>
  <c r="X40" i="22"/>
  <c r="W40" i="22"/>
  <c r="V40" i="22"/>
  <c r="U40" i="22"/>
  <c r="T40" i="22"/>
  <c r="S40" i="22"/>
  <c r="R40" i="22"/>
  <c r="Q40" i="22"/>
  <c r="P40" i="22"/>
  <c r="M40" i="22"/>
  <c r="J40" i="22"/>
  <c r="I40" i="22"/>
  <c r="H40" i="22"/>
  <c r="G40" i="22"/>
  <c r="F40" i="22"/>
  <c r="E40" i="22"/>
  <c r="D40" i="22"/>
  <c r="C40" i="22"/>
  <c r="B40" i="22"/>
  <c r="A40" i="22"/>
  <c r="AA39" i="22"/>
  <c r="Z39" i="22"/>
  <c r="Y39" i="22"/>
  <c r="X39" i="22"/>
  <c r="W39" i="22"/>
  <c r="V39" i="22"/>
  <c r="U39" i="22"/>
  <c r="T39" i="22"/>
  <c r="S39" i="22"/>
  <c r="R39" i="22"/>
  <c r="Q39" i="22"/>
  <c r="P39" i="22"/>
  <c r="M39" i="22"/>
  <c r="J39" i="22"/>
  <c r="I39" i="22"/>
  <c r="H39" i="22"/>
  <c r="G39" i="22"/>
  <c r="F39" i="22"/>
  <c r="E39" i="22"/>
  <c r="D39" i="22"/>
  <c r="C39" i="22"/>
  <c r="B39" i="22"/>
  <c r="A39" i="22"/>
  <c r="AA38" i="22"/>
  <c r="Z38" i="22"/>
  <c r="Y38" i="22"/>
  <c r="X38" i="22"/>
  <c r="W38" i="22"/>
  <c r="V38" i="22"/>
  <c r="U38" i="22"/>
  <c r="T38" i="22"/>
  <c r="S38" i="22"/>
  <c r="R38" i="22"/>
  <c r="Q38" i="22"/>
  <c r="P38" i="22"/>
  <c r="M38" i="22"/>
  <c r="J38" i="22"/>
  <c r="I38" i="22"/>
  <c r="H38" i="22"/>
  <c r="G38" i="22"/>
  <c r="F38" i="22"/>
  <c r="E38" i="22"/>
  <c r="D38" i="22"/>
  <c r="C38" i="22"/>
  <c r="B38" i="22"/>
  <c r="A38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M37" i="22"/>
  <c r="J37" i="22"/>
  <c r="I37" i="22"/>
  <c r="H37" i="22"/>
  <c r="G37" i="22"/>
  <c r="F37" i="22"/>
  <c r="E37" i="22"/>
  <c r="D37" i="22"/>
  <c r="C37" i="22"/>
  <c r="B37" i="22"/>
  <c r="A37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M36" i="22"/>
  <c r="J36" i="22"/>
  <c r="I36" i="22"/>
  <c r="H36" i="22"/>
  <c r="G36" i="22"/>
  <c r="F36" i="22"/>
  <c r="E36" i="22"/>
  <c r="D36" i="22"/>
  <c r="C36" i="22"/>
  <c r="B36" i="22"/>
  <c r="A36" i="22"/>
  <c r="AA35" i="22"/>
  <c r="Z35" i="22"/>
  <c r="Y35" i="22"/>
  <c r="X35" i="22"/>
  <c r="W35" i="22"/>
  <c r="V35" i="22"/>
  <c r="U35" i="22"/>
  <c r="T35" i="22"/>
  <c r="S35" i="22"/>
  <c r="R35" i="22"/>
  <c r="Q35" i="22"/>
  <c r="P35" i="22"/>
  <c r="M35" i="22"/>
  <c r="J35" i="22"/>
  <c r="I35" i="22"/>
  <c r="H35" i="22"/>
  <c r="G35" i="22"/>
  <c r="F35" i="22"/>
  <c r="E35" i="22"/>
  <c r="D35" i="22"/>
  <c r="C35" i="22"/>
  <c r="B35" i="22"/>
  <c r="A35" i="22"/>
  <c r="AA34" i="22"/>
  <c r="Z34" i="22"/>
  <c r="Y34" i="22"/>
  <c r="X34" i="22"/>
  <c r="W34" i="22"/>
  <c r="V34" i="22"/>
  <c r="U34" i="22"/>
  <c r="T34" i="22"/>
  <c r="S34" i="22"/>
  <c r="R34" i="22"/>
  <c r="Q34" i="22"/>
  <c r="P34" i="22"/>
  <c r="M34" i="22"/>
  <c r="J34" i="22"/>
  <c r="I34" i="22"/>
  <c r="H34" i="22"/>
  <c r="G34" i="22"/>
  <c r="F34" i="22"/>
  <c r="E34" i="22"/>
  <c r="D34" i="22"/>
  <c r="C34" i="22"/>
  <c r="B34" i="22"/>
  <c r="A34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M33" i="22"/>
  <c r="J33" i="22"/>
  <c r="I33" i="22"/>
  <c r="H33" i="22"/>
  <c r="G33" i="22"/>
  <c r="F33" i="22"/>
  <c r="E33" i="22"/>
  <c r="D33" i="22"/>
  <c r="C33" i="22"/>
  <c r="B33" i="22"/>
  <c r="A33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M32" i="22"/>
  <c r="J32" i="22"/>
  <c r="I32" i="22"/>
  <c r="H32" i="22"/>
  <c r="G32" i="22"/>
  <c r="F32" i="22"/>
  <c r="E32" i="22"/>
  <c r="D32" i="22"/>
  <c r="C32" i="22"/>
  <c r="B32" i="22"/>
  <c r="A32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M31" i="22"/>
  <c r="J31" i="22"/>
  <c r="I31" i="22"/>
  <c r="H31" i="22"/>
  <c r="G31" i="22"/>
  <c r="F31" i="22"/>
  <c r="E31" i="22"/>
  <c r="D31" i="22"/>
  <c r="C31" i="22"/>
  <c r="B31" i="22"/>
  <c r="A31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M30" i="22"/>
  <c r="J30" i="22"/>
  <c r="I30" i="22"/>
  <c r="H30" i="22"/>
  <c r="G30" i="22"/>
  <c r="F30" i="22"/>
  <c r="E30" i="22"/>
  <c r="D30" i="22"/>
  <c r="C30" i="22"/>
  <c r="B30" i="22"/>
  <c r="A30" i="22"/>
  <c r="Z29" i="22"/>
  <c r="Y29" i="22"/>
  <c r="X29" i="22"/>
  <c r="W29" i="22"/>
  <c r="V29" i="22"/>
  <c r="U29" i="22"/>
  <c r="T29" i="22"/>
  <c r="S29" i="22"/>
  <c r="R29" i="22"/>
  <c r="Q29" i="22"/>
  <c r="P29" i="22"/>
  <c r="M29" i="22"/>
  <c r="J29" i="22"/>
  <c r="I29" i="22"/>
  <c r="H29" i="22"/>
  <c r="G29" i="22"/>
  <c r="F29" i="22"/>
  <c r="E29" i="22"/>
  <c r="D29" i="22"/>
  <c r="C29" i="22"/>
  <c r="B29" i="22"/>
  <c r="A29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M28" i="22"/>
  <c r="J28" i="22"/>
  <c r="I28" i="22"/>
  <c r="H28" i="22"/>
  <c r="G28" i="22"/>
  <c r="F28" i="22"/>
  <c r="E28" i="22"/>
  <c r="D28" i="22"/>
  <c r="C28" i="22"/>
  <c r="B28" i="22"/>
  <c r="A28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M27" i="22"/>
  <c r="J27" i="22"/>
  <c r="I27" i="22"/>
  <c r="H27" i="22"/>
  <c r="G27" i="22"/>
  <c r="F27" i="22"/>
  <c r="E27" i="22"/>
  <c r="D27" i="22"/>
  <c r="C27" i="22"/>
  <c r="B27" i="22"/>
  <c r="A27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M26" i="22"/>
  <c r="J26" i="22"/>
  <c r="I26" i="22"/>
  <c r="H26" i="22"/>
  <c r="G26" i="22"/>
  <c r="F26" i="22"/>
  <c r="E26" i="22"/>
  <c r="D26" i="22"/>
  <c r="C26" i="22"/>
  <c r="B26" i="22"/>
  <c r="A26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M25" i="22"/>
  <c r="J25" i="22"/>
  <c r="I25" i="22"/>
  <c r="H25" i="22"/>
  <c r="G25" i="22"/>
  <c r="F25" i="22"/>
  <c r="E25" i="22"/>
  <c r="D25" i="22"/>
  <c r="C25" i="22"/>
  <c r="B25" i="22"/>
  <c r="A25" i="22"/>
  <c r="P24" i="22"/>
  <c r="M24" i="22"/>
  <c r="J24" i="22"/>
  <c r="I24" i="22"/>
  <c r="H24" i="22"/>
  <c r="G24" i="22"/>
  <c r="F24" i="22"/>
  <c r="E24" i="22"/>
  <c r="D24" i="22"/>
  <c r="C24" i="22"/>
  <c r="B24" i="22"/>
  <c r="A24" i="22"/>
  <c r="AA23" i="22"/>
  <c r="Z23" i="22"/>
  <c r="Y23" i="22"/>
  <c r="X23" i="22"/>
  <c r="W23" i="22"/>
  <c r="V23" i="22"/>
  <c r="U23" i="22"/>
  <c r="T23" i="22"/>
  <c r="S23" i="22"/>
  <c r="R23" i="22"/>
  <c r="Q23" i="22"/>
  <c r="P23" i="22"/>
  <c r="M23" i="22"/>
  <c r="J23" i="22"/>
  <c r="I23" i="22"/>
  <c r="H23" i="22"/>
  <c r="G23" i="22"/>
  <c r="F23" i="22"/>
  <c r="E23" i="22"/>
  <c r="D23" i="22"/>
  <c r="C23" i="22"/>
  <c r="B23" i="22"/>
  <c r="A23" i="22"/>
  <c r="AA22" i="22"/>
  <c r="Z22" i="22"/>
  <c r="Y22" i="22"/>
  <c r="X22" i="22"/>
  <c r="W22" i="22"/>
  <c r="V22" i="22"/>
  <c r="U22" i="22"/>
  <c r="T22" i="22"/>
  <c r="S22" i="22"/>
  <c r="R22" i="22"/>
  <c r="Q22" i="22"/>
  <c r="P22" i="22"/>
  <c r="M22" i="22"/>
  <c r="J22" i="22"/>
  <c r="I22" i="22"/>
  <c r="H22" i="22"/>
  <c r="G22" i="22"/>
  <c r="F22" i="22"/>
  <c r="E22" i="22"/>
  <c r="D22" i="22"/>
  <c r="C22" i="22"/>
  <c r="B22" i="22"/>
  <c r="A22" i="22"/>
  <c r="AA21" i="22"/>
  <c r="Z21" i="22"/>
  <c r="Y21" i="22"/>
  <c r="X21" i="22"/>
  <c r="W21" i="22"/>
  <c r="V21" i="22"/>
  <c r="U21" i="22"/>
  <c r="T21" i="22"/>
  <c r="S21" i="22"/>
  <c r="R21" i="22"/>
  <c r="Q21" i="22"/>
  <c r="P21" i="22"/>
  <c r="M21" i="22"/>
  <c r="J21" i="22"/>
  <c r="I21" i="22"/>
  <c r="H21" i="22"/>
  <c r="G21" i="22"/>
  <c r="F21" i="22"/>
  <c r="E21" i="22"/>
  <c r="D21" i="22"/>
  <c r="C21" i="22"/>
  <c r="B21" i="22"/>
  <c r="A21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M20" i="22"/>
  <c r="J20" i="22"/>
  <c r="I20" i="22"/>
  <c r="H20" i="22"/>
  <c r="G20" i="22"/>
  <c r="F20" i="22"/>
  <c r="E20" i="22"/>
  <c r="D20" i="22"/>
  <c r="C20" i="22"/>
  <c r="B20" i="22"/>
  <c r="A20" i="22"/>
  <c r="AA18" i="22"/>
  <c r="Z18" i="22"/>
  <c r="Y18" i="22"/>
  <c r="X18" i="22"/>
  <c r="W18" i="22"/>
  <c r="V18" i="22"/>
  <c r="U18" i="22"/>
  <c r="T18" i="22"/>
  <c r="S18" i="22"/>
  <c r="R18" i="22"/>
  <c r="Q18" i="22"/>
  <c r="M18" i="22"/>
  <c r="J18" i="22"/>
  <c r="I18" i="22"/>
  <c r="H18" i="22"/>
  <c r="G18" i="22"/>
  <c r="F18" i="22"/>
  <c r="E18" i="22"/>
  <c r="D18" i="22"/>
  <c r="C18" i="22"/>
  <c r="B18" i="22"/>
  <c r="A18" i="22"/>
  <c r="AA17" i="22"/>
  <c r="Z17" i="22"/>
  <c r="Y17" i="22"/>
  <c r="X17" i="22"/>
  <c r="W17" i="22"/>
  <c r="V17" i="22"/>
  <c r="U17" i="22"/>
  <c r="T17" i="22"/>
  <c r="S17" i="22"/>
  <c r="R17" i="22"/>
  <c r="Q17" i="22"/>
  <c r="P17" i="22"/>
  <c r="M17" i="22"/>
  <c r="J17" i="22"/>
  <c r="I17" i="22"/>
  <c r="H17" i="22"/>
  <c r="G17" i="22"/>
  <c r="F17" i="22"/>
  <c r="E17" i="22"/>
  <c r="D17" i="22"/>
  <c r="C17" i="22"/>
  <c r="B17" i="22"/>
  <c r="A17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M16" i="22"/>
  <c r="J16" i="22"/>
  <c r="I16" i="22"/>
  <c r="H16" i="22"/>
  <c r="G16" i="22"/>
  <c r="F16" i="22"/>
  <c r="E16" i="22"/>
  <c r="D16" i="22"/>
  <c r="C16" i="22"/>
  <c r="B16" i="22"/>
  <c r="A16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M15" i="22"/>
  <c r="J15" i="22"/>
  <c r="I15" i="22"/>
  <c r="H15" i="22"/>
  <c r="G15" i="22"/>
  <c r="F15" i="22"/>
  <c r="E15" i="22"/>
  <c r="D15" i="22"/>
  <c r="C15" i="22"/>
  <c r="B15" i="22"/>
  <c r="A15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M14" i="22"/>
  <c r="J14" i="22"/>
  <c r="I14" i="22"/>
  <c r="H14" i="22"/>
  <c r="G14" i="22"/>
  <c r="F14" i="22"/>
  <c r="E14" i="22"/>
  <c r="D14" i="22"/>
  <c r="C14" i="22"/>
  <c r="B14" i="22"/>
  <c r="A14" i="22"/>
  <c r="AA13" i="22"/>
  <c r="Z13" i="22"/>
  <c r="Y13" i="22"/>
  <c r="X13" i="22"/>
  <c r="W13" i="22"/>
  <c r="V13" i="22"/>
  <c r="U13" i="22"/>
  <c r="T13" i="22"/>
  <c r="S13" i="22"/>
  <c r="R13" i="22"/>
  <c r="Q13" i="22"/>
  <c r="P13" i="22"/>
  <c r="M13" i="22"/>
  <c r="J13" i="22"/>
  <c r="I13" i="22"/>
  <c r="H13" i="22"/>
  <c r="G13" i="22"/>
  <c r="F13" i="22"/>
  <c r="E13" i="22"/>
  <c r="D13" i="22"/>
  <c r="C13" i="22"/>
  <c r="B13" i="22"/>
  <c r="A13" i="22"/>
  <c r="AA12" i="22"/>
  <c r="Z12" i="22"/>
  <c r="Y12" i="22"/>
  <c r="X12" i="22"/>
  <c r="W12" i="22"/>
  <c r="V12" i="22"/>
  <c r="U12" i="22"/>
  <c r="T12" i="22"/>
  <c r="R12" i="22"/>
  <c r="Q12" i="22"/>
  <c r="P12" i="22"/>
  <c r="M12" i="22"/>
  <c r="J12" i="22"/>
  <c r="I12" i="22"/>
  <c r="H12" i="22"/>
  <c r="G12" i="22"/>
  <c r="F12" i="22"/>
  <c r="E12" i="22"/>
  <c r="D12" i="22"/>
  <c r="C12" i="22"/>
  <c r="B12" i="22"/>
  <c r="A12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M11" i="22"/>
  <c r="J11" i="22"/>
  <c r="I11" i="22"/>
  <c r="H11" i="22"/>
  <c r="G11" i="22"/>
  <c r="F11" i="22"/>
  <c r="E11" i="22"/>
  <c r="D11" i="22"/>
  <c r="C11" i="22"/>
  <c r="B11" i="22"/>
  <c r="A11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M10" i="22"/>
  <c r="J10" i="22"/>
  <c r="I10" i="22"/>
  <c r="H10" i="22"/>
  <c r="G10" i="22"/>
  <c r="F10" i="22"/>
  <c r="E10" i="22"/>
  <c r="D10" i="22"/>
  <c r="C10" i="22"/>
  <c r="B10" i="22"/>
  <c r="A10" i="22"/>
  <c r="AA9" i="22"/>
  <c r="Z9" i="22"/>
  <c r="Y9" i="22"/>
  <c r="X9" i="22"/>
  <c r="W9" i="22"/>
  <c r="V9" i="22"/>
  <c r="U9" i="22"/>
  <c r="T9" i="22"/>
  <c r="S9" i="22"/>
  <c r="R9" i="22"/>
  <c r="Q9" i="22"/>
  <c r="P9" i="22"/>
  <c r="M9" i="22"/>
  <c r="J9" i="22"/>
  <c r="I9" i="22"/>
  <c r="H9" i="22"/>
  <c r="G9" i="22"/>
  <c r="F9" i="22"/>
  <c r="E9" i="22"/>
  <c r="D9" i="22"/>
  <c r="C9" i="22"/>
  <c r="B9" i="22"/>
  <c r="A9" i="22"/>
  <c r="AA8" i="22"/>
  <c r="Z8" i="22"/>
  <c r="Y8" i="22"/>
  <c r="X8" i="22"/>
  <c r="W8" i="22"/>
  <c r="V8" i="22"/>
  <c r="U8" i="22"/>
  <c r="T8" i="22"/>
  <c r="S8" i="22"/>
  <c r="R8" i="22"/>
  <c r="Q8" i="22"/>
  <c r="M8" i="22"/>
  <c r="J8" i="22"/>
  <c r="I8" i="22"/>
  <c r="H8" i="22"/>
  <c r="G8" i="22"/>
  <c r="F8" i="22"/>
  <c r="E8" i="22"/>
  <c r="D8" i="22"/>
  <c r="C8" i="22"/>
  <c r="B8" i="22"/>
  <c r="A8" i="22"/>
  <c r="AA7" i="22"/>
  <c r="Z7" i="22"/>
  <c r="Y7" i="22"/>
  <c r="X7" i="22"/>
  <c r="W7" i="22"/>
  <c r="V7" i="22"/>
  <c r="U7" i="22"/>
  <c r="T7" i="22"/>
  <c r="S7" i="22"/>
  <c r="R7" i="22"/>
  <c r="Q7" i="22"/>
  <c r="P7" i="22"/>
  <c r="M7" i="22"/>
  <c r="J7" i="22"/>
  <c r="I7" i="22"/>
  <c r="H7" i="22"/>
  <c r="G7" i="22"/>
  <c r="F7" i="22"/>
  <c r="E7" i="22"/>
  <c r="D7" i="22"/>
  <c r="C7" i="22"/>
  <c r="B7" i="22"/>
  <c r="A7" i="22"/>
  <c r="AA6" i="22"/>
  <c r="Z6" i="22"/>
  <c r="Y6" i="22"/>
  <c r="X6" i="22"/>
  <c r="W6" i="22"/>
  <c r="V6" i="22"/>
  <c r="U6" i="22"/>
  <c r="T6" i="22"/>
  <c r="S6" i="22"/>
  <c r="R6" i="22"/>
  <c r="Q6" i="22"/>
  <c r="P6" i="22"/>
  <c r="M6" i="22"/>
  <c r="J6" i="22"/>
  <c r="I6" i="22"/>
  <c r="H6" i="22"/>
  <c r="G6" i="22"/>
  <c r="F6" i="22"/>
  <c r="E6" i="22"/>
  <c r="D6" i="22"/>
  <c r="C6" i="22"/>
  <c r="B6" i="22"/>
  <c r="A6" i="22"/>
  <c r="AE119" i="22" l="1"/>
  <c r="AF139" i="22"/>
  <c r="U31" i="26"/>
  <c r="T41" i="26"/>
  <c r="T40" i="26"/>
  <c r="T144" i="22" s="1"/>
  <c r="AH144" i="22" s="1"/>
  <c r="AG138" i="22"/>
  <c r="AN118" i="22"/>
  <c r="Q139" i="22"/>
  <c r="AG114" i="22"/>
  <c r="AH133" i="22"/>
  <c r="AN119" i="22"/>
  <c r="AH118" i="22"/>
  <c r="AJ112" i="22"/>
  <c r="AK111" i="22"/>
  <c r="AK112" i="22"/>
  <c r="AD139" i="22"/>
  <c r="AN121" i="22"/>
  <c r="AJ118" i="22"/>
  <c r="AJ110" i="22"/>
  <c r="AE139" i="22"/>
  <c r="AD129" i="22"/>
  <c r="AD123" i="22"/>
  <c r="AD140" i="22"/>
  <c r="AI140" i="22"/>
  <c r="AJ140" i="22"/>
  <c r="AK140" i="22"/>
  <c r="AL140" i="22"/>
  <c r="AE140" i="22"/>
  <c r="AM140" i="22"/>
  <c r="AF140" i="22"/>
  <c r="AN140" i="22"/>
  <c r="AG140" i="22"/>
  <c r="AO140" i="22"/>
  <c r="AH140" i="22"/>
  <c r="R27" i="3"/>
  <c r="AK117" i="22"/>
  <c r="AI117" i="22"/>
  <c r="T7" i="20"/>
  <c r="U7" i="20" s="1"/>
  <c r="V7" i="20" s="1"/>
  <c r="W7" i="20" s="1"/>
  <c r="X7" i="20" s="1"/>
  <c r="Y7" i="20" s="1"/>
  <c r="Z7" i="20" s="1"/>
  <c r="AA7" i="20" s="1"/>
  <c r="O28" i="20"/>
  <c r="S18" i="19"/>
  <c r="AF136" i="22"/>
  <c r="AF135" i="22"/>
  <c r="AF112" i="22"/>
  <c r="AM136" i="22"/>
  <c r="AE136" i="22"/>
  <c r="AI132" i="22"/>
  <c r="AN117" i="22"/>
  <c r="AF117" i="22"/>
  <c r="AO116" i="22"/>
  <c r="AM112" i="22"/>
  <c r="AE112" i="22"/>
  <c r="AH112" i="22"/>
  <c r="AG121" i="22"/>
  <c r="AO110" i="22"/>
  <c r="AK136" i="22"/>
  <c r="AI6" i="22"/>
  <c r="AM133" i="22"/>
  <c r="AG117" i="22"/>
  <c r="AF110" i="22"/>
  <c r="AO136" i="22"/>
  <c r="AG136" i="22"/>
  <c r="AN123" i="22"/>
  <c r="AF123" i="22"/>
  <c r="AJ119" i="22"/>
  <c r="AM118" i="22"/>
  <c r="AE118" i="22"/>
  <c r="AO112" i="22"/>
  <c r="AG112" i="22"/>
  <c r="AJ111" i="22"/>
  <c r="AE110" i="22"/>
  <c r="AD135" i="22"/>
  <c r="AL123" i="22"/>
  <c r="AN115" i="22"/>
  <c r="AI111" i="22"/>
  <c r="AN131" i="22"/>
  <c r="AD127" i="22"/>
  <c r="AH136" i="22"/>
  <c r="AG131" i="22"/>
  <c r="AK123" i="22"/>
  <c r="AD122" i="22"/>
  <c r="AL117" i="22"/>
  <c r="AN112" i="22"/>
  <c r="AF111" i="22"/>
  <c r="AI123" i="22"/>
  <c r="AJ117" i="22"/>
  <c r="AD111" i="22"/>
  <c r="AK119" i="22"/>
  <c r="AL135" i="22"/>
  <c r="AM119" i="22"/>
  <c r="AF132" i="22"/>
  <c r="AF116" i="22"/>
  <c r="AK135" i="22"/>
  <c r="AH119" i="22"/>
  <c r="AM116" i="22"/>
  <c r="AN138" i="22"/>
  <c r="AO119" i="22"/>
  <c r="AG119" i="22"/>
  <c r="AH116" i="22"/>
  <c r="AN114" i="22"/>
  <c r="AI135" i="22"/>
  <c r="AO133" i="22"/>
  <c r="AF119" i="22"/>
  <c r="AJ116" i="22"/>
  <c r="AL111" i="22"/>
  <c r="AN135" i="22"/>
  <c r="AJ123" i="22"/>
  <c r="AD117" i="22"/>
  <c r="AN111" i="22"/>
  <c r="AN136" i="22"/>
  <c r="AE133" i="22"/>
  <c r="AG116" i="22"/>
  <c r="AG137" i="22"/>
  <c r="AO137" i="22"/>
  <c r="AH137" i="22"/>
  <c r="AE137" i="22"/>
  <c r="AM137" i="22"/>
  <c r="AG120" i="22"/>
  <c r="AO120" i="22"/>
  <c r="AH120" i="22"/>
  <c r="AE120" i="22"/>
  <c r="AM120" i="22"/>
  <c r="AG113" i="22"/>
  <c r="AO113" i="22"/>
  <c r="AH113" i="22"/>
  <c r="AE113" i="22"/>
  <c r="AM113" i="22"/>
  <c r="AE6" i="22"/>
  <c r="AL137" i="22"/>
  <c r="AF120" i="22"/>
  <c r="AL113" i="22"/>
  <c r="AD128" i="22"/>
  <c r="AK118" i="22"/>
  <c r="AD118" i="22"/>
  <c r="AL118" i="22"/>
  <c r="AI118" i="22"/>
  <c r="AK110" i="22"/>
  <c r="AD110" i="22"/>
  <c r="AL110" i="22"/>
  <c r="AI110" i="22"/>
  <c r="AG6" i="22"/>
  <c r="AM138" i="22"/>
  <c r="AK137" i="22"/>
  <c r="AG133" i="22"/>
  <c r="AF131" i="22"/>
  <c r="AF121" i="22"/>
  <c r="AD120" i="22"/>
  <c r="AO118" i="22"/>
  <c r="AN116" i="22"/>
  <c r="AM114" i="22"/>
  <c r="AK113" i="22"/>
  <c r="AH110" i="22"/>
  <c r="AG132" i="22"/>
  <c r="AH132" i="22"/>
  <c r="AE132" i="22"/>
  <c r="AM132" i="22"/>
  <c r="AG115" i="22"/>
  <c r="AO115" i="22"/>
  <c r="AH115" i="22"/>
  <c r="AE115" i="22"/>
  <c r="AM115" i="22"/>
  <c r="AH6" i="22"/>
  <c r="AJ137" i="22"/>
  <c r="AD132" i="22"/>
  <c r="AE131" i="22"/>
  <c r="AE121" i="22"/>
  <c r="AK115" i="22"/>
  <c r="AJ114" i="22"/>
  <c r="AJ113" i="22"/>
  <c r="AH138" i="22"/>
  <c r="AI137" i="22"/>
  <c r="AO121" i="22"/>
  <c r="AN120" i="22"/>
  <c r="AJ115" i="22"/>
  <c r="AH114" i="22"/>
  <c r="AI113" i="22"/>
  <c r="AL6" i="22"/>
  <c r="AK6" i="22"/>
  <c r="AN6" i="22"/>
  <c r="AF6" i="22"/>
  <c r="AJ6" i="22"/>
  <c r="AF137" i="22"/>
  <c r="AN132" i="22"/>
  <c r="AL120" i="22"/>
  <c r="AI115" i="22"/>
  <c r="AF113" i="22"/>
  <c r="AK138" i="22"/>
  <c r="AD138" i="22"/>
  <c r="AL138" i="22"/>
  <c r="AI138" i="22"/>
  <c r="AK131" i="22"/>
  <c r="AD131" i="22"/>
  <c r="AL131" i="22"/>
  <c r="AI131" i="22"/>
  <c r="AD125" i="22"/>
  <c r="AK121" i="22"/>
  <c r="AD121" i="22"/>
  <c r="AL121" i="22"/>
  <c r="AI121" i="22"/>
  <c r="AK114" i="22"/>
  <c r="AD114" i="22"/>
  <c r="AL114" i="22"/>
  <c r="AI114" i="22"/>
  <c r="AM6" i="22"/>
  <c r="AF138" i="22"/>
  <c r="AD137" i="22"/>
  <c r="AL132" i="22"/>
  <c r="AM131" i="22"/>
  <c r="AD124" i="22"/>
  <c r="AM121" i="22"/>
  <c r="AK120" i="22"/>
  <c r="AF115" i="22"/>
  <c r="AF114" i="22"/>
  <c r="AD113" i="22"/>
  <c r="AG135" i="22"/>
  <c r="AG123" i="22"/>
  <c r="AG111" i="22"/>
  <c r="AO6" i="22"/>
  <c r="AE138" i="22"/>
  <c r="AK132" i="22"/>
  <c r="AJ131" i="22"/>
  <c r="AJ121" i="22"/>
  <c r="AJ120" i="22"/>
  <c r="AG118" i="22"/>
  <c r="AD115" i="22"/>
  <c r="AE114" i="22"/>
  <c r="AN110" i="22"/>
  <c r="AK133" i="22"/>
  <c r="AD133" i="22"/>
  <c r="AL133" i="22"/>
  <c r="AD126" i="22"/>
  <c r="AK116" i="22"/>
  <c r="AD116" i="22"/>
  <c r="AL116" i="22"/>
  <c r="AI116" i="22"/>
  <c r="AO138" i="22"/>
  <c r="AN137" i="22"/>
  <c r="AJ133" i="22"/>
  <c r="AJ132" i="22"/>
  <c r="AH131" i="22"/>
  <c r="AH121" i="22"/>
  <c r="AI120" i="22"/>
  <c r="AF118" i="22"/>
  <c r="AE116" i="22"/>
  <c r="AO114" i="22"/>
  <c r="AN113" i="22"/>
  <c r="AM110" i="22"/>
  <c r="AI136" i="22"/>
  <c r="AM135" i="22"/>
  <c r="AE135" i="22"/>
  <c r="AM123" i="22"/>
  <c r="AE123" i="22"/>
  <c r="AI119" i="22"/>
  <c r="AM117" i="22"/>
  <c r="AE117" i="22"/>
  <c r="AI112" i="22"/>
  <c r="AM111" i="22"/>
  <c r="AE111" i="22"/>
  <c r="AL136" i="22"/>
  <c r="AD136" i="22"/>
  <c r="AH135" i="22"/>
  <c r="AH123" i="22"/>
  <c r="AL119" i="22"/>
  <c r="AD119" i="22"/>
  <c r="AH117" i="22"/>
  <c r="AL112" i="22"/>
  <c r="AD112" i="22"/>
  <c r="AH111" i="22"/>
  <c r="AO135" i="22"/>
  <c r="AO123" i="22"/>
  <c r="AO117" i="22"/>
  <c r="AO111" i="22"/>
  <c r="V31" i="26" l="1"/>
  <c r="U40" i="26"/>
  <c r="T18" i="19"/>
  <c r="S139" i="22"/>
  <c r="AG139" i="22" s="1"/>
  <c r="AC140" i="22"/>
  <c r="O140" i="22"/>
  <c r="O7" i="20"/>
  <c r="N7" i="20" s="1"/>
  <c r="AC119" i="22"/>
  <c r="AC117" i="22"/>
  <c r="AC112" i="22"/>
  <c r="AC114" i="22"/>
  <c r="AC121" i="22"/>
  <c r="AC111" i="22"/>
  <c r="AC123" i="22"/>
  <c r="AC116" i="22"/>
  <c r="AC120" i="22"/>
  <c r="AC113" i="22"/>
  <c r="AC110" i="22"/>
  <c r="AC137" i="22"/>
  <c r="AC118" i="22"/>
  <c r="U144" i="22" l="1"/>
  <c r="AI144" i="22" s="1"/>
  <c r="W31" i="26"/>
  <c r="V41" i="26"/>
  <c r="V40" i="26"/>
  <c r="V144" i="22" s="1"/>
  <c r="AJ144" i="22" s="1"/>
  <c r="U18" i="19"/>
  <c r="T139" i="22"/>
  <c r="AH139" i="22" s="1"/>
  <c r="Q24" i="22"/>
  <c r="Q23" i="23"/>
  <c r="P83" i="22"/>
  <c r="AA32" i="20"/>
  <c r="AA80" i="22" s="1"/>
  <c r="Z32" i="20"/>
  <c r="Z80" i="22" s="1"/>
  <c r="Y32" i="20"/>
  <c r="Y80" i="22" s="1"/>
  <c r="X32" i="20"/>
  <c r="X80" i="22" s="1"/>
  <c r="W32" i="20"/>
  <c r="W80" i="22" s="1"/>
  <c r="V32" i="20"/>
  <c r="V80" i="22" s="1"/>
  <c r="U32" i="20"/>
  <c r="U80" i="22" s="1"/>
  <c r="T32" i="20"/>
  <c r="T80" i="22" s="1"/>
  <c r="S32" i="20"/>
  <c r="S80" i="22" s="1"/>
  <c r="R32" i="20"/>
  <c r="R80" i="22" s="1"/>
  <c r="Q32" i="20"/>
  <c r="Q80" i="22" s="1"/>
  <c r="P32" i="20"/>
  <c r="P80" i="22" s="1"/>
  <c r="P22" i="3"/>
  <c r="O22" i="3"/>
  <c r="N22" i="3"/>
  <c r="M22" i="3"/>
  <c r="L22" i="3"/>
  <c r="K22" i="3"/>
  <c r="J22" i="3"/>
  <c r="I22" i="3"/>
  <c r="H22" i="3"/>
  <c r="G22" i="3"/>
  <c r="F22" i="3"/>
  <c r="AA6" i="26"/>
  <c r="Z6" i="26"/>
  <c r="Y6" i="26"/>
  <c r="X6" i="26"/>
  <c r="W6" i="26"/>
  <c r="V6" i="26"/>
  <c r="U6" i="26"/>
  <c r="S6" i="26"/>
  <c r="T6" i="26"/>
  <c r="R6" i="26"/>
  <c r="Q6" i="26"/>
  <c r="P6" i="26"/>
  <c r="L15" i="23"/>
  <c r="L117" i="22" s="1"/>
  <c r="K15" i="23"/>
  <c r="K117" i="22" s="1"/>
  <c r="L14" i="23"/>
  <c r="L116" i="22" s="1"/>
  <c r="K14" i="23"/>
  <c r="K116" i="22" s="1"/>
  <c r="K6" i="20"/>
  <c r="N3" i="20"/>
  <c r="N2" i="20"/>
  <c r="N28" i="20" s="1"/>
  <c r="N140" i="22" s="1"/>
  <c r="N3" i="26"/>
  <c r="N2" i="26"/>
  <c r="N3" i="23"/>
  <c r="N2" i="23"/>
  <c r="N3" i="21"/>
  <c r="N2" i="21"/>
  <c r="N3" i="19"/>
  <c r="N2" i="19"/>
  <c r="N3" i="25"/>
  <c r="N2" i="25"/>
  <c r="L49" i="25"/>
  <c r="L43" i="22" s="1"/>
  <c r="K49" i="25"/>
  <c r="K43" i="22" s="1"/>
  <c r="L48" i="25"/>
  <c r="L42" i="22" s="1"/>
  <c r="K48" i="25"/>
  <c r="K42" i="22" s="1"/>
  <c r="L47" i="25"/>
  <c r="L41" i="22" s="1"/>
  <c r="K47" i="25"/>
  <c r="K41" i="22" s="1"/>
  <c r="L46" i="25"/>
  <c r="L40" i="22" s="1"/>
  <c r="K46" i="25"/>
  <c r="K40" i="22" s="1"/>
  <c r="L45" i="25"/>
  <c r="L39" i="22" s="1"/>
  <c r="K45" i="25"/>
  <c r="K39" i="22" s="1"/>
  <c r="L44" i="25"/>
  <c r="L38" i="22" s="1"/>
  <c r="K44" i="25"/>
  <c r="K38" i="22" s="1"/>
  <c r="L37" i="22"/>
  <c r="K37" i="22"/>
  <c r="L36" i="22"/>
  <c r="K36" i="22"/>
  <c r="L35" i="22"/>
  <c r="K35" i="22"/>
  <c r="L34" i="22"/>
  <c r="K34" i="22"/>
  <c r="L37" i="25"/>
  <c r="L33" i="22" s="1"/>
  <c r="K37" i="25"/>
  <c r="K33" i="22" s="1"/>
  <c r="L36" i="25"/>
  <c r="L32" i="22" s="1"/>
  <c r="K36" i="25"/>
  <c r="K32" i="22" s="1"/>
  <c r="L35" i="25"/>
  <c r="L31" i="22" s="1"/>
  <c r="K35" i="25"/>
  <c r="K31" i="22" s="1"/>
  <c r="L34" i="25"/>
  <c r="L30" i="22" s="1"/>
  <c r="K34" i="25"/>
  <c r="K30" i="22" s="1"/>
  <c r="L33" i="25"/>
  <c r="L29" i="22" s="1"/>
  <c r="K33" i="25"/>
  <c r="K29" i="22" s="1"/>
  <c r="L32" i="25"/>
  <c r="L28" i="22" s="1"/>
  <c r="K32" i="25"/>
  <c r="K28" i="22" s="1"/>
  <c r="L30" i="25"/>
  <c r="L27" i="22" s="1"/>
  <c r="K30" i="25"/>
  <c r="K27" i="22" s="1"/>
  <c r="L29" i="25"/>
  <c r="L26" i="22" s="1"/>
  <c r="K29" i="25"/>
  <c r="K26" i="22" s="1"/>
  <c r="L28" i="25"/>
  <c r="L25" i="22" s="1"/>
  <c r="K28" i="25"/>
  <c r="K25" i="22" s="1"/>
  <c r="L26" i="25"/>
  <c r="L24" i="22" s="1"/>
  <c r="K26" i="25"/>
  <c r="K24" i="22" s="1"/>
  <c r="L23" i="25"/>
  <c r="L23" i="22" s="1"/>
  <c r="K23" i="25"/>
  <c r="K23" i="22" s="1"/>
  <c r="L22" i="25"/>
  <c r="L22" i="22" s="1"/>
  <c r="K22" i="25"/>
  <c r="K22" i="22" s="1"/>
  <c r="L21" i="25"/>
  <c r="L21" i="22" s="1"/>
  <c r="K21" i="25"/>
  <c r="K21" i="22" s="1"/>
  <c r="L20" i="25"/>
  <c r="L20" i="22" s="1"/>
  <c r="K20" i="25"/>
  <c r="K20" i="22" s="1"/>
  <c r="L19" i="25"/>
  <c r="L18" i="22" s="1"/>
  <c r="K19" i="25"/>
  <c r="K18" i="22" s="1"/>
  <c r="L18" i="25"/>
  <c r="L17" i="22" s="1"/>
  <c r="K18" i="25"/>
  <c r="K17" i="22" s="1"/>
  <c r="L17" i="25"/>
  <c r="L16" i="22" s="1"/>
  <c r="K17" i="25"/>
  <c r="K16" i="22" s="1"/>
  <c r="L16" i="25"/>
  <c r="L15" i="22" s="1"/>
  <c r="K16" i="25"/>
  <c r="K15" i="22" s="1"/>
  <c r="L13" i="25"/>
  <c r="L13" i="22" s="1"/>
  <c r="K13" i="25"/>
  <c r="K13" i="22" s="1"/>
  <c r="L12" i="25"/>
  <c r="L12" i="22" s="1"/>
  <c r="K12" i="25"/>
  <c r="K12" i="22" s="1"/>
  <c r="L11" i="25"/>
  <c r="L11" i="22" s="1"/>
  <c r="K11" i="25"/>
  <c r="K11" i="22" s="1"/>
  <c r="L10" i="25"/>
  <c r="L10" i="22" s="1"/>
  <c r="K10" i="25"/>
  <c r="K10" i="22" s="1"/>
  <c r="L9" i="25"/>
  <c r="L9" i="22" s="1"/>
  <c r="K9" i="25"/>
  <c r="K9" i="22" s="1"/>
  <c r="L8" i="25"/>
  <c r="L8" i="22" s="1"/>
  <c r="K8" i="25"/>
  <c r="K8" i="22" s="1"/>
  <c r="L7" i="25"/>
  <c r="L7" i="22" s="1"/>
  <c r="K7" i="25"/>
  <c r="K7" i="22" s="1"/>
  <c r="L6" i="25"/>
  <c r="L6" i="22" s="1"/>
  <c r="K6" i="25"/>
  <c r="K6" i="22" s="1"/>
  <c r="AB140" i="22" l="1"/>
  <c r="AT140" i="22"/>
  <c r="BA140" i="22"/>
  <c r="AV140" i="22"/>
  <c r="AW140" i="22"/>
  <c r="AR140" i="22"/>
  <c r="AX140" i="22"/>
  <c r="AY140" i="22"/>
  <c r="AS140" i="22"/>
  <c r="AU140" i="22"/>
  <c r="AZ140" i="22"/>
  <c r="BB140" i="22"/>
  <c r="BC140" i="22"/>
  <c r="X31" i="26"/>
  <c r="W40" i="26"/>
  <c r="W144" i="22" s="1"/>
  <c r="AK144" i="22" s="1"/>
  <c r="V18" i="19"/>
  <c r="U139" i="22"/>
  <c r="AI139" i="22" s="1"/>
  <c r="Q122" i="22"/>
  <c r="AE122" i="22" s="1"/>
  <c r="R23" i="23"/>
  <c r="S23" i="23" s="1"/>
  <c r="T23" i="23" s="1"/>
  <c r="U23" i="23" s="1"/>
  <c r="V23" i="23" s="1"/>
  <c r="W23" i="23" s="1"/>
  <c r="X23" i="23" s="1"/>
  <c r="Y23" i="23" s="1"/>
  <c r="Z23" i="23" s="1"/>
  <c r="AA23" i="23" s="1"/>
  <c r="R22" i="3"/>
  <c r="O23" i="25"/>
  <c r="O23" i="22" s="1"/>
  <c r="AJ91" i="22"/>
  <c r="AG93" i="22"/>
  <c r="AK94" i="22"/>
  <c r="AE94" i="22"/>
  <c r="AM94" i="22"/>
  <c r="AK95" i="22"/>
  <c r="AI91" i="22"/>
  <c r="AH94" i="22"/>
  <c r="O22" i="26"/>
  <c r="O95" i="22" s="1"/>
  <c r="L22" i="26"/>
  <c r="L95" i="22" s="1"/>
  <c r="K22" i="26"/>
  <c r="K95" i="22" s="1"/>
  <c r="AE10" i="22"/>
  <c r="AK17" i="22"/>
  <c r="AQ140" i="22" l="1"/>
  <c r="AP140" i="22" s="1"/>
  <c r="Y31" i="26"/>
  <c r="X41" i="26"/>
  <c r="X40" i="26"/>
  <c r="X144" i="22" s="1"/>
  <c r="AL144" i="22" s="1"/>
  <c r="N22" i="26"/>
  <c r="N95" i="22" s="1"/>
  <c r="W18" i="19"/>
  <c r="V139" i="22"/>
  <c r="AJ139" i="22" s="1"/>
  <c r="R122" i="22"/>
  <c r="AF122" i="22" s="1"/>
  <c r="N23" i="25"/>
  <c r="N23" i="22" s="1"/>
  <c r="R24" i="22"/>
  <c r="AF24" i="22" s="1"/>
  <c r="AM91" i="22"/>
  <c r="AO95" i="22"/>
  <c r="AD91" i="22"/>
  <c r="AK96" i="22"/>
  <c r="AE95" i="22"/>
  <c r="AJ26" i="22"/>
  <c r="AK91" i="22"/>
  <c r="AM95" i="22"/>
  <c r="AJ95" i="22"/>
  <c r="AH91" i="22"/>
  <c r="AI95" i="22"/>
  <c r="AI10" i="22"/>
  <c r="AE17" i="22"/>
  <c r="AI16" i="22"/>
  <c r="AD96" i="22"/>
  <c r="AN95" i="22"/>
  <c r="AF95" i="22"/>
  <c r="AL93" i="22"/>
  <c r="AN91" i="22"/>
  <c r="AF91" i="22"/>
  <c r="AM106" i="22"/>
  <c r="AJ17" i="22"/>
  <c r="AJ11" i="22"/>
  <c r="AM105" i="22"/>
  <c r="AO17" i="22"/>
  <c r="AG17" i="22"/>
  <c r="AE91" i="22"/>
  <c r="AN11" i="22"/>
  <c r="AF11" i="22"/>
  <c r="AE25" i="22"/>
  <c r="AN104" i="22"/>
  <c r="AM17" i="22"/>
  <c r="AG95" i="22"/>
  <c r="AO91" i="22"/>
  <c r="AG91" i="22"/>
  <c r="AN26" i="22"/>
  <c r="AF26" i="22"/>
  <c r="AH25" i="22"/>
  <c r="AD17" i="22"/>
  <c r="AH29" i="22"/>
  <c r="AD23" i="22"/>
  <c r="AO22" i="22"/>
  <c r="AK22" i="22"/>
  <c r="AG22" i="22"/>
  <c r="AK18" i="22"/>
  <c r="AD102" i="22"/>
  <c r="AG104" i="22"/>
  <c r="AK104" i="22"/>
  <c r="AF105" i="22"/>
  <c r="AJ105" i="22"/>
  <c r="AN105" i="22"/>
  <c r="AF106" i="22"/>
  <c r="AJ106" i="22"/>
  <c r="AN106" i="22"/>
  <c r="AI30" i="22"/>
  <c r="AD104" i="22"/>
  <c r="AH104" i="22"/>
  <c r="AL104" i="22"/>
  <c r="AG105" i="22"/>
  <c r="AK105" i="22"/>
  <c r="AG106" i="22"/>
  <c r="AK106" i="22"/>
  <c r="AO13" i="22"/>
  <c r="AM11" i="22"/>
  <c r="AM30" i="22"/>
  <c r="AF94" i="22"/>
  <c r="AD99" i="22"/>
  <c r="AD100" i="22"/>
  <c r="AE104" i="22"/>
  <c r="AI104" i="22"/>
  <c r="AM104" i="22"/>
  <c r="AD105" i="22"/>
  <c r="AH105" i="22"/>
  <c r="AL105" i="22"/>
  <c r="AD106" i="22"/>
  <c r="AH106" i="22"/>
  <c r="AL106" i="22"/>
  <c r="AH17" i="22"/>
  <c r="AD16" i="22"/>
  <c r="AI14" i="22"/>
  <c r="AI11" i="22"/>
  <c r="AN7" i="22"/>
  <c r="AF7" i="22"/>
  <c r="AM25" i="22"/>
  <c r="AD101" i="22"/>
  <c r="AF104" i="22"/>
  <c r="AJ104" i="22"/>
  <c r="AE105" i="22"/>
  <c r="AI105" i="22"/>
  <c r="AE106" i="22"/>
  <c r="AF8" i="22"/>
  <c r="AJ27" i="22"/>
  <c r="AL23" i="22"/>
  <c r="AE16" i="22"/>
  <c r="AM14" i="22"/>
  <c r="AE11" i="22"/>
  <c r="AL11" i="22"/>
  <c r="AH11" i="22"/>
  <c r="AD11" i="22"/>
  <c r="AK8" i="22"/>
  <c r="AI7" i="22"/>
  <c r="AD25" i="22"/>
  <c r="AL94" i="22"/>
  <c r="AD94" i="22"/>
  <c r="AF20" i="22"/>
  <c r="AD93" i="22"/>
  <c r="AO16" i="22"/>
  <c r="AK16" i="22"/>
  <c r="AO11" i="22"/>
  <c r="AK11" i="22"/>
  <c r="AG11" i="22"/>
  <c r="AM10" i="22"/>
  <c r="AD9" i="22"/>
  <c r="AI94" i="22"/>
  <c r="AL95" i="22"/>
  <c r="AH95" i="22"/>
  <c r="AD95" i="22"/>
  <c r="AO94" i="22"/>
  <c r="AG94" i="22"/>
  <c r="AO92" i="22"/>
  <c r="AL91" i="22"/>
  <c r="AO93" i="22"/>
  <c r="AL96" i="22"/>
  <c r="AK92" i="22"/>
  <c r="AE93" i="22"/>
  <c r="AI93" i="22"/>
  <c r="AM93" i="22"/>
  <c r="AF93" i="22"/>
  <c r="AJ93" i="22"/>
  <c r="AN93" i="22"/>
  <c r="AJ92" i="22"/>
  <c r="AE96" i="22"/>
  <c r="AI96" i="22"/>
  <c r="AM96" i="22"/>
  <c r="AF96" i="22"/>
  <c r="AJ96" i="22"/>
  <c r="AN96" i="22"/>
  <c r="AK93" i="22"/>
  <c r="AD92" i="22"/>
  <c r="AH92" i="22"/>
  <c r="AL92" i="22"/>
  <c r="AE92" i="22"/>
  <c r="AI92" i="22"/>
  <c r="AM92" i="22"/>
  <c r="AH96" i="22"/>
  <c r="AG92" i="22"/>
  <c r="AO96" i="22"/>
  <c r="AG96" i="22"/>
  <c r="AH93" i="22"/>
  <c r="AN92" i="22"/>
  <c r="AF92" i="22"/>
  <c r="AN94" i="22"/>
  <c r="AJ94" i="22"/>
  <c r="AE26" i="22"/>
  <c r="AI25" i="22"/>
  <c r="AG23" i="22"/>
  <c r="AK14" i="22"/>
  <c r="AD10" i="22"/>
  <c r="AL10" i="22"/>
  <c r="AH10" i="22"/>
  <c r="AL9" i="22"/>
  <c r="AO8" i="22"/>
  <c r="AG8" i="22"/>
  <c r="AH23" i="22"/>
  <c r="AE20" i="22"/>
  <c r="AO23" i="22"/>
  <c r="AK23" i="22"/>
  <c r="AF21" i="22"/>
  <c r="AO14" i="22"/>
  <c r="AG14" i="22"/>
  <c r="AL16" i="22"/>
  <c r="AO10" i="22"/>
  <c r="AK10" i="22"/>
  <c r="AG10" i="22"/>
  <c r="AN8" i="22"/>
  <c r="AJ8" i="22"/>
  <c r="AG28" i="22"/>
  <c r="AO26" i="22"/>
  <c r="AK26" i="22"/>
  <c r="AG26" i="22"/>
  <c r="AL25" i="22"/>
  <c r="AE18" i="22"/>
  <c r="AJ30" i="22"/>
  <c r="AE30" i="22"/>
  <c r="AN27" i="22"/>
  <c r="AI27" i="22"/>
  <c r="AM20" i="22"/>
  <c r="AK20" i="22"/>
  <c r="AN18" i="22"/>
  <c r="AH14" i="22"/>
  <c r="AD14" i="22"/>
  <c r="AF18" i="22"/>
  <c r="AH13" i="22"/>
  <c r="AG13" i="22"/>
  <c r="AH28" i="22"/>
  <c r="AL28" i="22"/>
  <c r="AM28" i="22"/>
  <c r="AE28" i="22"/>
  <c r="AD20" i="22"/>
  <c r="AL20" i="22"/>
  <c r="AO20" i="22"/>
  <c r="AG20" i="22"/>
  <c r="AI20" i="22"/>
  <c r="AF17" i="22"/>
  <c r="AI17" i="22"/>
  <c r="AF15" i="22"/>
  <c r="AE14" i="22"/>
  <c r="AO30" i="22"/>
  <c r="AK30" i="22"/>
  <c r="AG30" i="22"/>
  <c r="AI29" i="22"/>
  <c r="AM29" i="22"/>
  <c r="AE29" i="22"/>
  <c r="AI26" i="22"/>
  <c r="AL14" i="22"/>
  <c r="AK12" i="22"/>
  <c r="AJ7" i="22"/>
  <c r="AN30" i="22"/>
  <c r="AF30" i="22"/>
  <c r="AN29" i="22"/>
  <c r="AJ29" i="22"/>
  <c r="AF29" i="22"/>
  <c r="AM26" i="22"/>
  <c r="AL26" i="22"/>
  <c r="AH26" i="22"/>
  <c r="AD26" i="22"/>
  <c r="AK25" i="22"/>
  <c r="AG25" i="22"/>
  <c r="AH15" i="22"/>
  <c r="AJ15" i="22"/>
  <c r="AI21" i="22"/>
  <c r="AJ21" i="22"/>
  <c r="AE21" i="22"/>
  <c r="AL21" i="22"/>
  <c r="AD21" i="22"/>
  <c r="AE23" i="22"/>
  <c r="AN21" i="22"/>
  <c r="AI18" i="22"/>
  <c r="AJ18" i="22"/>
  <c r="AG16" i="22"/>
  <c r="AO15" i="22"/>
  <c r="AH21" i="22"/>
  <c r="AD15" i="22"/>
  <c r="AM21" i="22"/>
  <c r="AK15" i="22"/>
  <c r="AL13" i="22"/>
  <c r="AD13" i="22"/>
  <c r="AO12" i="22"/>
  <c r="AF12" i="22"/>
  <c r="AD22" i="22"/>
  <c r="AO21" i="22"/>
  <c r="AK21" i="22"/>
  <c r="AG21" i="22"/>
  <c r="AH20" i="22"/>
  <c r="AO18" i="22"/>
  <c r="AL17" i="22"/>
  <c r="AN17" i="22"/>
  <c r="AK13" i="22"/>
  <c r="AN12" i="22"/>
  <c r="AH9" i="22"/>
  <c r="AM7" i="22"/>
  <c r="AE7" i="22"/>
  <c r="AL7" i="22"/>
  <c r="AH7" i="22"/>
  <c r="AD7" i="22"/>
  <c r="AD30" i="22"/>
  <c r="AL29" i="22"/>
  <c r="AD29" i="22"/>
  <c r="AI28" i="22"/>
  <c r="AD28" i="22"/>
  <c r="AO27" i="22"/>
  <c r="AE27" i="22"/>
  <c r="AE24" i="22"/>
  <c r="AD24" i="22"/>
  <c r="AN15" i="22"/>
  <c r="AO7" i="22"/>
  <c r="AK7" i="22"/>
  <c r="AG7" i="22"/>
  <c r="AK29" i="22"/>
  <c r="AG29" i="22"/>
  <c r="AO28" i="22"/>
  <c r="AK28" i="22"/>
  <c r="AD27" i="22"/>
  <c r="AH27" i="22"/>
  <c r="AL27" i="22"/>
  <c r="AL30" i="22"/>
  <c r="AH30" i="22"/>
  <c r="AF28" i="22"/>
  <c r="AJ28" i="22"/>
  <c r="AN28" i="22"/>
  <c r="AM27" i="22"/>
  <c r="AG27" i="22"/>
  <c r="AF25" i="22"/>
  <c r="AK27" i="22"/>
  <c r="AF27" i="22"/>
  <c r="AN25" i="22"/>
  <c r="AJ25" i="22"/>
  <c r="AN22" i="22"/>
  <c r="AK9" i="22"/>
  <c r="AJ22" i="22"/>
  <c r="AI22" i="22"/>
  <c r="AD18" i="22"/>
  <c r="AH18" i="22"/>
  <c r="AL18" i="22"/>
  <c r="AF14" i="22"/>
  <c r="AD12" i="22"/>
  <c r="AH12" i="22"/>
  <c r="AL12" i="22"/>
  <c r="AE12" i="22"/>
  <c r="AI12" i="22"/>
  <c r="AM12" i="22"/>
  <c r="AE9" i="22"/>
  <c r="AI9" i="22"/>
  <c r="AM9" i="22"/>
  <c r="AF9" i="22"/>
  <c r="AJ9" i="22"/>
  <c r="AN9" i="22"/>
  <c r="AF22" i="22"/>
  <c r="AN23" i="22"/>
  <c r="AJ23" i="22"/>
  <c r="AF23" i="22"/>
  <c r="AM22" i="22"/>
  <c r="AE22" i="22"/>
  <c r="AF16" i="22"/>
  <c r="AJ16" i="22"/>
  <c r="AN16" i="22"/>
  <c r="AE15" i="22"/>
  <c r="AI15" i="22"/>
  <c r="AM15" i="22"/>
  <c r="AM23" i="22"/>
  <c r="AI23" i="22"/>
  <c r="AL22" i="22"/>
  <c r="AH22" i="22"/>
  <c r="AN20" i="22"/>
  <c r="AJ20" i="22"/>
  <c r="AM18" i="22"/>
  <c r="AG18" i="22"/>
  <c r="AM16" i="22"/>
  <c r="AH16" i="22"/>
  <c r="AL15" i="22"/>
  <c r="AG15" i="22"/>
  <c r="AE13" i="22"/>
  <c r="AI13" i="22"/>
  <c r="AM13" i="22"/>
  <c r="AF13" i="22"/>
  <c r="AJ13" i="22"/>
  <c r="AN13" i="22"/>
  <c r="AJ12" i="22"/>
  <c r="AF10" i="22"/>
  <c r="AO9" i="22"/>
  <c r="AG9" i="22"/>
  <c r="AD8" i="22"/>
  <c r="AH8" i="22"/>
  <c r="AL8" i="22"/>
  <c r="AE8" i="22"/>
  <c r="AI8" i="22"/>
  <c r="AM8" i="22"/>
  <c r="AN14" i="22"/>
  <c r="AJ14" i="22"/>
  <c r="AN10" i="22"/>
  <c r="AJ10" i="22"/>
  <c r="AW23" i="22" l="1"/>
  <c r="AX23" i="22"/>
  <c r="AS23" i="22"/>
  <c r="BC23" i="22"/>
  <c r="AT23" i="22"/>
  <c r="AZ23" i="22"/>
  <c r="AU23" i="22"/>
  <c r="AV23" i="22"/>
  <c r="AY23" i="22"/>
  <c r="AR23" i="22"/>
  <c r="AQ23" i="22" s="1"/>
  <c r="AP23" i="22" s="1"/>
  <c r="BA23" i="22"/>
  <c r="BB23" i="22"/>
  <c r="AY95" i="22"/>
  <c r="AU95" i="22"/>
  <c r="AV95" i="22"/>
  <c r="BC95" i="22"/>
  <c r="AZ95" i="22"/>
  <c r="AX95" i="22"/>
  <c r="BA95" i="22"/>
  <c r="AS95" i="22"/>
  <c r="AR95" i="22"/>
  <c r="AT95" i="22"/>
  <c r="AW95" i="22"/>
  <c r="BB95" i="22"/>
  <c r="Z31" i="26"/>
  <c r="Y40" i="26"/>
  <c r="Y144" i="22" s="1"/>
  <c r="AM144" i="22" s="1"/>
  <c r="X18" i="19"/>
  <c r="W139" i="22"/>
  <c r="AK139" i="22" s="1"/>
  <c r="S122" i="22"/>
  <c r="AG122" i="22" s="1"/>
  <c r="S24" i="22"/>
  <c r="AG24" i="22" s="1"/>
  <c r="AC91" i="22"/>
  <c r="AC95" i="22"/>
  <c r="AC26" i="22"/>
  <c r="AC17" i="22"/>
  <c r="AC7" i="22"/>
  <c r="AC21" i="22"/>
  <c r="AC11" i="22"/>
  <c r="AC14" i="22"/>
  <c r="AC94" i="22"/>
  <c r="AC96" i="22"/>
  <c r="AC93" i="22"/>
  <c r="AC92" i="22"/>
  <c r="AC20" i="22"/>
  <c r="AC28" i="22"/>
  <c r="AC15" i="22"/>
  <c r="AC10" i="22"/>
  <c r="AC23" i="22"/>
  <c r="AC9" i="22"/>
  <c r="AC30" i="22"/>
  <c r="AC16" i="22"/>
  <c r="AC22" i="22"/>
  <c r="AC27" i="22"/>
  <c r="AC18" i="22"/>
  <c r="AC8" i="22"/>
  <c r="AC13" i="22"/>
  <c r="AQ95" i="22" l="1"/>
  <c r="AP95" i="22" s="1"/>
  <c r="AA31" i="26"/>
  <c r="AA40" i="26" s="1"/>
  <c r="Z41" i="26"/>
  <c r="Z40" i="26"/>
  <c r="Z144" i="22" s="1"/>
  <c r="AN144" i="22" s="1"/>
  <c r="Y18" i="19"/>
  <c r="X139" i="22"/>
  <c r="AL139" i="22" s="1"/>
  <c r="T122" i="22"/>
  <c r="AH122" i="22" s="1"/>
  <c r="T24" i="22"/>
  <c r="AH24" i="22" s="1"/>
  <c r="O29" i="25"/>
  <c r="O26" i="22" s="1"/>
  <c r="O30" i="25"/>
  <c r="O27" i="22" s="1"/>
  <c r="O14" i="25"/>
  <c r="O14" i="22" s="1"/>
  <c r="O13" i="25"/>
  <c r="O13" i="22" s="1"/>
  <c r="L14" i="25"/>
  <c r="L14" i="22" s="1"/>
  <c r="K14" i="25"/>
  <c r="K14" i="22" s="1"/>
  <c r="O16" i="25"/>
  <c r="O15" i="22" s="1"/>
  <c r="S12" i="22"/>
  <c r="L27" i="26"/>
  <c r="L97" i="22" s="1"/>
  <c r="L41" i="26"/>
  <c r="L107" i="22" s="1"/>
  <c r="K41" i="26"/>
  <c r="K107" i="22" s="1"/>
  <c r="L39" i="26"/>
  <c r="L106" i="22" s="1"/>
  <c r="K39" i="26"/>
  <c r="K106" i="22" s="1"/>
  <c r="L38" i="26"/>
  <c r="L105" i="22" s="1"/>
  <c r="K38" i="26"/>
  <c r="K105" i="22" s="1"/>
  <c r="L37" i="26"/>
  <c r="L104" i="22" s="1"/>
  <c r="K37" i="26"/>
  <c r="K104" i="22" s="1"/>
  <c r="L36" i="26"/>
  <c r="L103" i="22" s="1"/>
  <c r="K36" i="26"/>
  <c r="K103" i="22" s="1"/>
  <c r="L34" i="26"/>
  <c r="L102" i="22" s="1"/>
  <c r="K34" i="26"/>
  <c r="K102" i="22" s="1"/>
  <c r="L33" i="26"/>
  <c r="L101" i="22" s="1"/>
  <c r="K33" i="26"/>
  <c r="K101" i="22" s="1"/>
  <c r="L32" i="26"/>
  <c r="L100" i="22" s="1"/>
  <c r="K32" i="26"/>
  <c r="K100" i="22" s="1"/>
  <c r="L31" i="26"/>
  <c r="L99" i="22" s="1"/>
  <c r="K31" i="26"/>
  <c r="K99" i="22" s="1"/>
  <c r="L29" i="26"/>
  <c r="L98" i="22" s="1"/>
  <c r="K29" i="26"/>
  <c r="K98" i="22" s="1"/>
  <c r="K27" i="26"/>
  <c r="K97" i="22" s="1"/>
  <c r="L24" i="26"/>
  <c r="L96" i="22" s="1"/>
  <c r="K24" i="26"/>
  <c r="K96" i="22" s="1"/>
  <c r="L21" i="26"/>
  <c r="L94" i="22" s="1"/>
  <c r="K21" i="26"/>
  <c r="K94" i="22" s="1"/>
  <c r="L20" i="26"/>
  <c r="L93" i="22" s="1"/>
  <c r="K20" i="26"/>
  <c r="K93" i="22" s="1"/>
  <c r="L19" i="26"/>
  <c r="L92" i="22" s="1"/>
  <c r="K19" i="26"/>
  <c r="K92" i="22" s="1"/>
  <c r="L18" i="26"/>
  <c r="L91" i="22" s="1"/>
  <c r="K18" i="26"/>
  <c r="K91" i="22" s="1"/>
  <c r="L17" i="26"/>
  <c r="L90" i="22" s="1"/>
  <c r="K17" i="26"/>
  <c r="K90" i="22" s="1"/>
  <c r="L16" i="26"/>
  <c r="L89" i="22" s="1"/>
  <c r="K16" i="26"/>
  <c r="K89" i="22" s="1"/>
  <c r="L15" i="26"/>
  <c r="L88" i="22" s="1"/>
  <c r="K15" i="26"/>
  <c r="K88" i="22" s="1"/>
  <c r="L14" i="26"/>
  <c r="L87" i="22" s="1"/>
  <c r="K14" i="26"/>
  <c r="K87" i="22" s="1"/>
  <c r="L13" i="26"/>
  <c r="L86" i="22" s="1"/>
  <c r="K13" i="26"/>
  <c r="K86" i="22" s="1"/>
  <c r="L12" i="26"/>
  <c r="L85" i="22" s="1"/>
  <c r="K12" i="26"/>
  <c r="K85" i="22" s="1"/>
  <c r="L11" i="26"/>
  <c r="L84" i="22" s="1"/>
  <c r="K11" i="26"/>
  <c r="K84" i="22" s="1"/>
  <c r="L9" i="26"/>
  <c r="K9" i="26"/>
  <c r="L8" i="26"/>
  <c r="K8" i="26"/>
  <c r="L7" i="26"/>
  <c r="K7" i="26"/>
  <c r="L6" i="26"/>
  <c r="K6" i="26"/>
  <c r="AA36" i="26"/>
  <c r="AA103" i="22" s="1"/>
  <c r="Z36" i="26"/>
  <c r="Z103" i="22" s="1"/>
  <c r="Y36" i="26"/>
  <c r="Y103" i="22" s="1"/>
  <c r="X36" i="26"/>
  <c r="X103" i="22" s="1"/>
  <c r="W36" i="26"/>
  <c r="W103" i="22" s="1"/>
  <c r="V36" i="26"/>
  <c r="V103" i="22" s="1"/>
  <c r="U36" i="26"/>
  <c r="U103" i="22" s="1"/>
  <c r="T36" i="26"/>
  <c r="T103" i="22" s="1"/>
  <c r="S36" i="26"/>
  <c r="S103" i="22" s="1"/>
  <c r="R36" i="26"/>
  <c r="R103" i="22" s="1"/>
  <c r="Q36" i="26"/>
  <c r="Q103" i="22" s="1"/>
  <c r="P36" i="26"/>
  <c r="P103" i="22" s="1"/>
  <c r="AD103" i="22" s="1"/>
  <c r="Q34" i="26"/>
  <c r="Q102" i="22" s="1"/>
  <c r="Q101" i="22"/>
  <c r="Q99" i="22"/>
  <c r="Q29" i="26"/>
  <c r="Q98" i="22" s="1"/>
  <c r="Q27" i="26"/>
  <c r="Q97" i="22" s="1"/>
  <c r="O24" i="26"/>
  <c r="O96" i="22" s="1"/>
  <c r="O21" i="26"/>
  <c r="O20" i="26"/>
  <c r="O19" i="26"/>
  <c r="O18" i="26"/>
  <c r="O17" i="26"/>
  <c r="O16" i="26"/>
  <c r="O15" i="26"/>
  <c r="O14" i="26"/>
  <c r="O13" i="26"/>
  <c r="O12" i="26"/>
  <c r="O11" i="26"/>
  <c r="O9" i="26"/>
  <c r="N9" i="26" s="1"/>
  <c r="O8" i="26"/>
  <c r="N8" i="26" s="1"/>
  <c r="O7" i="26"/>
  <c r="N7" i="26" s="1"/>
  <c r="O6" i="26"/>
  <c r="N4" i="26"/>
  <c r="AL95" i="2"/>
  <c r="AK95" i="2"/>
  <c r="AJ95" i="2"/>
  <c r="AI95" i="2"/>
  <c r="AH95" i="2"/>
  <c r="AG95" i="2"/>
  <c r="AF95" i="2"/>
  <c r="AE95" i="2"/>
  <c r="AD95" i="2"/>
  <c r="AC95" i="2"/>
  <c r="AB95" i="2"/>
  <c r="AL94" i="2"/>
  <c r="AK94" i="2"/>
  <c r="AJ94" i="2"/>
  <c r="AI94" i="2"/>
  <c r="AH94" i="2"/>
  <c r="AG94" i="2"/>
  <c r="AF94" i="2"/>
  <c r="AE94" i="2"/>
  <c r="AD94" i="2"/>
  <c r="AC94" i="2"/>
  <c r="AB94" i="2"/>
  <c r="AA91" i="2"/>
  <c r="B110" i="2"/>
  <c r="C110" i="2"/>
  <c r="D110" i="2"/>
  <c r="E110" i="2"/>
  <c r="F110" i="2"/>
  <c r="G110" i="2"/>
  <c r="H110" i="2"/>
  <c r="I110" i="2"/>
  <c r="J110" i="2"/>
  <c r="K110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N6" i="19"/>
  <c r="N44" i="22" s="1"/>
  <c r="O6" i="19"/>
  <c r="O44" i="22" s="1"/>
  <c r="AG65" i="22"/>
  <c r="AI68" i="22"/>
  <c r="AM68" i="22"/>
  <c r="AG69" i="22"/>
  <c r="AD73" i="22"/>
  <c r="AD78" i="22"/>
  <c r="AI87" i="22"/>
  <c r="AK64" i="22"/>
  <c r="AH67" i="22"/>
  <c r="AI67" i="22"/>
  <c r="AH84" i="22"/>
  <c r="AN84" i="22"/>
  <c r="AK85" i="22"/>
  <c r="O44" i="23"/>
  <c r="O25" i="23"/>
  <c r="O20" i="23"/>
  <c r="O19" i="23"/>
  <c r="O120" i="22" s="1"/>
  <c r="O18" i="23"/>
  <c r="O119" i="22" s="1"/>
  <c r="O16" i="23"/>
  <c r="O118" i="22" s="1"/>
  <c r="O15" i="23"/>
  <c r="O117" i="22" s="1"/>
  <c r="O14" i="23"/>
  <c r="O116" i="22" s="1"/>
  <c r="O12" i="23"/>
  <c r="O10" i="23"/>
  <c r="O112" i="22" s="1"/>
  <c r="O9" i="23"/>
  <c r="O8" i="23"/>
  <c r="O110" i="22" s="1"/>
  <c r="Y5" i="22"/>
  <c r="Z5" i="22"/>
  <c r="AA5" i="22"/>
  <c r="B5" i="22"/>
  <c r="C5" i="22"/>
  <c r="D5" i="22"/>
  <c r="E5" i="22"/>
  <c r="F5" i="22"/>
  <c r="G5" i="22"/>
  <c r="H5" i="22"/>
  <c r="I5" i="22"/>
  <c r="J5" i="22"/>
  <c r="K5" i="22"/>
  <c r="L5" i="22"/>
  <c r="M5" i="22"/>
  <c r="O5" i="22"/>
  <c r="P5" i="22"/>
  <c r="Q5" i="22"/>
  <c r="R5" i="22"/>
  <c r="S5" i="22"/>
  <c r="T5" i="22"/>
  <c r="U5" i="22"/>
  <c r="V5" i="22"/>
  <c r="W5" i="22"/>
  <c r="X5" i="22"/>
  <c r="A5" i="22"/>
  <c r="O49" i="25"/>
  <c r="O48" i="25"/>
  <c r="O47" i="25"/>
  <c r="O46" i="25"/>
  <c r="O45" i="25"/>
  <c r="O44" i="25"/>
  <c r="O35" i="22"/>
  <c r="O34" i="22"/>
  <c r="O37" i="25"/>
  <c r="O33" i="22" s="1"/>
  <c r="O36" i="25"/>
  <c r="O32" i="22" s="1"/>
  <c r="O35" i="25"/>
  <c r="O31" i="22" s="1"/>
  <c r="O34" i="25"/>
  <c r="O30" i="22" s="1"/>
  <c r="O32" i="25"/>
  <c r="O28" i="22" s="1"/>
  <c r="O28" i="25"/>
  <c r="O25" i="22" s="1"/>
  <c r="O22" i="25"/>
  <c r="O22" i="22" s="1"/>
  <c r="O21" i="25"/>
  <c r="O21" i="22" s="1"/>
  <c r="O20" i="25"/>
  <c r="O20" i="22" s="1"/>
  <c r="O18" i="25"/>
  <c r="O17" i="22" s="1"/>
  <c r="O17" i="25"/>
  <c r="O16" i="22" s="1"/>
  <c r="O11" i="25"/>
  <c r="O11" i="22" s="1"/>
  <c r="O10" i="25"/>
  <c r="O10" i="22" s="1"/>
  <c r="O9" i="25"/>
  <c r="O9" i="22" s="1"/>
  <c r="O8" i="25"/>
  <c r="O8" i="22" s="1"/>
  <c r="O7" i="25"/>
  <c r="O7" i="22" s="1"/>
  <c r="O6" i="25"/>
  <c r="N4" i="25"/>
  <c r="N5" i="22" s="1"/>
  <c r="AS44" i="22" l="1"/>
  <c r="BC44" i="22"/>
  <c r="AY44" i="22"/>
  <c r="AZ44" i="22"/>
  <c r="BB44" i="22"/>
  <c r="AW44" i="22"/>
  <c r="AR44" i="22"/>
  <c r="AT44" i="22"/>
  <c r="AU44" i="22"/>
  <c r="AV44" i="22"/>
  <c r="AX44" i="22"/>
  <c r="BA44" i="22"/>
  <c r="AA144" i="22"/>
  <c r="AO144" i="22" s="1"/>
  <c r="AC144" i="22" s="1"/>
  <c r="O40" i="26"/>
  <c r="N9" i="23"/>
  <c r="N111" i="22" s="1"/>
  <c r="O111" i="22"/>
  <c r="N20" i="23"/>
  <c r="N121" i="22" s="1"/>
  <c r="O121" i="22"/>
  <c r="N44" i="23"/>
  <c r="N137" i="22" s="1"/>
  <c r="O137" i="22"/>
  <c r="N10" i="23"/>
  <c r="N112" i="22" s="1"/>
  <c r="N15" i="23"/>
  <c r="N117" i="22" s="1"/>
  <c r="N19" i="23"/>
  <c r="N120" i="22" s="1"/>
  <c r="N13" i="26"/>
  <c r="N86" i="22" s="1"/>
  <c r="O86" i="22"/>
  <c r="N21" i="26"/>
  <c r="N94" i="22" s="1"/>
  <c r="AB94" i="22" s="1"/>
  <c r="O94" i="22"/>
  <c r="N14" i="26"/>
  <c r="N87" i="22" s="1"/>
  <c r="O87" i="22"/>
  <c r="N19" i="26"/>
  <c r="N92" i="22" s="1"/>
  <c r="AB92" i="22" s="1"/>
  <c r="O92" i="22"/>
  <c r="N17" i="26"/>
  <c r="N90" i="22" s="1"/>
  <c r="O90" i="22"/>
  <c r="N18" i="26"/>
  <c r="N91" i="22" s="1"/>
  <c r="AB91" i="22" s="1"/>
  <c r="O91" i="22"/>
  <c r="N11" i="26"/>
  <c r="N84" i="22" s="1"/>
  <c r="O84" i="22"/>
  <c r="N12" i="26"/>
  <c r="N85" i="22" s="1"/>
  <c r="O85" i="22"/>
  <c r="N20" i="26"/>
  <c r="N93" i="22" s="1"/>
  <c r="O93" i="22"/>
  <c r="Z18" i="19"/>
  <c r="Y139" i="22"/>
  <c r="AM139" i="22" s="1"/>
  <c r="N12" i="23"/>
  <c r="N114" i="22" s="1"/>
  <c r="O114" i="22"/>
  <c r="N15" i="26"/>
  <c r="N88" i="22" s="1"/>
  <c r="O88" i="22"/>
  <c r="N25" i="23"/>
  <c r="N123" i="22" s="1"/>
  <c r="O123" i="22"/>
  <c r="U122" i="22"/>
  <c r="AI122" i="22" s="1"/>
  <c r="AE102" i="22"/>
  <c r="Q100" i="22"/>
  <c r="AE100" i="22" s="1"/>
  <c r="AD108" i="22"/>
  <c r="P107" i="22"/>
  <c r="AD107" i="22" s="1"/>
  <c r="N14" i="23"/>
  <c r="N116" i="22" s="1"/>
  <c r="N16" i="26"/>
  <c r="N89" i="22" s="1"/>
  <c r="O89" i="22"/>
  <c r="N48" i="25"/>
  <c r="N42" i="22" s="1"/>
  <c r="O42" i="22"/>
  <c r="N30" i="25"/>
  <c r="N27" i="22" s="1"/>
  <c r="N49" i="25"/>
  <c r="N43" i="22" s="1"/>
  <c r="O43" i="22"/>
  <c r="N36" i="22"/>
  <c r="O36" i="22"/>
  <c r="N37" i="22"/>
  <c r="O37" i="22"/>
  <c r="U24" i="22"/>
  <c r="AI24" i="22" s="1"/>
  <c r="N6" i="25"/>
  <c r="N6" i="22" s="1"/>
  <c r="O6" i="22"/>
  <c r="N44" i="25"/>
  <c r="N38" i="22" s="1"/>
  <c r="O38" i="22"/>
  <c r="N46" i="25"/>
  <c r="N40" i="22" s="1"/>
  <c r="O40" i="22"/>
  <c r="N47" i="25"/>
  <c r="N41" i="22" s="1"/>
  <c r="O41" i="22"/>
  <c r="N45" i="25"/>
  <c r="N39" i="22" s="1"/>
  <c r="O39" i="22"/>
  <c r="AM85" i="22"/>
  <c r="AM89" i="22"/>
  <c r="AK45" i="22"/>
  <c r="AE84" i="22"/>
  <c r="AD77" i="22"/>
  <c r="AF88" i="22"/>
  <c r="AD33" i="22"/>
  <c r="AG32" i="22"/>
  <c r="AE64" i="22"/>
  <c r="AO87" i="22"/>
  <c r="R29" i="26"/>
  <c r="R98" i="22" s="1"/>
  <c r="AF98" i="22" s="1"/>
  <c r="R27" i="26"/>
  <c r="R97" i="22" s="1"/>
  <c r="AF97" i="22" s="1"/>
  <c r="AE99" i="22"/>
  <c r="R34" i="26"/>
  <c r="R102" i="22" s="1"/>
  <c r="AE103" i="22"/>
  <c r="R99" i="22"/>
  <c r="AE101" i="22"/>
  <c r="R101" i="22"/>
  <c r="AI80" i="22"/>
  <c r="AO62" i="22"/>
  <c r="AF80" i="22"/>
  <c r="AH88" i="22"/>
  <c r="AE80" i="22"/>
  <c r="AD88" i="22"/>
  <c r="AI40" i="22"/>
  <c r="AL88" i="22"/>
  <c r="AH87" i="22"/>
  <c r="AD83" i="22"/>
  <c r="AM87" i="22"/>
  <c r="AD70" i="22"/>
  <c r="AN69" i="22"/>
  <c r="AF84" i="22"/>
  <c r="AE88" i="22"/>
  <c r="AI77" i="22"/>
  <c r="AG85" i="22"/>
  <c r="AH85" i="22"/>
  <c r="AE89" i="22"/>
  <c r="AH90" i="22"/>
  <c r="AD89" i="22"/>
  <c r="AD81" i="22"/>
  <c r="AI53" i="22"/>
  <c r="AD71" i="22"/>
  <c r="AN48" i="22"/>
  <c r="AM48" i="22"/>
  <c r="AB95" i="22"/>
  <c r="N34" i="25"/>
  <c r="N30" i="22" s="1"/>
  <c r="N7" i="25"/>
  <c r="N7" i="22" s="1"/>
  <c r="N22" i="25"/>
  <c r="N22" i="22" s="1"/>
  <c r="N21" i="25"/>
  <c r="N21" i="22" s="1"/>
  <c r="N10" i="25"/>
  <c r="N10" i="22" s="1"/>
  <c r="N32" i="25"/>
  <c r="N28" i="22" s="1"/>
  <c r="N13" i="25"/>
  <c r="N13" i="22" s="1"/>
  <c r="N14" i="25"/>
  <c r="N14" i="22" s="1"/>
  <c r="N8" i="25"/>
  <c r="N8" i="22" s="1"/>
  <c r="O12" i="25"/>
  <c r="O12" i="22" s="1"/>
  <c r="AG12" i="22"/>
  <c r="AC12" i="22" s="1"/>
  <c r="AO25" i="22"/>
  <c r="AC25" i="22" s="1"/>
  <c r="N11" i="25"/>
  <c r="N11" i="22" s="1"/>
  <c r="N20" i="25"/>
  <c r="N20" i="22" s="1"/>
  <c r="N28" i="25"/>
  <c r="N25" i="22" s="1"/>
  <c r="N17" i="25"/>
  <c r="N16" i="22" s="1"/>
  <c r="N35" i="22"/>
  <c r="N29" i="25"/>
  <c r="N26" i="22" s="1"/>
  <c r="N37" i="25"/>
  <c r="N33" i="22" s="1"/>
  <c r="N35" i="25"/>
  <c r="N31" i="22" s="1"/>
  <c r="N36" i="25"/>
  <c r="N32" i="22" s="1"/>
  <c r="N6" i="26"/>
  <c r="AM82" i="22"/>
  <c r="AN66" i="22"/>
  <c r="AH65" i="22"/>
  <c r="AJ45" i="22"/>
  <c r="AD84" i="22"/>
  <c r="AD37" i="22"/>
  <c r="AM31" i="22"/>
  <c r="AI32" i="22"/>
  <c r="AO45" i="22"/>
  <c r="AN45" i="22"/>
  <c r="AH40" i="22"/>
  <c r="AE87" i="22"/>
  <c r="AD67" i="22"/>
  <c r="AE97" i="22"/>
  <c r="AJ44" i="22"/>
  <c r="AD80" i="22"/>
  <c r="AF69" i="22"/>
  <c r="AO88" i="22"/>
  <c r="AG88" i="22"/>
  <c r="AN87" i="22"/>
  <c r="AF87" i="22"/>
  <c r="AG84" i="22"/>
  <c r="AG68" i="22"/>
  <c r="AJ67" i="22"/>
  <c r="AF67" i="22"/>
  <c r="AD97" i="22"/>
  <c r="N18" i="25"/>
  <c r="N17" i="22" s="1"/>
  <c r="N9" i="25"/>
  <c r="N9" i="22" s="1"/>
  <c r="N16" i="25"/>
  <c r="N15" i="22" s="1"/>
  <c r="AF90" i="22"/>
  <c r="AG90" i="22"/>
  <c r="AI90" i="22"/>
  <c r="AJ90" i="22"/>
  <c r="AL90" i="22"/>
  <c r="AD82" i="22"/>
  <c r="AE82" i="22"/>
  <c r="AG82" i="22"/>
  <c r="AL82" i="22"/>
  <c r="AN82" i="22"/>
  <c r="AO82" i="22"/>
  <c r="AI76" i="22"/>
  <c r="AO90" i="22"/>
  <c r="AD76" i="22"/>
  <c r="AO66" i="22"/>
  <c r="AJ40" i="22"/>
  <c r="AO48" i="22"/>
  <c r="AE90" i="22"/>
  <c r="AD98" i="22"/>
  <c r="AE98" i="22"/>
  <c r="AK44" i="22"/>
  <c r="AG40" i="22"/>
  <c r="AH32" i="22"/>
  <c r="AD47" i="22"/>
  <c r="AN90" i="22"/>
  <c r="AF89" i="22"/>
  <c r="AG87" i="22"/>
  <c r="AF82" i="22"/>
  <c r="AD75" i="22"/>
  <c r="AM40" i="22"/>
  <c r="AE40" i="22"/>
  <c r="AE45" i="22"/>
  <c r="AM41" i="22"/>
  <c r="AL40" i="22"/>
  <c r="AD40" i="22"/>
  <c r="AE32" i="22"/>
  <c r="AM88" i="22"/>
  <c r="AM84" i="22"/>
  <c r="AG80" i="22"/>
  <c r="AL67" i="22"/>
  <c r="AH31" i="22"/>
  <c r="AO44" i="22"/>
  <c r="AF38" i="22"/>
  <c r="AK33" i="22"/>
  <c r="AD32" i="22"/>
  <c r="AL84" i="22"/>
  <c r="AH80" i="22"/>
  <c r="AD85" i="22"/>
  <c r="AL85" i="22"/>
  <c r="AE47" i="22"/>
  <c r="AJ64" i="22"/>
  <c r="AG38" i="22"/>
  <c r="AN43" i="22"/>
  <c r="AK90" i="22"/>
  <c r="AD90" i="22"/>
  <c r="AM90" i="22"/>
  <c r="AH46" i="22"/>
  <c r="AM46" i="22"/>
  <c r="AG89" i="22"/>
  <c r="AH47" i="22"/>
  <c r="AJ85" i="22"/>
  <c r="AI64" i="22"/>
  <c r="AG47" i="22"/>
  <c r="AD35" i="22"/>
  <c r="AH89" i="22"/>
  <c r="AL89" i="22"/>
  <c r="AO89" i="22"/>
  <c r="AO85" i="22"/>
  <c r="AF85" i="22"/>
  <c r="AM33" i="22"/>
  <c r="AN89" i="22"/>
  <c r="AN85" i="22"/>
  <c r="AE85" i="22"/>
  <c r="AN64" i="22"/>
  <c r="AL33" i="22"/>
  <c r="AK43" i="22"/>
  <c r="AH68" i="22"/>
  <c r="AF68" i="22"/>
  <c r="AD31" i="22"/>
  <c r="AG31" i="22"/>
  <c r="AN61" i="22"/>
  <c r="AG64" i="22"/>
  <c r="AN88" i="22"/>
  <c r="AJ87" i="22"/>
  <c r="AH82" i="22"/>
  <c r="O36" i="26"/>
  <c r="O103" i="22" s="1"/>
  <c r="N24" i="26"/>
  <c r="N96" i="22" s="1"/>
  <c r="AE44" i="22"/>
  <c r="AG44" i="22"/>
  <c r="AI44" i="22"/>
  <c r="AN47" i="22"/>
  <c r="AJ47" i="22"/>
  <c r="AL47" i="22"/>
  <c r="AD79" i="22"/>
  <c r="AG41" i="22"/>
  <c r="AH41" i="22"/>
  <c r="AL41" i="22"/>
  <c r="AD87" i="22"/>
  <c r="AN44" i="22"/>
  <c r="AF44" i="22"/>
  <c r="AH33" i="22"/>
  <c r="AO38" i="22"/>
  <c r="AM38" i="22"/>
  <c r="AL87" i="22"/>
  <c r="AK87" i="22"/>
  <c r="AF64" i="22"/>
  <c r="AO47" i="22"/>
  <c r="AI38" i="22"/>
  <c r="AD46" i="22"/>
  <c r="AI47" i="22"/>
  <c r="AL43" i="22"/>
  <c r="AN41" i="22"/>
  <c r="AH38" i="22"/>
  <c r="AE66" i="22"/>
  <c r="AK84" i="22"/>
  <c r="AD72" i="22"/>
  <c r="AM44" i="22"/>
  <c r="AJ34" i="22"/>
  <c r="AG33" i="22"/>
  <c r="AD54" i="22"/>
  <c r="AD53" i="22"/>
  <c r="AM67" i="22"/>
  <c r="AF45" i="22"/>
  <c r="AL44" i="22"/>
  <c r="AD44" i="22"/>
  <c r="AF33" i="22"/>
  <c r="AL32" i="22"/>
  <c r="AD61" i="22"/>
  <c r="AD50" i="22"/>
  <c r="AK47" i="22"/>
  <c r="AD56" i="22"/>
  <c r="AF47" i="22"/>
  <c r="AM66" i="22"/>
  <c r="AF66" i="22"/>
  <c r="AI89" i="22"/>
  <c r="AH69" i="22"/>
  <c r="AL46" i="22"/>
  <c r="AH45" i="22"/>
  <c r="AF43" i="22"/>
  <c r="AL31" i="22"/>
  <c r="AK38" i="22"/>
  <c r="AK46" i="22"/>
  <c r="AG45" i="22"/>
  <c r="AD36" i="22"/>
  <c r="AO32" i="22"/>
  <c r="AI31" i="22"/>
  <c r="AE31" i="22"/>
  <c r="AM32" i="22"/>
  <c r="AM43" i="22"/>
  <c r="AG43" i="22"/>
  <c r="AE43" i="22"/>
  <c r="AI34" i="22"/>
  <c r="AO43" i="22"/>
  <c r="AD43" i="22"/>
  <c r="AH34" i="22"/>
  <c r="AH43" i="22"/>
  <c r="AL64" i="22"/>
  <c r="AN38" i="22"/>
  <c r="AD64" i="22"/>
  <c r="AI84" i="22"/>
  <c r="AI88" i="22"/>
  <c r="AF62" i="22"/>
  <c r="AI69" i="22"/>
  <c r="AM45" i="22"/>
  <c r="AH44" i="22"/>
  <c r="AE38" i="22"/>
  <c r="AD52" i="22"/>
  <c r="AM47" i="22"/>
  <c r="AE69" i="22"/>
  <c r="AO31" i="22"/>
  <c r="AL45" i="22"/>
  <c r="AD45" i="22"/>
  <c r="AJ43" i="22"/>
  <c r="AL38" i="22"/>
  <c r="AD48" i="22"/>
  <c r="AJ31" i="22"/>
  <c r="AJ84" i="22"/>
  <c r="AH64" i="22"/>
  <c r="AO64" i="22"/>
  <c r="AM64" i="22"/>
  <c r="AE65" i="22"/>
  <c r="AH62" i="22"/>
  <c r="AN62" i="22"/>
  <c r="AI75" i="22"/>
  <c r="AI71" i="22"/>
  <c r="AO69" i="22"/>
  <c r="AD69" i="22"/>
  <c r="AG67" i="22"/>
  <c r="AO65" i="22"/>
  <c r="AG62" i="22"/>
  <c r="AK67" i="22"/>
  <c r="AM62" i="22"/>
  <c r="AD74" i="22"/>
  <c r="AM69" i="22"/>
  <c r="AO67" i="22"/>
  <c r="AE67" i="22"/>
  <c r="AM65" i="22"/>
  <c r="AE62" i="22"/>
  <c r="AM61" i="22"/>
  <c r="AK62" i="22"/>
  <c r="AL62" i="22"/>
  <c r="AL69" i="22"/>
  <c r="AN67" i="22"/>
  <c r="AI65" i="22"/>
  <c r="AD62" i="22"/>
  <c r="AE61" i="22"/>
  <c r="AD58" i="22"/>
  <c r="AJ62" i="22"/>
  <c r="AF65" i="22"/>
  <c r="AN65" i="22"/>
  <c r="AL48" i="22"/>
  <c r="AK48" i="22"/>
  <c r="AE48" i="22"/>
  <c r="AJ48" i="22"/>
  <c r="AI61" i="22"/>
  <c r="AH61" i="22"/>
  <c r="AJ61" i="22"/>
  <c r="AK61" i="22"/>
  <c r="AI55" i="22"/>
  <c r="AD51" i="22"/>
  <c r="AJ66" i="22"/>
  <c r="AK66" i="22"/>
  <c r="AD66" i="22"/>
  <c r="AL66" i="22"/>
  <c r="AI59" i="22"/>
  <c r="AD59" i="22"/>
  <c r="AD49" i="22"/>
  <c r="AJ68" i="22"/>
  <c r="AK68" i="22"/>
  <c r="AD68" i="22"/>
  <c r="AL68" i="22"/>
  <c r="AJ65" i="22"/>
  <c r="AK65" i="22"/>
  <c r="AD65" i="22"/>
  <c r="AL65" i="22"/>
  <c r="AK89" i="22"/>
  <c r="AK88" i="22"/>
  <c r="AK82" i="22"/>
  <c r="AK69" i="22"/>
  <c r="AE68" i="22"/>
  <c r="AI66" i="22"/>
  <c r="AL61" i="22"/>
  <c r="AJ89" i="22"/>
  <c r="AJ82" i="22"/>
  <c r="AJ69" i="22"/>
  <c r="AO68" i="22"/>
  <c r="AH66" i="22"/>
  <c r="AG61" i="22"/>
  <c r="AD55" i="22"/>
  <c r="AJ88" i="22"/>
  <c r="AN68" i="22"/>
  <c r="AG66" i="22"/>
  <c r="AF61" i="22"/>
  <c r="AN33" i="22"/>
  <c r="AE33" i="22"/>
  <c r="AO33" i="22"/>
  <c r="AI33" i="22"/>
  <c r="AI46" i="22"/>
  <c r="AI39" i="22"/>
  <c r="AI48" i="22"/>
  <c r="AI43" i="22"/>
  <c r="AJ41" i="22"/>
  <c r="AK41" i="22"/>
  <c r="AI45" i="22"/>
  <c r="AH48" i="22"/>
  <c r="AG46" i="22"/>
  <c r="AF41" i="22"/>
  <c r="AJ39" i="22"/>
  <c r="AG48" i="22"/>
  <c r="AO46" i="22"/>
  <c r="AF46" i="22"/>
  <c r="AE41" i="22"/>
  <c r="AF48" i="22"/>
  <c r="AN46" i="22"/>
  <c r="AE46" i="22"/>
  <c r="AO41" i="22"/>
  <c r="AD41" i="22"/>
  <c r="AJ38" i="22"/>
  <c r="AJ32" i="22"/>
  <c r="AD38" i="22"/>
  <c r="AG39" i="22"/>
  <c r="AO34" i="22"/>
  <c r="AG34" i="22"/>
  <c r="AN40" i="22"/>
  <c r="AF40" i="22"/>
  <c r="AN39" i="22"/>
  <c r="AF39" i="22"/>
  <c r="AN34" i="22"/>
  <c r="AF34" i="22"/>
  <c r="AN32" i="22"/>
  <c r="AF32" i="22"/>
  <c r="AN31" i="22"/>
  <c r="AF31" i="22"/>
  <c r="AH39" i="22"/>
  <c r="AM39" i="22"/>
  <c r="AM34" i="22"/>
  <c r="AE34" i="22"/>
  <c r="AL39" i="22"/>
  <c r="AL34" i="22"/>
  <c r="AK40" i="22"/>
  <c r="AK39" i="22"/>
  <c r="AK34" i="22"/>
  <c r="AK32" i="22"/>
  <c r="AK31" i="22"/>
  <c r="AE39" i="22"/>
  <c r="AD39" i="22"/>
  <c r="AD34" i="22"/>
  <c r="N34" i="22"/>
  <c r="N8" i="23"/>
  <c r="N110" i="22" s="1"/>
  <c r="N16" i="23"/>
  <c r="N118" i="22" s="1"/>
  <c r="N18" i="23"/>
  <c r="N119" i="22" s="1"/>
  <c r="AD6" i="22"/>
  <c r="O19" i="25"/>
  <c r="O18" i="22" s="1"/>
  <c r="AS20" i="22" l="1"/>
  <c r="BC20" i="22"/>
  <c r="AT20" i="22"/>
  <c r="AY20" i="22"/>
  <c r="AZ20" i="22"/>
  <c r="BB20" i="22"/>
  <c r="AR20" i="22"/>
  <c r="AU20" i="22"/>
  <c r="AX20" i="22"/>
  <c r="BA20" i="22"/>
  <c r="AV20" i="22"/>
  <c r="AW20" i="22"/>
  <c r="BA21" i="22"/>
  <c r="AR21" i="22"/>
  <c r="BB21" i="22"/>
  <c r="AW21" i="22"/>
  <c r="AX21" i="22"/>
  <c r="AU21" i="22"/>
  <c r="AY21" i="22"/>
  <c r="AZ21" i="22"/>
  <c r="BC21" i="22"/>
  <c r="AS21" i="22"/>
  <c r="AT21" i="22"/>
  <c r="AV21" i="22"/>
  <c r="AU38" i="22"/>
  <c r="BA38" i="22"/>
  <c r="AR38" i="22"/>
  <c r="BB38" i="22"/>
  <c r="BC38" i="22"/>
  <c r="AX38" i="22"/>
  <c r="AS38" i="22"/>
  <c r="AT38" i="22"/>
  <c r="AZ38" i="22"/>
  <c r="AV38" i="22"/>
  <c r="AW38" i="22"/>
  <c r="AY38" i="22"/>
  <c r="AS93" i="22"/>
  <c r="BC93" i="22"/>
  <c r="AY93" i="22"/>
  <c r="AZ93" i="22"/>
  <c r="AX93" i="22"/>
  <c r="AU93" i="22"/>
  <c r="BA93" i="22"/>
  <c r="BB93" i="22"/>
  <c r="AR93" i="22"/>
  <c r="AT93" i="22"/>
  <c r="AV93" i="22"/>
  <c r="AW93" i="22"/>
  <c r="AU92" i="22"/>
  <c r="BA92" i="22"/>
  <c r="AR92" i="22"/>
  <c r="BB92" i="22"/>
  <c r="AW92" i="22"/>
  <c r="AS92" i="22"/>
  <c r="AY92" i="22"/>
  <c r="AZ92" i="22"/>
  <c r="AT92" i="22"/>
  <c r="AV92" i="22"/>
  <c r="AX92" i="22"/>
  <c r="BC92" i="22"/>
  <c r="AY11" i="22"/>
  <c r="AZ11" i="22"/>
  <c r="AU11" i="22"/>
  <c r="AV11" i="22"/>
  <c r="BC11" i="22"/>
  <c r="AX11" i="22"/>
  <c r="BB11" i="22"/>
  <c r="AT11" i="22"/>
  <c r="AW11" i="22"/>
  <c r="BA11" i="22"/>
  <c r="AR11" i="22"/>
  <c r="AS11" i="22"/>
  <c r="AY22" i="22"/>
  <c r="AZ22" i="22"/>
  <c r="AU22" i="22"/>
  <c r="AV22" i="22"/>
  <c r="BA22" i="22"/>
  <c r="AT22" i="22"/>
  <c r="BB22" i="22"/>
  <c r="BC22" i="22"/>
  <c r="AR22" i="22"/>
  <c r="AS22" i="22"/>
  <c r="AW22" i="22"/>
  <c r="AX22" i="22"/>
  <c r="AZ137" i="22"/>
  <c r="AW137" i="22"/>
  <c r="AT137" i="22"/>
  <c r="AU137" i="22"/>
  <c r="BC137" i="22"/>
  <c r="AX137" i="22"/>
  <c r="AY137" i="22"/>
  <c r="AR137" i="22"/>
  <c r="AS137" i="22"/>
  <c r="BB137" i="22"/>
  <c r="AV137" i="22"/>
  <c r="BA137" i="22"/>
  <c r="AR119" i="22"/>
  <c r="BB119" i="22"/>
  <c r="AY119" i="22"/>
  <c r="AS119" i="22"/>
  <c r="AZ119" i="22"/>
  <c r="AW119" i="22"/>
  <c r="AX119" i="22"/>
  <c r="AT119" i="22"/>
  <c r="AU119" i="22"/>
  <c r="AV119" i="22"/>
  <c r="BA119" i="22"/>
  <c r="BC119" i="22"/>
  <c r="AW7" i="22"/>
  <c r="AX7" i="22"/>
  <c r="AS7" i="22"/>
  <c r="BC7" i="22"/>
  <c r="AT7" i="22"/>
  <c r="BA7" i="22"/>
  <c r="BB7" i="22"/>
  <c r="AV7" i="22"/>
  <c r="AY7" i="22"/>
  <c r="AZ7" i="22"/>
  <c r="AR7" i="22"/>
  <c r="AU7" i="22"/>
  <c r="AZ6" i="22"/>
  <c r="BC6" i="22"/>
  <c r="AS6" i="22"/>
  <c r="BB6" i="22"/>
  <c r="AU6" i="22"/>
  <c r="AR6" i="22"/>
  <c r="AW6" i="22"/>
  <c r="AV6" i="22"/>
  <c r="AY6" i="22"/>
  <c r="AX6" i="22"/>
  <c r="AT6" i="22"/>
  <c r="BA6" i="22"/>
  <c r="AW42" i="22"/>
  <c r="AS42" i="22"/>
  <c r="BC42" i="22"/>
  <c r="AT42" i="22"/>
  <c r="AX42" i="22"/>
  <c r="AR42" i="22"/>
  <c r="AV42" i="22"/>
  <c r="AY42" i="22"/>
  <c r="AZ42" i="22"/>
  <c r="AU42" i="22"/>
  <c r="BA42" i="22"/>
  <c r="BB42" i="22"/>
  <c r="AY85" i="22"/>
  <c r="AU85" i="22"/>
  <c r="AV85" i="22"/>
  <c r="AT85" i="22"/>
  <c r="AS85" i="22"/>
  <c r="AW85" i="22"/>
  <c r="AX85" i="22"/>
  <c r="AR85" i="22"/>
  <c r="AZ85" i="22"/>
  <c r="BA85" i="22"/>
  <c r="BB85" i="22"/>
  <c r="BC85" i="22"/>
  <c r="AU87" i="22"/>
  <c r="BA87" i="22"/>
  <c r="AR87" i="22"/>
  <c r="BB87" i="22"/>
  <c r="AY87" i="22"/>
  <c r="AV87" i="22"/>
  <c r="AZ87" i="22"/>
  <c r="AW87" i="22"/>
  <c r="AX87" i="22"/>
  <c r="AS87" i="22"/>
  <c r="AT87" i="22"/>
  <c r="BC87" i="22"/>
  <c r="AT118" i="22"/>
  <c r="BA118" i="22"/>
  <c r="BC118" i="22"/>
  <c r="AR118" i="22"/>
  <c r="AY118" i="22"/>
  <c r="AS118" i="22"/>
  <c r="AU118" i="22"/>
  <c r="AW118" i="22"/>
  <c r="AX118" i="22"/>
  <c r="AZ118" i="22"/>
  <c r="BB118" i="22"/>
  <c r="AV118" i="22"/>
  <c r="BA15" i="22"/>
  <c r="AR15" i="22"/>
  <c r="BB15" i="22"/>
  <c r="AW15" i="22"/>
  <c r="AX15" i="22"/>
  <c r="AZ15" i="22"/>
  <c r="AU15" i="22"/>
  <c r="AV15" i="22"/>
  <c r="AY15" i="22"/>
  <c r="AS15" i="22"/>
  <c r="AT15" i="22"/>
  <c r="BC15" i="22"/>
  <c r="AW32" i="22"/>
  <c r="AS32" i="22"/>
  <c r="BC32" i="22"/>
  <c r="AT32" i="22"/>
  <c r="BB32" i="22"/>
  <c r="AY32" i="22"/>
  <c r="AR32" i="22"/>
  <c r="AU32" i="22"/>
  <c r="AZ32" i="22"/>
  <c r="BA32" i="22"/>
  <c r="AV32" i="22"/>
  <c r="AX32" i="22"/>
  <c r="BA30" i="22"/>
  <c r="AW30" i="22"/>
  <c r="AX30" i="22"/>
  <c r="AY30" i="22"/>
  <c r="AT30" i="22"/>
  <c r="AV30" i="22"/>
  <c r="AZ30" i="22"/>
  <c r="BB30" i="22"/>
  <c r="AR30" i="22"/>
  <c r="AS30" i="22"/>
  <c r="AU30" i="22"/>
  <c r="BC30" i="22"/>
  <c r="AX121" i="22"/>
  <c r="AU121" i="22"/>
  <c r="AR121" i="22"/>
  <c r="AS121" i="22"/>
  <c r="BA121" i="22"/>
  <c r="AT121" i="22"/>
  <c r="BC121" i="22"/>
  <c r="AV121" i="22"/>
  <c r="AW121" i="22"/>
  <c r="AY121" i="22"/>
  <c r="AZ121" i="22"/>
  <c r="BB121" i="22"/>
  <c r="AQ44" i="22"/>
  <c r="AP44" i="22" s="1"/>
  <c r="AZ110" i="22"/>
  <c r="AW110" i="22"/>
  <c r="AY110" i="22"/>
  <c r="BA110" i="22"/>
  <c r="AU110" i="22"/>
  <c r="AX110" i="22"/>
  <c r="BB110" i="22"/>
  <c r="AS110" i="22"/>
  <c r="AT110" i="22"/>
  <c r="AR110" i="22"/>
  <c r="AV110" i="22"/>
  <c r="BC110" i="22"/>
  <c r="AS9" i="22"/>
  <c r="BC9" i="22"/>
  <c r="AT9" i="22"/>
  <c r="AY9" i="22"/>
  <c r="AZ9" i="22"/>
  <c r="AU9" i="22"/>
  <c r="AV9" i="22"/>
  <c r="AX9" i="22"/>
  <c r="BA9" i="22"/>
  <c r="AR9" i="22"/>
  <c r="AW9" i="22"/>
  <c r="BB9" i="22"/>
  <c r="AY31" i="22"/>
  <c r="AU31" i="22"/>
  <c r="AV31" i="22"/>
  <c r="BA31" i="22"/>
  <c r="AW31" i="22"/>
  <c r="BC31" i="22"/>
  <c r="AX31" i="22"/>
  <c r="AZ31" i="22"/>
  <c r="AS31" i="22"/>
  <c r="AT31" i="22"/>
  <c r="AR31" i="22"/>
  <c r="BB31" i="22"/>
  <c r="AB93" i="22"/>
  <c r="AS39" i="22"/>
  <c r="BC39" i="22"/>
  <c r="AY39" i="22"/>
  <c r="AZ39" i="22"/>
  <c r="BA39" i="22"/>
  <c r="AV39" i="22"/>
  <c r="AW39" i="22"/>
  <c r="AX39" i="22"/>
  <c r="AR39" i="22"/>
  <c r="AT39" i="22"/>
  <c r="AU39" i="22"/>
  <c r="BB39" i="22"/>
  <c r="BA89" i="22"/>
  <c r="AW89" i="22"/>
  <c r="AX89" i="22"/>
  <c r="AZ89" i="22"/>
  <c r="AY89" i="22"/>
  <c r="BB89" i="22"/>
  <c r="BC89" i="22"/>
  <c r="AT89" i="22"/>
  <c r="AS89" i="22"/>
  <c r="AU89" i="22"/>
  <c r="AR89" i="22"/>
  <c r="AV89" i="22"/>
  <c r="AS88" i="22"/>
  <c r="BC88" i="22"/>
  <c r="AY88" i="22"/>
  <c r="AZ88" i="22"/>
  <c r="BB88" i="22"/>
  <c r="AW88" i="22"/>
  <c r="AT88" i="22"/>
  <c r="AU88" i="22"/>
  <c r="AV88" i="22"/>
  <c r="BA88" i="22"/>
  <c r="AR88" i="22"/>
  <c r="AX88" i="22"/>
  <c r="BA84" i="22"/>
  <c r="AW84" i="22"/>
  <c r="AX84" i="22"/>
  <c r="AS84" i="22"/>
  <c r="BC84" i="22"/>
  <c r="AR84" i="22"/>
  <c r="AZ84" i="22"/>
  <c r="AV84" i="22"/>
  <c r="AY84" i="22"/>
  <c r="BB84" i="22"/>
  <c r="AT84" i="22"/>
  <c r="AU84" i="22"/>
  <c r="BA94" i="22"/>
  <c r="AW94" i="22"/>
  <c r="AX94" i="22"/>
  <c r="BB94" i="22"/>
  <c r="AV94" i="22"/>
  <c r="AS94" i="22"/>
  <c r="AT94" i="22"/>
  <c r="AY94" i="22"/>
  <c r="AZ94" i="22"/>
  <c r="AR94" i="22"/>
  <c r="AU94" i="22"/>
  <c r="BC94" i="22"/>
  <c r="AS34" i="22"/>
  <c r="BC34" i="22"/>
  <c r="AY34" i="22"/>
  <c r="AZ34" i="22"/>
  <c r="AT34" i="22"/>
  <c r="BB34" i="22"/>
  <c r="AW34" i="22"/>
  <c r="AR34" i="22"/>
  <c r="AU34" i="22"/>
  <c r="AV34" i="22"/>
  <c r="AX34" i="22"/>
  <c r="BA34" i="22"/>
  <c r="AW17" i="22"/>
  <c r="AX17" i="22"/>
  <c r="AS17" i="22"/>
  <c r="BC17" i="22"/>
  <c r="AT17" i="22"/>
  <c r="AY17" i="22"/>
  <c r="AR17" i="22"/>
  <c r="AU17" i="22"/>
  <c r="AV17" i="22"/>
  <c r="AZ17" i="22"/>
  <c r="BA17" i="22"/>
  <c r="BB17" i="22"/>
  <c r="AU33" i="22"/>
  <c r="BA33" i="22"/>
  <c r="AR33" i="22"/>
  <c r="BB33" i="22"/>
  <c r="AZ33" i="22"/>
  <c r="AW33" i="22"/>
  <c r="AX33" i="22"/>
  <c r="AY33" i="22"/>
  <c r="AS33" i="22"/>
  <c r="AT33" i="22"/>
  <c r="AV33" i="22"/>
  <c r="BC33" i="22"/>
  <c r="AU8" i="22"/>
  <c r="AV8" i="22"/>
  <c r="BA8" i="22"/>
  <c r="AR8" i="22"/>
  <c r="BB8" i="22"/>
  <c r="AZ8" i="22"/>
  <c r="AT8" i="22"/>
  <c r="AW8" i="22"/>
  <c r="AX8" i="22"/>
  <c r="AS8" i="22"/>
  <c r="AY8" i="22"/>
  <c r="BC8" i="22"/>
  <c r="AW37" i="22"/>
  <c r="AS37" i="22"/>
  <c r="BC37" i="22"/>
  <c r="AT37" i="22"/>
  <c r="AZ37" i="22"/>
  <c r="AV37" i="22"/>
  <c r="BB37" i="22"/>
  <c r="AX37" i="22"/>
  <c r="AR37" i="22"/>
  <c r="AU37" i="22"/>
  <c r="AY37" i="22"/>
  <c r="BA37" i="22"/>
  <c r="AX116" i="22"/>
  <c r="AU116" i="22"/>
  <c r="BB116" i="22"/>
  <c r="BC116" i="22"/>
  <c r="AY116" i="22"/>
  <c r="AW116" i="22"/>
  <c r="AZ116" i="22"/>
  <c r="AS116" i="22"/>
  <c r="AT116" i="22"/>
  <c r="AR116" i="22"/>
  <c r="AV116" i="22"/>
  <c r="BA116" i="22"/>
  <c r="AX111" i="22"/>
  <c r="AU111" i="22"/>
  <c r="AZ111" i="22"/>
  <c r="BA111" i="22"/>
  <c r="AV111" i="22"/>
  <c r="AY111" i="22"/>
  <c r="BB111" i="22"/>
  <c r="AR111" i="22"/>
  <c r="AS111" i="22"/>
  <c r="AT111" i="22"/>
  <c r="AW111" i="22"/>
  <c r="BC111" i="22"/>
  <c r="AW96" i="22"/>
  <c r="AS96" i="22"/>
  <c r="BC96" i="22"/>
  <c r="AT96" i="22"/>
  <c r="BA96" i="22"/>
  <c r="AY96" i="22"/>
  <c r="AX96" i="22"/>
  <c r="AZ96" i="22"/>
  <c r="AR96" i="22"/>
  <c r="AU96" i="22"/>
  <c r="AV96" i="22"/>
  <c r="BB96" i="22"/>
  <c r="AS14" i="22"/>
  <c r="BC14" i="22"/>
  <c r="AT14" i="22"/>
  <c r="AY14" i="22"/>
  <c r="AZ14" i="22"/>
  <c r="BA14" i="22"/>
  <c r="AV14" i="22"/>
  <c r="BB14" i="22"/>
  <c r="AR14" i="22"/>
  <c r="AU14" i="22"/>
  <c r="AW14" i="22"/>
  <c r="AX14" i="22"/>
  <c r="AY41" i="22"/>
  <c r="AU41" i="22"/>
  <c r="AV41" i="22"/>
  <c r="AT41" i="22"/>
  <c r="AR41" i="22"/>
  <c r="AS41" i="22"/>
  <c r="BB41" i="22"/>
  <c r="AX41" i="22"/>
  <c r="AZ41" i="22"/>
  <c r="AW41" i="22"/>
  <c r="BA41" i="22"/>
  <c r="BC41" i="22"/>
  <c r="AR114" i="22"/>
  <c r="BB114" i="22"/>
  <c r="AY114" i="22"/>
  <c r="BA114" i="22"/>
  <c r="BC114" i="22"/>
  <c r="AW114" i="22"/>
  <c r="AX114" i="22"/>
  <c r="AZ114" i="22"/>
  <c r="AS114" i="22"/>
  <c r="AT114" i="22"/>
  <c r="AU114" i="22"/>
  <c r="AV114" i="22"/>
  <c r="AW91" i="22"/>
  <c r="AS91" i="22"/>
  <c r="BC91" i="22"/>
  <c r="AT91" i="22"/>
  <c r="AU91" i="22"/>
  <c r="AR91" i="22"/>
  <c r="AV91" i="22"/>
  <c r="AX91" i="22"/>
  <c r="AZ91" i="22"/>
  <c r="BA91" i="22"/>
  <c r="AY91" i="22"/>
  <c r="BB91" i="22"/>
  <c r="AW86" i="22"/>
  <c r="AS86" i="22"/>
  <c r="BC86" i="22"/>
  <c r="AT86" i="22"/>
  <c r="AX86" i="22"/>
  <c r="AR86" i="22"/>
  <c r="AZ86" i="22"/>
  <c r="BA86" i="22"/>
  <c r="AU86" i="22"/>
  <c r="BB86" i="22"/>
  <c r="AV86" i="22"/>
  <c r="AY86" i="22"/>
  <c r="BA35" i="22"/>
  <c r="AW35" i="22"/>
  <c r="AX35" i="22"/>
  <c r="AU35" i="22"/>
  <c r="AR35" i="22"/>
  <c r="AS35" i="22"/>
  <c r="AT35" i="22"/>
  <c r="BC35" i="22"/>
  <c r="AZ35" i="22"/>
  <c r="BB35" i="22"/>
  <c r="AV35" i="22"/>
  <c r="AY35" i="22"/>
  <c r="AU13" i="22"/>
  <c r="AV13" i="22"/>
  <c r="BA13" i="22"/>
  <c r="AR13" i="22"/>
  <c r="BB13" i="22"/>
  <c r="AW13" i="22"/>
  <c r="AY13" i="22"/>
  <c r="AZ13" i="22"/>
  <c r="BC13" i="22"/>
  <c r="AS13" i="22"/>
  <c r="AT13" i="22"/>
  <c r="AX13" i="22"/>
  <c r="AY36" i="22"/>
  <c r="AU36" i="22"/>
  <c r="AV36" i="22"/>
  <c r="AX36" i="22"/>
  <c r="AS36" i="22"/>
  <c r="AW36" i="22"/>
  <c r="AZ36" i="22"/>
  <c r="BA36" i="22"/>
  <c r="AT36" i="22"/>
  <c r="BB36" i="22"/>
  <c r="AR36" i="22"/>
  <c r="BC36" i="22"/>
  <c r="AZ120" i="22"/>
  <c r="AW120" i="22"/>
  <c r="AR120" i="22"/>
  <c r="AS120" i="22"/>
  <c r="BA120" i="22"/>
  <c r="BC120" i="22"/>
  <c r="AX120" i="22"/>
  <c r="AY120" i="22"/>
  <c r="BB120" i="22"/>
  <c r="AT120" i="22"/>
  <c r="AU120" i="22"/>
  <c r="AV120" i="22"/>
  <c r="AY16" i="22"/>
  <c r="AZ16" i="22"/>
  <c r="AU16" i="22"/>
  <c r="AV16" i="22"/>
  <c r="AS16" i="22"/>
  <c r="BC16" i="22"/>
  <c r="AX16" i="22"/>
  <c r="BA16" i="22"/>
  <c r="AT16" i="22"/>
  <c r="AW16" i="22"/>
  <c r="AR16" i="22"/>
  <c r="BB16" i="22"/>
  <c r="AS28" i="22"/>
  <c r="BC28" i="22"/>
  <c r="AY28" i="22"/>
  <c r="AZ28" i="22"/>
  <c r="AV28" i="22"/>
  <c r="AR28" i="22"/>
  <c r="AT28" i="22"/>
  <c r="AU28" i="22"/>
  <c r="AW28" i="22"/>
  <c r="AX28" i="22"/>
  <c r="BA28" i="22"/>
  <c r="BB28" i="22"/>
  <c r="BA40" i="22"/>
  <c r="AW40" i="22"/>
  <c r="AX40" i="22"/>
  <c r="AS40" i="22"/>
  <c r="BC40" i="22"/>
  <c r="BB40" i="22"/>
  <c r="AV40" i="22"/>
  <c r="AY40" i="22"/>
  <c r="AZ40" i="22"/>
  <c r="AR40" i="22"/>
  <c r="AT40" i="22"/>
  <c r="AU40" i="22"/>
  <c r="AY90" i="22"/>
  <c r="AU90" i="22"/>
  <c r="AV90" i="22"/>
  <c r="AR90" i="22"/>
  <c r="BB90" i="22"/>
  <c r="AZ90" i="22"/>
  <c r="AS90" i="22"/>
  <c r="AT90" i="22"/>
  <c r="AW90" i="22"/>
  <c r="AX90" i="22"/>
  <c r="BA90" i="22"/>
  <c r="BC90" i="22"/>
  <c r="AV117" i="22"/>
  <c r="AS117" i="22"/>
  <c r="BC117" i="22"/>
  <c r="BB117" i="22"/>
  <c r="AY117" i="22"/>
  <c r="AX117" i="22"/>
  <c r="AZ117" i="22"/>
  <c r="AR117" i="22"/>
  <c r="AT117" i="22"/>
  <c r="AU117" i="22"/>
  <c r="AW117" i="22"/>
  <c r="BA117" i="22"/>
  <c r="BA10" i="22"/>
  <c r="AR10" i="22"/>
  <c r="BB10" i="22"/>
  <c r="AW10" i="22"/>
  <c r="AX10" i="22"/>
  <c r="AY10" i="22"/>
  <c r="AT10" i="22"/>
  <c r="AS10" i="22"/>
  <c r="AU10" i="22"/>
  <c r="AV10" i="22"/>
  <c r="AZ10" i="22"/>
  <c r="BC10" i="22"/>
  <c r="AU43" i="22"/>
  <c r="BA43" i="22"/>
  <c r="AR43" i="22"/>
  <c r="BB43" i="22"/>
  <c r="AY43" i="22"/>
  <c r="AV43" i="22"/>
  <c r="BC43" i="22"/>
  <c r="AW43" i="22"/>
  <c r="AZ43" i="22"/>
  <c r="AS43" i="22"/>
  <c r="AT43" i="22"/>
  <c r="AX43" i="22"/>
  <c r="AV112" i="22"/>
  <c r="AS112" i="22"/>
  <c r="BC112" i="22"/>
  <c r="AZ112" i="22"/>
  <c r="BA112" i="22"/>
  <c r="AW112" i="22"/>
  <c r="AR112" i="22"/>
  <c r="AT112" i="22"/>
  <c r="AU112" i="22"/>
  <c r="AX112" i="22"/>
  <c r="AY112" i="22"/>
  <c r="BB112" i="22"/>
  <c r="AV27" i="22"/>
  <c r="AW27" i="22"/>
  <c r="AX27" i="22"/>
  <c r="AY27" i="22"/>
  <c r="AR27" i="22"/>
  <c r="AZ27" i="22"/>
  <c r="AS27" i="22"/>
  <c r="BA27" i="22"/>
  <c r="AT27" i="22"/>
  <c r="BB27" i="22"/>
  <c r="AU27" i="22"/>
  <c r="BC27" i="22"/>
  <c r="AV123" i="22"/>
  <c r="AW123" i="22"/>
  <c r="AX123" i="22"/>
  <c r="AU123" i="22"/>
  <c r="BC123" i="22"/>
  <c r="AR123" i="22"/>
  <c r="AT123" i="22"/>
  <c r="AY123" i="22"/>
  <c r="BA123" i="22"/>
  <c r="AS123" i="22"/>
  <c r="BB123" i="22"/>
  <c r="AZ123" i="22"/>
  <c r="AR26" i="22"/>
  <c r="AZ26" i="22"/>
  <c r="AS26" i="22"/>
  <c r="BA26" i="22"/>
  <c r="AT26" i="22"/>
  <c r="BB26" i="22"/>
  <c r="AU26" i="22"/>
  <c r="BC26" i="22"/>
  <c r="AV26" i="22"/>
  <c r="AW26" i="22"/>
  <c r="AX26" i="22"/>
  <c r="AY26" i="22"/>
  <c r="AV25" i="22"/>
  <c r="AW25" i="22"/>
  <c r="AX25" i="22"/>
  <c r="AY25" i="22"/>
  <c r="AR25" i="22"/>
  <c r="AZ25" i="22"/>
  <c r="AS25" i="22"/>
  <c r="BA25" i="22"/>
  <c r="AT25" i="22"/>
  <c r="BB25" i="22"/>
  <c r="AU25" i="22"/>
  <c r="BC25" i="22"/>
  <c r="N40" i="26"/>
  <c r="N144" i="22" s="1"/>
  <c r="O144" i="22"/>
  <c r="AA18" i="19"/>
  <c r="AA139" i="22" s="1"/>
  <c r="AO139" i="22" s="1"/>
  <c r="Z139" i="22"/>
  <c r="AN139" i="22" s="1"/>
  <c r="O18" i="19"/>
  <c r="V122" i="22"/>
  <c r="AJ122" i="22" s="1"/>
  <c r="AF102" i="22"/>
  <c r="R100" i="22"/>
  <c r="AF100" i="22" s="1"/>
  <c r="AE108" i="22"/>
  <c r="Q107" i="22"/>
  <c r="AE107" i="22" s="1"/>
  <c r="AB22" i="22"/>
  <c r="V24" i="22"/>
  <c r="AJ24" i="22" s="1"/>
  <c r="AB96" i="22"/>
  <c r="S29" i="26"/>
  <c r="S98" i="22" s="1"/>
  <c r="AG98" i="22" s="1"/>
  <c r="S27" i="26"/>
  <c r="S97" i="22" s="1"/>
  <c r="AG97" i="22" s="1"/>
  <c r="AF99" i="22"/>
  <c r="S34" i="26"/>
  <c r="S102" i="22" s="1"/>
  <c r="AF103" i="22"/>
  <c r="S101" i="22"/>
  <c r="S99" i="22"/>
  <c r="AF101" i="22"/>
  <c r="AB23" i="22"/>
  <c r="N12" i="25"/>
  <c r="N12" i="22" s="1"/>
  <c r="AB13" i="22"/>
  <c r="AB21" i="22"/>
  <c r="AB9" i="22"/>
  <c r="AB16" i="22"/>
  <c r="AB15" i="22"/>
  <c r="AB11" i="22"/>
  <c r="AB14" i="22"/>
  <c r="AB10" i="22"/>
  <c r="AB7" i="22"/>
  <c r="AB8" i="22"/>
  <c r="AB30" i="22"/>
  <c r="AB20" i="22"/>
  <c r="AB26" i="22"/>
  <c r="AB27" i="22"/>
  <c r="AB28" i="22"/>
  <c r="AC90" i="22"/>
  <c r="N19" i="25"/>
  <c r="N18" i="22" s="1"/>
  <c r="N36" i="26"/>
  <c r="N103" i="22" s="1"/>
  <c r="AC87" i="22"/>
  <c r="AC47" i="22"/>
  <c r="AC44" i="22"/>
  <c r="AC43" i="22"/>
  <c r="AC45" i="22"/>
  <c r="AC31" i="22"/>
  <c r="AC64" i="22"/>
  <c r="AC88" i="22"/>
  <c r="AC38" i="22"/>
  <c r="AC69" i="22"/>
  <c r="AC65" i="22"/>
  <c r="AC67" i="22"/>
  <c r="AC89" i="22"/>
  <c r="AB89" i="22" s="1"/>
  <c r="AC66" i="22"/>
  <c r="AC68" i="22"/>
  <c r="AC48" i="22"/>
  <c r="AC32" i="22"/>
  <c r="AC34" i="22"/>
  <c r="AC6" i="22"/>
  <c r="AQ90" i="22" l="1"/>
  <c r="AP90" i="22" s="1"/>
  <c r="AQ111" i="22"/>
  <c r="AP111" i="22" s="1"/>
  <c r="AQ10" i="22"/>
  <c r="AP10" i="22" s="1"/>
  <c r="AQ41" i="22"/>
  <c r="AP41" i="22" s="1"/>
  <c r="AQ96" i="22"/>
  <c r="AP96" i="22" s="1"/>
  <c r="AQ89" i="22"/>
  <c r="AP89" i="22" s="1"/>
  <c r="AQ110" i="22"/>
  <c r="AP110" i="22" s="1"/>
  <c r="AQ121" i="22"/>
  <c r="AP121" i="22" s="1"/>
  <c r="AQ32" i="22"/>
  <c r="AP32" i="22" s="1"/>
  <c r="AQ7" i="22"/>
  <c r="AP7" i="22" s="1"/>
  <c r="AQ28" i="22"/>
  <c r="AP28" i="22" s="1"/>
  <c r="AQ13" i="22"/>
  <c r="AP13" i="22" s="1"/>
  <c r="AQ84" i="22"/>
  <c r="AP84" i="22" s="1"/>
  <c r="AQ42" i="22"/>
  <c r="AP42" i="22" s="1"/>
  <c r="AQ36" i="22"/>
  <c r="AP36" i="22" s="1"/>
  <c r="AQ114" i="22"/>
  <c r="AP114" i="22" s="1"/>
  <c r="AQ39" i="22"/>
  <c r="AP39" i="22" s="1"/>
  <c r="AQ87" i="22"/>
  <c r="AP87" i="22" s="1"/>
  <c r="AQ38" i="22"/>
  <c r="AP38" i="22" s="1"/>
  <c r="AQ20" i="22"/>
  <c r="AP20" i="22" s="1"/>
  <c r="AQ117" i="22"/>
  <c r="AP117" i="22" s="1"/>
  <c r="AQ35" i="22"/>
  <c r="AP35" i="22" s="1"/>
  <c r="AQ86" i="22"/>
  <c r="AP86" i="22" s="1"/>
  <c r="AQ116" i="22"/>
  <c r="AP116" i="22" s="1"/>
  <c r="AQ8" i="22"/>
  <c r="AP8" i="22" s="1"/>
  <c r="AQ6" i="22"/>
  <c r="AP6" i="22" s="1"/>
  <c r="AQ17" i="22"/>
  <c r="AP17" i="22" s="1"/>
  <c r="AQ31" i="22"/>
  <c r="AP31" i="22" s="1"/>
  <c r="AQ119" i="22"/>
  <c r="AP119" i="22" s="1"/>
  <c r="AQ93" i="22"/>
  <c r="AP93" i="22" s="1"/>
  <c r="AW12" i="22"/>
  <c r="AX12" i="22"/>
  <c r="AS12" i="22"/>
  <c r="BC12" i="22"/>
  <c r="AT12" i="22"/>
  <c r="BB12" i="22"/>
  <c r="AR12" i="22"/>
  <c r="AU12" i="22"/>
  <c r="AZ12" i="22"/>
  <c r="BA12" i="22"/>
  <c r="AV12" i="22"/>
  <c r="AY12" i="22"/>
  <c r="AQ40" i="22"/>
  <c r="AP40" i="22" s="1"/>
  <c r="AQ34" i="22"/>
  <c r="AP34" i="22" s="1"/>
  <c r="AQ94" i="22"/>
  <c r="AP94" i="22" s="1"/>
  <c r="AQ21" i="22"/>
  <c r="AP21" i="22" s="1"/>
  <c r="BA103" i="22"/>
  <c r="AW103" i="22"/>
  <c r="AX103" i="22"/>
  <c r="AY103" i="22"/>
  <c r="AT103" i="22"/>
  <c r="AZ103" i="22"/>
  <c r="AR103" i="22"/>
  <c r="BB103" i="22"/>
  <c r="BC103" i="22"/>
  <c r="AS103" i="22"/>
  <c r="AU103" i="22"/>
  <c r="AV103" i="22"/>
  <c r="AQ43" i="22"/>
  <c r="AP43" i="22" s="1"/>
  <c r="AQ37" i="22"/>
  <c r="AP37" i="22" s="1"/>
  <c r="AQ33" i="22"/>
  <c r="AP33" i="22" s="1"/>
  <c r="AQ30" i="22"/>
  <c r="AP30" i="22" s="1"/>
  <c r="AQ15" i="22"/>
  <c r="AP15" i="22" s="1"/>
  <c r="AQ118" i="22"/>
  <c r="AP118" i="22" s="1"/>
  <c r="AQ85" i="22"/>
  <c r="AP85" i="22" s="1"/>
  <c r="AQ137" i="22"/>
  <c r="AP137" i="22" s="1"/>
  <c r="AU18" i="22"/>
  <c r="AV18" i="22"/>
  <c r="BA18" i="22"/>
  <c r="AR18" i="22"/>
  <c r="BB18" i="22"/>
  <c r="BC18" i="22"/>
  <c r="AX18" i="22"/>
  <c r="AZ18" i="22"/>
  <c r="AT18" i="22"/>
  <c r="AW18" i="22"/>
  <c r="AY18" i="22"/>
  <c r="AS18" i="22"/>
  <c r="AQ91" i="22"/>
  <c r="AP91" i="22" s="1"/>
  <c r="AQ14" i="22"/>
  <c r="AP14" i="22" s="1"/>
  <c r="AQ112" i="22"/>
  <c r="AP112" i="22" s="1"/>
  <c r="AQ16" i="22"/>
  <c r="AP16" i="22" s="1"/>
  <c r="AQ120" i="22"/>
  <c r="AP120" i="22" s="1"/>
  <c r="AQ88" i="22"/>
  <c r="AP88" i="22" s="1"/>
  <c r="AQ9" i="22"/>
  <c r="AP9" i="22" s="1"/>
  <c r="AQ22" i="22"/>
  <c r="AP22" i="22" s="1"/>
  <c r="AQ11" i="22"/>
  <c r="AP11" i="22" s="1"/>
  <c r="AQ92" i="22"/>
  <c r="AP92" i="22" s="1"/>
  <c r="AQ27" i="22"/>
  <c r="AP27" i="22" s="1"/>
  <c r="AB144" i="22"/>
  <c r="AW144" i="22"/>
  <c r="AV144" i="22"/>
  <c r="BC144" i="22"/>
  <c r="AU144" i="22"/>
  <c r="BB144" i="22"/>
  <c r="AT144" i="22"/>
  <c r="BA144" i="22"/>
  <c r="AS144" i="22"/>
  <c r="AZ144" i="22"/>
  <c r="AR144" i="22"/>
  <c r="AY144" i="22"/>
  <c r="AX144" i="22"/>
  <c r="AQ25" i="22"/>
  <c r="AP25" i="22" s="1"/>
  <c r="AQ26" i="22"/>
  <c r="AP26" i="22" s="1"/>
  <c r="AQ123" i="22"/>
  <c r="AP123" i="22" s="1"/>
  <c r="N18" i="19"/>
  <c r="N139" i="22" s="1"/>
  <c r="O139" i="22"/>
  <c r="AC139" i="22"/>
  <c r="AB139" i="22" s="1"/>
  <c r="W122" i="22"/>
  <c r="AK122" i="22" s="1"/>
  <c r="AG102" i="22"/>
  <c r="S100" i="22"/>
  <c r="AG100" i="22" s="1"/>
  <c r="AF108" i="22"/>
  <c r="R107" i="22"/>
  <c r="AF107" i="22" s="1"/>
  <c r="W24" i="22"/>
  <c r="AK24" i="22" s="1"/>
  <c r="AB18" i="22"/>
  <c r="AB6" i="22"/>
  <c r="T29" i="26"/>
  <c r="T98" i="22" s="1"/>
  <c r="AH98" i="22" s="1"/>
  <c r="T27" i="26"/>
  <c r="T97" i="22" s="1"/>
  <c r="AH97" i="22" s="1"/>
  <c r="AG99" i="22"/>
  <c r="T34" i="26"/>
  <c r="T102" i="22" s="1"/>
  <c r="AG103" i="22"/>
  <c r="T99" i="22"/>
  <c r="AG101" i="22"/>
  <c r="T101" i="22"/>
  <c r="AB17" i="22"/>
  <c r="AB12" i="22"/>
  <c r="L45" i="23"/>
  <c r="L138" i="22" s="1"/>
  <c r="K45" i="23"/>
  <c r="K138" i="22" s="1"/>
  <c r="L44" i="23"/>
  <c r="L137" i="22" s="1"/>
  <c r="K44" i="23"/>
  <c r="K137" i="22" s="1"/>
  <c r="L43" i="23"/>
  <c r="L136" i="22" s="1"/>
  <c r="K43" i="23"/>
  <c r="K136" i="22" s="1"/>
  <c r="L42" i="23"/>
  <c r="L135" i="22" s="1"/>
  <c r="K42" i="23"/>
  <c r="K135" i="22" s="1"/>
  <c r="L40" i="23"/>
  <c r="L134" i="22" s="1"/>
  <c r="K40" i="23"/>
  <c r="K134" i="22" s="1"/>
  <c r="L38" i="23"/>
  <c r="L133" i="22" s="1"/>
  <c r="K38" i="23"/>
  <c r="K133" i="22" s="1"/>
  <c r="L37" i="23"/>
  <c r="L132" i="22" s="1"/>
  <c r="K37" i="23"/>
  <c r="K132" i="22" s="1"/>
  <c r="L36" i="23"/>
  <c r="L131" i="22" s="1"/>
  <c r="K36" i="23"/>
  <c r="K131" i="22" s="1"/>
  <c r="L35" i="23"/>
  <c r="L130" i="22" s="1"/>
  <c r="K35" i="23"/>
  <c r="K130" i="22" s="1"/>
  <c r="L33" i="23"/>
  <c r="L129" i="22" s="1"/>
  <c r="K33" i="23"/>
  <c r="K129" i="22" s="1"/>
  <c r="L32" i="23"/>
  <c r="L128" i="22" s="1"/>
  <c r="K32" i="23"/>
  <c r="K128" i="22" s="1"/>
  <c r="L31" i="23"/>
  <c r="L127" i="22" s="1"/>
  <c r="K31" i="23"/>
  <c r="K127" i="22" s="1"/>
  <c r="L30" i="23"/>
  <c r="L126" i="22" s="1"/>
  <c r="K30" i="23"/>
  <c r="K126" i="22" s="1"/>
  <c r="L28" i="23"/>
  <c r="L125" i="22" s="1"/>
  <c r="K28" i="23"/>
  <c r="K125" i="22" s="1"/>
  <c r="L27" i="23"/>
  <c r="L124" i="22" s="1"/>
  <c r="K27" i="23"/>
  <c r="K124" i="22" s="1"/>
  <c r="L25" i="23"/>
  <c r="L123" i="22" s="1"/>
  <c r="K25" i="23"/>
  <c r="K123" i="22" s="1"/>
  <c r="L23" i="23"/>
  <c r="L122" i="22" s="1"/>
  <c r="K23" i="23"/>
  <c r="K122" i="22" s="1"/>
  <c r="L20" i="23"/>
  <c r="L121" i="22" s="1"/>
  <c r="K20" i="23"/>
  <c r="K121" i="22" s="1"/>
  <c r="L19" i="23"/>
  <c r="L120" i="22" s="1"/>
  <c r="K19" i="23"/>
  <c r="K120" i="22" s="1"/>
  <c r="L18" i="23"/>
  <c r="L119" i="22" s="1"/>
  <c r="K18" i="23"/>
  <c r="K119" i="22" s="1"/>
  <c r="L16" i="23"/>
  <c r="L118" i="22" s="1"/>
  <c r="K16" i="23"/>
  <c r="K118" i="22" s="1"/>
  <c r="L13" i="23"/>
  <c r="L115" i="22" s="1"/>
  <c r="K13" i="23"/>
  <c r="K115" i="22" s="1"/>
  <c r="L12" i="23"/>
  <c r="L114" i="22" s="1"/>
  <c r="K12" i="23"/>
  <c r="K114" i="22" s="1"/>
  <c r="L11" i="23"/>
  <c r="L113" i="22" s="1"/>
  <c r="K11" i="23"/>
  <c r="K113" i="22" s="1"/>
  <c r="L10" i="23"/>
  <c r="L112" i="22" s="1"/>
  <c r="K10" i="23"/>
  <c r="K112" i="22" s="1"/>
  <c r="L9" i="23"/>
  <c r="L111" i="22" s="1"/>
  <c r="K9" i="23"/>
  <c r="K111" i="22" s="1"/>
  <c r="L8" i="23"/>
  <c r="L110" i="22" s="1"/>
  <c r="K8" i="23"/>
  <c r="K110" i="22" s="1"/>
  <c r="L7" i="23"/>
  <c r="L109" i="22" s="1"/>
  <c r="K7" i="23"/>
  <c r="K109" i="22" s="1"/>
  <c r="L6" i="23"/>
  <c r="L108" i="22" s="1"/>
  <c r="K6" i="23"/>
  <c r="K108" i="22" s="1"/>
  <c r="V45" i="23"/>
  <c r="V138" i="22" s="1"/>
  <c r="AJ138" i="22" s="1"/>
  <c r="AC138" i="22" s="1"/>
  <c r="V43" i="23"/>
  <c r="V136" i="22" s="1"/>
  <c r="AJ136" i="22" s="1"/>
  <c r="AC136" i="22" s="1"/>
  <c r="V42" i="23"/>
  <c r="V135" i="22" s="1"/>
  <c r="AJ135" i="22" s="1"/>
  <c r="AC135" i="22" s="1"/>
  <c r="AA35" i="23"/>
  <c r="AA130" i="22" s="1"/>
  <c r="AO130" i="22" s="1"/>
  <c r="Z35" i="23"/>
  <c r="Z130" i="22" s="1"/>
  <c r="AN130" i="22" s="1"/>
  <c r="Y35" i="23"/>
  <c r="Y130" i="22" s="1"/>
  <c r="AM130" i="22" s="1"/>
  <c r="X35" i="23"/>
  <c r="X130" i="22" s="1"/>
  <c r="AL130" i="22" s="1"/>
  <c r="W35" i="23"/>
  <c r="W130" i="22" s="1"/>
  <c r="AK130" i="22" s="1"/>
  <c r="V35" i="23"/>
  <c r="V130" i="22" s="1"/>
  <c r="AJ130" i="22" s="1"/>
  <c r="U35" i="23"/>
  <c r="U130" i="22" s="1"/>
  <c r="AI130" i="22" s="1"/>
  <c r="T35" i="23"/>
  <c r="T130" i="22" s="1"/>
  <c r="AH130" i="22" s="1"/>
  <c r="S35" i="23"/>
  <c r="S130" i="22" s="1"/>
  <c r="AG130" i="22" s="1"/>
  <c r="R35" i="23"/>
  <c r="R130" i="22" s="1"/>
  <c r="AF130" i="22" s="1"/>
  <c r="Q35" i="23"/>
  <c r="Q130" i="22" s="1"/>
  <c r="AE130" i="22" s="1"/>
  <c r="P35" i="23"/>
  <c r="P130" i="22" s="1"/>
  <c r="AD130" i="22" s="1"/>
  <c r="Q33" i="23"/>
  <c r="Q32" i="23"/>
  <c r="Q128" i="22" s="1"/>
  <c r="AE128" i="22" s="1"/>
  <c r="Q31" i="23"/>
  <c r="Q127" i="22" s="1"/>
  <c r="AE127" i="22" s="1"/>
  <c r="Q30" i="23"/>
  <c r="Q28" i="23"/>
  <c r="Q125" i="22" s="1"/>
  <c r="AE125" i="22" s="1"/>
  <c r="Q27" i="23"/>
  <c r="Q124" i="22" s="1"/>
  <c r="AE124" i="22" s="1"/>
  <c r="X13" i="23"/>
  <c r="X115" i="22" s="1"/>
  <c r="AL115" i="22" s="1"/>
  <c r="AC115" i="22" s="1"/>
  <c r="AA7" i="23"/>
  <c r="AA109" i="22" s="1"/>
  <c r="AO109" i="22" s="1"/>
  <c r="Z7" i="23"/>
  <c r="Z109" i="22" s="1"/>
  <c r="AN109" i="22" s="1"/>
  <c r="Y7" i="23"/>
  <c r="Y109" i="22" s="1"/>
  <c r="AM109" i="22" s="1"/>
  <c r="X7" i="23"/>
  <c r="X109" i="22" s="1"/>
  <c r="AL109" i="22" s="1"/>
  <c r="W7" i="23"/>
  <c r="W109" i="22" s="1"/>
  <c r="AK109" i="22" s="1"/>
  <c r="V7" i="23"/>
  <c r="V109" i="22" s="1"/>
  <c r="AJ109" i="22" s="1"/>
  <c r="U7" i="23"/>
  <c r="U109" i="22" s="1"/>
  <c r="AI109" i="22" s="1"/>
  <c r="T7" i="23"/>
  <c r="T109" i="22" s="1"/>
  <c r="AH109" i="22" s="1"/>
  <c r="S7" i="23"/>
  <c r="S109" i="22" s="1"/>
  <c r="AG109" i="22" s="1"/>
  <c r="R7" i="23"/>
  <c r="R109" i="22" s="1"/>
  <c r="AF109" i="22" s="1"/>
  <c r="Q7" i="23"/>
  <c r="Q109" i="22" s="1"/>
  <c r="AE109" i="22" s="1"/>
  <c r="P7" i="23"/>
  <c r="P109" i="22" s="1"/>
  <c r="AD109" i="22" s="1"/>
  <c r="O6" i="23"/>
  <c r="O108" i="22" s="1"/>
  <c r="AD63" i="22"/>
  <c r="L36" i="20"/>
  <c r="L83" i="22" s="1"/>
  <c r="K36" i="20"/>
  <c r="K83" i="22" s="1"/>
  <c r="L34" i="20"/>
  <c r="L82" i="22" s="1"/>
  <c r="K34" i="20"/>
  <c r="K82" i="22" s="1"/>
  <c r="L33" i="20"/>
  <c r="L81" i="22" s="1"/>
  <c r="K33" i="20"/>
  <c r="K81" i="22" s="1"/>
  <c r="AO60" i="22"/>
  <c r="AN60" i="22"/>
  <c r="AM60" i="22"/>
  <c r="AL60" i="22"/>
  <c r="AK60" i="22"/>
  <c r="AJ60" i="22"/>
  <c r="AI60" i="22"/>
  <c r="AH60" i="22"/>
  <c r="AG60" i="22"/>
  <c r="AE60" i="22"/>
  <c r="AD60" i="22"/>
  <c r="L32" i="20"/>
  <c r="L80" i="22" s="1"/>
  <c r="K32" i="20"/>
  <c r="K80" i="22" s="1"/>
  <c r="Q30" i="20"/>
  <c r="Q79" i="22" s="1"/>
  <c r="L30" i="20"/>
  <c r="L79" i="22" s="1"/>
  <c r="K30" i="20"/>
  <c r="K79" i="22" s="1"/>
  <c r="L27" i="20"/>
  <c r="L78" i="22" s="1"/>
  <c r="K27" i="20"/>
  <c r="K78" i="22" s="1"/>
  <c r="V77" i="22"/>
  <c r="AJ77" i="22" s="1"/>
  <c r="Q77" i="22"/>
  <c r="AE77" i="22" s="1"/>
  <c r="L26" i="20"/>
  <c r="L77" i="22" s="1"/>
  <c r="K26" i="20"/>
  <c r="K77" i="22" s="1"/>
  <c r="V76" i="22"/>
  <c r="AJ76" i="22" s="1"/>
  <c r="Q76" i="22"/>
  <c r="AE76" i="22" s="1"/>
  <c r="L25" i="20"/>
  <c r="L76" i="22" s="1"/>
  <c r="K25" i="20"/>
  <c r="K76" i="22" s="1"/>
  <c r="Q75" i="22"/>
  <c r="AE75" i="22" s="1"/>
  <c r="L24" i="20"/>
  <c r="L75" i="22" s="1"/>
  <c r="K24" i="20"/>
  <c r="K75" i="22" s="1"/>
  <c r="Q23" i="20"/>
  <c r="R23" i="20" s="1"/>
  <c r="S23" i="20" s="1"/>
  <c r="T23" i="20" s="1"/>
  <c r="U23" i="20" s="1"/>
  <c r="L23" i="20"/>
  <c r="L74" i="22" s="1"/>
  <c r="K23" i="20"/>
  <c r="K74" i="22" s="1"/>
  <c r="Q22" i="20"/>
  <c r="L22" i="20"/>
  <c r="L73" i="22" s="1"/>
  <c r="K22" i="20"/>
  <c r="K73" i="22" s="1"/>
  <c r="Q21" i="20"/>
  <c r="L21" i="20"/>
  <c r="L72" i="22" s="1"/>
  <c r="K21" i="20"/>
  <c r="K72" i="22" s="1"/>
  <c r="V20" i="20"/>
  <c r="V71" i="22" s="1"/>
  <c r="AJ71" i="22" s="1"/>
  <c r="Q20" i="20"/>
  <c r="Q71" i="22" s="1"/>
  <c r="AE71" i="22" s="1"/>
  <c r="L20" i="20"/>
  <c r="L71" i="22" s="1"/>
  <c r="K20" i="20"/>
  <c r="K71" i="22" s="1"/>
  <c r="Q19" i="20"/>
  <c r="L19" i="20"/>
  <c r="L70" i="22" s="1"/>
  <c r="K19" i="20"/>
  <c r="K70" i="22" s="1"/>
  <c r="O16" i="20"/>
  <c r="O69" i="22" s="1"/>
  <c r="L16" i="20"/>
  <c r="L69" i="22" s="1"/>
  <c r="K16" i="20"/>
  <c r="K69" i="22" s="1"/>
  <c r="O15" i="20"/>
  <c r="O68" i="22" s="1"/>
  <c r="L15" i="20"/>
  <c r="L68" i="22" s="1"/>
  <c r="K15" i="20"/>
  <c r="K68" i="22" s="1"/>
  <c r="O14" i="20"/>
  <c r="O67" i="22" s="1"/>
  <c r="L14" i="20"/>
  <c r="L67" i="22" s="1"/>
  <c r="K14" i="20"/>
  <c r="K67" i="22" s="1"/>
  <c r="O13" i="20"/>
  <c r="O66" i="22" s="1"/>
  <c r="L13" i="20"/>
  <c r="L66" i="22" s="1"/>
  <c r="K13" i="20"/>
  <c r="K66" i="22" s="1"/>
  <c r="O12" i="20"/>
  <c r="O65" i="22" s="1"/>
  <c r="L12" i="20"/>
  <c r="L65" i="22" s="1"/>
  <c r="K12" i="20"/>
  <c r="K65" i="22" s="1"/>
  <c r="O11" i="20"/>
  <c r="O64" i="22" s="1"/>
  <c r="L11" i="20"/>
  <c r="L64" i="22" s="1"/>
  <c r="K11" i="20"/>
  <c r="K64" i="22" s="1"/>
  <c r="O10" i="20"/>
  <c r="O63" i="22" s="1"/>
  <c r="L10" i="20"/>
  <c r="L63" i="22" s="1"/>
  <c r="K10" i="20"/>
  <c r="K63" i="22" s="1"/>
  <c r="O9" i="20"/>
  <c r="O62" i="22" s="1"/>
  <c r="L9" i="20"/>
  <c r="L62" i="22" s="1"/>
  <c r="K9" i="20"/>
  <c r="K62" i="22" s="1"/>
  <c r="O6" i="20"/>
  <c r="N4" i="20"/>
  <c r="O30" i="19"/>
  <c r="O61" i="22" s="1"/>
  <c r="N30" i="19"/>
  <c r="L30" i="19"/>
  <c r="L61" i="22" s="1"/>
  <c r="K30" i="19"/>
  <c r="K61" i="22" s="1"/>
  <c r="O29" i="19"/>
  <c r="O60" i="22" s="1"/>
  <c r="L29" i="19"/>
  <c r="L60" i="22" s="1"/>
  <c r="K29" i="19"/>
  <c r="K60" i="22" s="1"/>
  <c r="O28" i="19"/>
  <c r="O59" i="22" s="1"/>
  <c r="L28" i="19"/>
  <c r="L59" i="22" s="1"/>
  <c r="K28" i="19"/>
  <c r="K59" i="22" s="1"/>
  <c r="O27" i="19"/>
  <c r="O58" i="22" s="1"/>
  <c r="L27" i="19"/>
  <c r="L58" i="22" s="1"/>
  <c r="K27" i="19"/>
  <c r="K58" i="22" s="1"/>
  <c r="L24" i="19"/>
  <c r="L57" i="22" s="1"/>
  <c r="K24" i="19"/>
  <c r="K57" i="22" s="1"/>
  <c r="L23" i="19"/>
  <c r="L56" i="22" s="1"/>
  <c r="K23" i="19"/>
  <c r="K56" i="22" s="1"/>
  <c r="L22" i="19"/>
  <c r="L55" i="22" s="1"/>
  <c r="K22" i="19"/>
  <c r="K55" i="22" s="1"/>
  <c r="L21" i="19"/>
  <c r="L54" i="22" s="1"/>
  <c r="K21" i="19"/>
  <c r="K54" i="22" s="1"/>
  <c r="O20" i="19"/>
  <c r="O53" i="22" s="1"/>
  <c r="L20" i="19"/>
  <c r="L53" i="22" s="1"/>
  <c r="K20" i="19"/>
  <c r="K53" i="22" s="1"/>
  <c r="Q17" i="19"/>
  <c r="L17" i="19"/>
  <c r="L52" i="22" s="1"/>
  <c r="K17" i="19"/>
  <c r="K52" i="22" s="1"/>
  <c r="Q15" i="19"/>
  <c r="Q51" i="22" s="1"/>
  <c r="AE51" i="22" s="1"/>
  <c r="L15" i="19"/>
  <c r="L51" i="22" s="1"/>
  <c r="K15" i="19"/>
  <c r="K51" i="22" s="1"/>
  <c r="Q14" i="19"/>
  <c r="R14" i="19" s="1"/>
  <c r="R50" i="22" s="1"/>
  <c r="AF50" i="22" s="1"/>
  <c r="L14" i="19"/>
  <c r="L50" i="22" s="1"/>
  <c r="K14" i="19"/>
  <c r="K50" i="22" s="1"/>
  <c r="Q49" i="22"/>
  <c r="AE49" i="22" s="1"/>
  <c r="L13" i="19"/>
  <c r="L49" i="22" s="1"/>
  <c r="K13" i="19"/>
  <c r="K49" i="22" s="1"/>
  <c r="O10" i="19"/>
  <c r="O48" i="22" s="1"/>
  <c r="L10" i="19"/>
  <c r="L48" i="22" s="1"/>
  <c r="K10" i="19"/>
  <c r="K48" i="22" s="1"/>
  <c r="O9" i="19"/>
  <c r="O47" i="22" s="1"/>
  <c r="L9" i="19"/>
  <c r="L47" i="22" s="1"/>
  <c r="K9" i="19"/>
  <c r="K47" i="22" s="1"/>
  <c r="V8" i="19"/>
  <c r="O8" i="19" s="1"/>
  <c r="O46" i="22" s="1"/>
  <c r="L8" i="19"/>
  <c r="L46" i="22" s="1"/>
  <c r="K8" i="19"/>
  <c r="K46" i="22" s="1"/>
  <c r="O7" i="19"/>
  <c r="O45" i="22" s="1"/>
  <c r="L7" i="19"/>
  <c r="L45" i="22" s="1"/>
  <c r="K7" i="19"/>
  <c r="K45" i="22" s="1"/>
  <c r="L6" i="19"/>
  <c r="L44" i="22" s="1"/>
  <c r="K6" i="19"/>
  <c r="K44" i="22" s="1"/>
  <c r="N4" i="19"/>
  <c r="AQ103" i="22" l="1"/>
  <c r="AP103" i="22" s="1"/>
  <c r="AQ12" i="22"/>
  <c r="AP12" i="22" s="1"/>
  <c r="AV139" i="22"/>
  <c r="AS139" i="22"/>
  <c r="BC139" i="22"/>
  <c r="AU139" i="22"/>
  <c r="AW139" i="22"/>
  <c r="AR139" i="22"/>
  <c r="BB139" i="22"/>
  <c r="AT139" i="22"/>
  <c r="AX139" i="22"/>
  <c r="AY139" i="22"/>
  <c r="AZ139" i="22"/>
  <c r="BA139" i="22"/>
  <c r="AQ18" i="22"/>
  <c r="AP18" i="22" s="1"/>
  <c r="AQ144" i="22"/>
  <c r="AP144" i="22" s="1"/>
  <c r="Q39" i="23"/>
  <c r="Q145" i="22" s="1"/>
  <c r="AE145" i="22" s="1"/>
  <c r="Q72" i="22"/>
  <c r="AE72" i="22" s="1"/>
  <c r="Q35" i="20"/>
  <c r="Q52" i="22"/>
  <c r="AE52" i="22" s="1"/>
  <c r="Q24" i="19"/>
  <c r="AC109" i="22"/>
  <c r="AC130" i="22"/>
  <c r="AE81" i="22"/>
  <c r="Q129" i="22"/>
  <c r="AE129" i="22" s="1"/>
  <c r="AD86" i="22"/>
  <c r="P134" i="22"/>
  <c r="AD134" i="22" s="1"/>
  <c r="AE79" i="22"/>
  <c r="Q126" i="22"/>
  <c r="AE126" i="22" s="1"/>
  <c r="X122" i="22"/>
  <c r="AL122" i="22" s="1"/>
  <c r="AH102" i="22"/>
  <c r="T100" i="22"/>
  <c r="AH100" i="22" s="1"/>
  <c r="AG108" i="22"/>
  <c r="S107" i="22"/>
  <c r="AG107" i="22" s="1"/>
  <c r="N14" i="20"/>
  <c r="N67" i="22" s="1"/>
  <c r="AB67" i="22" s="1"/>
  <c r="V23" i="20"/>
  <c r="U74" i="22"/>
  <c r="AI74" i="22" s="1"/>
  <c r="AE54" i="22"/>
  <c r="Q73" i="22"/>
  <c r="AE73" i="22" s="1"/>
  <c r="AJ56" i="22"/>
  <c r="V75" i="22"/>
  <c r="AJ75" i="22" s="1"/>
  <c r="AE55" i="22"/>
  <c r="Q74" i="22"/>
  <c r="AE74" i="22" s="1"/>
  <c r="AE58" i="22"/>
  <c r="Q78" i="22"/>
  <c r="AE78" i="22" s="1"/>
  <c r="R19" i="20"/>
  <c r="Q70" i="22"/>
  <c r="AE70" i="22" s="1"/>
  <c r="Q83" i="22"/>
  <c r="AE83" i="22" s="1"/>
  <c r="AJ53" i="22"/>
  <c r="AJ59" i="22"/>
  <c r="N28" i="19"/>
  <c r="AD42" i="22"/>
  <c r="P57" i="22"/>
  <c r="AD57" i="22" s="1"/>
  <c r="AE36" i="22"/>
  <c r="Q50" i="22"/>
  <c r="AE50" i="22" s="1"/>
  <c r="AJ33" i="22"/>
  <c r="AC33" i="22" s="1"/>
  <c r="V46" i="22"/>
  <c r="AJ46" i="22" s="1"/>
  <c r="AC46" i="22" s="1"/>
  <c r="N7" i="19"/>
  <c r="N61" i="22"/>
  <c r="X24" i="22"/>
  <c r="AL24" i="22" s="1"/>
  <c r="U29" i="26"/>
  <c r="U98" i="22" s="1"/>
  <c r="AI98" i="22" s="1"/>
  <c r="U27" i="26"/>
  <c r="U97" i="22" s="1"/>
  <c r="AI97" i="22" s="1"/>
  <c r="AH99" i="22"/>
  <c r="U34" i="26"/>
  <c r="U102" i="22" s="1"/>
  <c r="AH103" i="22"/>
  <c r="U99" i="22"/>
  <c r="AH101" i="22"/>
  <c r="U101" i="22"/>
  <c r="W20" i="20"/>
  <c r="W71" i="22" s="1"/>
  <c r="AK71" i="22" s="1"/>
  <c r="R77" i="22"/>
  <c r="AF77" i="22" s="1"/>
  <c r="R22" i="20"/>
  <c r="R73" i="22" s="1"/>
  <c r="AF73" i="22" s="1"/>
  <c r="R76" i="22"/>
  <c r="AF76" i="22" s="1"/>
  <c r="W77" i="22"/>
  <c r="AK77" i="22" s="1"/>
  <c r="N6" i="20"/>
  <c r="AE63" i="22"/>
  <c r="O32" i="20"/>
  <c r="O80" i="22" s="1"/>
  <c r="AF60" i="22"/>
  <c r="AC60" i="22" s="1"/>
  <c r="R21" i="20"/>
  <c r="AE53" i="22"/>
  <c r="R75" i="22"/>
  <c r="AF75" i="22" s="1"/>
  <c r="AE56" i="22"/>
  <c r="W76" i="22"/>
  <c r="AK76" i="22" s="1"/>
  <c r="R30" i="20"/>
  <c r="R79" i="22" s="1"/>
  <c r="AE59" i="22"/>
  <c r="AJ55" i="22"/>
  <c r="R20" i="20"/>
  <c r="R71" i="22" s="1"/>
  <c r="AF71" i="22" s="1"/>
  <c r="W75" i="22"/>
  <c r="AK75" i="22" s="1"/>
  <c r="R78" i="22"/>
  <c r="N12" i="20"/>
  <c r="N65" i="22" s="1"/>
  <c r="N9" i="20"/>
  <c r="N13" i="20"/>
  <c r="N66" i="22" s="1"/>
  <c r="N11" i="20"/>
  <c r="N64" i="22" s="1"/>
  <c r="N15" i="20"/>
  <c r="N68" i="22" s="1"/>
  <c r="N10" i="20"/>
  <c r="N63" i="22" s="1"/>
  <c r="N16" i="20"/>
  <c r="N69" i="22" s="1"/>
  <c r="N10" i="19"/>
  <c r="N48" i="22" s="1"/>
  <c r="N29" i="19"/>
  <c r="N60" i="22" s="1"/>
  <c r="R17" i="19"/>
  <c r="N27" i="19"/>
  <c r="N58" i="22" s="1"/>
  <c r="N9" i="19"/>
  <c r="N47" i="22" s="1"/>
  <c r="N20" i="19"/>
  <c r="N53" i="22" s="1"/>
  <c r="S14" i="19"/>
  <c r="S50" i="22" s="1"/>
  <c r="AG50" i="22" s="1"/>
  <c r="AF36" i="22"/>
  <c r="N8" i="19"/>
  <c r="R15" i="19"/>
  <c r="R51" i="22" s="1"/>
  <c r="AF51" i="22" s="1"/>
  <c r="AE37" i="22"/>
  <c r="R49" i="22"/>
  <c r="AF49" i="22" s="1"/>
  <c r="AE35" i="22"/>
  <c r="AB31" i="22"/>
  <c r="O13" i="23"/>
  <c r="O115" i="22" s="1"/>
  <c r="R31" i="23"/>
  <c r="R127" i="22" s="1"/>
  <c r="AF127" i="22" s="1"/>
  <c r="O45" i="23"/>
  <c r="O138" i="22" s="1"/>
  <c r="N6" i="23"/>
  <c r="N108" i="22" s="1"/>
  <c r="R27" i="23"/>
  <c r="R32" i="23"/>
  <c r="R128" i="22" s="1"/>
  <c r="AF128" i="22" s="1"/>
  <c r="R33" i="23"/>
  <c r="O43" i="23"/>
  <c r="O136" i="22" s="1"/>
  <c r="O35" i="23"/>
  <c r="O130" i="22" s="1"/>
  <c r="O11" i="23"/>
  <c r="O113" i="22" s="1"/>
  <c r="O7" i="23"/>
  <c r="O109" i="22" s="1"/>
  <c r="R28" i="23"/>
  <c r="R125" i="22" s="1"/>
  <c r="AF125" i="22" s="1"/>
  <c r="O42" i="23"/>
  <c r="O135" i="22" s="1"/>
  <c r="R30" i="23"/>
  <c r="AD4" i="22" l="1"/>
  <c r="AQ139" i="22"/>
  <c r="AP139" i="22" s="1"/>
  <c r="AW65" i="22"/>
  <c r="AS65" i="22"/>
  <c r="BC65" i="22"/>
  <c r="AT65" i="22"/>
  <c r="BB65" i="22"/>
  <c r="AY65" i="22"/>
  <c r="AU65" i="22"/>
  <c r="AV65" i="22"/>
  <c r="AX65" i="22"/>
  <c r="AZ65" i="22"/>
  <c r="BA65" i="22"/>
  <c r="AR65" i="22"/>
  <c r="AU61" i="22"/>
  <c r="BA61" i="22"/>
  <c r="AR61" i="22"/>
  <c r="BB61" i="22"/>
  <c r="AT61" i="22"/>
  <c r="AS61" i="22"/>
  <c r="AZ61" i="22"/>
  <c r="AY61" i="22"/>
  <c r="BC61" i="22"/>
  <c r="AV61" i="22"/>
  <c r="AW61" i="22"/>
  <c r="AX61" i="22"/>
  <c r="AW60" i="22"/>
  <c r="AS60" i="22"/>
  <c r="BC60" i="22"/>
  <c r="AT60" i="22"/>
  <c r="BA60" i="22"/>
  <c r="AZ60" i="22"/>
  <c r="BB60" i="22"/>
  <c r="AV60" i="22"/>
  <c r="AR60" i="22"/>
  <c r="AU60" i="22"/>
  <c r="AX60" i="22"/>
  <c r="AY60" i="22"/>
  <c r="BA63" i="22"/>
  <c r="AW63" i="22"/>
  <c r="AX63" i="22"/>
  <c r="AY63" i="22"/>
  <c r="AT63" i="22"/>
  <c r="BB63" i="22"/>
  <c r="BC63" i="22"/>
  <c r="AU63" i="22"/>
  <c r="AV63" i="22"/>
  <c r="AZ63" i="22"/>
  <c r="AR63" i="22"/>
  <c r="AS63" i="22"/>
  <c r="BA58" i="22"/>
  <c r="AW58" i="22"/>
  <c r="AX58" i="22"/>
  <c r="BB58" i="22"/>
  <c r="AV58" i="22"/>
  <c r="AR58" i="22"/>
  <c r="AS58" i="22"/>
  <c r="BC58" i="22"/>
  <c r="AY58" i="22"/>
  <c r="AZ58" i="22"/>
  <c r="AT58" i="22"/>
  <c r="AU58" i="22"/>
  <c r="AY69" i="22"/>
  <c r="AU69" i="22"/>
  <c r="AV69" i="22"/>
  <c r="AX69" i="22"/>
  <c r="AS69" i="22"/>
  <c r="BA69" i="22"/>
  <c r="BB69" i="22"/>
  <c r="BC69" i="22"/>
  <c r="AT69" i="22"/>
  <c r="AR69" i="22"/>
  <c r="AW69" i="22"/>
  <c r="AZ69" i="22"/>
  <c r="AU48" i="22"/>
  <c r="BA48" i="22"/>
  <c r="AR48" i="22"/>
  <c r="BB48" i="22"/>
  <c r="AW48" i="22"/>
  <c r="AS48" i="22"/>
  <c r="AV48" i="22"/>
  <c r="AX48" i="22"/>
  <c r="AY48" i="22"/>
  <c r="BC48" i="22"/>
  <c r="AT48" i="22"/>
  <c r="AZ48" i="22"/>
  <c r="AY108" i="22"/>
  <c r="AU108" i="22"/>
  <c r="AV108" i="22"/>
  <c r="BA108" i="22"/>
  <c r="AW108" i="22"/>
  <c r="AR108" i="22"/>
  <c r="AS108" i="22"/>
  <c r="BB108" i="22"/>
  <c r="BC108" i="22"/>
  <c r="AT108" i="22"/>
  <c r="AX108" i="22"/>
  <c r="AZ108" i="22"/>
  <c r="BA68" i="22"/>
  <c r="AW68" i="22"/>
  <c r="AX68" i="22"/>
  <c r="AU68" i="22"/>
  <c r="AR68" i="22"/>
  <c r="AT68" i="22"/>
  <c r="AV68" i="22"/>
  <c r="AY68" i="22"/>
  <c r="AZ68" i="22"/>
  <c r="BB68" i="22"/>
  <c r="AS68" i="22"/>
  <c r="BC68" i="22"/>
  <c r="AS67" i="22"/>
  <c r="BC67" i="22"/>
  <c r="AY67" i="22"/>
  <c r="AZ67" i="22"/>
  <c r="AT67" i="22"/>
  <c r="AR67" i="22"/>
  <c r="BA67" i="22"/>
  <c r="AU67" i="22"/>
  <c r="AV67" i="22"/>
  <c r="AW67" i="22"/>
  <c r="AX67" i="22"/>
  <c r="BB67" i="22"/>
  <c r="AY64" i="22"/>
  <c r="AU64" i="22"/>
  <c r="AV64" i="22"/>
  <c r="BA64" i="22"/>
  <c r="AW64" i="22"/>
  <c r="AR64" i="22"/>
  <c r="BB64" i="22"/>
  <c r="AT64" i="22"/>
  <c r="AX64" i="22"/>
  <c r="AS64" i="22"/>
  <c r="AZ64" i="22"/>
  <c r="BC64" i="22"/>
  <c r="AS53" i="22"/>
  <c r="BC53" i="22"/>
  <c r="AY53" i="22"/>
  <c r="AZ53" i="22"/>
  <c r="AX53" i="22"/>
  <c r="AU53" i="22"/>
  <c r="BB53" i="22"/>
  <c r="AV53" i="22"/>
  <c r="AR53" i="22"/>
  <c r="AW53" i="22"/>
  <c r="BA53" i="22"/>
  <c r="AT53" i="22"/>
  <c r="AU66" i="22"/>
  <c r="BA66" i="22"/>
  <c r="AR66" i="22"/>
  <c r="BB66" i="22"/>
  <c r="AZ66" i="22"/>
  <c r="AY66" i="22"/>
  <c r="BC66" i="22"/>
  <c r="AV66" i="22"/>
  <c r="AX66" i="22"/>
  <c r="AS66" i="22"/>
  <c r="AT66" i="22"/>
  <c r="AW66" i="22"/>
  <c r="AW47" i="22"/>
  <c r="AS47" i="22"/>
  <c r="BC47" i="22"/>
  <c r="AT47" i="22"/>
  <c r="AU47" i="22"/>
  <c r="AR47" i="22"/>
  <c r="BA47" i="22"/>
  <c r="BB47" i="22"/>
  <c r="AV47" i="22"/>
  <c r="AX47" i="22"/>
  <c r="AY47" i="22"/>
  <c r="AZ47" i="22"/>
  <c r="R52" i="22"/>
  <c r="AF52" i="22" s="1"/>
  <c r="R25" i="19"/>
  <c r="R24" i="19"/>
  <c r="Q143" i="22"/>
  <c r="AE143" i="22" s="1"/>
  <c r="R126" i="22"/>
  <c r="AF126" i="22" s="1"/>
  <c r="R40" i="23"/>
  <c r="R39" i="23"/>
  <c r="R72" i="22"/>
  <c r="AF72" i="22" s="1"/>
  <c r="R36" i="20"/>
  <c r="R83" i="22" s="1"/>
  <c r="AF83" i="22" s="1"/>
  <c r="R35" i="20"/>
  <c r="R143" i="22" s="1"/>
  <c r="AF143" i="22" s="1"/>
  <c r="AF81" i="22"/>
  <c r="R129" i="22"/>
  <c r="AF129" i="22" s="1"/>
  <c r="AE86" i="22"/>
  <c r="Q134" i="22"/>
  <c r="AE134" i="22" s="1"/>
  <c r="AF78" i="22"/>
  <c r="R124" i="22"/>
  <c r="AF124" i="22" s="1"/>
  <c r="Y122" i="22"/>
  <c r="AM122" i="22" s="1"/>
  <c r="AI102" i="22"/>
  <c r="U100" i="22"/>
  <c r="AI100" i="22" s="1"/>
  <c r="AH108" i="22"/>
  <c r="T107" i="22"/>
  <c r="AH107" i="22" s="1"/>
  <c r="X20" i="20"/>
  <c r="X71" i="22" s="1"/>
  <c r="AL71" i="22" s="1"/>
  <c r="W23" i="20"/>
  <c r="V74" i="22"/>
  <c r="AJ74" i="22" s="1"/>
  <c r="AB68" i="22"/>
  <c r="R70" i="22"/>
  <c r="AF70" i="22" s="1"/>
  <c r="AB66" i="22"/>
  <c r="AB47" i="22"/>
  <c r="N62" i="22"/>
  <c r="S74" i="22"/>
  <c r="AG74" i="22" s="1"/>
  <c r="R74" i="22"/>
  <c r="AF74" i="22" s="1"/>
  <c r="S19" i="20"/>
  <c r="T19" i="20" s="1"/>
  <c r="AF79" i="22"/>
  <c r="AE42" i="22"/>
  <c r="Q57" i="22"/>
  <c r="AE57" i="22" s="1"/>
  <c r="AB33" i="22"/>
  <c r="N46" i="22"/>
  <c r="AB32" i="22"/>
  <c r="N45" i="22"/>
  <c r="AB44" i="22"/>
  <c r="N59" i="22"/>
  <c r="AB48" i="22"/>
  <c r="Y24" i="22"/>
  <c r="AM24" i="22" s="1"/>
  <c r="S31" i="23"/>
  <c r="S127" i="22" s="1"/>
  <c r="AG127" i="22" s="1"/>
  <c r="V29" i="26"/>
  <c r="V98" i="22" s="1"/>
  <c r="AJ98" i="22" s="1"/>
  <c r="V27" i="26"/>
  <c r="V97" i="22" s="1"/>
  <c r="AJ97" i="22" s="1"/>
  <c r="AI99" i="22"/>
  <c r="V34" i="26"/>
  <c r="V102" i="22" s="1"/>
  <c r="AI103" i="22"/>
  <c r="V101" i="22"/>
  <c r="AI101" i="22"/>
  <c r="V99" i="22"/>
  <c r="S77" i="22"/>
  <c r="AG77" i="22" s="1"/>
  <c r="AG55" i="22"/>
  <c r="AF55" i="22"/>
  <c r="X76" i="22"/>
  <c r="AL76" i="22" s="1"/>
  <c r="N32" i="20"/>
  <c r="S20" i="20"/>
  <c r="S71" i="22" s="1"/>
  <c r="AG71" i="22" s="1"/>
  <c r="S75" i="22"/>
  <c r="AG75" i="22" s="1"/>
  <c r="AF56" i="22"/>
  <c r="AK59" i="22"/>
  <c r="AK55" i="22"/>
  <c r="Y20" i="20"/>
  <c r="Y71" i="22" s="1"/>
  <c r="AM71" i="22" s="1"/>
  <c r="X77" i="22"/>
  <c r="AL77" i="22" s="1"/>
  <c r="S78" i="22"/>
  <c r="AF58" i="22"/>
  <c r="AK56" i="22"/>
  <c r="X75" i="22"/>
  <c r="AL75" i="22" s="1"/>
  <c r="S21" i="20"/>
  <c r="AF53" i="22"/>
  <c r="S76" i="22"/>
  <c r="AG76" i="22" s="1"/>
  <c r="AK53" i="22"/>
  <c r="S30" i="20"/>
  <c r="AF59" i="22"/>
  <c r="AF54" i="22"/>
  <c r="S22" i="20"/>
  <c r="S73" i="22" s="1"/>
  <c r="AG73" i="22" s="1"/>
  <c r="AF63" i="22"/>
  <c r="AB34" i="22"/>
  <c r="AB64" i="22"/>
  <c r="AB43" i="22"/>
  <c r="S49" i="22"/>
  <c r="AG49" i="22" s="1"/>
  <c r="AF35" i="22"/>
  <c r="AB38" i="22"/>
  <c r="T14" i="19"/>
  <c r="T50" i="22" s="1"/>
  <c r="AH50" i="22" s="1"/>
  <c r="AG36" i="22"/>
  <c r="S17" i="19"/>
  <c r="S15" i="19"/>
  <c r="S51" i="22" s="1"/>
  <c r="AG51" i="22" s="1"/>
  <c r="AF37" i="22"/>
  <c r="U39" i="26"/>
  <c r="N35" i="23"/>
  <c r="N130" i="22" s="1"/>
  <c r="N13" i="23"/>
  <c r="N115" i="22" s="1"/>
  <c r="N43" i="23"/>
  <c r="N136" i="22" s="1"/>
  <c r="N42" i="23"/>
  <c r="N135" i="22" s="1"/>
  <c r="S32" i="23"/>
  <c r="S128" i="22" s="1"/>
  <c r="AG128" i="22" s="1"/>
  <c r="N7" i="23"/>
  <c r="N109" i="22" s="1"/>
  <c r="N11" i="23"/>
  <c r="N113" i="22" s="1"/>
  <c r="S33" i="23"/>
  <c r="N45" i="23"/>
  <c r="N138" i="22" s="1"/>
  <c r="S27" i="23"/>
  <c r="S124" i="22" s="1"/>
  <c r="AG124" i="22" s="1"/>
  <c r="S28" i="23"/>
  <c r="S125" i="22" s="1"/>
  <c r="AG125" i="22" s="1"/>
  <c r="S30" i="23"/>
  <c r="AQ108" i="22" l="1"/>
  <c r="AP108" i="22" s="1"/>
  <c r="AQ69" i="22"/>
  <c r="AP69" i="22" s="1"/>
  <c r="AZ115" i="22"/>
  <c r="AW115" i="22"/>
  <c r="BB115" i="22"/>
  <c r="BC115" i="22"/>
  <c r="AX115" i="22"/>
  <c r="AS115" i="22"/>
  <c r="AT115" i="22"/>
  <c r="BA115" i="22"/>
  <c r="AR115" i="22"/>
  <c r="AU115" i="22"/>
  <c r="AV115" i="22"/>
  <c r="AY115" i="22"/>
  <c r="AQ66" i="22"/>
  <c r="AP66" i="22" s="1"/>
  <c r="AQ64" i="22"/>
  <c r="AP64" i="22" s="1"/>
  <c r="AQ67" i="22"/>
  <c r="AP67" i="22" s="1"/>
  <c r="AR136" i="22"/>
  <c r="BB136" i="22"/>
  <c r="AY136" i="22"/>
  <c r="AT136" i="22"/>
  <c r="AU136" i="22"/>
  <c r="BC136" i="22"/>
  <c r="AS136" i="22"/>
  <c r="AV136" i="22"/>
  <c r="AW136" i="22"/>
  <c r="AX136" i="22"/>
  <c r="AZ136" i="22"/>
  <c r="BA136" i="22"/>
  <c r="AV130" i="22"/>
  <c r="AS130" i="22"/>
  <c r="BC130" i="22"/>
  <c r="AR130" i="22"/>
  <c r="AT130" i="22"/>
  <c r="BA130" i="22"/>
  <c r="AX130" i="22"/>
  <c r="AY130" i="22"/>
  <c r="AU130" i="22"/>
  <c r="AW130" i="22"/>
  <c r="AZ130" i="22"/>
  <c r="BB130" i="22"/>
  <c r="BA45" i="22"/>
  <c r="AW45" i="22"/>
  <c r="AX45" i="22"/>
  <c r="AZ45" i="22"/>
  <c r="AU45" i="22"/>
  <c r="AV45" i="22"/>
  <c r="AY45" i="22"/>
  <c r="AR45" i="22"/>
  <c r="BB45" i="22"/>
  <c r="BC45" i="22"/>
  <c r="AS45" i="22"/>
  <c r="AT45" i="22"/>
  <c r="AX138" i="22"/>
  <c r="AU138" i="22"/>
  <c r="AT138" i="22"/>
  <c r="AV138" i="22"/>
  <c r="BC138" i="22"/>
  <c r="BB138" i="22"/>
  <c r="AY138" i="22"/>
  <c r="AZ138" i="22"/>
  <c r="AR138" i="22"/>
  <c r="AS138" i="22"/>
  <c r="AW138" i="22"/>
  <c r="BA138" i="22"/>
  <c r="AQ48" i="22"/>
  <c r="AP48" i="22" s="1"/>
  <c r="AQ61" i="22"/>
  <c r="AP61" i="22" s="1"/>
  <c r="AY46" i="22"/>
  <c r="AU46" i="22"/>
  <c r="AV46" i="22"/>
  <c r="AR46" i="22"/>
  <c r="BB46" i="22"/>
  <c r="BA46" i="22"/>
  <c r="BC46" i="22"/>
  <c r="AW46" i="22"/>
  <c r="AT46" i="22"/>
  <c r="AX46" i="22"/>
  <c r="AS46" i="22"/>
  <c r="AZ46" i="22"/>
  <c r="AQ58" i="22"/>
  <c r="AP58" i="22" s="1"/>
  <c r="AQ63" i="22"/>
  <c r="AP63" i="22" s="1"/>
  <c r="AY59" i="22"/>
  <c r="AU59" i="22"/>
  <c r="AV59" i="22"/>
  <c r="BC59" i="22"/>
  <c r="AZ59" i="22"/>
  <c r="AT59" i="22"/>
  <c r="AW59" i="22"/>
  <c r="AX59" i="22"/>
  <c r="AS59" i="22"/>
  <c r="BA59" i="22"/>
  <c r="AR59" i="22"/>
  <c r="BB59" i="22"/>
  <c r="AQ60" i="22"/>
  <c r="AP60" i="22" s="1"/>
  <c r="AQ65" i="22"/>
  <c r="AP65" i="22" s="1"/>
  <c r="AS62" i="22"/>
  <c r="BC62" i="22"/>
  <c r="AY62" i="22"/>
  <c r="AZ62" i="22"/>
  <c r="AV62" i="22"/>
  <c r="AR62" i="22"/>
  <c r="AU62" i="22"/>
  <c r="AW62" i="22"/>
  <c r="AX62" i="22"/>
  <c r="AT62" i="22"/>
  <c r="BA62" i="22"/>
  <c r="BB62" i="22"/>
  <c r="AT113" i="22"/>
  <c r="BA113" i="22"/>
  <c r="AZ113" i="22"/>
  <c r="BB113" i="22"/>
  <c r="AW113" i="22"/>
  <c r="AX113" i="22"/>
  <c r="AY113" i="22"/>
  <c r="AS113" i="22"/>
  <c r="AU113" i="22"/>
  <c r="AV113" i="22"/>
  <c r="BC113" i="22"/>
  <c r="AR113" i="22"/>
  <c r="AW109" i="22"/>
  <c r="AS109" i="22"/>
  <c r="AT109" i="22"/>
  <c r="BB109" i="22"/>
  <c r="AY109" i="22"/>
  <c r="AX109" i="22"/>
  <c r="AZ109" i="22"/>
  <c r="AR109" i="22"/>
  <c r="AU109" i="22"/>
  <c r="AV109" i="22"/>
  <c r="BA109" i="22"/>
  <c r="BC109" i="22"/>
  <c r="AT135" i="22"/>
  <c r="BA135" i="22"/>
  <c r="AS135" i="22"/>
  <c r="AU135" i="22"/>
  <c r="BB135" i="22"/>
  <c r="BC135" i="22"/>
  <c r="AX135" i="22"/>
  <c r="AY135" i="22"/>
  <c r="AV135" i="22"/>
  <c r="AW135" i="22"/>
  <c r="AZ135" i="22"/>
  <c r="AR135" i="22"/>
  <c r="AQ47" i="22"/>
  <c r="AP47" i="22" s="1"/>
  <c r="AQ53" i="22"/>
  <c r="AP53" i="22" s="1"/>
  <c r="AQ68" i="22"/>
  <c r="AP68" i="22" s="1"/>
  <c r="R145" i="22"/>
  <c r="AF145" i="22" s="1"/>
  <c r="S126" i="22"/>
  <c r="AG126" i="22" s="1"/>
  <c r="S39" i="23"/>
  <c r="S145" i="22" s="1"/>
  <c r="AG145" i="22" s="1"/>
  <c r="R142" i="22"/>
  <c r="AF142" i="22" s="1"/>
  <c r="S72" i="22"/>
  <c r="AG72" i="22" s="1"/>
  <c r="S35" i="20"/>
  <c r="S52" i="22"/>
  <c r="AG52" i="22" s="1"/>
  <c r="S24" i="19"/>
  <c r="T17" i="19"/>
  <c r="AE4" i="22"/>
  <c r="AG81" i="22"/>
  <c r="S129" i="22"/>
  <c r="AG129" i="22" s="1"/>
  <c r="T31" i="23"/>
  <c r="T127" i="22" s="1"/>
  <c r="AH127" i="22" s="1"/>
  <c r="AF86" i="22"/>
  <c r="R134" i="22"/>
  <c r="AF134" i="22" s="1"/>
  <c r="AA122" i="22"/>
  <c r="AO122" i="22" s="1"/>
  <c r="Z122" i="22"/>
  <c r="AN122" i="22" s="1"/>
  <c r="O23" i="23"/>
  <c r="AJ102" i="22"/>
  <c r="V100" i="22"/>
  <c r="AJ100" i="22" s="1"/>
  <c r="AI108" i="22"/>
  <c r="U107" i="22"/>
  <c r="AI107" i="22" s="1"/>
  <c r="U106" i="22"/>
  <c r="AI106" i="22" s="1"/>
  <c r="S79" i="22"/>
  <c r="AG79" i="22" s="1"/>
  <c r="T30" i="20"/>
  <c r="U30" i="20" s="1"/>
  <c r="X23" i="20"/>
  <c r="W74" i="22"/>
  <c r="AK74" i="22" s="1"/>
  <c r="AB60" i="22"/>
  <c r="N80" i="22"/>
  <c r="T70" i="22"/>
  <c r="AH70" i="22" s="1"/>
  <c r="S70" i="22"/>
  <c r="AG70" i="22" s="1"/>
  <c r="S83" i="22"/>
  <c r="AG83" i="22" s="1"/>
  <c r="AG78" i="22"/>
  <c r="AB46" i="22"/>
  <c r="AF42" i="22"/>
  <c r="R57" i="22"/>
  <c r="AF57" i="22" s="1"/>
  <c r="AB45" i="22"/>
  <c r="Z24" i="22"/>
  <c r="AN24" i="22" s="1"/>
  <c r="W29" i="26"/>
  <c r="W98" i="22" s="1"/>
  <c r="AK98" i="22" s="1"/>
  <c r="W27" i="26"/>
  <c r="W97" i="22" s="1"/>
  <c r="AK97" i="22" s="1"/>
  <c r="AJ99" i="22"/>
  <c r="W34" i="26"/>
  <c r="W102" i="22" s="1"/>
  <c r="AJ103" i="22"/>
  <c r="AJ101" i="22"/>
  <c r="W99" i="22"/>
  <c r="W101" i="22"/>
  <c r="T77" i="22"/>
  <c r="AH77" i="22" s="1"/>
  <c r="AG63" i="22"/>
  <c r="T76" i="22"/>
  <c r="AH76" i="22" s="1"/>
  <c r="AL53" i="22"/>
  <c r="AG56" i="22"/>
  <c r="Y76" i="22"/>
  <c r="AM76" i="22" s="1"/>
  <c r="T21" i="20"/>
  <c r="U21" i="20" s="1"/>
  <c r="AG53" i="22"/>
  <c r="T78" i="22"/>
  <c r="AG58" i="22"/>
  <c r="AL55" i="22"/>
  <c r="Y75" i="22"/>
  <c r="AM75" i="22" s="1"/>
  <c r="AL56" i="22"/>
  <c r="T20" i="20"/>
  <c r="T71" i="22" s="1"/>
  <c r="AH71" i="22" s="1"/>
  <c r="T22" i="20"/>
  <c r="T73" i="22" s="1"/>
  <c r="AH73" i="22" s="1"/>
  <c r="AG54" i="22"/>
  <c r="Y77" i="22"/>
  <c r="AM77" i="22" s="1"/>
  <c r="AL59" i="22"/>
  <c r="AG59" i="22"/>
  <c r="Z20" i="20"/>
  <c r="Z71" i="22" s="1"/>
  <c r="AN71" i="22" s="1"/>
  <c r="AB69" i="22"/>
  <c r="AB65" i="22"/>
  <c r="AB90" i="22"/>
  <c r="AB87" i="22"/>
  <c r="AB88" i="22"/>
  <c r="U14" i="19"/>
  <c r="U50" i="22" s="1"/>
  <c r="AI50" i="22" s="1"/>
  <c r="AH36" i="22"/>
  <c r="T15" i="19"/>
  <c r="T51" i="22" s="1"/>
  <c r="AH51" i="22" s="1"/>
  <c r="AG37" i="22"/>
  <c r="T49" i="22"/>
  <c r="AH49" i="22" s="1"/>
  <c r="AG35" i="22"/>
  <c r="O39" i="26"/>
  <c r="O106" i="22" s="1"/>
  <c r="T28" i="23"/>
  <c r="T30" i="23"/>
  <c r="T33" i="23"/>
  <c r="T32" i="23"/>
  <c r="T27" i="23"/>
  <c r="T124" i="22" s="1"/>
  <c r="AH124" i="22" s="1"/>
  <c r="U17" i="19"/>
  <c r="AQ115" i="22" l="1"/>
  <c r="AP115" i="22" s="1"/>
  <c r="AQ45" i="22"/>
  <c r="AP45" i="22" s="1"/>
  <c r="AQ130" i="22"/>
  <c r="AP130" i="22" s="1"/>
  <c r="AQ136" i="22"/>
  <c r="AP136" i="22" s="1"/>
  <c r="AQ62" i="22"/>
  <c r="AP62" i="22" s="1"/>
  <c r="AQ109" i="22"/>
  <c r="AP109" i="22" s="1"/>
  <c r="AQ138" i="22"/>
  <c r="AP138" i="22" s="1"/>
  <c r="AQ46" i="22"/>
  <c r="AP46" i="22" s="1"/>
  <c r="AQ113" i="22"/>
  <c r="AP113" i="22" s="1"/>
  <c r="AS80" i="22"/>
  <c r="BC80" i="22"/>
  <c r="AY80" i="22"/>
  <c r="AZ80" i="22"/>
  <c r="BA80" i="22"/>
  <c r="AX80" i="22"/>
  <c r="BB80" i="22"/>
  <c r="AU80" i="22"/>
  <c r="AR80" i="22"/>
  <c r="AT80" i="22"/>
  <c r="AV80" i="22"/>
  <c r="AW80" i="22"/>
  <c r="AQ135" i="22"/>
  <c r="AP135" i="22" s="1"/>
  <c r="AQ59" i="22"/>
  <c r="AP59" i="22" s="1"/>
  <c r="U35" i="20"/>
  <c r="U143" i="22" s="1"/>
  <c r="AI143" i="22" s="1"/>
  <c r="T35" i="20"/>
  <c r="T143" i="22" s="1"/>
  <c r="AH143" i="22" s="1"/>
  <c r="T36" i="20"/>
  <c r="T83" i="22" s="1"/>
  <c r="AH83" i="22" s="1"/>
  <c r="S143" i="22"/>
  <c r="AG143" i="22" s="1"/>
  <c r="T52" i="22"/>
  <c r="AH52" i="22" s="1"/>
  <c r="T25" i="19"/>
  <c r="T24" i="19"/>
  <c r="T57" i="22" s="1"/>
  <c r="AH57" i="22" s="1"/>
  <c r="U52" i="22"/>
  <c r="AI52" i="22" s="1"/>
  <c r="U24" i="19"/>
  <c r="T126" i="22"/>
  <c r="AH126" i="22" s="1"/>
  <c r="T39" i="23"/>
  <c r="T145" i="22" s="1"/>
  <c r="AH145" i="22" s="1"/>
  <c r="T40" i="23"/>
  <c r="U72" i="22"/>
  <c r="AI72" i="22" s="1"/>
  <c r="V21" i="20"/>
  <c r="U31" i="23"/>
  <c r="U127" i="22" s="1"/>
  <c r="AI127" i="22" s="1"/>
  <c r="AH81" i="22"/>
  <c r="T129" i="22"/>
  <c r="AH129" i="22" s="1"/>
  <c r="T128" i="22"/>
  <c r="AH128" i="22" s="1"/>
  <c r="AG86" i="22"/>
  <c r="S134" i="22"/>
  <c r="AG134" i="22" s="1"/>
  <c r="T125" i="22"/>
  <c r="AH125" i="22" s="1"/>
  <c r="AC122" i="22"/>
  <c r="N23" i="23"/>
  <c r="N122" i="22" s="1"/>
  <c r="O122" i="22"/>
  <c r="AK102" i="22"/>
  <c r="W100" i="22"/>
  <c r="AK100" i="22" s="1"/>
  <c r="AJ108" i="22"/>
  <c r="V107" i="22"/>
  <c r="AJ107" i="22" s="1"/>
  <c r="V30" i="20"/>
  <c r="U79" i="22"/>
  <c r="Y23" i="20"/>
  <c r="X74" i="22"/>
  <c r="AL74" i="22" s="1"/>
  <c r="AH78" i="22"/>
  <c r="AH56" i="22"/>
  <c r="T75" i="22"/>
  <c r="AH75" i="22" s="1"/>
  <c r="U70" i="22"/>
  <c r="AI70" i="22" s="1"/>
  <c r="AH53" i="22"/>
  <c r="T72" i="22"/>
  <c r="AH72" i="22" s="1"/>
  <c r="AH59" i="22"/>
  <c r="T79" i="22"/>
  <c r="AH79" i="22" s="1"/>
  <c r="V19" i="20"/>
  <c r="AH55" i="22"/>
  <c r="T74" i="22"/>
  <c r="AH74" i="22" s="1"/>
  <c r="AH42" i="22"/>
  <c r="AG42" i="22"/>
  <c r="S57" i="22"/>
  <c r="AG57" i="22" s="1"/>
  <c r="AA24" i="22"/>
  <c r="AO24" i="22" s="1"/>
  <c r="AC24" i="22" s="1"/>
  <c r="AA33" i="25"/>
  <c r="O26" i="25"/>
  <c r="X29" i="26"/>
  <c r="X98" i="22" s="1"/>
  <c r="AL98" i="22" s="1"/>
  <c r="X27" i="26"/>
  <c r="X97" i="22" s="1"/>
  <c r="AL97" i="22" s="1"/>
  <c r="AK99" i="22"/>
  <c r="X34" i="26"/>
  <c r="X102" i="22" s="1"/>
  <c r="AK103" i="22"/>
  <c r="X101" i="22"/>
  <c r="AK101" i="22"/>
  <c r="X99" i="22"/>
  <c r="AH54" i="22"/>
  <c r="U73" i="22"/>
  <c r="AI73" i="22" s="1"/>
  <c r="AH58" i="22"/>
  <c r="U78" i="22"/>
  <c r="AM53" i="22"/>
  <c r="AH63" i="22"/>
  <c r="Z77" i="22"/>
  <c r="AN77" i="22" s="1"/>
  <c r="Z75" i="22"/>
  <c r="AN75" i="22" s="1"/>
  <c r="AM56" i="22"/>
  <c r="AM55" i="22"/>
  <c r="Z76" i="22"/>
  <c r="AN76" i="22" s="1"/>
  <c r="AM59" i="22"/>
  <c r="AA20" i="20"/>
  <c r="AA71" i="22" s="1"/>
  <c r="AO71" i="22" s="1"/>
  <c r="AC71" i="22" s="1"/>
  <c r="U49" i="22"/>
  <c r="AI49" i="22" s="1"/>
  <c r="AH35" i="22"/>
  <c r="V14" i="19"/>
  <c r="V50" i="22" s="1"/>
  <c r="AJ50" i="22" s="1"/>
  <c r="AI36" i="22"/>
  <c r="U51" i="22"/>
  <c r="AI51" i="22" s="1"/>
  <c r="AH37" i="22"/>
  <c r="N39" i="26"/>
  <c r="N106" i="22" s="1"/>
  <c r="U27" i="23"/>
  <c r="U124" i="22" s="1"/>
  <c r="AI124" i="22" s="1"/>
  <c r="U30" i="23"/>
  <c r="U33" i="23"/>
  <c r="U23" i="19"/>
  <c r="U56" i="22" s="1"/>
  <c r="AI56" i="22" s="1"/>
  <c r="V17" i="19"/>
  <c r="AQ80" i="22" l="1"/>
  <c r="AP80" i="22" s="1"/>
  <c r="AR122" i="22"/>
  <c r="AZ122" i="22"/>
  <c r="AS122" i="22"/>
  <c r="BA122" i="22"/>
  <c r="AT122" i="22"/>
  <c r="BB122" i="22"/>
  <c r="AY122" i="22"/>
  <c r="BC122" i="22"/>
  <c r="AU122" i="22"/>
  <c r="AX122" i="22"/>
  <c r="AV122" i="22"/>
  <c r="AW122" i="22"/>
  <c r="AR106" i="22"/>
  <c r="AZ106" i="22"/>
  <c r="AS106" i="22"/>
  <c r="BA106" i="22"/>
  <c r="AT106" i="22"/>
  <c r="BB106" i="22"/>
  <c r="AY106" i="22"/>
  <c r="AU106" i="22"/>
  <c r="AV106" i="22"/>
  <c r="AX106" i="22"/>
  <c r="AW106" i="22"/>
  <c r="BC106" i="22"/>
  <c r="W19" i="20"/>
  <c r="X19" i="20" s="1"/>
  <c r="T142" i="22"/>
  <c r="AH142" i="22" s="1"/>
  <c r="U126" i="22"/>
  <c r="AI126" i="22" s="1"/>
  <c r="U39" i="23"/>
  <c r="U145" i="22" s="1"/>
  <c r="AI145" i="22" s="1"/>
  <c r="V52" i="22"/>
  <c r="AJ52" i="22" s="1"/>
  <c r="V25" i="19"/>
  <c r="V142" i="22" s="1"/>
  <c r="AJ142" i="22" s="1"/>
  <c r="V24" i="19"/>
  <c r="V72" i="22"/>
  <c r="AJ72" i="22" s="1"/>
  <c r="W21" i="20"/>
  <c r="U134" i="22"/>
  <c r="AI134" i="22" s="1"/>
  <c r="V31" i="23"/>
  <c r="V127" i="22" s="1"/>
  <c r="AJ127" i="22" s="1"/>
  <c r="AI81" i="22"/>
  <c r="U129" i="22"/>
  <c r="AI129" i="22" s="1"/>
  <c r="U128" i="22"/>
  <c r="AI128" i="22" s="1"/>
  <c r="V32" i="23"/>
  <c r="AI86" i="22"/>
  <c r="AH86" i="22"/>
  <c r="T134" i="22"/>
  <c r="AH134" i="22" s="1"/>
  <c r="U125" i="22"/>
  <c r="AI125" i="22" s="1"/>
  <c r="AL102" i="22"/>
  <c r="X100" i="22"/>
  <c r="AL100" i="22" s="1"/>
  <c r="AK108" i="22"/>
  <c r="W107" i="22"/>
  <c r="AK107" i="22" s="1"/>
  <c r="AI79" i="22"/>
  <c r="Z23" i="20"/>
  <c r="Y74" i="22"/>
  <c r="AM74" i="22" s="1"/>
  <c r="W30" i="20"/>
  <c r="V79" i="22"/>
  <c r="AI78" i="22"/>
  <c r="V70" i="22"/>
  <c r="AJ70" i="22" s="1"/>
  <c r="U83" i="22"/>
  <c r="AI83" i="22" s="1"/>
  <c r="AI42" i="22"/>
  <c r="U57" i="22"/>
  <c r="AI57" i="22" s="1"/>
  <c r="AA29" i="22"/>
  <c r="AO29" i="22" s="1"/>
  <c r="AC29" i="22" s="1"/>
  <c r="O33" i="25"/>
  <c r="O24" i="22"/>
  <c r="N26" i="25"/>
  <c r="N24" i="22" s="1"/>
  <c r="Y29" i="26"/>
  <c r="Y98" i="22" s="1"/>
  <c r="AM98" i="22" s="1"/>
  <c r="Y27" i="26"/>
  <c r="Y97" i="22" s="1"/>
  <c r="AM97" i="22" s="1"/>
  <c r="AL99" i="22"/>
  <c r="Y34" i="26"/>
  <c r="Y102" i="22" s="1"/>
  <c r="AL103" i="22"/>
  <c r="AL101" i="22"/>
  <c r="Y99" i="22"/>
  <c r="Y101" i="22"/>
  <c r="U34" i="20"/>
  <c r="U82" i="22" s="1"/>
  <c r="AI82" i="22" s="1"/>
  <c r="AC82" i="22" s="1"/>
  <c r="AI58" i="22"/>
  <c r="V78" i="22"/>
  <c r="AI54" i="22"/>
  <c r="V22" i="20"/>
  <c r="V73" i="22" s="1"/>
  <c r="AJ73" i="22" s="1"/>
  <c r="AI63" i="22"/>
  <c r="AN55" i="22"/>
  <c r="AA76" i="22"/>
  <c r="AO76" i="22" s="1"/>
  <c r="AC76" i="22" s="1"/>
  <c r="AA77" i="22"/>
  <c r="AO77" i="22" s="1"/>
  <c r="AC77" i="22" s="1"/>
  <c r="AN59" i="22"/>
  <c r="O20" i="20"/>
  <c r="O71" i="22" s="1"/>
  <c r="AN56" i="22"/>
  <c r="AN53" i="22"/>
  <c r="W14" i="19"/>
  <c r="W50" i="22" s="1"/>
  <c r="AK50" i="22" s="1"/>
  <c r="AJ36" i="22"/>
  <c r="V49" i="22"/>
  <c r="AJ49" i="22" s="1"/>
  <c r="AI35" i="22"/>
  <c r="O23" i="19"/>
  <c r="O56" i="22" s="1"/>
  <c r="AI41" i="22"/>
  <c r="AC41" i="22" s="1"/>
  <c r="V15" i="19"/>
  <c r="V51" i="22" s="1"/>
  <c r="AJ51" i="22" s="1"/>
  <c r="AI37" i="22"/>
  <c r="V30" i="23"/>
  <c r="U38" i="23"/>
  <c r="V33" i="23"/>
  <c r="V27" i="23"/>
  <c r="V124" i="22" s="1"/>
  <c r="AJ124" i="22" s="1"/>
  <c r="W17" i="19"/>
  <c r="AB43" i="2"/>
  <c r="AC43" i="2"/>
  <c r="AD43" i="2"/>
  <c r="AE43" i="2"/>
  <c r="AF43" i="2"/>
  <c r="AG43" i="2"/>
  <c r="AH43" i="2"/>
  <c r="AI43" i="2"/>
  <c r="AJ43" i="2"/>
  <c r="AK43" i="2"/>
  <c r="AL43" i="2"/>
  <c r="AB44" i="2"/>
  <c r="AC44" i="2"/>
  <c r="AD44" i="2"/>
  <c r="AE44" i="2"/>
  <c r="AF44" i="2"/>
  <c r="AG44" i="2"/>
  <c r="AH44" i="2"/>
  <c r="AI44" i="2"/>
  <c r="AJ44" i="2"/>
  <c r="AK44" i="2"/>
  <c r="AL44" i="2"/>
  <c r="L20" i="2"/>
  <c r="M20" i="2" s="1"/>
  <c r="AA20" i="2"/>
  <c r="AB20" i="2"/>
  <c r="AC20" i="2"/>
  <c r="AD20" i="2"/>
  <c r="AE20" i="2"/>
  <c r="AF20" i="2"/>
  <c r="AG20" i="2"/>
  <c r="AH20" i="2"/>
  <c r="AI20" i="2"/>
  <c r="AJ20" i="2"/>
  <c r="AK20" i="2"/>
  <c r="AL20" i="2"/>
  <c r="AI40" i="2"/>
  <c r="AH40" i="2"/>
  <c r="AG40" i="2"/>
  <c r="AF40" i="2"/>
  <c r="AE40" i="2"/>
  <c r="AD40" i="2"/>
  <c r="AC40" i="2"/>
  <c r="AB40" i="2"/>
  <c r="AA40" i="2"/>
  <c r="AA12" i="2"/>
  <c r="AA13" i="2" s="1"/>
  <c r="AL11" i="2"/>
  <c r="AK11" i="2"/>
  <c r="AJ11" i="2"/>
  <c r="AI11" i="2"/>
  <c r="AH11" i="2"/>
  <c r="AG11" i="2"/>
  <c r="AF11" i="2"/>
  <c r="AE11" i="2"/>
  <c r="AD11" i="2"/>
  <c r="AC11" i="2"/>
  <c r="AB11" i="2"/>
  <c r="AA11" i="2"/>
  <c r="AL9" i="2"/>
  <c r="AK9" i="2"/>
  <c r="AJ9" i="2"/>
  <c r="AI9" i="2"/>
  <c r="AH9" i="2"/>
  <c r="AG9" i="2"/>
  <c r="AF9" i="2"/>
  <c r="AE9" i="2"/>
  <c r="AD9" i="2"/>
  <c r="AC9" i="2"/>
  <c r="AB9" i="2"/>
  <c r="AA9" i="2"/>
  <c r="AL60" i="2"/>
  <c r="E21" i="1"/>
  <c r="E14" i="1"/>
  <c r="J51" i="15"/>
  <c r="O51" i="15"/>
  <c r="P51" i="15" s="1"/>
  <c r="J50" i="15"/>
  <c r="E10" i="1"/>
  <c r="E7" i="1"/>
  <c r="O26" i="15"/>
  <c r="O32" i="15"/>
  <c r="O38" i="15"/>
  <c r="O45" i="15"/>
  <c r="O57" i="15"/>
  <c r="O63" i="15"/>
  <c r="J62" i="15"/>
  <c r="I62" i="15"/>
  <c r="H62" i="15"/>
  <c r="G62" i="15"/>
  <c r="F62" i="15"/>
  <c r="E62" i="15"/>
  <c r="D62" i="15"/>
  <c r="C62" i="15"/>
  <c r="O62" i="15" s="1"/>
  <c r="J56" i="15"/>
  <c r="I56" i="15"/>
  <c r="H56" i="15"/>
  <c r="G56" i="15"/>
  <c r="F56" i="15"/>
  <c r="E56" i="15"/>
  <c r="D56" i="15"/>
  <c r="C56" i="15"/>
  <c r="O50" i="15"/>
  <c r="O44" i="15"/>
  <c r="J63" i="15"/>
  <c r="G44" i="15"/>
  <c r="G45" i="15"/>
  <c r="D44" i="15"/>
  <c r="C44" i="15"/>
  <c r="G50" i="15"/>
  <c r="F50" i="15"/>
  <c r="D50" i="15"/>
  <c r="I50" i="15"/>
  <c r="C50" i="15"/>
  <c r="N49" i="15"/>
  <c r="J44" i="15"/>
  <c r="I44" i="15"/>
  <c r="H44" i="15"/>
  <c r="N43" i="15"/>
  <c r="N36" i="15"/>
  <c r="N30" i="15"/>
  <c r="N24" i="15"/>
  <c r="M38" i="15"/>
  <c r="J38" i="15"/>
  <c r="G38" i="15"/>
  <c r="M37" i="15"/>
  <c r="L37" i="15"/>
  <c r="K37" i="15"/>
  <c r="J37" i="15"/>
  <c r="I37" i="15"/>
  <c r="H37" i="15"/>
  <c r="G37" i="15"/>
  <c r="F37" i="15"/>
  <c r="E37" i="15"/>
  <c r="D37" i="15"/>
  <c r="C37" i="15"/>
  <c r="O37" i="15" s="1"/>
  <c r="M32" i="15"/>
  <c r="J32" i="15"/>
  <c r="G32" i="15"/>
  <c r="M31" i="15"/>
  <c r="L31" i="15"/>
  <c r="K31" i="15"/>
  <c r="J31" i="15"/>
  <c r="I31" i="15"/>
  <c r="H31" i="15"/>
  <c r="G31" i="15"/>
  <c r="F31" i="15"/>
  <c r="E31" i="15"/>
  <c r="D31" i="15"/>
  <c r="C31" i="15"/>
  <c r="O31" i="15" s="1"/>
  <c r="M26" i="15"/>
  <c r="J26" i="15"/>
  <c r="G26" i="15"/>
  <c r="M25" i="15"/>
  <c r="L25" i="15"/>
  <c r="K25" i="15"/>
  <c r="J25" i="15"/>
  <c r="I25" i="15"/>
  <c r="H25" i="15"/>
  <c r="G25" i="15"/>
  <c r="F25" i="15"/>
  <c r="E25" i="15"/>
  <c r="D25" i="15"/>
  <c r="C25" i="15"/>
  <c r="O25" i="15" s="1"/>
  <c r="C18" i="15"/>
  <c r="AU24" i="22" l="1"/>
  <c r="AV24" i="22"/>
  <c r="BA24" i="22"/>
  <c r="AR24" i="22"/>
  <c r="BB24" i="22"/>
  <c r="AS24" i="22"/>
  <c r="BC24" i="22"/>
  <c r="AX24" i="22"/>
  <c r="AY24" i="22"/>
  <c r="AT24" i="22"/>
  <c r="AW24" i="22"/>
  <c r="AZ24" i="22"/>
  <c r="W70" i="22"/>
  <c r="AK70" i="22" s="1"/>
  <c r="AQ106" i="22"/>
  <c r="AP106" i="22" s="1"/>
  <c r="AQ122" i="22"/>
  <c r="AP122" i="22" s="1"/>
  <c r="V36" i="20"/>
  <c r="V83" i="22" s="1"/>
  <c r="AJ83" i="22" s="1"/>
  <c r="W52" i="22"/>
  <c r="AK52" i="22" s="1"/>
  <c r="W24" i="19"/>
  <c r="V126" i="22"/>
  <c r="AJ126" i="22" s="1"/>
  <c r="V39" i="23"/>
  <c r="V145" i="22" s="1"/>
  <c r="AJ145" i="22" s="1"/>
  <c r="V40" i="23"/>
  <c r="V134" i="22" s="1"/>
  <c r="AJ134" i="22" s="1"/>
  <c r="V35" i="20"/>
  <c r="W72" i="22"/>
  <c r="AK72" i="22" s="1"/>
  <c r="X21" i="20"/>
  <c r="W31" i="23"/>
  <c r="W127" i="22" s="1"/>
  <c r="AK127" i="22" s="1"/>
  <c r="AJ81" i="22"/>
  <c r="V129" i="22"/>
  <c r="AJ129" i="22" s="1"/>
  <c r="AJ80" i="22"/>
  <c r="V128" i="22"/>
  <c r="AJ128" i="22" s="1"/>
  <c r="W32" i="23"/>
  <c r="AJ86" i="22"/>
  <c r="AI85" i="22"/>
  <c r="AC85" i="22" s="1"/>
  <c r="U133" i="22"/>
  <c r="AI133" i="22" s="1"/>
  <c r="AC133" i="22" s="1"/>
  <c r="V125" i="22"/>
  <c r="AJ125" i="22" s="1"/>
  <c r="AM102" i="22"/>
  <c r="Y100" i="22"/>
  <c r="AM100" i="22" s="1"/>
  <c r="AL108" i="22"/>
  <c r="X107" i="22"/>
  <c r="AL107" i="22" s="1"/>
  <c r="AJ79" i="22"/>
  <c r="X30" i="20"/>
  <c r="W79" i="22"/>
  <c r="AA23" i="20"/>
  <c r="AA74" i="22" s="1"/>
  <c r="AO74" i="22" s="1"/>
  <c r="Z74" i="22"/>
  <c r="AN74" i="22" s="1"/>
  <c r="AJ78" i="22"/>
  <c r="AO56" i="22"/>
  <c r="AC56" i="22" s="1"/>
  <c r="AA75" i="22"/>
  <c r="AO75" i="22" s="1"/>
  <c r="AC75" i="22" s="1"/>
  <c r="AO59" i="22"/>
  <c r="AC59" i="22" s="1"/>
  <c r="X70" i="22"/>
  <c r="AL70" i="22" s="1"/>
  <c r="AO53" i="22"/>
  <c r="AC53" i="22" s="1"/>
  <c r="AJ42" i="22"/>
  <c r="V57" i="22"/>
  <c r="AJ57" i="22" s="1"/>
  <c r="O29" i="22"/>
  <c r="N33" i="25"/>
  <c r="AB24" i="22"/>
  <c r="Z29" i="26"/>
  <c r="Z98" i="22" s="1"/>
  <c r="AN98" i="22" s="1"/>
  <c r="Z27" i="26"/>
  <c r="Z97" i="22" s="1"/>
  <c r="AN97" i="22" s="1"/>
  <c r="AM99" i="22"/>
  <c r="Z34" i="26"/>
  <c r="Z102" i="22" s="1"/>
  <c r="AM103" i="22"/>
  <c r="Z101" i="22"/>
  <c r="AM101" i="22"/>
  <c r="Z99" i="22"/>
  <c r="W22" i="20"/>
  <c r="W35" i="20" s="1"/>
  <c r="W143" i="22" s="1"/>
  <c r="AK143" i="22" s="1"/>
  <c r="AJ54" i="22"/>
  <c r="AJ63" i="22"/>
  <c r="AI62" i="22"/>
  <c r="AC62" i="22" s="1"/>
  <c r="O34" i="20"/>
  <c r="O82" i="22" s="1"/>
  <c r="AJ58" i="22"/>
  <c r="W78" i="22"/>
  <c r="Y19" i="20"/>
  <c r="N20" i="20"/>
  <c r="N71" i="22" s="1"/>
  <c r="O25" i="20"/>
  <c r="O76" i="22" s="1"/>
  <c r="O26" i="20"/>
  <c r="O77" i="22" s="1"/>
  <c r="O24" i="20"/>
  <c r="O75" i="22" s="1"/>
  <c r="N23" i="19"/>
  <c r="N56" i="22" s="1"/>
  <c r="W49" i="22"/>
  <c r="AK49" i="22" s="1"/>
  <c r="AJ35" i="22"/>
  <c r="X14" i="19"/>
  <c r="X50" i="22" s="1"/>
  <c r="AL50" i="22" s="1"/>
  <c r="AK36" i="22"/>
  <c r="W15" i="19"/>
  <c r="W51" i="22" s="1"/>
  <c r="AK51" i="22" s="1"/>
  <c r="AJ37" i="22"/>
  <c r="O38" i="23"/>
  <c r="O133" i="22" s="1"/>
  <c r="W33" i="23"/>
  <c r="W30" i="23"/>
  <c r="W27" i="23"/>
  <c r="W124" i="22" s="1"/>
  <c r="AK124" i="22" s="1"/>
  <c r="X17" i="19"/>
  <c r="O56" i="15"/>
  <c r="G57" i="15"/>
  <c r="J57" i="15"/>
  <c r="G63" i="15"/>
  <c r="E44" i="15"/>
  <c r="J45" i="15"/>
  <c r="F44" i="15"/>
  <c r="H50" i="15"/>
  <c r="G51" i="15"/>
  <c r="E50" i="15"/>
  <c r="N39" i="15"/>
  <c r="N33" i="15"/>
  <c r="AQ24" i="22" l="1"/>
  <c r="AP24" i="22" s="1"/>
  <c r="AW71" i="22"/>
  <c r="AS71" i="22"/>
  <c r="BC71" i="22"/>
  <c r="AT71" i="22"/>
  <c r="AZ71" i="22"/>
  <c r="AV71" i="22"/>
  <c r="BA71" i="22"/>
  <c r="BB71" i="22"/>
  <c r="AR71" i="22"/>
  <c r="AU71" i="22"/>
  <c r="AX71" i="22"/>
  <c r="AY71" i="22"/>
  <c r="AR56" i="22"/>
  <c r="AZ56" i="22"/>
  <c r="BC56" i="22"/>
  <c r="AS56" i="22"/>
  <c r="BA56" i="22"/>
  <c r="AU56" i="22"/>
  <c r="AT56" i="22"/>
  <c r="BB56" i="22"/>
  <c r="AY56" i="22"/>
  <c r="AV56" i="22"/>
  <c r="AW56" i="22"/>
  <c r="AX56" i="22"/>
  <c r="X52" i="22"/>
  <c r="AL52" i="22" s="1"/>
  <c r="X25" i="19"/>
  <c r="X24" i="19"/>
  <c r="V143" i="22"/>
  <c r="AJ143" i="22" s="1"/>
  <c r="W126" i="22"/>
  <c r="AK126" i="22" s="1"/>
  <c r="W39" i="23"/>
  <c r="W145" i="22" s="1"/>
  <c r="AK145" i="22" s="1"/>
  <c r="X31" i="23"/>
  <c r="X127" i="22" s="1"/>
  <c r="AL127" i="22" s="1"/>
  <c r="X72" i="22"/>
  <c r="AL72" i="22" s="1"/>
  <c r="Y21" i="20"/>
  <c r="O23" i="20"/>
  <c r="O74" i="22" s="1"/>
  <c r="AK81" i="22"/>
  <c r="W129" i="22"/>
  <c r="AK129" i="22" s="1"/>
  <c r="AK80" i="22"/>
  <c r="W128" i="22"/>
  <c r="AK128" i="22" s="1"/>
  <c r="X32" i="23"/>
  <c r="W125" i="22"/>
  <c r="AK125" i="22" s="1"/>
  <c r="AN102" i="22"/>
  <c r="Z100" i="22"/>
  <c r="AN100" i="22" s="1"/>
  <c r="AM108" i="22"/>
  <c r="Y107" i="22"/>
  <c r="AM107" i="22" s="1"/>
  <c r="AK79" i="22"/>
  <c r="AC74" i="22"/>
  <c r="Y30" i="20"/>
  <c r="X79" i="22"/>
  <c r="AK78" i="22"/>
  <c r="Y70" i="22"/>
  <c r="AM70" i="22" s="1"/>
  <c r="W73" i="22"/>
  <c r="AK73" i="22" s="1"/>
  <c r="W83" i="22"/>
  <c r="AK83" i="22" s="1"/>
  <c r="AB71" i="22"/>
  <c r="AK42" i="22"/>
  <c r="W57" i="22"/>
  <c r="AK57" i="22" s="1"/>
  <c r="AB25" i="22"/>
  <c r="N29" i="22"/>
  <c r="AA29" i="26"/>
  <c r="AA98" i="22" s="1"/>
  <c r="AO98" i="22" s="1"/>
  <c r="AC98" i="22" s="1"/>
  <c r="AA27" i="26"/>
  <c r="AA97" i="22" s="1"/>
  <c r="AO97" i="22" s="1"/>
  <c r="AC97" i="22" s="1"/>
  <c r="AN99" i="22"/>
  <c r="AA34" i="26"/>
  <c r="AA102" i="22" s="1"/>
  <c r="AN103" i="22"/>
  <c r="AA101" i="22"/>
  <c r="AN101" i="22"/>
  <c r="AA99" i="22"/>
  <c r="X78" i="22"/>
  <c r="AK58" i="22"/>
  <c r="N34" i="20"/>
  <c r="Z19" i="20"/>
  <c r="AK54" i="22"/>
  <c r="X22" i="20"/>
  <c r="X35" i="20" s="1"/>
  <c r="X143" i="22" s="1"/>
  <c r="AL143" i="22" s="1"/>
  <c r="AK63" i="22"/>
  <c r="N24" i="20"/>
  <c r="N75" i="22" s="1"/>
  <c r="N25" i="20"/>
  <c r="N76" i="22" s="1"/>
  <c r="N26" i="20"/>
  <c r="N77" i="22" s="1"/>
  <c r="AB59" i="22"/>
  <c r="X49" i="22"/>
  <c r="AL49" i="22" s="1"/>
  <c r="AK35" i="22"/>
  <c r="Y14" i="19"/>
  <c r="Y50" i="22" s="1"/>
  <c r="AM50" i="22" s="1"/>
  <c r="AL36" i="22"/>
  <c r="X15" i="19"/>
  <c r="X51" i="22" s="1"/>
  <c r="AL51" i="22" s="1"/>
  <c r="AK37" i="22"/>
  <c r="AB41" i="22"/>
  <c r="X30" i="23"/>
  <c r="X27" i="23"/>
  <c r="X124" i="22" s="1"/>
  <c r="AL124" i="22" s="1"/>
  <c r="X33" i="23"/>
  <c r="N38" i="23"/>
  <c r="N133" i="22" s="1"/>
  <c r="Y17" i="19"/>
  <c r="AQ71" i="22" l="1"/>
  <c r="AP71" i="22" s="1"/>
  <c r="AV133" i="22"/>
  <c r="AW133" i="22"/>
  <c r="AX133" i="22"/>
  <c r="AU133" i="22"/>
  <c r="BC133" i="22"/>
  <c r="AZ133" i="22"/>
  <c r="BA133" i="22"/>
  <c r="AR133" i="22"/>
  <c r="AY133" i="22"/>
  <c r="BB133" i="22"/>
  <c r="AS133" i="22"/>
  <c r="AT133" i="22"/>
  <c r="AV77" i="22"/>
  <c r="AW77" i="22"/>
  <c r="AX77" i="22"/>
  <c r="AU77" i="22"/>
  <c r="BC77" i="22"/>
  <c r="AR77" i="22"/>
  <c r="AS77" i="22"/>
  <c r="AT77" i="22"/>
  <c r="AY77" i="22"/>
  <c r="AZ77" i="22"/>
  <c r="BA77" i="22"/>
  <c r="BB77" i="22"/>
  <c r="AR76" i="22"/>
  <c r="AZ76" i="22"/>
  <c r="AS76" i="22"/>
  <c r="BA76" i="22"/>
  <c r="AT76" i="22"/>
  <c r="BB76" i="22"/>
  <c r="AY76" i="22"/>
  <c r="BC76" i="22"/>
  <c r="AU76" i="22"/>
  <c r="AW76" i="22"/>
  <c r="AX76" i="22"/>
  <c r="AV76" i="22"/>
  <c r="AV75" i="22"/>
  <c r="AW75" i="22"/>
  <c r="AX75" i="22"/>
  <c r="AU75" i="22"/>
  <c r="BC75" i="22"/>
  <c r="AY75" i="22"/>
  <c r="AZ75" i="22"/>
  <c r="AR75" i="22"/>
  <c r="BA75" i="22"/>
  <c r="BB75" i="22"/>
  <c r="AS75" i="22"/>
  <c r="AT75" i="22"/>
  <c r="AV29" i="22"/>
  <c r="AW29" i="22"/>
  <c r="AX29" i="22"/>
  <c r="AY29" i="22"/>
  <c r="AR29" i="22"/>
  <c r="AZ29" i="22"/>
  <c r="AS29" i="22"/>
  <c r="BA29" i="22"/>
  <c r="AT29" i="22"/>
  <c r="BB29" i="22"/>
  <c r="AU29" i="22"/>
  <c r="BC29" i="22"/>
  <c r="N23" i="20"/>
  <c r="N74" i="22" s="1"/>
  <c r="AQ56" i="22"/>
  <c r="AP56" i="22" s="1"/>
  <c r="Y31" i="23"/>
  <c r="Y127" i="22" s="1"/>
  <c r="AM127" i="22" s="1"/>
  <c r="Y52" i="22"/>
  <c r="AM52" i="22" s="1"/>
  <c r="Y24" i="19"/>
  <c r="X142" i="22"/>
  <c r="AL142" i="22" s="1"/>
  <c r="X126" i="22"/>
  <c r="AL126" i="22" s="1"/>
  <c r="X39" i="23"/>
  <c r="X145" i="22" s="1"/>
  <c r="AL145" i="22" s="1"/>
  <c r="X40" i="23"/>
  <c r="X36" i="20"/>
  <c r="X83" i="22" s="1"/>
  <c r="AL83" i="22" s="1"/>
  <c r="Y72" i="22"/>
  <c r="AM72" i="22" s="1"/>
  <c r="Z21" i="20"/>
  <c r="AL81" i="22"/>
  <c r="X129" i="22"/>
  <c r="AL129" i="22" s="1"/>
  <c r="AL80" i="22"/>
  <c r="X128" i="22"/>
  <c r="AL128" i="22" s="1"/>
  <c r="Y32" i="23"/>
  <c r="AK86" i="22"/>
  <c r="W134" i="22"/>
  <c r="AK134" i="22" s="1"/>
  <c r="X125" i="22"/>
  <c r="AL125" i="22" s="1"/>
  <c r="AO102" i="22"/>
  <c r="AC102" i="22" s="1"/>
  <c r="AA100" i="22"/>
  <c r="AO100" i="22" s="1"/>
  <c r="AC100" i="22" s="1"/>
  <c r="AN108" i="22"/>
  <c r="Z107" i="22"/>
  <c r="AN107" i="22" s="1"/>
  <c r="AL79" i="22"/>
  <c r="Z30" i="20"/>
  <c r="Y79" i="22"/>
  <c r="AL78" i="22"/>
  <c r="AB76" i="22"/>
  <c r="AB75" i="22"/>
  <c r="X73" i="22"/>
  <c r="AL73" i="22" s="1"/>
  <c r="Z70" i="22"/>
  <c r="AN70" i="22" s="1"/>
  <c r="AB77" i="22"/>
  <c r="AB62" i="22"/>
  <c r="N82" i="22"/>
  <c r="AL42" i="22"/>
  <c r="X57" i="22"/>
  <c r="AL57" i="22" s="1"/>
  <c r="AB29" i="22"/>
  <c r="O29" i="26"/>
  <c r="O98" i="22" s="1"/>
  <c r="AA38" i="26"/>
  <c r="AA105" i="22" s="1"/>
  <c r="AO99" i="22"/>
  <c r="AC99" i="22" s="1"/>
  <c r="O27" i="26"/>
  <c r="O97" i="22" s="1"/>
  <c r="AO103" i="22"/>
  <c r="AC103" i="22" s="1"/>
  <c r="O34" i="26"/>
  <c r="O102" i="22" s="1"/>
  <c r="AO101" i="22"/>
  <c r="AC101" i="22" s="1"/>
  <c r="O31" i="26"/>
  <c r="O99" i="22" s="1"/>
  <c r="O33" i="26"/>
  <c r="O101" i="22" s="1"/>
  <c r="AA19" i="20"/>
  <c r="AL63" i="22"/>
  <c r="Y22" i="20"/>
  <c r="Y35" i="20" s="1"/>
  <c r="Y143" i="22" s="1"/>
  <c r="AM143" i="22" s="1"/>
  <c r="AL54" i="22"/>
  <c r="AL58" i="22"/>
  <c r="Y78" i="22"/>
  <c r="AB53" i="22"/>
  <c r="AB56" i="22"/>
  <c r="AB85" i="22"/>
  <c r="Z14" i="19"/>
  <c r="Z50" i="22" s="1"/>
  <c r="AN50" i="22" s="1"/>
  <c r="AM36" i="22"/>
  <c r="Y15" i="19"/>
  <c r="Y51" i="22" s="1"/>
  <c r="AM51" i="22" s="1"/>
  <c r="AL37" i="22"/>
  <c r="Y49" i="22"/>
  <c r="AM49" i="22" s="1"/>
  <c r="AL35" i="22"/>
  <c r="AA37" i="26"/>
  <c r="O32" i="26"/>
  <c r="O100" i="22" s="1"/>
  <c r="Y33" i="23"/>
  <c r="Y129" i="22" s="1"/>
  <c r="AM129" i="22" s="1"/>
  <c r="Y27" i="23"/>
  <c r="Y124" i="22" s="1"/>
  <c r="AM124" i="22" s="1"/>
  <c r="Y30" i="23"/>
  <c r="Z17" i="19"/>
  <c r="AK8" i="2"/>
  <c r="AA8" i="2"/>
  <c r="N14" i="15"/>
  <c r="AQ133" i="22" l="1"/>
  <c r="AP133" i="22" s="1"/>
  <c r="AQ75" i="22"/>
  <c r="AP75" i="22" s="1"/>
  <c r="AR82" i="22"/>
  <c r="AZ82" i="22"/>
  <c r="AS82" i="22"/>
  <c r="BA82" i="22"/>
  <c r="AT82" i="22"/>
  <c r="BB82" i="22"/>
  <c r="AY82" i="22"/>
  <c r="AW82" i="22"/>
  <c r="AX82" i="22"/>
  <c r="AV82" i="22"/>
  <c r="BC82" i="22"/>
  <c r="AU82" i="22"/>
  <c r="AQ29" i="22"/>
  <c r="AP29" i="22" s="1"/>
  <c r="AR74" i="22"/>
  <c r="AZ74" i="22"/>
  <c r="AS74" i="22"/>
  <c r="BA74" i="22"/>
  <c r="AT74" i="22"/>
  <c r="BB74" i="22"/>
  <c r="AY74" i="22"/>
  <c r="AU74" i="22"/>
  <c r="AV74" i="22"/>
  <c r="AX74" i="22"/>
  <c r="AW74" i="22"/>
  <c r="BC74" i="22"/>
  <c r="AQ77" i="22"/>
  <c r="AP77" i="22" s="1"/>
  <c r="Z31" i="23"/>
  <c r="Z127" i="22" s="1"/>
  <c r="AN127" i="22" s="1"/>
  <c r="AB74" i="22"/>
  <c r="AQ76" i="22"/>
  <c r="AP76" i="22" s="1"/>
  <c r="Z52" i="22"/>
  <c r="AN52" i="22" s="1"/>
  <c r="Z25" i="19"/>
  <c r="Z24" i="19"/>
  <c r="Y126" i="22"/>
  <c r="AM126" i="22" s="1"/>
  <c r="Y39" i="23"/>
  <c r="Y145" i="22" s="1"/>
  <c r="AM145" i="22" s="1"/>
  <c r="Z72" i="22"/>
  <c r="AN72" i="22" s="1"/>
  <c r="AA21" i="20"/>
  <c r="AM80" i="22"/>
  <c r="Y128" i="22"/>
  <c r="AM128" i="22" s="1"/>
  <c r="Z32" i="23"/>
  <c r="AL86" i="22"/>
  <c r="X134" i="22"/>
  <c r="AL134" i="22" s="1"/>
  <c r="Y125" i="22"/>
  <c r="AM125" i="22" s="1"/>
  <c r="AO108" i="22"/>
  <c r="AC108" i="22" s="1"/>
  <c r="AA107" i="22"/>
  <c r="AO107" i="22" s="1"/>
  <c r="AC107" i="22" s="1"/>
  <c r="AO105" i="22"/>
  <c r="AC105" i="22" s="1"/>
  <c r="AA104" i="22"/>
  <c r="AO104" i="22" s="1"/>
  <c r="AC104" i="22" s="1"/>
  <c r="AM79" i="22"/>
  <c r="AA30" i="20"/>
  <c r="Z79" i="22"/>
  <c r="AA70" i="22"/>
  <c r="AO70" i="22" s="1"/>
  <c r="AC70" i="22" s="1"/>
  <c r="AM78" i="22"/>
  <c r="Y73" i="22"/>
  <c r="AM73" i="22" s="1"/>
  <c r="Y83" i="22"/>
  <c r="AM83" i="22" s="1"/>
  <c r="AB82" i="22"/>
  <c r="AM42" i="22"/>
  <c r="Y57" i="22"/>
  <c r="AM57" i="22" s="1"/>
  <c r="AM81" i="22"/>
  <c r="N29" i="26"/>
  <c r="N98" i="22" s="1"/>
  <c r="N27" i="26"/>
  <c r="N97" i="22" s="1"/>
  <c r="O38" i="26"/>
  <c r="O105" i="22" s="1"/>
  <c r="AO106" i="22"/>
  <c r="AC106" i="22" s="1"/>
  <c r="N34" i="26"/>
  <c r="N102" i="22" s="1"/>
  <c r="N33" i="26"/>
  <c r="N101" i="22" s="1"/>
  <c r="N31" i="26"/>
  <c r="N99" i="22" s="1"/>
  <c r="Z22" i="20"/>
  <c r="Z35" i="20" s="1"/>
  <c r="Z143" i="22" s="1"/>
  <c r="AN143" i="22" s="1"/>
  <c r="AM54" i="22"/>
  <c r="AM63" i="22"/>
  <c r="O19" i="20"/>
  <c r="O70" i="22" s="1"/>
  <c r="AM58" i="22"/>
  <c r="Z78" i="22"/>
  <c r="Z15" i="19"/>
  <c r="Z51" i="22" s="1"/>
  <c r="AN51" i="22" s="1"/>
  <c r="AM37" i="22"/>
  <c r="Z49" i="22"/>
  <c r="AN49" i="22" s="1"/>
  <c r="AM35" i="22"/>
  <c r="AA14" i="19"/>
  <c r="AA50" i="22" s="1"/>
  <c r="AO50" i="22" s="1"/>
  <c r="AC50" i="22" s="1"/>
  <c r="AN36" i="22"/>
  <c r="N32" i="26"/>
  <c r="N100" i="22" s="1"/>
  <c r="O37" i="26"/>
  <c r="O104" i="22" s="1"/>
  <c r="O41" i="26"/>
  <c r="O107" i="22" s="1"/>
  <c r="AK24" i="2"/>
  <c r="AK26" i="2" s="1"/>
  <c r="AK36" i="2" s="1"/>
  <c r="AA24" i="2"/>
  <c r="AA26" i="2" s="1"/>
  <c r="AA34" i="2" s="1"/>
  <c r="Z30" i="23"/>
  <c r="Z27" i="23"/>
  <c r="Z124" i="22" s="1"/>
  <c r="AN124" i="22" s="1"/>
  <c r="Z33" i="23"/>
  <c r="AA17" i="19"/>
  <c r="AU98" i="22" l="1"/>
  <c r="BA98" i="22"/>
  <c r="AR98" i="22"/>
  <c r="BB98" i="22"/>
  <c r="AT98" i="22"/>
  <c r="AS98" i="22"/>
  <c r="AV98" i="22"/>
  <c r="BC98" i="22"/>
  <c r="AW98" i="22"/>
  <c r="AX98" i="22"/>
  <c r="AY98" i="22"/>
  <c r="AZ98" i="22"/>
  <c r="AS102" i="22"/>
  <c r="BC102" i="22"/>
  <c r="AY102" i="22"/>
  <c r="AZ102" i="22"/>
  <c r="AV102" i="22"/>
  <c r="AR102" i="22"/>
  <c r="AX102" i="22"/>
  <c r="BA102" i="22"/>
  <c r="AT102" i="22"/>
  <c r="BB102" i="22"/>
  <c r="AU102" i="22"/>
  <c r="AW102" i="22"/>
  <c r="AA31" i="23"/>
  <c r="AA127" i="22" s="1"/>
  <c r="AO127" i="22" s="1"/>
  <c r="AB97" i="22"/>
  <c r="AV97" i="22"/>
  <c r="AW97" i="22"/>
  <c r="AX97" i="22"/>
  <c r="AU97" i="22"/>
  <c r="BC97" i="22"/>
  <c r="AT97" i="22"/>
  <c r="AY97" i="22"/>
  <c r="AR97" i="22"/>
  <c r="AS97" i="22"/>
  <c r="AZ97" i="22"/>
  <c r="BA97" i="22"/>
  <c r="BB97" i="22"/>
  <c r="AQ74" i="22"/>
  <c r="AP74" i="22" s="1"/>
  <c r="AQ82" i="22"/>
  <c r="AP82" i="22" s="1"/>
  <c r="AV99" i="22"/>
  <c r="AW99" i="22"/>
  <c r="AX99" i="22"/>
  <c r="AU99" i="22"/>
  <c r="BC99" i="22"/>
  <c r="AR99" i="22"/>
  <c r="AT99" i="22"/>
  <c r="AZ99" i="22"/>
  <c r="AS99" i="22"/>
  <c r="AY99" i="22"/>
  <c r="BB99" i="22"/>
  <c r="BA99" i="22"/>
  <c r="AV101" i="22"/>
  <c r="AW101" i="22"/>
  <c r="AX101" i="22"/>
  <c r="AU101" i="22"/>
  <c r="BC101" i="22"/>
  <c r="AY101" i="22"/>
  <c r="BB101" i="22"/>
  <c r="AZ101" i="22"/>
  <c r="AT101" i="22"/>
  <c r="BA101" i="22"/>
  <c r="AR101" i="22"/>
  <c r="AS101" i="22"/>
  <c r="AC127" i="22"/>
  <c r="AR100" i="22"/>
  <c r="AZ100" i="22"/>
  <c r="AS100" i="22"/>
  <c r="BA100" i="22"/>
  <c r="AT100" i="22"/>
  <c r="BB100" i="22"/>
  <c r="AY100" i="22"/>
  <c r="AU100" i="22"/>
  <c r="BC100" i="22"/>
  <c r="AV100" i="22"/>
  <c r="AW100" i="22"/>
  <c r="AX100" i="22"/>
  <c r="Z36" i="20"/>
  <c r="Z83" i="22" s="1"/>
  <c r="AN83" i="22" s="1"/>
  <c r="AA52" i="22"/>
  <c r="AO52" i="22" s="1"/>
  <c r="AC52" i="22" s="1"/>
  <c r="AA24" i="19"/>
  <c r="AA57" i="22" s="1"/>
  <c r="AO57" i="22" s="1"/>
  <c r="Z142" i="22"/>
  <c r="AN142" i="22" s="1"/>
  <c r="AC142" i="22" s="1"/>
  <c r="O25" i="19"/>
  <c r="Z39" i="23"/>
  <c r="Z145" i="22" s="1"/>
  <c r="AN145" i="22" s="1"/>
  <c r="Z40" i="23"/>
  <c r="Z134" i="22" s="1"/>
  <c r="AN134" i="22" s="1"/>
  <c r="AA72" i="22"/>
  <c r="AO72" i="22" s="1"/>
  <c r="AC72" i="22" s="1"/>
  <c r="O21" i="20"/>
  <c r="O17" i="19"/>
  <c r="O52" i="22" s="1"/>
  <c r="AN81" i="22"/>
  <c r="Z129" i="22"/>
  <c r="AN129" i="22" s="1"/>
  <c r="AN80" i="22"/>
  <c r="Z128" i="22"/>
  <c r="AN128" i="22" s="1"/>
  <c r="AA32" i="23"/>
  <c r="O32" i="23" s="1"/>
  <c r="AN86" i="22"/>
  <c r="AM86" i="22"/>
  <c r="Y134" i="22"/>
  <c r="AM134" i="22" s="1"/>
  <c r="AN79" i="22"/>
  <c r="Z126" i="22"/>
  <c r="AN126" i="22" s="1"/>
  <c r="Z125" i="22"/>
  <c r="AN125" i="22" s="1"/>
  <c r="AA79" i="22"/>
  <c r="O30" i="20"/>
  <c r="AN78" i="22"/>
  <c r="AA36" i="2"/>
  <c r="AB98" i="22"/>
  <c r="Z73" i="22"/>
  <c r="AN73" i="22" s="1"/>
  <c r="AN42" i="22"/>
  <c r="Z57" i="22"/>
  <c r="AN57" i="22" s="1"/>
  <c r="N38" i="26"/>
  <c r="N105" i="22" s="1"/>
  <c r="AN58" i="22"/>
  <c r="AN54" i="22"/>
  <c r="AA22" i="20"/>
  <c r="AA35" i="20" s="1"/>
  <c r="AN63" i="22"/>
  <c r="N19" i="20"/>
  <c r="N70" i="22" s="1"/>
  <c r="AO36" i="22"/>
  <c r="AC36" i="22" s="1"/>
  <c r="O14" i="19"/>
  <c r="O50" i="22" s="1"/>
  <c r="AA49" i="22"/>
  <c r="AO49" i="22" s="1"/>
  <c r="AC49" i="22" s="1"/>
  <c r="AN35" i="22"/>
  <c r="AA15" i="19"/>
  <c r="AA51" i="22" s="1"/>
  <c r="AO51" i="22" s="1"/>
  <c r="AC51" i="22" s="1"/>
  <c r="AN37" i="22"/>
  <c r="N41" i="26"/>
  <c r="N107" i="22" s="1"/>
  <c r="N37" i="26"/>
  <c r="N104" i="22" s="1"/>
  <c r="AA35" i="2"/>
  <c r="O31" i="23"/>
  <c r="O127" i="22" s="1"/>
  <c r="AA27" i="23"/>
  <c r="AA124" i="22" s="1"/>
  <c r="AO124" i="22" s="1"/>
  <c r="AC124" i="22" s="1"/>
  <c r="AA30" i="23"/>
  <c r="AA33" i="23"/>
  <c r="AA129" i="22" s="1"/>
  <c r="AO129" i="22" s="1"/>
  <c r="AA21" i="19"/>
  <c r="AA54" i="22" s="1"/>
  <c r="AJ40" i="2"/>
  <c r="AL71" i="2"/>
  <c r="AK71" i="2"/>
  <c r="AJ71" i="2"/>
  <c r="AI71" i="2"/>
  <c r="AI91" i="2" s="1"/>
  <c r="AH71" i="2"/>
  <c r="AH91" i="2" s="1"/>
  <c r="AG71" i="2"/>
  <c r="AG91" i="2" s="1"/>
  <c r="AF71" i="2"/>
  <c r="AF91" i="2" s="1"/>
  <c r="AE71" i="2"/>
  <c r="AE91" i="2" s="1"/>
  <c r="AD71" i="2"/>
  <c r="AD91" i="2" s="1"/>
  <c r="AC71" i="2"/>
  <c r="AC91" i="2" s="1"/>
  <c r="AB71" i="2"/>
  <c r="AB91" i="2" s="1"/>
  <c r="AA71" i="2"/>
  <c r="AL63" i="2"/>
  <c r="AL64" i="2" s="1"/>
  <c r="AK63" i="2"/>
  <c r="AK64" i="2" s="1"/>
  <c r="AJ63" i="2"/>
  <c r="AJ64" i="2" s="1"/>
  <c r="AI63" i="2"/>
  <c r="AI64" i="2" s="1"/>
  <c r="AH63" i="2"/>
  <c r="AH64" i="2" s="1"/>
  <c r="AG63" i="2"/>
  <c r="AG64" i="2" s="1"/>
  <c r="AF63" i="2"/>
  <c r="AF64" i="2" s="1"/>
  <c r="AE63" i="2"/>
  <c r="AE64" i="2" s="1"/>
  <c r="AD63" i="2"/>
  <c r="AD64" i="2" s="1"/>
  <c r="AC63" i="2"/>
  <c r="AC64" i="2" s="1"/>
  <c r="AB63" i="2"/>
  <c r="AB64" i="2" s="1"/>
  <c r="AA63" i="2"/>
  <c r="AA64" i="2" s="1"/>
  <c r="AK60" i="2"/>
  <c r="AJ60" i="2"/>
  <c r="AI60" i="2"/>
  <c r="AH60" i="2"/>
  <c r="AG60" i="2"/>
  <c r="AF60" i="2"/>
  <c r="AE60" i="2"/>
  <c r="AD60" i="2"/>
  <c r="AC60" i="2"/>
  <c r="AB60" i="2"/>
  <c r="AA60" i="2"/>
  <c r="AL59" i="2"/>
  <c r="AL75" i="2" s="1"/>
  <c r="AK59" i="2"/>
  <c r="O26" i="3" s="1"/>
  <c r="AJ59" i="2"/>
  <c r="AI59" i="2"/>
  <c r="AH59" i="2"/>
  <c r="AG59" i="2"/>
  <c r="AF59" i="2"/>
  <c r="AE59" i="2"/>
  <c r="AD59" i="2"/>
  <c r="AC59" i="2"/>
  <c r="AB59" i="2"/>
  <c r="AA59" i="2"/>
  <c r="E26" i="3" s="1"/>
  <c r="G19" i="15"/>
  <c r="J19" i="15"/>
  <c r="M13" i="15"/>
  <c r="J13" i="15"/>
  <c r="G13" i="15"/>
  <c r="M7" i="15"/>
  <c r="J7" i="15"/>
  <c r="G7" i="15"/>
  <c r="D18" i="15"/>
  <c r="J18" i="15"/>
  <c r="I18" i="15"/>
  <c r="H18" i="15"/>
  <c r="G18" i="15"/>
  <c r="F18" i="15"/>
  <c r="E18" i="15"/>
  <c r="M12" i="15"/>
  <c r="L12" i="15"/>
  <c r="K12" i="15"/>
  <c r="J12" i="15"/>
  <c r="I12" i="15"/>
  <c r="H12" i="15"/>
  <c r="G12" i="15"/>
  <c r="F12" i="15"/>
  <c r="E12" i="15"/>
  <c r="D12" i="15"/>
  <c r="C12" i="15"/>
  <c r="M6" i="15"/>
  <c r="L6" i="15"/>
  <c r="K6" i="15"/>
  <c r="J6" i="15"/>
  <c r="I6" i="15"/>
  <c r="H6" i="15"/>
  <c r="G6" i="15"/>
  <c r="F6" i="15"/>
  <c r="E6" i="15"/>
  <c r="C6" i="15"/>
  <c r="D6" i="15"/>
  <c r="K17" i="15"/>
  <c r="K18" i="15" s="1"/>
  <c r="AL12" i="2"/>
  <c r="AL13" i="2" s="1"/>
  <c r="AK12" i="2"/>
  <c r="AJ12" i="2"/>
  <c r="AJ13" i="2" s="1"/>
  <c r="AI12" i="2"/>
  <c r="AI13" i="2" s="1"/>
  <c r="AH12" i="2"/>
  <c r="AH13" i="2" s="1"/>
  <c r="AG12" i="2"/>
  <c r="AG13" i="2" s="1"/>
  <c r="AF12" i="2"/>
  <c r="AF13" i="2" s="1"/>
  <c r="AE12" i="2"/>
  <c r="AE13" i="2" s="1"/>
  <c r="AD12" i="2"/>
  <c r="AD13" i="2" s="1"/>
  <c r="AC12" i="2"/>
  <c r="AC13" i="2" s="1"/>
  <c r="AB12" i="2"/>
  <c r="AB13" i="2" s="1"/>
  <c r="AL8" i="2"/>
  <c r="AJ8" i="2"/>
  <c r="AI8" i="2"/>
  <c r="AH8" i="2"/>
  <c r="AG8" i="2"/>
  <c r="AF8" i="2"/>
  <c r="AE8" i="2"/>
  <c r="AD8" i="2"/>
  <c r="AC8" i="2"/>
  <c r="AB8" i="2"/>
  <c r="AQ102" i="22" l="1"/>
  <c r="AP102" i="22" s="1"/>
  <c r="AQ98" i="22"/>
  <c r="AP98" i="22" s="1"/>
  <c r="J26" i="3"/>
  <c r="K26" i="3"/>
  <c r="L26" i="3"/>
  <c r="M26" i="3"/>
  <c r="AR104" i="22"/>
  <c r="AZ104" i="22"/>
  <c r="AS104" i="22"/>
  <c r="BA104" i="22"/>
  <c r="AT104" i="22"/>
  <c r="BB104" i="22"/>
  <c r="AY104" i="22"/>
  <c r="BC104" i="22"/>
  <c r="AU104" i="22"/>
  <c r="AW104" i="22"/>
  <c r="AV104" i="22"/>
  <c r="AX104" i="22"/>
  <c r="AR70" i="22"/>
  <c r="AZ70" i="22"/>
  <c r="AS70" i="22"/>
  <c r="BA70" i="22"/>
  <c r="AT70" i="22"/>
  <c r="BB70" i="22"/>
  <c r="AY70" i="22"/>
  <c r="AV70" i="22"/>
  <c r="AW70" i="22"/>
  <c r="AX70" i="22"/>
  <c r="AU70" i="22"/>
  <c r="BC70" i="22"/>
  <c r="AB107" i="22"/>
  <c r="AV107" i="22"/>
  <c r="AW107" i="22"/>
  <c r="AX107" i="22"/>
  <c r="AU107" i="22"/>
  <c r="BC107" i="22"/>
  <c r="AY107" i="22"/>
  <c r="AZ107" i="22"/>
  <c r="AS107" i="22"/>
  <c r="BA107" i="22"/>
  <c r="BB107" i="22"/>
  <c r="AR107" i="22"/>
  <c r="AT107" i="22"/>
  <c r="AQ101" i="22"/>
  <c r="AP101" i="22" s="1"/>
  <c r="AQ99" i="22"/>
  <c r="AP99" i="22" s="1"/>
  <c r="AV105" i="22"/>
  <c r="AW105" i="22"/>
  <c r="AX105" i="22"/>
  <c r="AU105" i="22"/>
  <c r="BC105" i="22"/>
  <c r="AY105" i="22"/>
  <c r="AR105" i="22"/>
  <c r="AZ105" i="22"/>
  <c r="BB105" i="22"/>
  <c r="AS105" i="22"/>
  <c r="AT105" i="22"/>
  <c r="BA105" i="22"/>
  <c r="AQ100" i="22"/>
  <c r="AP100" i="22" s="1"/>
  <c r="AQ97" i="22"/>
  <c r="AP97" i="22" s="1"/>
  <c r="F26" i="3"/>
  <c r="H26" i="3"/>
  <c r="N26" i="3"/>
  <c r="I26" i="3"/>
  <c r="P26" i="3"/>
  <c r="G26" i="3"/>
  <c r="AA143" i="22"/>
  <c r="AO143" i="22" s="1"/>
  <c r="AC143" i="22" s="1"/>
  <c r="O35" i="20"/>
  <c r="N25" i="19"/>
  <c r="N142" i="22" s="1"/>
  <c r="O142" i="22"/>
  <c r="AA39" i="23"/>
  <c r="O72" i="22"/>
  <c r="N21" i="20"/>
  <c r="N72" i="22" s="1"/>
  <c r="N17" i="19"/>
  <c r="N52" i="22" s="1"/>
  <c r="AC129" i="22"/>
  <c r="AH75" i="2"/>
  <c r="AH77" i="2" s="1"/>
  <c r="AI75" i="2"/>
  <c r="AI77" i="2" s="1"/>
  <c r="AJ75" i="2"/>
  <c r="AJ77" i="2" s="1"/>
  <c r="AK75" i="2"/>
  <c r="AK77" i="2" s="1"/>
  <c r="AG75" i="2"/>
  <c r="AG77" i="2" s="1"/>
  <c r="AO80" i="22"/>
  <c r="AC80" i="22" s="1"/>
  <c r="AB80" i="22" s="1"/>
  <c r="AA128" i="22"/>
  <c r="AO128" i="22" s="1"/>
  <c r="AC128" i="22" s="1"/>
  <c r="O128" i="22"/>
  <c r="N32" i="23"/>
  <c r="N128" i="22" s="1"/>
  <c r="AO79" i="22"/>
  <c r="AC79" i="22" s="1"/>
  <c r="AA126" i="22"/>
  <c r="AO126" i="22" s="1"/>
  <c r="AC126" i="22" s="1"/>
  <c r="AA125" i="22"/>
  <c r="AO125" i="22" s="1"/>
  <c r="AC125" i="22" s="1"/>
  <c r="O28" i="23"/>
  <c r="O79" i="22"/>
  <c r="N30" i="20"/>
  <c r="N79" i="22" s="1"/>
  <c r="AC57" i="22"/>
  <c r="AA37" i="2"/>
  <c r="AA110" i="2"/>
  <c r="AK110" i="2"/>
  <c r="AO58" i="22"/>
  <c r="AC58" i="22" s="1"/>
  <c r="AA78" i="22"/>
  <c r="AO78" i="22" s="1"/>
  <c r="AC78" i="22" s="1"/>
  <c r="AB70" i="22"/>
  <c r="AA33" i="20"/>
  <c r="AA81" i="22" s="1"/>
  <c r="AO81" i="22" s="1"/>
  <c r="AC81" i="22" s="1"/>
  <c r="AA73" i="22"/>
  <c r="AO73" i="22" s="1"/>
  <c r="AC73" i="22" s="1"/>
  <c r="AA83" i="22"/>
  <c r="O27" i="20"/>
  <c r="O78" i="22" s="1"/>
  <c r="AO54" i="22"/>
  <c r="AC54" i="22" s="1"/>
  <c r="AO63" i="22"/>
  <c r="AC63" i="22" s="1"/>
  <c r="O22" i="20"/>
  <c r="O73" i="22" s="1"/>
  <c r="AO37" i="22"/>
  <c r="AC37" i="22" s="1"/>
  <c r="O15" i="19"/>
  <c r="O51" i="22" s="1"/>
  <c r="N14" i="19"/>
  <c r="O21" i="19"/>
  <c r="O54" i="22" s="1"/>
  <c r="AO39" i="22"/>
  <c r="AC39" i="22" s="1"/>
  <c r="AO35" i="22"/>
  <c r="AC35" i="22" s="1"/>
  <c r="AA22" i="19"/>
  <c r="AA55" i="22" s="1"/>
  <c r="AO55" i="22" s="1"/>
  <c r="AC55" i="22" s="1"/>
  <c r="O13" i="19"/>
  <c r="O49" i="22" s="1"/>
  <c r="O24" i="19"/>
  <c r="O57" i="22" s="1"/>
  <c r="AO42" i="22"/>
  <c r="AC42" i="22" s="1"/>
  <c r="AM4" i="22"/>
  <c r="AK4" i="22"/>
  <c r="AJ4" i="22"/>
  <c r="AG4" i="22"/>
  <c r="AF4" i="22"/>
  <c r="AH4" i="22"/>
  <c r="AI4" i="22"/>
  <c r="AL4" i="22"/>
  <c r="AN4" i="22"/>
  <c r="AJ91" i="2"/>
  <c r="AI24" i="2"/>
  <c r="AI26" i="2" s="1"/>
  <c r="AI34" i="2" s="1"/>
  <c r="AI110" i="2"/>
  <c r="AJ24" i="2"/>
  <c r="AJ26" i="2" s="1"/>
  <c r="AJ36" i="2" s="1"/>
  <c r="AJ110" i="2"/>
  <c r="AL24" i="2"/>
  <c r="AL26" i="2" s="1"/>
  <c r="AL34" i="2" s="1"/>
  <c r="AL110" i="2"/>
  <c r="AG24" i="2"/>
  <c r="AG26" i="2" s="1"/>
  <c r="AG34" i="2" s="1"/>
  <c r="AG110" i="2"/>
  <c r="AH24" i="2"/>
  <c r="AH26" i="2" s="1"/>
  <c r="AH35" i="2" s="1"/>
  <c r="AH110" i="2"/>
  <c r="AC24" i="2"/>
  <c r="AC26" i="2" s="1"/>
  <c r="AC110" i="2"/>
  <c r="AE24" i="2"/>
  <c r="AE26" i="2" s="1"/>
  <c r="AE36" i="2" s="1"/>
  <c r="AE110" i="2"/>
  <c r="AB24" i="2"/>
  <c r="AB26" i="2" s="1"/>
  <c r="AB34" i="2" s="1"/>
  <c r="AB110" i="2"/>
  <c r="AD24" i="2"/>
  <c r="AD26" i="2" s="1"/>
  <c r="AD35" i="2" s="1"/>
  <c r="AD110" i="2"/>
  <c r="AF24" i="2"/>
  <c r="AF26" i="2" s="1"/>
  <c r="AF36" i="2" s="1"/>
  <c r="AF110" i="2"/>
  <c r="O33" i="23"/>
  <c r="O129" i="22" s="1"/>
  <c r="O30" i="23"/>
  <c r="O126" i="22" s="1"/>
  <c r="AA37" i="23"/>
  <c r="O27" i="23"/>
  <c r="O124" i="22" s="1"/>
  <c r="N31" i="23"/>
  <c r="N127" i="22" s="1"/>
  <c r="AA36" i="23"/>
  <c r="AA131" i="22" s="1"/>
  <c r="AO131" i="22" s="1"/>
  <c r="AC131" i="22" s="1"/>
  <c r="AK34" i="2"/>
  <c r="AK13" i="2"/>
  <c r="AK35" i="2" s="1"/>
  <c r="O7" i="15"/>
  <c r="O13" i="15"/>
  <c r="O6" i="15"/>
  <c r="O12" i="15"/>
  <c r="AK40" i="2"/>
  <c r="AA75" i="2"/>
  <c r="AA77" i="2" s="1"/>
  <c r="AD75" i="2"/>
  <c r="AD77" i="2" s="1"/>
  <c r="AL77" i="2"/>
  <c r="AL85" i="2" s="1"/>
  <c r="AE75" i="2"/>
  <c r="AE77" i="2" s="1"/>
  <c r="AB75" i="2"/>
  <c r="AB77" i="2" s="1"/>
  <c r="AF75" i="2"/>
  <c r="AF77" i="2" s="1"/>
  <c r="AC75" i="2"/>
  <c r="AC77" i="2" s="1"/>
  <c r="L17" i="15"/>
  <c r="N34" i="12"/>
  <c r="N36" i="12"/>
  <c r="N37" i="12"/>
  <c r="N35" i="12"/>
  <c r="N33" i="12"/>
  <c r="N32" i="12"/>
  <c r="AB41" i="12"/>
  <c r="AB40" i="12"/>
  <c r="AV127" i="22" l="1"/>
  <c r="AW127" i="22"/>
  <c r="AX127" i="22"/>
  <c r="AU127" i="22"/>
  <c r="BC127" i="22"/>
  <c r="AR127" i="22"/>
  <c r="AT127" i="22"/>
  <c r="AZ127" i="22"/>
  <c r="AS127" i="22"/>
  <c r="BA127" i="22"/>
  <c r="AY127" i="22"/>
  <c r="BB127" i="22"/>
  <c r="AB142" i="22"/>
  <c r="AW142" i="22"/>
  <c r="AV142" i="22"/>
  <c r="BC142" i="22"/>
  <c r="AU142" i="22"/>
  <c r="BB142" i="22"/>
  <c r="AT142" i="22"/>
  <c r="BA142" i="22"/>
  <c r="AS142" i="22"/>
  <c r="AZ142" i="22"/>
  <c r="AR142" i="22"/>
  <c r="AY142" i="22"/>
  <c r="AX142" i="22"/>
  <c r="AQ105" i="22"/>
  <c r="AP105" i="22" s="1"/>
  <c r="AR128" i="22"/>
  <c r="AZ128" i="22"/>
  <c r="AS128" i="22"/>
  <c r="BA128" i="22"/>
  <c r="AT128" i="22"/>
  <c r="BB128" i="22"/>
  <c r="AY128" i="22"/>
  <c r="AU128" i="22"/>
  <c r="AV128" i="22"/>
  <c r="BC128" i="22"/>
  <c r="AW128" i="22"/>
  <c r="AX128" i="22"/>
  <c r="AQ107" i="22"/>
  <c r="AP107" i="22" s="1"/>
  <c r="AQ70" i="22"/>
  <c r="AP70" i="22" s="1"/>
  <c r="AV79" i="22"/>
  <c r="AW79" i="22"/>
  <c r="AX79" i="22"/>
  <c r="AU79" i="22"/>
  <c r="BC79" i="22"/>
  <c r="AZ79" i="22"/>
  <c r="AR79" i="22"/>
  <c r="BA79" i="22"/>
  <c r="AY79" i="22"/>
  <c r="BB79" i="22"/>
  <c r="AS79" i="22"/>
  <c r="AT79" i="22"/>
  <c r="AB52" i="22"/>
  <c r="AR52" i="22"/>
  <c r="AZ52" i="22"/>
  <c r="AS52" i="22"/>
  <c r="BA52" i="22"/>
  <c r="AU52" i="22"/>
  <c r="AT52" i="22"/>
  <c r="BB52" i="22"/>
  <c r="AY52" i="22"/>
  <c r="BC52" i="22"/>
  <c r="AV52" i="22"/>
  <c r="AW52" i="22"/>
  <c r="AX52" i="22"/>
  <c r="AB72" i="22"/>
  <c r="AR72" i="22"/>
  <c r="AZ72" i="22"/>
  <c r="AS72" i="22"/>
  <c r="BA72" i="22"/>
  <c r="AT72" i="22"/>
  <c r="BB72" i="22"/>
  <c r="AY72" i="22"/>
  <c r="BC72" i="22"/>
  <c r="AU72" i="22"/>
  <c r="AW72" i="22"/>
  <c r="AV72" i="22"/>
  <c r="AX72" i="22"/>
  <c r="AQ104" i="22"/>
  <c r="AP104" i="22" s="1"/>
  <c r="AA86" i="2"/>
  <c r="AA85" i="2"/>
  <c r="AA145" i="22"/>
  <c r="AO145" i="22" s="1"/>
  <c r="AC145" i="22" s="1"/>
  <c r="O39" i="23"/>
  <c r="N35" i="20"/>
  <c r="N143" i="22" s="1"/>
  <c r="O143" i="22"/>
  <c r="AN48" i="2"/>
  <c r="AI85" i="2"/>
  <c r="AH85" i="2"/>
  <c r="AK85" i="2"/>
  <c r="AG85" i="2"/>
  <c r="AJ85" i="2"/>
  <c r="AO86" i="22"/>
  <c r="AC86" i="22" s="1"/>
  <c r="AA134" i="22"/>
  <c r="AO134" i="22" s="1"/>
  <c r="AC134" i="22" s="1"/>
  <c r="O125" i="22"/>
  <c r="N28" i="23"/>
  <c r="N125" i="22" s="1"/>
  <c r="AO84" i="22"/>
  <c r="AC84" i="22" s="1"/>
  <c r="AA132" i="22"/>
  <c r="AO132" i="22" s="1"/>
  <c r="AC132" i="22" s="1"/>
  <c r="N27" i="20"/>
  <c r="N78" i="22" s="1"/>
  <c r="AO83" i="22"/>
  <c r="AC83" i="22" s="1"/>
  <c r="AA146" i="2"/>
  <c r="AA154" i="2" s="1"/>
  <c r="AA147" i="2"/>
  <c r="AA145" i="2"/>
  <c r="R26" i="3"/>
  <c r="AB36" i="22"/>
  <c r="N50" i="22"/>
  <c r="N22" i="20"/>
  <c r="N73" i="22" s="1"/>
  <c r="O33" i="20"/>
  <c r="O81" i="22" s="1"/>
  <c r="AO61" i="22"/>
  <c r="AC61" i="22" s="1"/>
  <c r="O36" i="20"/>
  <c r="O83" i="22" s="1"/>
  <c r="AB58" i="22"/>
  <c r="AD36" i="2"/>
  <c r="AC34" i="2"/>
  <c r="N24" i="19"/>
  <c r="N13" i="19"/>
  <c r="N49" i="22" s="1"/>
  <c r="N15" i="19"/>
  <c r="N51" i="22" s="1"/>
  <c r="N21" i="19"/>
  <c r="N54" i="22" s="1"/>
  <c r="O22" i="19"/>
  <c r="O55" i="22" s="1"/>
  <c r="AO40" i="22"/>
  <c r="AH34" i="2"/>
  <c r="AH36" i="2"/>
  <c r="AI35" i="2"/>
  <c r="AI36" i="2"/>
  <c r="AG35" i="2"/>
  <c r="AD34" i="2"/>
  <c r="AK91" i="2"/>
  <c r="AL35" i="2"/>
  <c r="AC35" i="2"/>
  <c r="AF34" i="2"/>
  <c r="AF35" i="2"/>
  <c r="AJ34" i="2"/>
  <c r="AJ35" i="2"/>
  <c r="AL36" i="2"/>
  <c r="AG36" i="2"/>
  <c r="AE34" i="2"/>
  <c r="AB36" i="2"/>
  <c r="AC36" i="2"/>
  <c r="AE35" i="2"/>
  <c r="AB35" i="2"/>
  <c r="AA112" i="2"/>
  <c r="AA111" i="2" s="1"/>
  <c r="N27" i="23"/>
  <c r="N124" i="22" s="1"/>
  <c r="O37" i="23"/>
  <c r="O132" i="22" s="1"/>
  <c r="N30" i="23"/>
  <c r="N126" i="22" s="1"/>
  <c r="O36" i="23"/>
  <c r="O131" i="22" s="1"/>
  <c r="N33" i="23"/>
  <c r="N129" i="22" s="1"/>
  <c r="O40" i="23"/>
  <c r="O134" i="22" s="1"/>
  <c r="AG112" i="2"/>
  <c r="AG111" i="2" s="1"/>
  <c r="AJ112" i="2"/>
  <c r="AJ111" i="2" s="1"/>
  <c r="AA97" i="2"/>
  <c r="AH112" i="2"/>
  <c r="AH111" i="2" s="1"/>
  <c r="AB112" i="2"/>
  <c r="AB111" i="2" s="1"/>
  <c r="AC112" i="2"/>
  <c r="AC111" i="2" s="1"/>
  <c r="AF112" i="2"/>
  <c r="AF111" i="2" s="1"/>
  <c r="AK112" i="2"/>
  <c r="AK111" i="2" s="1"/>
  <c r="AL112" i="2"/>
  <c r="AL111" i="2" s="1"/>
  <c r="AI112" i="2"/>
  <c r="AI111" i="2" s="1"/>
  <c r="AD112" i="2"/>
  <c r="AD111" i="2" s="1"/>
  <c r="AE112" i="2"/>
  <c r="AE111" i="2" s="1"/>
  <c r="M17" i="15"/>
  <c r="M19" i="15" s="1"/>
  <c r="O19" i="15" s="1"/>
  <c r="L18" i="15"/>
  <c r="AB39" i="12"/>
  <c r="AB23" i="12"/>
  <c r="AB38" i="12"/>
  <c r="AU78" i="22" l="1"/>
  <c r="BA78" i="22"/>
  <c r="AR78" i="22"/>
  <c r="BB78" i="22"/>
  <c r="BC78" i="22"/>
  <c r="AX78" i="22"/>
  <c r="AT78" i="22"/>
  <c r="AV78" i="22"/>
  <c r="AW78" i="22"/>
  <c r="AZ78" i="22"/>
  <c r="AS78" i="22"/>
  <c r="AY78" i="22"/>
  <c r="AV125" i="22"/>
  <c r="AW125" i="22"/>
  <c r="AX125" i="22"/>
  <c r="AU125" i="22"/>
  <c r="BC125" i="22"/>
  <c r="AY125" i="22"/>
  <c r="AZ125" i="22"/>
  <c r="BB125" i="22"/>
  <c r="AR125" i="22"/>
  <c r="BA125" i="22"/>
  <c r="AS125" i="22"/>
  <c r="AT125" i="22"/>
  <c r="AQ142" i="22"/>
  <c r="AP142" i="22" s="1"/>
  <c r="AR126" i="22"/>
  <c r="AZ126" i="22"/>
  <c r="AS126" i="22"/>
  <c r="BA126" i="22"/>
  <c r="AT126" i="22"/>
  <c r="BB126" i="22"/>
  <c r="AY126" i="22"/>
  <c r="BC126" i="22"/>
  <c r="AU126" i="22"/>
  <c r="AW126" i="22"/>
  <c r="AX126" i="22"/>
  <c r="AV126" i="22"/>
  <c r="AQ52" i="22"/>
  <c r="AP52" i="22" s="1"/>
  <c r="AR124" i="22"/>
  <c r="AZ124" i="22"/>
  <c r="AS124" i="22"/>
  <c r="BA124" i="22"/>
  <c r="AT124" i="22"/>
  <c r="BB124" i="22"/>
  <c r="AY124" i="22"/>
  <c r="AU124" i="22"/>
  <c r="AV124" i="22"/>
  <c r="AW124" i="22"/>
  <c r="AX124" i="22"/>
  <c r="BC124" i="22"/>
  <c r="AV51" i="22"/>
  <c r="AW51" i="22"/>
  <c r="AX51" i="22"/>
  <c r="AY51" i="22"/>
  <c r="AU51" i="22"/>
  <c r="BC51" i="22"/>
  <c r="BB51" i="22"/>
  <c r="AT51" i="22"/>
  <c r="AS51" i="22"/>
  <c r="AZ51" i="22"/>
  <c r="AR51" i="22"/>
  <c r="BA51" i="22"/>
  <c r="AQ72" i="22"/>
  <c r="AP72" i="22" s="1"/>
  <c r="AQ128" i="22"/>
  <c r="AP128" i="22" s="1"/>
  <c r="AV73" i="22"/>
  <c r="AW73" i="22"/>
  <c r="AX73" i="22"/>
  <c r="AU73" i="22"/>
  <c r="BC73" i="22"/>
  <c r="AR73" i="22"/>
  <c r="AS73" i="22"/>
  <c r="AZ73" i="22"/>
  <c r="BB73" i="22"/>
  <c r="AT73" i="22"/>
  <c r="AY73" i="22"/>
  <c r="BA73" i="22"/>
  <c r="AV129" i="22"/>
  <c r="AW129" i="22"/>
  <c r="AX129" i="22"/>
  <c r="AU129" i="22"/>
  <c r="BC129" i="22"/>
  <c r="AY129" i="22"/>
  <c r="AZ129" i="22"/>
  <c r="BA129" i="22"/>
  <c r="BB129" i="22"/>
  <c r="AT129" i="22"/>
  <c r="AR129" i="22"/>
  <c r="AS129" i="22"/>
  <c r="AR54" i="22"/>
  <c r="AZ54" i="22"/>
  <c r="AU54" i="22"/>
  <c r="AS54" i="22"/>
  <c r="BA54" i="22"/>
  <c r="AT54" i="22"/>
  <c r="BB54" i="22"/>
  <c r="AY54" i="22"/>
  <c r="BC54" i="22"/>
  <c r="AV54" i="22"/>
  <c r="AW54" i="22"/>
  <c r="AX54" i="22"/>
  <c r="AB143" i="22"/>
  <c r="BA143" i="22"/>
  <c r="AS143" i="22"/>
  <c r="AZ143" i="22"/>
  <c r="AR143" i="22"/>
  <c r="AY143" i="22"/>
  <c r="AX143" i="22"/>
  <c r="AW143" i="22"/>
  <c r="AV143" i="22"/>
  <c r="BC143" i="22"/>
  <c r="AU143" i="22"/>
  <c r="BB143" i="22"/>
  <c r="AT143" i="22"/>
  <c r="AQ79" i="22"/>
  <c r="AP79" i="22" s="1"/>
  <c r="AQ127" i="22"/>
  <c r="AP127" i="22" s="1"/>
  <c r="AV49" i="22"/>
  <c r="AY49" i="22"/>
  <c r="AW49" i="22"/>
  <c r="AX49" i="22"/>
  <c r="AU49" i="22"/>
  <c r="BC49" i="22"/>
  <c r="AT49" i="22"/>
  <c r="AR49" i="22"/>
  <c r="AZ49" i="22"/>
  <c r="AS49" i="22"/>
  <c r="BA49" i="22"/>
  <c r="BB49" i="22"/>
  <c r="AR50" i="22"/>
  <c r="AZ50" i="22"/>
  <c r="BC50" i="22"/>
  <c r="AS50" i="22"/>
  <c r="BA50" i="22"/>
  <c r="AT50" i="22"/>
  <c r="BB50" i="22"/>
  <c r="AY50" i="22"/>
  <c r="AU50" i="22"/>
  <c r="AV50" i="22"/>
  <c r="AW50" i="22"/>
  <c r="AX50" i="22"/>
  <c r="N39" i="23"/>
  <c r="N145" i="22" s="1"/>
  <c r="O145" i="22"/>
  <c r="AA46" i="2"/>
  <c r="AL40" i="2"/>
  <c r="AA39" i="2"/>
  <c r="AA42" i="2" s="1"/>
  <c r="AA150" i="2"/>
  <c r="AA158" i="2" s="1"/>
  <c r="AB73" i="22"/>
  <c r="AB54" i="22"/>
  <c r="AB51" i="22"/>
  <c r="AB50" i="22"/>
  <c r="AB42" i="22"/>
  <c r="N57" i="22"/>
  <c r="AB49" i="22"/>
  <c r="N36" i="20"/>
  <c r="N83" i="22" s="1"/>
  <c r="N33" i="20"/>
  <c r="AC40" i="22"/>
  <c r="AO4" i="22"/>
  <c r="AB79" i="22"/>
  <c r="AB78" i="22"/>
  <c r="AB39" i="22"/>
  <c r="AB37" i="22"/>
  <c r="AB35" i="22"/>
  <c r="N22" i="19"/>
  <c r="N55" i="22" s="1"/>
  <c r="AA90" i="2"/>
  <c r="AA93" i="2"/>
  <c r="AB97" i="2" s="1"/>
  <c r="AL91" i="2"/>
  <c r="N40" i="23"/>
  <c r="N134" i="22" s="1"/>
  <c r="N37" i="23"/>
  <c r="N132" i="22" s="1"/>
  <c r="N36" i="23"/>
  <c r="N131" i="22" s="1"/>
  <c r="M18" i="15"/>
  <c r="O18" i="15" s="1"/>
  <c r="O3" i="15" s="1"/>
  <c r="N17" i="15"/>
  <c r="N20" i="15" s="1"/>
  <c r="M11" i="2"/>
  <c r="M9" i="2"/>
  <c r="L12" i="2"/>
  <c r="M12" i="2" s="1"/>
  <c r="L13" i="2"/>
  <c r="M13" i="2" s="1"/>
  <c r="L14" i="2"/>
  <c r="M14" i="2" s="1"/>
  <c r="M21" i="2"/>
  <c r="L28" i="2"/>
  <c r="M28" i="2" s="1"/>
  <c r="AQ78" i="22" l="1"/>
  <c r="AP78" i="22" s="1"/>
  <c r="AC131" i="2"/>
  <c r="AE133" i="2"/>
  <c r="AK139" i="2"/>
  <c r="AG135" i="2"/>
  <c r="AL140" i="2"/>
  <c r="AB130" i="2"/>
  <c r="AI137" i="2"/>
  <c r="AD132" i="2"/>
  <c r="AF134" i="2"/>
  <c r="AH136" i="2"/>
  <c r="AJ138" i="2"/>
  <c r="AB145" i="22"/>
  <c r="BA145" i="22"/>
  <c r="AS145" i="22"/>
  <c r="AZ145" i="22"/>
  <c r="AR145" i="22"/>
  <c r="AY145" i="22"/>
  <c r="AX145" i="22"/>
  <c r="AW145" i="22"/>
  <c r="AV145" i="22"/>
  <c r="BC145" i="22"/>
  <c r="AU145" i="22"/>
  <c r="BB145" i="22"/>
  <c r="AT145" i="22"/>
  <c r="AQ49" i="22"/>
  <c r="AP49" i="22" s="1"/>
  <c r="AQ126" i="22"/>
  <c r="AP126" i="22" s="1"/>
  <c r="AV83" i="22"/>
  <c r="AW83" i="22"/>
  <c r="AX83" i="22"/>
  <c r="AU83" i="22"/>
  <c r="BC83" i="22"/>
  <c r="BA83" i="22"/>
  <c r="AS83" i="22"/>
  <c r="BB83" i="22"/>
  <c r="AR83" i="22"/>
  <c r="AZ83" i="22"/>
  <c r="AT83" i="22"/>
  <c r="AY83" i="22"/>
  <c r="AQ54" i="22"/>
  <c r="AP54" i="22" s="1"/>
  <c r="AQ50" i="22"/>
  <c r="AP50" i="22" s="1"/>
  <c r="AQ129" i="22"/>
  <c r="AP129" i="22" s="1"/>
  <c r="AQ51" i="22"/>
  <c r="AP51" i="22" s="1"/>
  <c r="AQ124" i="22"/>
  <c r="AP124" i="22" s="1"/>
  <c r="AV55" i="22"/>
  <c r="AW55" i="22"/>
  <c r="AX55" i="22"/>
  <c r="AY55" i="22"/>
  <c r="AU55" i="22"/>
  <c r="BC55" i="22"/>
  <c r="BB55" i="22"/>
  <c r="AS55" i="22"/>
  <c r="AR55" i="22"/>
  <c r="AT55" i="22"/>
  <c r="AZ55" i="22"/>
  <c r="BA55" i="22"/>
  <c r="AQ143" i="22"/>
  <c r="AP143" i="22" s="1"/>
  <c r="AR132" i="22"/>
  <c r="AZ132" i="22"/>
  <c r="AS132" i="22"/>
  <c r="BA132" i="22"/>
  <c r="AT132" i="22"/>
  <c r="BB132" i="22"/>
  <c r="AY132" i="22"/>
  <c r="AV132" i="22"/>
  <c r="AW132" i="22"/>
  <c r="AX132" i="22"/>
  <c r="BC132" i="22"/>
  <c r="AU132" i="22"/>
  <c r="AB134" i="22"/>
  <c r="AR134" i="22"/>
  <c r="AZ134" i="22"/>
  <c r="AS134" i="22"/>
  <c r="BA134" i="22"/>
  <c r="AT134" i="22"/>
  <c r="BB134" i="22"/>
  <c r="AY134" i="22"/>
  <c r="AU134" i="22"/>
  <c r="AV134" i="22"/>
  <c r="AX134" i="22"/>
  <c r="BC134" i="22"/>
  <c r="AW134" i="22"/>
  <c r="AQ73" i="22"/>
  <c r="AP73" i="22" s="1"/>
  <c r="AV131" i="22"/>
  <c r="AW131" i="22"/>
  <c r="AX131" i="22"/>
  <c r="AU131" i="22"/>
  <c r="BC131" i="22"/>
  <c r="AR131" i="22"/>
  <c r="AS131" i="22"/>
  <c r="AZ131" i="22"/>
  <c r="AY131" i="22"/>
  <c r="BA131" i="22"/>
  <c r="BB131" i="22"/>
  <c r="AT131" i="22"/>
  <c r="AV57" i="22"/>
  <c r="AW57" i="22"/>
  <c r="AX57" i="22"/>
  <c r="AU57" i="22"/>
  <c r="BC57" i="22"/>
  <c r="AZ57" i="22"/>
  <c r="BA57" i="22"/>
  <c r="AT57" i="22"/>
  <c r="BB57" i="22"/>
  <c r="AS57" i="22"/>
  <c r="AY57" i="22"/>
  <c r="AR57" i="22"/>
  <c r="AQ125" i="22"/>
  <c r="AP125" i="22" s="1"/>
  <c r="AA118" i="2"/>
  <c r="AA141" i="2"/>
  <c r="N81" i="22"/>
  <c r="AB46" i="2"/>
  <c r="AB39" i="2"/>
  <c r="AB42" i="2" s="1"/>
  <c r="AA48" i="2"/>
  <c r="AA49" i="2"/>
  <c r="AA117" i="2"/>
  <c r="AB57" i="22"/>
  <c r="AB55" i="22"/>
  <c r="AB40" i="22"/>
  <c r="AB61" i="22"/>
  <c r="AB63" i="22"/>
  <c r="AB83" i="22"/>
  <c r="AB84" i="22"/>
  <c r="AB86" i="22"/>
  <c r="L21" i="2"/>
  <c r="AQ55" i="22" l="1"/>
  <c r="AP55" i="22" s="1"/>
  <c r="AQ134" i="22"/>
  <c r="AP134" i="22" s="1"/>
  <c r="AQ131" i="22"/>
  <c r="AP131" i="22" s="1"/>
  <c r="AB81" i="22"/>
  <c r="AV81" i="22"/>
  <c r="AV4" i="22" s="1"/>
  <c r="I37" i="3" s="1"/>
  <c r="AW81" i="22"/>
  <c r="AW4" i="22" s="1"/>
  <c r="J37" i="3" s="1"/>
  <c r="J38" i="3" s="1"/>
  <c r="AX81" i="22"/>
  <c r="AX4" i="22" s="1"/>
  <c r="K37" i="3" s="1"/>
  <c r="AU81" i="22"/>
  <c r="AU4" i="22" s="1"/>
  <c r="H37" i="3" s="1"/>
  <c r="H38" i="3" s="1"/>
  <c r="BC81" i="22"/>
  <c r="AS81" i="22"/>
  <c r="AS4" i="22" s="1"/>
  <c r="F37" i="3" s="1"/>
  <c r="AT81" i="22"/>
  <c r="AZ81" i="22"/>
  <c r="AZ4" i="22" s="1"/>
  <c r="M37" i="3" s="1"/>
  <c r="BA81" i="22"/>
  <c r="BA4" i="22" s="1"/>
  <c r="N37" i="3" s="1"/>
  <c r="AY81" i="22"/>
  <c r="AY4" i="22" s="1"/>
  <c r="L37" i="3" s="1"/>
  <c r="AR81" i="22"/>
  <c r="BB81" i="22"/>
  <c r="BB4" i="22" s="1"/>
  <c r="O37" i="3" s="1"/>
  <c r="AQ57" i="22"/>
  <c r="AP57" i="22" s="1"/>
  <c r="AT4" i="22"/>
  <c r="G37" i="3" s="1"/>
  <c r="BC4" i="22"/>
  <c r="P37" i="3" s="1"/>
  <c r="AQ83" i="22"/>
  <c r="AP83" i="22" s="1"/>
  <c r="AQ145" i="22"/>
  <c r="AP145" i="22" s="1"/>
  <c r="AQ132" i="22"/>
  <c r="AP132" i="22" s="1"/>
  <c r="AA51" i="2"/>
  <c r="AA53" i="2" s="1"/>
  <c r="AC46" i="2"/>
  <c r="AC39" i="2"/>
  <c r="AC42" i="2" s="1"/>
  <c r="AA50" i="2"/>
  <c r="AB48" i="2"/>
  <c r="AB49" i="2"/>
  <c r="AB118" i="2"/>
  <c r="AB37" i="12"/>
  <c r="N25" i="12"/>
  <c r="N24" i="12"/>
  <c r="B146" i="2"/>
  <c r="B154" i="2" s="1"/>
  <c r="K146" i="2"/>
  <c r="J146" i="2"/>
  <c r="I146" i="2"/>
  <c r="H146" i="2"/>
  <c r="G146" i="2"/>
  <c r="F146" i="2"/>
  <c r="E146" i="2"/>
  <c r="D146" i="2"/>
  <c r="C146" i="2"/>
  <c r="J118" i="2"/>
  <c r="I118" i="2"/>
  <c r="H118" i="2"/>
  <c r="G118" i="2"/>
  <c r="F118" i="2"/>
  <c r="E118" i="2"/>
  <c r="D118" i="2"/>
  <c r="C118" i="2"/>
  <c r="B118" i="2"/>
  <c r="J117" i="2"/>
  <c r="I117" i="2"/>
  <c r="H117" i="2"/>
  <c r="G117" i="2"/>
  <c r="F117" i="2"/>
  <c r="E117" i="2"/>
  <c r="D117" i="2"/>
  <c r="C117" i="2"/>
  <c r="B117" i="2"/>
  <c r="K87" i="2"/>
  <c r="J87" i="2"/>
  <c r="I87" i="2"/>
  <c r="H87" i="2"/>
  <c r="G87" i="2"/>
  <c r="F87" i="2"/>
  <c r="E87" i="2"/>
  <c r="D87" i="2"/>
  <c r="C87" i="2"/>
  <c r="B87" i="2"/>
  <c r="L79" i="2"/>
  <c r="M79" i="2" s="1"/>
  <c r="K44" i="2"/>
  <c r="L44" i="2" s="1"/>
  <c r="K43" i="2"/>
  <c r="L43" i="2" s="1"/>
  <c r="L65" i="2"/>
  <c r="M65" i="2" s="1"/>
  <c r="L64" i="2"/>
  <c r="M64" i="2" s="1"/>
  <c r="K36" i="2"/>
  <c r="J36" i="2"/>
  <c r="I36" i="2"/>
  <c r="H36" i="2"/>
  <c r="G36" i="2"/>
  <c r="F36" i="2"/>
  <c r="E36" i="2"/>
  <c r="D36" i="2"/>
  <c r="C36" i="2"/>
  <c r="B36" i="2"/>
  <c r="K42" i="2"/>
  <c r="L42" i="2" s="1"/>
  <c r="M42" i="2" s="1"/>
  <c r="L8" i="2"/>
  <c r="AQ81" i="22" l="1"/>
  <c r="AP81" i="22" s="1"/>
  <c r="AR4" i="22"/>
  <c r="AD39" i="2"/>
  <c r="AD42" i="2" s="1"/>
  <c r="AD46" i="2"/>
  <c r="AC48" i="2"/>
  <c r="AO48" i="2" s="1"/>
  <c r="AC49" i="2"/>
  <c r="P38" i="3"/>
  <c r="O38" i="3"/>
  <c r="M38" i="3"/>
  <c r="K38" i="3"/>
  <c r="I38" i="3"/>
  <c r="F38" i="3"/>
  <c r="N38" i="3"/>
  <c r="L38" i="3"/>
  <c r="G38" i="3"/>
  <c r="AB50" i="2"/>
  <c r="B150" i="2"/>
  <c r="M8" i="2"/>
  <c r="L24" i="2"/>
  <c r="L26" i="2" s="1"/>
  <c r="L27" i="2" s="1"/>
  <c r="L34" i="2" s="1"/>
  <c r="L146" i="2"/>
  <c r="L150" i="2" s="1"/>
  <c r="F150" i="2"/>
  <c r="J150" i="2"/>
  <c r="F154" i="2"/>
  <c r="J154" i="2"/>
  <c r="C150" i="2"/>
  <c r="G150" i="2"/>
  <c r="K150" i="2"/>
  <c r="C154" i="2"/>
  <c r="G154" i="2"/>
  <c r="K154" i="2"/>
  <c r="D150" i="2"/>
  <c r="H150" i="2"/>
  <c r="D154" i="2"/>
  <c r="H154" i="2"/>
  <c r="E150" i="2"/>
  <c r="I150" i="2"/>
  <c r="E154" i="2"/>
  <c r="I154" i="2"/>
  <c r="L87" i="2"/>
  <c r="M87" i="2"/>
  <c r="M36" i="2"/>
  <c r="L36" i="2"/>
  <c r="M44" i="2"/>
  <c r="M43" i="2"/>
  <c r="AD48" i="2" l="1"/>
  <c r="AD49" i="2"/>
  <c r="AE46" i="2"/>
  <c r="AE39" i="2"/>
  <c r="AE42" i="2" s="1"/>
  <c r="R38" i="3"/>
  <c r="R37" i="3"/>
  <c r="AC50" i="2"/>
  <c r="AB51" i="2"/>
  <c r="AB53" i="2" s="1"/>
  <c r="AC51" i="2"/>
  <c r="AC53" i="2" s="1"/>
  <c r="L30" i="2"/>
  <c r="L31" i="2" s="1"/>
  <c r="M24" i="2"/>
  <c r="M26" i="2" s="1"/>
  <c r="M27" i="2" s="1"/>
  <c r="M34" i="2" s="1"/>
  <c r="L154" i="2"/>
  <c r="L158" i="2" s="1"/>
  <c r="G158" i="2"/>
  <c r="I158" i="2"/>
  <c r="E158" i="2"/>
  <c r="C158" i="2"/>
  <c r="J158" i="2"/>
  <c r="H158" i="2"/>
  <c r="F158" i="2"/>
  <c r="D158" i="2"/>
  <c r="K158" i="2"/>
  <c r="B158" i="2"/>
  <c r="AE48" i="2" l="1"/>
  <c r="AE49" i="2"/>
  <c r="AF39" i="2"/>
  <c r="AF42" i="2" s="1"/>
  <c r="AF46" i="2"/>
  <c r="AD51" i="2"/>
  <c r="AD53" i="2" s="1"/>
  <c r="M30" i="2"/>
  <c r="M31" i="2" s="1"/>
  <c r="AF48" i="2" l="1"/>
  <c r="AP48" i="2" s="1"/>
  <c r="AF49" i="2"/>
  <c r="AG39" i="2"/>
  <c r="AG42" i="2" s="1"/>
  <c r="AG46" i="2"/>
  <c r="AD50" i="2"/>
  <c r="AE51" i="2"/>
  <c r="AE53" i="2" s="1"/>
  <c r="AB25" i="12"/>
  <c r="AG49" i="2" l="1"/>
  <c r="AG48" i="2"/>
  <c r="AH39" i="2"/>
  <c r="AH42" i="2" s="1"/>
  <c r="AH46" i="2"/>
  <c r="AE50" i="2"/>
  <c r="AF51" i="2"/>
  <c r="AF53" i="2" s="1"/>
  <c r="AB7" i="12"/>
  <c r="AB31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AB16" i="12"/>
  <c r="AB35" i="12"/>
  <c r="AB33" i="12"/>
  <c r="AB34" i="12"/>
  <c r="AB4" i="12" s="1"/>
  <c r="AE5" i="12" s="1"/>
  <c r="AB15" i="12"/>
  <c r="AB30" i="12"/>
  <c r="AB14" i="12"/>
  <c r="AB13" i="12"/>
  <c r="AB12" i="12"/>
  <c r="AB22" i="12"/>
  <c r="AB21" i="12"/>
  <c r="AB19" i="12"/>
  <c r="AB18" i="12"/>
  <c r="AB29" i="12"/>
  <c r="AB28" i="12"/>
  <c r="AB26" i="12"/>
  <c r="AB27" i="12"/>
  <c r="AB11" i="12"/>
  <c r="AB10" i="12"/>
  <c r="AB9" i="12"/>
  <c r="AB8" i="12"/>
  <c r="AB20" i="12"/>
  <c r="AB17" i="12"/>
  <c r="AB24" i="12"/>
  <c r="AB36" i="12"/>
  <c r="K93" i="2"/>
  <c r="AI46" i="2" l="1"/>
  <c r="AI39" i="2"/>
  <c r="AI42" i="2" s="1"/>
  <c r="AH49" i="2"/>
  <c r="AH48" i="2"/>
  <c r="AF50" i="2"/>
  <c r="AG50" i="2"/>
  <c r="L93" i="2"/>
  <c r="L117" i="2" s="1"/>
  <c r="K117" i="2"/>
  <c r="AB6" i="12"/>
  <c r="N4" i="12"/>
  <c r="B75" i="2"/>
  <c r="B77" i="2" s="1"/>
  <c r="B78" i="2" s="1"/>
  <c r="AJ46" i="2" l="1"/>
  <c r="AJ39" i="2"/>
  <c r="AJ42" i="2" s="1"/>
  <c r="AI48" i="2"/>
  <c r="AQ48" i="2" s="1"/>
  <c r="AI49" i="2"/>
  <c r="AG51" i="2"/>
  <c r="AG53" i="2" s="1"/>
  <c r="AH50" i="2"/>
  <c r="M93" i="2"/>
  <c r="M117" i="2" s="1"/>
  <c r="B86" i="2"/>
  <c r="B88" i="2" s="1"/>
  <c r="B85" i="2"/>
  <c r="AB32" i="12"/>
  <c r="AK39" i="2" l="1"/>
  <c r="AK42" i="2" s="1"/>
  <c r="AK46" i="2"/>
  <c r="AJ48" i="2"/>
  <c r="AJ49" i="2"/>
  <c r="AI50" i="2"/>
  <c r="AH51" i="2"/>
  <c r="AH53" i="2" s="1"/>
  <c r="AO61" i="11"/>
  <c r="AN61" i="11"/>
  <c r="AM61" i="11"/>
  <c r="AL61" i="11"/>
  <c r="AK61" i="11"/>
  <c r="AJ61" i="11"/>
  <c r="AI61" i="11"/>
  <c r="AH61" i="11"/>
  <c r="AG61" i="11"/>
  <c r="Z61" i="11"/>
  <c r="Y61" i="11"/>
  <c r="X61" i="11"/>
  <c r="W61" i="11"/>
  <c r="V61" i="11"/>
  <c r="U61" i="11"/>
  <c r="T61" i="11"/>
  <c r="S61" i="11"/>
  <c r="R61" i="11"/>
  <c r="K61" i="11"/>
  <c r="J61" i="11"/>
  <c r="I61" i="11"/>
  <c r="H61" i="11"/>
  <c r="G61" i="11"/>
  <c r="F61" i="11"/>
  <c r="E61" i="11"/>
  <c r="D61" i="11"/>
  <c r="C61" i="11"/>
  <c r="AO54" i="11"/>
  <c r="AN54" i="11"/>
  <c r="AM54" i="11"/>
  <c r="AL54" i="11"/>
  <c r="AK54" i="11"/>
  <c r="AJ54" i="11"/>
  <c r="AI54" i="11"/>
  <c r="AH54" i="11"/>
  <c r="AG54" i="11"/>
  <c r="Z54" i="11"/>
  <c r="Y54" i="11"/>
  <c r="X54" i="11"/>
  <c r="W54" i="11"/>
  <c r="V54" i="11"/>
  <c r="U54" i="11"/>
  <c r="T54" i="11"/>
  <c r="S54" i="11"/>
  <c r="R54" i="11"/>
  <c r="K54" i="11"/>
  <c r="J54" i="11"/>
  <c r="I54" i="11"/>
  <c r="H54" i="11"/>
  <c r="G54" i="11"/>
  <c r="F54" i="11"/>
  <c r="E54" i="11"/>
  <c r="D54" i="11"/>
  <c r="C54" i="11"/>
  <c r="AA50" i="11"/>
  <c r="L50" i="11"/>
  <c r="AA49" i="11"/>
  <c r="L49" i="11"/>
  <c r="BH46" i="11"/>
  <c r="BG46" i="11"/>
  <c r="BF46" i="11"/>
  <c r="BE46" i="11"/>
  <c r="BD46" i="11"/>
  <c r="BC46" i="11"/>
  <c r="BB46" i="11"/>
  <c r="BA46" i="11"/>
  <c r="AZ46" i="11"/>
  <c r="AY46" i="11"/>
  <c r="AT22" i="11"/>
  <c r="AS22" i="11"/>
  <c r="AC22" i="11"/>
  <c r="AB22" i="11"/>
  <c r="N22" i="11"/>
  <c r="M22" i="11"/>
  <c r="AT18" i="11"/>
  <c r="AS18" i="11"/>
  <c r="AC18" i="11"/>
  <c r="AB18" i="11"/>
  <c r="N18" i="11"/>
  <c r="M18" i="11"/>
  <c r="AT14" i="11"/>
  <c r="AS14" i="11"/>
  <c r="AC14" i="11"/>
  <c r="AB14" i="11"/>
  <c r="N14" i="11"/>
  <c r="M14" i="11"/>
  <c r="AT10" i="11"/>
  <c r="AS10" i="11"/>
  <c r="AC10" i="11"/>
  <c r="AB10" i="11"/>
  <c r="N10" i="11"/>
  <c r="M10" i="11"/>
  <c r="AS6" i="11"/>
  <c r="AB6" i="11"/>
  <c r="M6" i="11"/>
  <c r="AK48" i="2" l="1"/>
  <c r="AK49" i="2"/>
  <c r="AL46" i="2"/>
  <c r="AL39" i="2"/>
  <c r="AL42" i="2" s="1"/>
  <c r="AI51" i="2"/>
  <c r="AI53" i="2" s="1"/>
  <c r="AJ50" i="2"/>
  <c r="AL49" i="2" l="1"/>
  <c r="AL48" i="2"/>
  <c r="AR48" i="2" s="1"/>
  <c r="AJ51" i="2"/>
  <c r="AJ53" i="2" s="1"/>
  <c r="AK51" i="2"/>
  <c r="AK53" i="2" s="1"/>
  <c r="AK50" i="2" l="1"/>
  <c r="AL50" i="2"/>
  <c r="AL51" i="2"/>
  <c r="AL53" i="2" s="1"/>
  <c r="K97" i="2"/>
  <c r="K95" i="2"/>
  <c r="L95" i="2" s="1"/>
  <c r="M95" i="2" s="1"/>
  <c r="K94" i="2"/>
  <c r="L94" i="2" s="1"/>
  <c r="J75" i="2"/>
  <c r="J77" i="2" s="1"/>
  <c r="J78" i="2" s="1"/>
  <c r="I75" i="2"/>
  <c r="I77" i="2" s="1"/>
  <c r="I78" i="2" s="1"/>
  <c r="H75" i="2"/>
  <c r="H77" i="2" s="1"/>
  <c r="H78" i="2" s="1"/>
  <c r="G75" i="2"/>
  <c r="G77" i="2" s="1"/>
  <c r="G78" i="2" s="1"/>
  <c r="F75" i="2"/>
  <c r="F77" i="2" s="1"/>
  <c r="F78" i="2" s="1"/>
  <c r="E75" i="2"/>
  <c r="E77" i="2" s="1"/>
  <c r="E78" i="2" s="1"/>
  <c r="D75" i="2"/>
  <c r="D77" i="2" s="1"/>
  <c r="D78" i="2" s="1"/>
  <c r="C75" i="2"/>
  <c r="K73" i="2"/>
  <c r="K46" i="2"/>
  <c r="J24" i="2"/>
  <c r="I24" i="2"/>
  <c r="H24" i="2"/>
  <c r="G24" i="2"/>
  <c r="F24" i="2"/>
  <c r="E24" i="2"/>
  <c r="D24" i="2"/>
  <c r="C24" i="2"/>
  <c r="B24" i="2"/>
  <c r="B112" i="2" s="1"/>
  <c r="K22" i="2"/>
  <c r="L22" i="2" s="1"/>
  <c r="M22" i="2" s="1"/>
  <c r="K118" i="2" l="1"/>
  <c r="D26" i="2"/>
  <c r="D30" i="2" s="1"/>
  <c r="D31" i="2" s="1"/>
  <c r="D112" i="2"/>
  <c r="H26" i="2"/>
  <c r="H112" i="2"/>
  <c r="E26" i="2"/>
  <c r="E30" i="2" s="1"/>
  <c r="E31" i="2" s="1"/>
  <c r="E112" i="2"/>
  <c r="I26" i="2"/>
  <c r="I112" i="2"/>
  <c r="C26" i="2"/>
  <c r="C112" i="2"/>
  <c r="G26" i="2"/>
  <c r="G112" i="2"/>
  <c r="B111" i="2"/>
  <c r="F26" i="2"/>
  <c r="F112" i="2"/>
  <c r="J26" i="2"/>
  <c r="J112" i="2"/>
  <c r="B26" i="2"/>
  <c r="C77" i="2"/>
  <c r="C78" i="2" s="1"/>
  <c r="G86" i="2"/>
  <c r="G88" i="2" s="1"/>
  <c r="G85" i="2"/>
  <c r="D86" i="2"/>
  <c r="D88" i="2" s="1"/>
  <c r="D85" i="2"/>
  <c r="H86" i="2"/>
  <c r="H88" i="2" s="1"/>
  <c r="H85" i="2"/>
  <c r="E86" i="2"/>
  <c r="E88" i="2" s="1"/>
  <c r="E85" i="2"/>
  <c r="I86" i="2"/>
  <c r="I88" i="2" s="1"/>
  <c r="I85" i="2"/>
  <c r="F86" i="2"/>
  <c r="F88" i="2" s="1"/>
  <c r="F85" i="2"/>
  <c r="J86" i="2"/>
  <c r="J88" i="2" s="1"/>
  <c r="J85" i="2"/>
  <c r="L46" i="2"/>
  <c r="M46" i="2" s="1"/>
  <c r="K75" i="2"/>
  <c r="K77" i="2" s="1"/>
  <c r="K78" i="2" s="1"/>
  <c r="L59" i="2"/>
  <c r="L110" i="2" s="1"/>
  <c r="L60" i="2"/>
  <c r="M60" i="2" s="1"/>
  <c r="L73" i="2"/>
  <c r="M73" i="2" s="1"/>
  <c r="E81" i="2"/>
  <c r="E82" i="2" s="1"/>
  <c r="I81" i="2"/>
  <c r="I82" i="2" s="1"/>
  <c r="L97" i="2"/>
  <c r="F81" i="2"/>
  <c r="F82" i="2" s="1"/>
  <c r="B81" i="2"/>
  <c r="B82" i="2" s="1"/>
  <c r="G81" i="2"/>
  <c r="G82" i="2" s="1"/>
  <c r="L63" i="2"/>
  <c r="M63" i="2" s="1"/>
  <c r="J81" i="2"/>
  <c r="J82" i="2" s="1"/>
  <c r="L62" i="2"/>
  <c r="M62" i="2" s="1"/>
  <c r="M94" i="2"/>
  <c r="D81" i="2"/>
  <c r="D82" i="2" s="1"/>
  <c r="H81" i="2"/>
  <c r="H82" i="2" s="1"/>
  <c r="K24" i="2"/>
  <c r="M118" i="2" l="1"/>
  <c r="L118" i="2"/>
  <c r="E99" i="2"/>
  <c r="F27" i="2"/>
  <c r="F145" i="2"/>
  <c r="F114" i="2"/>
  <c r="F113" i="2" s="1"/>
  <c r="G27" i="2"/>
  <c r="G114" i="2"/>
  <c r="G145" i="2"/>
  <c r="I27" i="2"/>
  <c r="I145" i="2"/>
  <c r="I114" i="2"/>
  <c r="I113" i="2" s="1"/>
  <c r="H27" i="2"/>
  <c r="H114" i="2"/>
  <c r="H113" i="2" s="1"/>
  <c r="H145" i="2"/>
  <c r="M59" i="2"/>
  <c r="B27" i="2"/>
  <c r="B34" i="2" s="1"/>
  <c r="B116" i="2" s="1"/>
  <c r="B145" i="2"/>
  <c r="B114" i="2"/>
  <c r="J111" i="2"/>
  <c r="C111" i="2"/>
  <c r="E111" i="2"/>
  <c r="D111" i="2"/>
  <c r="K26" i="2"/>
  <c r="K112" i="2"/>
  <c r="J27" i="2"/>
  <c r="J145" i="2"/>
  <c r="J114" i="2"/>
  <c r="C27" i="2"/>
  <c r="C145" i="2"/>
  <c r="C114" i="2"/>
  <c r="C113" i="2" s="1"/>
  <c r="E27" i="2"/>
  <c r="E145" i="2"/>
  <c r="E114" i="2"/>
  <c r="D27" i="2"/>
  <c r="D145" i="2"/>
  <c r="D114" i="2"/>
  <c r="D113" i="2" s="1"/>
  <c r="F111" i="2"/>
  <c r="G111" i="2"/>
  <c r="I111" i="2"/>
  <c r="H111" i="2"/>
  <c r="C81" i="2"/>
  <c r="C82" i="2" s="1"/>
  <c r="K86" i="2"/>
  <c r="K88" i="2" s="1"/>
  <c r="K85" i="2"/>
  <c r="C86" i="2"/>
  <c r="C88" i="2" s="1"/>
  <c r="C85" i="2"/>
  <c r="C99" i="2" s="1"/>
  <c r="I30" i="2"/>
  <c r="I31" i="2" s="1"/>
  <c r="E100" i="2"/>
  <c r="L72" i="2"/>
  <c r="L75" i="2"/>
  <c r="L112" i="2" s="1"/>
  <c r="C30" i="2"/>
  <c r="C31" i="2" s="1"/>
  <c r="H30" i="2"/>
  <c r="H31" i="2" s="1"/>
  <c r="D99" i="2"/>
  <c r="F30" i="2"/>
  <c r="F31" i="2" s="1"/>
  <c r="K81" i="2"/>
  <c r="K82" i="2" s="1"/>
  <c r="G30" i="2"/>
  <c r="G31" i="2" s="1"/>
  <c r="G99" i="2"/>
  <c r="H99" i="2"/>
  <c r="J30" i="2"/>
  <c r="J31" i="2" s="1"/>
  <c r="B99" i="2"/>
  <c r="B30" i="2"/>
  <c r="B31" i="2" s="1"/>
  <c r="J99" i="2"/>
  <c r="I99" i="2"/>
  <c r="F99" i="2"/>
  <c r="M75" i="2" l="1"/>
  <c r="M77" i="2" s="1"/>
  <c r="M78" i="2" s="1"/>
  <c r="M110" i="2"/>
  <c r="E102" i="2"/>
  <c r="E104" i="2" s="1"/>
  <c r="B35" i="2"/>
  <c r="B37" i="2" s="1"/>
  <c r="B120" i="2" s="1"/>
  <c r="B115" i="2"/>
  <c r="B113" i="2"/>
  <c r="H147" i="2"/>
  <c r="H155" i="2" s="1"/>
  <c r="H35" i="2"/>
  <c r="H37" i="2" s="1"/>
  <c r="H120" i="2" s="1"/>
  <c r="H34" i="2"/>
  <c r="H116" i="2" s="1"/>
  <c r="E115" i="2"/>
  <c r="J147" i="2"/>
  <c r="J155" i="2" s="1"/>
  <c r="J34" i="2"/>
  <c r="J116" i="2" s="1"/>
  <c r="J35" i="2"/>
  <c r="J37" i="2" s="1"/>
  <c r="I115" i="2"/>
  <c r="G115" i="2"/>
  <c r="F147" i="2"/>
  <c r="F155" i="2" s="1"/>
  <c r="F35" i="2"/>
  <c r="F37" i="2" s="1"/>
  <c r="F34" i="2"/>
  <c r="F116" i="2" s="1"/>
  <c r="D115" i="2"/>
  <c r="C147" i="2"/>
  <c r="C155" i="2" s="1"/>
  <c r="C35" i="2"/>
  <c r="C37" i="2" s="1"/>
  <c r="C34" i="2"/>
  <c r="C116" i="2" s="1"/>
  <c r="K111" i="2"/>
  <c r="B147" i="2"/>
  <c r="B151" i="2" s="1"/>
  <c r="G147" i="2"/>
  <c r="G155" i="2" s="1"/>
  <c r="G35" i="2"/>
  <c r="G37" i="2" s="1"/>
  <c r="G120" i="2" s="1"/>
  <c r="G34" i="2"/>
  <c r="G116" i="2" s="1"/>
  <c r="D147" i="2"/>
  <c r="D155" i="2" s="1"/>
  <c r="D35" i="2"/>
  <c r="D37" i="2" s="1"/>
  <c r="D120" i="2" s="1"/>
  <c r="D34" i="2"/>
  <c r="C120" i="2"/>
  <c r="C115" i="2"/>
  <c r="B122" i="2"/>
  <c r="B119" i="2"/>
  <c r="G113" i="2"/>
  <c r="E147" i="2"/>
  <c r="E155" i="2" s="1"/>
  <c r="E34" i="2"/>
  <c r="E48" i="2" s="1"/>
  <c r="E35" i="2"/>
  <c r="E37" i="2" s="1"/>
  <c r="E120" i="2" s="1"/>
  <c r="J120" i="2"/>
  <c r="J115" i="2"/>
  <c r="K27" i="2"/>
  <c r="K145" i="2"/>
  <c r="K114" i="2"/>
  <c r="E113" i="2"/>
  <c r="J113" i="2"/>
  <c r="H115" i="2"/>
  <c r="I147" i="2"/>
  <c r="I155" i="2" s="1"/>
  <c r="I34" i="2"/>
  <c r="I35" i="2"/>
  <c r="I37" i="2" s="1"/>
  <c r="I120" i="2" s="1"/>
  <c r="F120" i="2"/>
  <c r="F115" i="2"/>
  <c r="M112" i="2"/>
  <c r="L111" i="2"/>
  <c r="L77" i="2"/>
  <c r="L78" i="2" s="1"/>
  <c r="M86" i="2"/>
  <c r="M88" i="2" s="1"/>
  <c r="M85" i="2"/>
  <c r="M72" i="2"/>
  <c r="J100" i="2"/>
  <c r="J102" i="2" s="1"/>
  <c r="J104" i="2" s="1"/>
  <c r="D100" i="2"/>
  <c r="D102" i="2" s="1"/>
  <c r="D104" i="2" s="1"/>
  <c r="C100" i="2"/>
  <c r="C102" i="2" s="1"/>
  <c r="C104" i="2" s="1"/>
  <c r="F100" i="2"/>
  <c r="F102" i="2" s="1"/>
  <c r="F104" i="2" s="1"/>
  <c r="G100" i="2"/>
  <c r="G102" i="2" s="1"/>
  <c r="G104" i="2" s="1"/>
  <c r="I100" i="2"/>
  <c r="I102" i="2" s="1"/>
  <c r="I104" i="2" s="1"/>
  <c r="B100" i="2"/>
  <c r="B102" i="2" s="1"/>
  <c r="B104" i="2" s="1"/>
  <c r="H100" i="2"/>
  <c r="H102" i="2" s="1"/>
  <c r="H104" i="2" s="1"/>
  <c r="B48" i="2"/>
  <c r="M81" i="2"/>
  <c r="M82" i="2" s="1"/>
  <c r="K99" i="2"/>
  <c r="K30" i="2"/>
  <c r="K31" i="2" s="1"/>
  <c r="J49" i="2" l="1"/>
  <c r="G48" i="2"/>
  <c r="H49" i="2"/>
  <c r="G49" i="2"/>
  <c r="H48" i="2"/>
  <c r="H151" i="2"/>
  <c r="H159" i="2" s="1"/>
  <c r="H161" i="2" s="1"/>
  <c r="H121" i="2" s="1"/>
  <c r="B155" i="2"/>
  <c r="B159" i="2" s="1"/>
  <c r="B161" i="2" s="1"/>
  <c r="J151" i="2"/>
  <c r="J159" i="2" s="1"/>
  <c r="E151" i="2"/>
  <c r="E159" i="2" s="1"/>
  <c r="E161" i="2" s="1"/>
  <c r="E162" i="2" s="1"/>
  <c r="C119" i="2"/>
  <c r="C122" i="2"/>
  <c r="C123" i="2" s="1"/>
  <c r="J122" i="2"/>
  <c r="J123" i="2" s="1"/>
  <c r="J119" i="2"/>
  <c r="F49" i="2"/>
  <c r="B123" i="2"/>
  <c r="D116" i="2"/>
  <c r="D49" i="2"/>
  <c r="D48" i="2"/>
  <c r="G119" i="2"/>
  <c r="G122" i="2"/>
  <c r="G123" i="2" s="1"/>
  <c r="F48" i="2"/>
  <c r="C48" i="2"/>
  <c r="I48" i="2"/>
  <c r="I116" i="2"/>
  <c r="I49" i="2"/>
  <c r="C151" i="2"/>
  <c r="C159" i="2" s="1"/>
  <c r="C161" i="2" s="1"/>
  <c r="F151" i="2"/>
  <c r="F159" i="2" s="1"/>
  <c r="F161" i="2" s="1"/>
  <c r="J161" i="2"/>
  <c r="J124" i="2" s="1"/>
  <c r="F122" i="2"/>
  <c r="F123" i="2" s="1"/>
  <c r="F119" i="2"/>
  <c r="C49" i="2"/>
  <c r="K115" i="2"/>
  <c r="J48" i="2"/>
  <c r="J51" i="2" s="1"/>
  <c r="J53" i="2" s="1"/>
  <c r="I151" i="2"/>
  <c r="I159" i="2" s="1"/>
  <c r="I161" i="2" s="1"/>
  <c r="K147" i="2"/>
  <c r="K155" i="2" s="1"/>
  <c r="K34" i="2"/>
  <c r="K116" i="2" s="1"/>
  <c r="K35" i="2"/>
  <c r="K37" i="2" s="1"/>
  <c r="K120" i="2" s="1"/>
  <c r="E116" i="2"/>
  <c r="E49" i="2"/>
  <c r="E51" i="2" s="1"/>
  <c r="E53" i="2" s="1"/>
  <c r="D151" i="2"/>
  <c r="D159" i="2" s="1"/>
  <c r="D161" i="2" s="1"/>
  <c r="G151" i="2"/>
  <c r="G159" i="2" s="1"/>
  <c r="G161" i="2" s="1"/>
  <c r="K113" i="2"/>
  <c r="H122" i="2"/>
  <c r="H123" i="2" s="1"/>
  <c r="H119" i="2"/>
  <c r="L114" i="2"/>
  <c r="L145" i="2"/>
  <c r="M145" i="2"/>
  <c r="M114" i="2"/>
  <c r="M113" i="2" s="1"/>
  <c r="M111" i="2"/>
  <c r="L85" i="2"/>
  <c r="L86" i="2"/>
  <c r="L88" i="2" s="1"/>
  <c r="L81" i="2"/>
  <c r="L82" i="2" s="1"/>
  <c r="B49" i="2"/>
  <c r="B51" i="2" s="1"/>
  <c r="B53" i="2" s="1"/>
  <c r="K100" i="2"/>
  <c r="K102" i="2" s="1"/>
  <c r="K104" i="2" s="1"/>
  <c r="M99" i="2"/>
  <c r="G51" i="2" l="1"/>
  <c r="G53" i="2" s="1"/>
  <c r="H162" i="2"/>
  <c r="E124" i="2"/>
  <c r="H51" i="2"/>
  <c r="H53" i="2" s="1"/>
  <c r="K48" i="2"/>
  <c r="H124" i="2"/>
  <c r="F51" i="2"/>
  <c r="F53" i="2" s="1"/>
  <c r="D51" i="2"/>
  <c r="D53" i="2" s="1"/>
  <c r="E121" i="2"/>
  <c r="K151" i="2"/>
  <c r="K159" i="2" s="1"/>
  <c r="K161" i="2" s="1"/>
  <c r="C51" i="2"/>
  <c r="C53" i="2" s="1"/>
  <c r="L100" i="2"/>
  <c r="B121" i="2"/>
  <c r="B162" i="2"/>
  <c r="B124" i="2"/>
  <c r="D121" i="2"/>
  <c r="D162" i="2"/>
  <c r="D124" i="2"/>
  <c r="K119" i="2"/>
  <c r="K122" i="2"/>
  <c r="K123" i="2" s="1"/>
  <c r="I162" i="2"/>
  <c r="I121" i="2"/>
  <c r="G162" i="2"/>
  <c r="G121" i="2"/>
  <c r="D122" i="2"/>
  <c r="D123" i="2" s="1"/>
  <c r="D119" i="2"/>
  <c r="C162" i="2"/>
  <c r="C121" i="2"/>
  <c r="F162" i="2"/>
  <c r="F121" i="2"/>
  <c r="E122" i="2"/>
  <c r="E123" i="2" s="1"/>
  <c r="E119" i="2"/>
  <c r="C124" i="2"/>
  <c r="I122" i="2"/>
  <c r="I123" i="2" s="1"/>
  <c r="I119" i="2"/>
  <c r="G124" i="2"/>
  <c r="F124" i="2"/>
  <c r="K49" i="2"/>
  <c r="J162" i="2"/>
  <c r="J121" i="2"/>
  <c r="I51" i="2"/>
  <c r="I53" i="2" s="1"/>
  <c r="I124" i="2"/>
  <c r="L147" i="2"/>
  <c r="L155" i="2" s="1"/>
  <c r="L35" i="2"/>
  <c r="M35" i="2"/>
  <c r="L116" i="2"/>
  <c r="M115" i="2"/>
  <c r="L115" i="2"/>
  <c r="L113" i="2"/>
  <c r="L99" i="2"/>
  <c r="L49" i="2"/>
  <c r="L48" i="2"/>
  <c r="M100" i="2"/>
  <c r="M102" i="2" s="1"/>
  <c r="M104" i="2" s="1"/>
  <c r="K51" i="2" l="1"/>
  <c r="K53" i="2" s="1"/>
  <c r="K162" i="2"/>
  <c r="K124" i="2"/>
  <c r="K121" i="2"/>
  <c r="L102" i="2"/>
  <c r="L104" i="2" s="1"/>
  <c r="M37" i="2"/>
  <c r="L37" i="2"/>
  <c r="L120" i="2" s="1"/>
  <c r="L119" i="2"/>
  <c r="L122" i="2"/>
  <c r="L123" i="2" s="1"/>
  <c r="L151" i="2"/>
  <c r="L159" i="2" s="1"/>
  <c r="L161" i="2" s="1"/>
  <c r="M49" i="2"/>
  <c r="M48" i="2"/>
  <c r="L51" i="2"/>
  <c r="L53" i="2" s="1"/>
  <c r="M51" i="2" l="1"/>
  <c r="M53" i="2" s="1"/>
  <c r="L121" i="2"/>
  <c r="L162" i="2"/>
  <c r="L124" i="2"/>
  <c r="M146" i="2" l="1"/>
  <c r="M150" i="2" s="1"/>
  <c r="M147" i="2" l="1"/>
  <c r="M151" i="2" s="1"/>
  <c r="M155" i="2"/>
  <c r="M116" i="2"/>
  <c r="M154" i="2"/>
  <c r="M158" i="2" s="1"/>
  <c r="M159" i="2" l="1"/>
  <c r="M161" i="2"/>
  <c r="M162" i="2" s="1"/>
  <c r="M120" i="2"/>
  <c r="M119" i="2"/>
  <c r="M122" i="2"/>
  <c r="M123" i="2" s="1"/>
  <c r="M121" i="2" l="1"/>
  <c r="M124" i="2"/>
  <c r="AA30" i="2" l="1"/>
  <c r="AA31" i="2" s="1"/>
  <c r="AB30" i="2" l="1"/>
  <c r="AB31" i="2" s="1"/>
  <c r="AB37" i="2" l="1"/>
  <c r="AC30" i="2" l="1"/>
  <c r="AC31" i="2" s="1"/>
  <c r="AC37" i="2" l="1"/>
  <c r="AD30" i="2" l="1"/>
  <c r="AD31" i="2" s="1"/>
  <c r="AD37" i="2" l="1"/>
  <c r="AE30" i="2" l="1"/>
  <c r="AE31" i="2" s="1"/>
  <c r="AE37" i="2" l="1"/>
  <c r="AF37" i="2" l="1"/>
  <c r="AF30" i="2"/>
  <c r="AF31" i="2" s="1"/>
  <c r="AG30" i="2" l="1"/>
  <c r="AG31" i="2" s="1"/>
  <c r="AG37" i="2" l="1"/>
  <c r="AH30" i="2" l="1"/>
  <c r="AH31" i="2" s="1"/>
  <c r="AH37" i="2" l="1"/>
  <c r="AI30" i="2" l="1"/>
  <c r="AI31" i="2" s="1"/>
  <c r="AI37" i="2" l="1"/>
  <c r="AJ30" i="2" l="1"/>
  <c r="AJ31" i="2" s="1"/>
  <c r="AJ37" i="2" l="1"/>
  <c r="AK30" i="2" l="1"/>
  <c r="AK31" i="2" s="1"/>
  <c r="AK37" i="2" l="1"/>
  <c r="AL30" i="2" l="1"/>
  <c r="AL31" i="2" s="1"/>
  <c r="AL37" i="2" l="1"/>
  <c r="AL114" i="2" l="1"/>
  <c r="AL115" i="2" s="1"/>
  <c r="AK114" i="2"/>
  <c r="AK120" i="2" s="1"/>
  <c r="AJ114" i="2"/>
  <c r="AI114" i="2"/>
  <c r="AI115" i="2" s="1"/>
  <c r="AH114" i="2"/>
  <c r="AH120" i="2" s="1"/>
  <c r="AG114" i="2"/>
  <c r="AG120" i="2" s="1"/>
  <c r="AF114" i="2"/>
  <c r="AF120" i="2" s="1"/>
  <c r="AE114" i="2"/>
  <c r="AD114" i="2"/>
  <c r="AD120" i="2" s="1"/>
  <c r="AC114" i="2"/>
  <c r="AC115" i="2" s="1"/>
  <c r="AB114" i="2"/>
  <c r="AA114" i="2"/>
  <c r="AB93" i="2"/>
  <c r="AC97" i="2" s="1"/>
  <c r="AG81" i="2"/>
  <c r="AG82" i="2" s="1"/>
  <c r="AG86" i="2"/>
  <c r="AH81" i="2"/>
  <c r="AH82" i="2" s="1"/>
  <c r="AH86" i="2"/>
  <c r="AA81" i="2"/>
  <c r="AA82" i="2" s="1"/>
  <c r="AI81" i="2"/>
  <c r="AI82" i="2" s="1"/>
  <c r="AI86" i="2"/>
  <c r="AB81" i="2"/>
  <c r="AB82" i="2" s="1"/>
  <c r="AJ81" i="2"/>
  <c r="AJ82" i="2" s="1"/>
  <c r="AB86" i="2"/>
  <c r="AJ86" i="2"/>
  <c r="AC81" i="2"/>
  <c r="AC82" i="2" s="1"/>
  <c r="AK81" i="2"/>
  <c r="AK82" i="2" s="1"/>
  <c r="AC147" i="2"/>
  <c r="AC155" i="2" s="1"/>
  <c r="AC146" i="2"/>
  <c r="AC145" i="2"/>
  <c r="AC87" i="2"/>
  <c r="AK145" i="2"/>
  <c r="AK147" i="2"/>
  <c r="AK151" i="2" s="1"/>
  <c r="AK146" i="2"/>
  <c r="AK150" i="2" s="1"/>
  <c r="AK87" i="2"/>
  <c r="AC86" i="2"/>
  <c r="AK86" i="2"/>
  <c r="AD81" i="2"/>
  <c r="AD82" i="2" s="1"/>
  <c r="AL81" i="2"/>
  <c r="AL82" i="2" s="1"/>
  <c r="AD145" i="2"/>
  <c r="AD147" i="2"/>
  <c r="AD146" i="2"/>
  <c r="AD154" i="2" s="1"/>
  <c r="AD87" i="2"/>
  <c r="AL145" i="2"/>
  <c r="AL147" i="2"/>
  <c r="AL151" i="2" s="1"/>
  <c r="AL146" i="2"/>
  <c r="AL87" i="2"/>
  <c r="AD86" i="2"/>
  <c r="AL86" i="2"/>
  <c r="AE81" i="2"/>
  <c r="AE82" i="2" s="1"/>
  <c r="AE147" i="2"/>
  <c r="AE151" i="2" s="1"/>
  <c r="AE146" i="2"/>
  <c r="AE150" i="2" s="1"/>
  <c r="AE145" i="2"/>
  <c r="AE87" i="2"/>
  <c r="AE85" i="2"/>
  <c r="AE86" i="2"/>
  <c r="AH147" i="2"/>
  <c r="AH155" i="2" s="1"/>
  <c r="AH146" i="2"/>
  <c r="AH150" i="2" s="1"/>
  <c r="AH145" i="2"/>
  <c r="AH87" i="2"/>
  <c r="AF81" i="2"/>
  <c r="AF82" i="2" s="1"/>
  <c r="AF145" i="2"/>
  <c r="AF146" i="2"/>
  <c r="AF154" i="2" s="1"/>
  <c r="AF147" i="2"/>
  <c r="AF155" i="2" s="1"/>
  <c r="AF87" i="2"/>
  <c r="AB146" i="2"/>
  <c r="AB150" i="2" s="1"/>
  <c r="AB147" i="2"/>
  <c r="AB145" i="2"/>
  <c r="AB85" i="2"/>
  <c r="AB100" i="2" s="1"/>
  <c r="AB87" i="2"/>
  <c r="AB127" i="2" s="1"/>
  <c r="AJ147" i="2"/>
  <c r="AJ151" i="2" s="1"/>
  <c r="AJ145" i="2"/>
  <c r="AJ146" i="2"/>
  <c r="AJ87" i="2"/>
  <c r="AF85" i="2"/>
  <c r="AF86" i="2"/>
  <c r="AA155" i="2"/>
  <c r="AA87" i="2"/>
  <c r="AA127" i="2" s="1"/>
  <c r="AA143" i="2" s="1"/>
  <c r="AA116" i="2"/>
  <c r="AB90" i="2"/>
  <c r="AI146" i="2"/>
  <c r="AI147" i="2"/>
  <c r="AI155" i="2" s="1"/>
  <c r="AI145" i="2"/>
  <c r="AI87" i="2"/>
  <c r="AG145" i="2"/>
  <c r="AG146" i="2"/>
  <c r="AG154" i="2" s="1"/>
  <c r="AG147" i="2"/>
  <c r="AG155" i="2" s="1"/>
  <c r="AG87" i="2"/>
  <c r="AD85" i="2"/>
  <c r="AC85" i="2"/>
  <c r="AD129" i="2" l="1"/>
  <c r="AK136" i="2"/>
  <c r="AF131" i="2"/>
  <c r="AE130" i="2"/>
  <c r="AH133" i="2"/>
  <c r="AI134" i="2"/>
  <c r="AJ137" i="2"/>
  <c r="AH135" i="2"/>
  <c r="AE132" i="2"/>
  <c r="AI136" i="2"/>
  <c r="AC130" i="2"/>
  <c r="AL139" i="2"/>
  <c r="AD131" i="2"/>
  <c r="AK138" i="2"/>
  <c r="AB129" i="2"/>
  <c r="AG134" i="2"/>
  <c r="AF133" i="2"/>
  <c r="AE131" i="2"/>
  <c r="AK137" i="2"/>
  <c r="AJ136" i="2"/>
  <c r="AD130" i="2"/>
  <c r="AG133" i="2"/>
  <c r="AL138" i="2"/>
  <c r="AC129" i="2"/>
  <c r="AF132" i="2"/>
  <c r="AH134" i="2"/>
  <c r="AI135" i="2"/>
  <c r="AC127" i="2"/>
  <c r="AD127" i="2"/>
  <c r="AB141" i="2"/>
  <c r="AB143" i="2" s="1"/>
  <c r="E17" i="3"/>
  <c r="AC118" i="2"/>
  <c r="AK88" i="2"/>
  <c r="AI88" i="2"/>
  <c r="AG88" i="2"/>
  <c r="AL88" i="2"/>
  <c r="AJ88" i="2"/>
  <c r="AH88" i="2"/>
  <c r="AC100" i="2"/>
  <c r="AA113" i="2"/>
  <c r="AA115" i="2"/>
  <c r="AA120" i="2"/>
  <c r="AA119" i="2"/>
  <c r="AA122" i="2"/>
  <c r="AA99" i="2"/>
  <c r="AA100" i="2"/>
  <c r="AJ116" i="2"/>
  <c r="AJ122" i="2" s="1"/>
  <c r="AK116" i="2"/>
  <c r="AK122" i="2" s="1"/>
  <c r="AL116" i="2"/>
  <c r="AL122" i="2" s="1"/>
  <c r="AL123" i="2" s="1"/>
  <c r="AG116" i="2"/>
  <c r="AH116" i="2"/>
  <c r="AI116" i="2"/>
  <c r="AE116" i="2"/>
  <c r="AE122" i="2" s="1"/>
  <c r="AD116" i="2"/>
  <c r="AF116" i="2"/>
  <c r="AF122" i="2" s="1"/>
  <c r="AB116" i="2"/>
  <c r="AB122" i="2" s="1"/>
  <c r="AB99" i="2"/>
  <c r="AC93" i="2"/>
  <c r="AD97" i="2" s="1"/>
  <c r="AL137" i="2" s="1"/>
  <c r="AC116" i="2"/>
  <c r="AC99" i="2"/>
  <c r="AF115" i="2"/>
  <c r="AC88" i="2"/>
  <c r="AG151" i="2"/>
  <c r="AG159" i="2" s="1"/>
  <c r="AA151" i="2"/>
  <c r="AA159" i="2" s="1"/>
  <c r="AH115" i="2"/>
  <c r="AH113" i="2"/>
  <c r="AK155" i="2"/>
  <c r="AK159" i="2" s="1"/>
  <c r="AA88" i="2"/>
  <c r="AF88" i="2"/>
  <c r="AF113" i="2"/>
  <c r="AI113" i="2"/>
  <c r="AD113" i="2"/>
  <c r="AJ155" i="2"/>
  <c r="AJ159" i="2" s="1"/>
  <c r="AC113" i="2"/>
  <c r="AL120" i="2"/>
  <c r="AB117" i="2"/>
  <c r="AC120" i="2"/>
  <c r="AF151" i="2"/>
  <c r="AF159" i="2" s="1"/>
  <c r="AD150" i="2"/>
  <c r="AD158" i="2" s="1"/>
  <c r="AE155" i="2"/>
  <c r="AE159" i="2" s="1"/>
  <c r="AD115" i="2"/>
  <c r="AH151" i="2"/>
  <c r="AH159" i="2" s="1"/>
  <c r="AI151" i="2"/>
  <c r="AI159" i="2" s="1"/>
  <c r="AB154" i="2"/>
  <c r="AB158" i="2" s="1"/>
  <c r="AK115" i="2"/>
  <c r="AG150" i="2"/>
  <c r="AG158" i="2" s="1"/>
  <c r="AJ154" i="2"/>
  <c r="AJ150" i="2"/>
  <c r="AC90" i="2"/>
  <c r="AE154" i="2"/>
  <c r="AE158" i="2" s="1"/>
  <c r="AL155" i="2"/>
  <c r="AL159" i="2" s="1"/>
  <c r="AC151" i="2"/>
  <c r="AC159" i="2" s="1"/>
  <c r="AE115" i="2"/>
  <c r="AE120" i="2"/>
  <c r="AB151" i="2"/>
  <c r="AB155" i="2"/>
  <c r="AF150" i="2"/>
  <c r="AF158" i="2" s="1"/>
  <c r="AD151" i="2"/>
  <c r="AD155" i="2"/>
  <c r="AC150" i="2"/>
  <c r="AC154" i="2"/>
  <c r="AI150" i="2"/>
  <c r="AI154" i="2"/>
  <c r="AB115" i="2"/>
  <c r="AB120" i="2"/>
  <c r="AB113" i="2"/>
  <c r="AL150" i="2"/>
  <c r="AL154" i="2"/>
  <c r="AJ120" i="2"/>
  <c r="AJ113" i="2"/>
  <c r="AJ115" i="2"/>
  <c r="AE88" i="2"/>
  <c r="AB88" i="2"/>
  <c r="AE113" i="2"/>
  <c r="AI120" i="2"/>
  <c r="AK113" i="2"/>
  <c r="AG113" i="2"/>
  <c r="AL113" i="2"/>
  <c r="AH154" i="2"/>
  <c r="AH158" i="2" s="1"/>
  <c r="AD88" i="2"/>
  <c r="AG115" i="2"/>
  <c r="AK154" i="2"/>
  <c r="AK158" i="2" s="1"/>
  <c r="AG132" i="2" l="1"/>
  <c r="AJ135" i="2"/>
  <c r="F16" i="3"/>
  <c r="AC141" i="2"/>
  <c r="AC143" i="2" s="1"/>
  <c r="E16" i="3"/>
  <c r="E18" i="3" s="1"/>
  <c r="E29" i="3" s="1"/>
  <c r="AD141" i="2"/>
  <c r="AD143" i="2" s="1"/>
  <c r="AD118" i="2"/>
  <c r="AD119" i="2" s="1"/>
  <c r="AD99" i="2"/>
  <c r="AD100" i="2"/>
  <c r="AA123" i="2"/>
  <c r="AB119" i="2"/>
  <c r="AD93" i="2"/>
  <c r="AE97" i="2" s="1"/>
  <c r="AD90" i="2"/>
  <c r="AC117" i="2"/>
  <c r="AF123" i="2"/>
  <c r="AA101" i="2"/>
  <c r="AG161" i="2"/>
  <c r="AG162" i="2" s="1"/>
  <c r="AE123" i="2"/>
  <c r="AC158" i="2"/>
  <c r="AC161" i="2" s="1"/>
  <c r="AC124" i="2" s="1"/>
  <c r="AJ123" i="2"/>
  <c r="AB101" i="2"/>
  <c r="AK161" i="2"/>
  <c r="AK124" i="2" s="1"/>
  <c r="AA161" i="2"/>
  <c r="AA102" i="2"/>
  <c r="AA104" i="2" s="1"/>
  <c r="AE161" i="2"/>
  <c r="AE124" i="2" s="1"/>
  <c r="AJ158" i="2"/>
  <c r="AJ161" i="2" s="1"/>
  <c r="AJ121" i="2" s="1"/>
  <c r="AI158" i="2"/>
  <c r="AI161" i="2" s="1"/>
  <c r="AI124" i="2" s="1"/>
  <c r="AL158" i="2"/>
  <c r="AL161" i="2" s="1"/>
  <c r="AL124" i="2" s="1"/>
  <c r="AK123" i="2"/>
  <c r="AH161" i="2"/>
  <c r="AH162" i="2" s="1"/>
  <c r="AF161" i="2"/>
  <c r="AF121" i="2" s="1"/>
  <c r="AC119" i="2"/>
  <c r="AH122" i="2"/>
  <c r="AH123" i="2" s="1"/>
  <c r="AD122" i="2"/>
  <c r="AD123" i="2" s="1"/>
  <c r="AB159" i="2"/>
  <c r="AB161" i="2" s="1"/>
  <c r="AB124" i="2" s="1"/>
  <c r="AI122" i="2"/>
  <c r="AI123" i="2" s="1"/>
  <c r="AD159" i="2"/>
  <c r="AD161" i="2" s="1"/>
  <c r="AB102" i="2"/>
  <c r="AB104" i="2" s="1"/>
  <c r="AC122" i="2"/>
  <c r="AC123" i="2" s="1"/>
  <c r="AG122" i="2"/>
  <c r="AG123" i="2" s="1"/>
  <c r="AB123" i="2"/>
  <c r="AE127" i="2" l="1"/>
  <c r="AI133" i="2"/>
  <c r="AH132" i="2"/>
  <c r="AE129" i="2"/>
  <c r="AK135" i="2"/>
  <c r="AJ134" i="2"/>
  <c r="AG131" i="2"/>
  <c r="AL136" i="2"/>
  <c r="AF130" i="2"/>
  <c r="F17" i="3"/>
  <c r="F18" i="3" s="1"/>
  <c r="AE141" i="2"/>
  <c r="AE143" i="2" s="1"/>
  <c r="E19" i="3"/>
  <c r="E23" i="3"/>
  <c r="E39" i="3" s="1"/>
  <c r="G17" i="3"/>
  <c r="AE118" i="2"/>
  <c r="AE119" i="2" s="1"/>
  <c r="AE100" i="2"/>
  <c r="AE99" i="2"/>
  <c r="AA124" i="2"/>
  <c r="AA162" i="2"/>
  <c r="AA121" i="2"/>
  <c r="AD117" i="2"/>
  <c r="AE93" i="2"/>
  <c r="AF97" i="2" s="1"/>
  <c r="AE90" i="2"/>
  <c r="G16" i="3"/>
  <c r="AD101" i="2"/>
  <c r="AC162" i="2"/>
  <c r="AC121" i="2"/>
  <c r="AG124" i="2"/>
  <c r="AG121" i="2"/>
  <c r="AJ124" i="2"/>
  <c r="AI162" i="2"/>
  <c r="AI121" i="2"/>
  <c r="AF162" i="2"/>
  <c r="AJ162" i="2"/>
  <c r="AL162" i="2"/>
  <c r="AK121" i="2"/>
  <c r="AE162" i="2"/>
  <c r="AK162" i="2"/>
  <c r="AE121" i="2"/>
  <c r="AC102" i="2"/>
  <c r="AC104" i="2" s="1"/>
  <c r="AH124" i="2"/>
  <c r="AF124" i="2"/>
  <c r="AL121" i="2"/>
  <c r="AH121" i="2"/>
  <c r="AD121" i="2"/>
  <c r="AD162" i="2"/>
  <c r="AD124" i="2"/>
  <c r="AB121" i="2"/>
  <c r="AB162" i="2"/>
  <c r="AD102" i="2"/>
  <c r="AD104" i="2" s="1"/>
  <c r="AC101" i="2"/>
  <c r="AF127" i="2" l="1"/>
  <c r="AI132" i="2"/>
  <c r="AJ133" i="2"/>
  <c r="AH131" i="2"/>
  <c r="AF129" i="2"/>
  <c r="AF141" i="2" s="1"/>
  <c r="AF143" i="2" s="1"/>
  <c r="AL135" i="2"/>
  <c r="AG130" i="2"/>
  <c r="AK134" i="2"/>
  <c r="H17" i="3"/>
  <c r="AE102" i="2"/>
  <c r="AE104" i="2" s="1"/>
  <c r="AF118" i="2"/>
  <c r="AF119" i="2" s="1"/>
  <c r="AF99" i="2"/>
  <c r="AF100" i="2"/>
  <c r="F19" i="3"/>
  <c r="F29" i="3"/>
  <c r="F30" i="3" s="1"/>
  <c r="AF93" i="2"/>
  <c r="AG97" i="2" s="1"/>
  <c r="AE117" i="2"/>
  <c r="AF90" i="2"/>
  <c r="G18" i="3"/>
  <c r="F23" i="3"/>
  <c r="AE101" i="2"/>
  <c r="AG127" i="2" l="1"/>
  <c r="AH130" i="2"/>
  <c r="AL134" i="2"/>
  <c r="AJ132" i="2"/>
  <c r="AK133" i="2"/>
  <c r="AG129" i="2"/>
  <c r="AG141" i="2" s="1"/>
  <c r="AG143" i="2" s="1"/>
  <c r="AI131" i="2"/>
  <c r="H16" i="3"/>
  <c r="H18" i="3" s="1"/>
  <c r="H29" i="3" s="1"/>
  <c r="I17" i="3"/>
  <c r="AG118" i="2"/>
  <c r="AG119" i="2" s="1"/>
  <c r="AG100" i="2"/>
  <c r="AG99" i="2"/>
  <c r="E42" i="3"/>
  <c r="F24" i="3"/>
  <c r="F39" i="3"/>
  <c r="F42" i="3" s="1"/>
  <c r="F43" i="3" s="1"/>
  <c r="AG90" i="2"/>
  <c r="AG93" i="2"/>
  <c r="G23" i="3"/>
  <c r="G39" i="3" s="1"/>
  <c r="G29" i="3"/>
  <c r="G30" i="3" s="1"/>
  <c r="AF117" i="2"/>
  <c r="G19" i="3"/>
  <c r="AF102" i="2"/>
  <c r="AF104" i="2" s="1"/>
  <c r="E30" i="3"/>
  <c r="AF101" i="2"/>
  <c r="I16" i="3"/>
  <c r="J17" i="3" l="1"/>
  <c r="AH93" i="2"/>
  <c r="AH97" i="2"/>
  <c r="E24" i="3"/>
  <c r="G24" i="3"/>
  <c r="AH90" i="2"/>
  <c r="AG117" i="2"/>
  <c r="F40" i="3"/>
  <c r="AG101" i="2"/>
  <c r="G42" i="3"/>
  <c r="G43" i="3" s="1"/>
  <c r="G40" i="3"/>
  <c r="I18" i="3"/>
  <c r="I29" i="3" s="1"/>
  <c r="H19" i="3"/>
  <c r="H23" i="3"/>
  <c r="AG102" i="2"/>
  <c r="AG104" i="2" s="1"/>
  <c r="E40" i="3"/>
  <c r="J16" i="3"/>
  <c r="AH127" i="2" l="1"/>
  <c r="AL133" i="2"/>
  <c r="AK132" i="2"/>
  <c r="AJ131" i="2"/>
  <c r="AH129" i="2"/>
  <c r="AI130" i="2"/>
  <c r="AH141" i="2"/>
  <c r="AH143" i="2" s="1"/>
  <c r="K17" i="3"/>
  <c r="AH99" i="2"/>
  <c r="AH118" i="2"/>
  <c r="AH119" i="2" s="1"/>
  <c r="AH100" i="2"/>
  <c r="AI97" i="2"/>
  <c r="AI93" i="2"/>
  <c r="H39" i="3"/>
  <c r="AI90" i="2"/>
  <c r="AH117" i="2"/>
  <c r="J18" i="3"/>
  <c r="K16" i="3"/>
  <c r="H24" i="3"/>
  <c r="E43" i="3"/>
  <c r="I19" i="3"/>
  <c r="I23" i="3"/>
  <c r="I39" i="3" s="1"/>
  <c r="I30" i="3"/>
  <c r="H30" i="3"/>
  <c r="AI127" i="2" l="1"/>
  <c r="AK131" i="2"/>
  <c r="AI129" i="2"/>
  <c r="AJ130" i="2"/>
  <c r="AL132" i="2"/>
  <c r="AI141" i="2"/>
  <c r="AI143" i="2" s="1"/>
  <c r="K18" i="3"/>
  <c r="K29" i="3" s="1"/>
  <c r="AH102" i="2"/>
  <c r="AH104" i="2" s="1"/>
  <c r="AH101" i="2"/>
  <c r="AI99" i="2"/>
  <c r="AI100" i="2"/>
  <c r="AI118" i="2"/>
  <c r="AI119" i="2" s="1"/>
  <c r="AJ93" i="2"/>
  <c r="AJ97" i="2"/>
  <c r="AJ90" i="2"/>
  <c r="AI117" i="2"/>
  <c r="J19" i="3"/>
  <c r="J29" i="3"/>
  <c r="J23" i="3"/>
  <c r="J39" i="3" s="1"/>
  <c r="H42" i="3"/>
  <c r="H40" i="3"/>
  <c r="I24" i="3"/>
  <c r="AJ127" i="2" l="1"/>
  <c r="AK130" i="2"/>
  <c r="AJ129" i="2"/>
  <c r="AL131" i="2"/>
  <c r="L17" i="3"/>
  <c r="AJ141" i="2"/>
  <c r="AJ143" i="2" s="1"/>
  <c r="K23" i="3"/>
  <c r="K39" i="3" s="1"/>
  <c r="L16" i="3"/>
  <c r="K19" i="3"/>
  <c r="AI101" i="2"/>
  <c r="AI102" i="2"/>
  <c r="AI104" i="2" s="1"/>
  <c r="AJ100" i="2"/>
  <c r="AJ99" i="2"/>
  <c r="AJ118" i="2"/>
  <c r="AJ119" i="2" s="1"/>
  <c r="AK93" i="2"/>
  <c r="AK97" i="2"/>
  <c r="J30" i="3"/>
  <c r="AK90" i="2"/>
  <c r="AJ117" i="2"/>
  <c r="J24" i="3"/>
  <c r="I42" i="3"/>
  <c r="I43" i="3" s="1"/>
  <c r="I40" i="3"/>
  <c r="K30" i="3"/>
  <c r="J40" i="3"/>
  <c r="J42" i="3"/>
  <c r="J43" i="3" s="1"/>
  <c r="H43" i="3"/>
  <c r="AK127" i="2" l="1"/>
  <c r="AL130" i="2"/>
  <c r="AK129" i="2"/>
  <c r="L18" i="3"/>
  <c r="L29" i="3" s="1"/>
  <c r="L30" i="3" s="1"/>
  <c r="M17" i="3"/>
  <c r="AK141" i="2"/>
  <c r="AK143" i="2" s="1"/>
  <c r="K24" i="3"/>
  <c r="AK118" i="2"/>
  <c r="AK119" i="2" s="1"/>
  <c r="AJ102" i="2"/>
  <c r="AJ104" i="2" s="1"/>
  <c r="AJ101" i="2"/>
  <c r="AK100" i="2"/>
  <c r="AK99" i="2"/>
  <c r="AL97" i="2"/>
  <c r="AL93" i="2"/>
  <c r="AL117" i="2" s="1"/>
  <c r="AL90" i="2"/>
  <c r="AK117" i="2"/>
  <c r="K40" i="3"/>
  <c r="K42" i="3"/>
  <c r="K43" i="3" s="1"/>
  <c r="AL127" i="2" l="1"/>
  <c r="AL129" i="2"/>
  <c r="L19" i="3"/>
  <c r="L23" i="3"/>
  <c r="L39" i="3" s="1"/>
  <c r="L42" i="3" s="1"/>
  <c r="M16" i="3"/>
  <c r="M18" i="3" s="1"/>
  <c r="M29" i="3" s="1"/>
  <c r="N17" i="3"/>
  <c r="AL141" i="2"/>
  <c r="AL143" i="2" s="1"/>
  <c r="AK101" i="2"/>
  <c r="AK102" i="2"/>
  <c r="AK104" i="2" s="1"/>
  <c r="AL118" i="2"/>
  <c r="AL119" i="2" s="1"/>
  <c r="AL99" i="2"/>
  <c r="AL100" i="2"/>
  <c r="L24" i="3" l="1"/>
  <c r="L40" i="3"/>
  <c r="M23" i="3"/>
  <c r="M39" i="3" s="1"/>
  <c r="M19" i="3"/>
  <c r="N16" i="3"/>
  <c r="N18" i="3" s="1"/>
  <c r="N29" i="3" s="1"/>
  <c r="N30" i="3" s="1"/>
  <c r="O17" i="3"/>
  <c r="AL102" i="2"/>
  <c r="AL104" i="2" s="1"/>
  <c r="AL101" i="2"/>
  <c r="M30" i="3"/>
  <c r="L43" i="3"/>
  <c r="N23" i="3" l="1"/>
  <c r="N39" i="3" s="1"/>
  <c r="N19" i="3"/>
  <c r="M24" i="3"/>
  <c r="O16" i="3"/>
  <c r="O18" i="3" s="1"/>
  <c r="R12" i="3"/>
  <c r="R16" i="3" s="1"/>
  <c r="P17" i="3"/>
  <c r="R17" i="3" s="1"/>
  <c r="P16" i="3"/>
  <c r="M40" i="3"/>
  <c r="M42" i="3"/>
  <c r="N24" i="3" l="1"/>
  <c r="O29" i="3"/>
  <c r="O30" i="3" s="1"/>
  <c r="O19" i="3"/>
  <c r="O23" i="3"/>
  <c r="O24" i="3" s="1"/>
  <c r="P18" i="3"/>
  <c r="P29" i="3" s="1"/>
  <c r="P30" i="3" s="1"/>
  <c r="M43" i="3"/>
  <c r="N42" i="3"/>
  <c r="N43" i="3" s="1"/>
  <c r="N40" i="3"/>
  <c r="O39" i="3" l="1"/>
  <c r="O42" i="3" s="1"/>
  <c r="O43" i="3" s="1"/>
  <c r="R29" i="3"/>
  <c r="R30" i="3" s="1"/>
  <c r="P19" i="3"/>
  <c r="P23" i="3"/>
  <c r="R23" i="3" s="1"/>
  <c r="R18" i="3"/>
  <c r="R19" i="3" s="1"/>
  <c r="O40" i="3" l="1"/>
  <c r="R24" i="3"/>
  <c r="P24" i="3"/>
  <c r="P39" i="3"/>
  <c r="P42" i="3" s="1"/>
  <c r="P43" i="3" s="1"/>
  <c r="R42" i="3" l="1"/>
  <c r="R43" i="3" s="1"/>
  <c r="P40" i="3"/>
  <c r="R39" i="3"/>
  <c r="R4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Martha Gutierrez</author>
  </authors>
  <commentList>
    <comment ref="H12" authorId="0" shapeId="0" xr:uid="{E52672D5-4C5D-3842-ABEA-BD93E9EEAE0F}">
      <text>
        <r>
          <rPr>
            <sz val="11"/>
            <color indexed="8"/>
            <rFont val="Helvetica Neue"/>
            <family val="2"/>
          </rPr>
          <t xml:space="preserve">Martha Gutierrez:
No tengo acceso, creo que lo tiene luis. Prox semana pido que cambie
</t>
        </r>
      </text>
    </comment>
    <comment ref="P16" authorId="0" shapeId="0" xr:uid="{667DBFFD-41D6-404D-89D7-FF23F51F82FC}">
      <text>
        <r>
          <rPr>
            <sz val="11"/>
            <color rgb="FF000000"/>
            <rFont val="Helvetica Neue"/>
            <family val="2"/>
          </rPr>
          <t xml:space="preserve">Martha Gutierrez:
</t>
        </r>
        <r>
          <rPr>
            <sz val="11"/>
            <color rgb="FF000000"/>
            <rFont val="Helvetica Neue"/>
            <family val="2"/>
          </rPr>
          <t xml:space="preserve">£499 </t>
        </r>
      </text>
    </comment>
    <comment ref="P21" authorId="0" shapeId="0" xr:uid="{3C5F8617-518B-9C4D-A453-85A1B6A1260F}">
      <text>
        <r>
          <rPr>
            <sz val="11"/>
            <color rgb="FF000000"/>
            <rFont val="Helvetica Neue"/>
            <family val="2"/>
          </rPr>
          <t xml:space="preserve">Martha Gutierrez:
</t>
        </r>
        <r>
          <rPr>
            <sz val="11"/>
            <color rgb="FF000000"/>
            <rFont val="Helvetica Neue"/>
            <family val="2"/>
          </rPr>
          <t xml:space="preserve">$330 MXN - Lo tenemos en PayPal de content
</t>
        </r>
      </text>
    </comment>
  </commentList>
</comments>
</file>

<file path=xl/sharedStrings.xml><?xml version="1.0" encoding="utf-8"?>
<sst xmlns="http://schemas.openxmlformats.org/spreadsheetml/2006/main" count="3178" uniqueCount="923">
  <si>
    <t>Q1</t>
  </si>
  <si>
    <t>Q2</t>
  </si>
  <si>
    <t>Q3</t>
  </si>
  <si>
    <t>Q4</t>
  </si>
  <si>
    <t>Other considerations</t>
  </si>
  <si>
    <t>MKT Spend iOS</t>
  </si>
  <si>
    <t>MKT Spend aOS</t>
  </si>
  <si>
    <t>CPNU iOS</t>
  </si>
  <si>
    <t>CPNU aOS</t>
  </si>
  <si>
    <t>ARPU RENEWALS</t>
  </si>
  <si>
    <t>Yearly iOS</t>
  </si>
  <si>
    <t>Monthly  iOS</t>
  </si>
  <si>
    <t>Yearly aOS</t>
  </si>
  <si>
    <t>New User ARPU iOS</t>
  </si>
  <si>
    <t>Monthly aOS</t>
  </si>
  <si>
    <t>New User ARPU aOS</t>
  </si>
  <si>
    <t>Churn iOS</t>
  </si>
  <si>
    <t>Churn aOS</t>
  </si>
  <si>
    <t xml:space="preserve">USD </t>
  </si>
  <si>
    <t>BRL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</si>
  <si>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</si>
  <si>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</si>
  <si>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</si>
  <si>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</si>
  <si>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</si>
  <si>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</si>
  <si>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</si>
  <si>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</si>
  <si>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</si>
  <si>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</si>
  <si>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</si>
  <si>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</si>
  <si>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IOS </t>
  </si>
  <si>
    <t>Market Spend</t>
  </si>
  <si>
    <t>Total Spend</t>
  </si>
  <si>
    <t>CPNU</t>
  </si>
  <si>
    <t>Average Calendar Conversion</t>
  </si>
  <si>
    <t>New User ARPU</t>
  </si>
  <si>
    <t>Commisions</t>
  </si>
  <si>
    <t xml:space="preserve">         New</t>
  </si>
  <si>
    <t xml:space="preserve">         Renewals (&gt;1year)</t>
  </si>
  <si>
    <t>Weighted Monthly Churn</t>
  </si>
  <si>
    <t>Implied Annual Churn</t>
  </si>
  <si>
    <t>Real Monthly Churn 40% primer mes</t>
  </si>
  <si>
    <t>New Users</t>
  </si>
  <si>
    <t>New Subscribers</t>
  </si>
  <si>
    <t>Yearly</t>
  </si>
  <si>
    <t>Monthly</t>
  </si>
  <si>
    <t>CAC</t>
  </si>
  <si>
    <t>ARPU VS CAC</t>
  </si>
  <si>
    <t>New Subscriber Sales</t>
  </si>
  <si>
    <t>New MRR</t>
  </si>
  <si>
    <t>Available for Renewal Monthly -</t>
  </si>
  <si>
    <t>Available for Renewal Yearly</t>
  </si>
  <si>
    <t>Renewal Subscribers</t>
  </si>
  <si>
    <t>Renwal split &lt;1 year</t>
  </si>
  <si>
    <t>Renwal split &gt;1 year</t>
  </si>
  <si>
    <t>Renewal Gross Sales</t>
  </si>
  <si>
    <t>Gross Sales</t>
  </si>
  <si>
    <t>Comissions + Tax and Adjustments</t>
  </si>
  <si>
    <t>Net Sales</t>
  </si>
  <si>
    <t xml:space="preserve">ANDORID </t>
  </si>
  <si>
    <t>WEB</t>
  </si>
  <si>
    <t>COMPANY KPI SUMMARY</t>
  </si>
  <si>
    <t>Signups</t>
  </si>
  <si>
    <t>Conversion Rate</t>
  </si>
  <si>
    <t>Average CAC</t>
  </si>
  <si>
    <t>Total New Subscriber Sales</t>
  </si>
  <si>
    <t>Total Renewals</t>
  </si>
  <si>
    <t>Total Renewals Sales</t>
  </si>
  <si>
    <t>Total Sales</t>
  </si>
  <si>
    <t>ARPU (monthly lvl)</t>
  </si>
  <si>
    <t>LTR / CAC</t>
  </si>
  <si>
    <t>TICKET VS CAC</t>
  </si>
  <si>
    <t>Sum Yearly MRR</t>
  </si>
  <si>
    <t>Escenario</t>
  </si>
  <si>
    <t>REVENUE</t>
  </si>
  <si>
    <t>Gross Revenue</t>
  </si>
  <si>
    <t>Net Revenue</t>
  </si>
  <si>
    <t>NR %</t>
  </si>
  <si>
    <t>COST OF GOODS SOLD</t>
  </si>
  <si>
    <t>Servers/Infrastructure</t>
  </si>
  <si>
    <t>Gross Margin</t>
  </si>
  <si>
    <t>GM%</t>
  </si>
  <si>
    <t>OPERATING EXPENSES</t>
  </si>
  <si>
    <t>Total Operating Expenses</t>
  </si>
  <si>
    <t>Operating Profit</t>
  </si>
  <si>
    <t>OP%</t>
  </si>
  <si>
    <t>Contribution Margin</t>
  </si>
  <si>
    <t>Contribution Margin%</t>
  </si>
  <si>
    <t>NET INCOME</t>
  </si>
  <si>
    <t>NI%</t>
  </si>
  <si>
    <t>Overall</t>
  </si>
  <si>
    <t>Company</t>
  </si>
  <si>
    <t>Kinedu Subscriptions App</t>
  </si>
  <si>
    <t>Kinedu Subscriptions Off App</t>
  </si>
  <si>
    <t>Other Revenue Partnerships</t>
  </si>
  <si>
    <t>Costs App</t>
  </si>
  <si>
    <t>Costs Off App</t>
  </si>
  <si>
    <t>Costs Partnerships</t>
  </si>
  <si>
    <t>Costs ADM</t>
  </si>
  <si>
    <t>USD</t>
  </si>
  <si>
    <t>MXN</t>
  </si>
  <si>
    <t>Function</t>
  </si>
  <si>
    <t>Team Leader</t>
  </si>
  <si>
    <t>L1</t>
  </si>
  <si>
    <t>L2</t>
  </si>
  <si>
    <t>L3</t>
  </si>
  <si>
    <t>L4</t>
  </si>
  <si>
    <t>Project</t>
  </si>
  <si>
    <t>Supplier</t>
  </si>
  <si>
    <t>Project Description</t>
  </si>
  <si>
    <t>Account</t>
  </si>
  <si>
    <t>Account Description</t>
  </si>
  <si>
    <t>P&amp;L Casification</t>
  </si>
  <si>
    <t>Currency</t>
  </si>
  <si>
    <t>Total Cost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</si>
  <si>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</si>
  <si>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</si>
  <si>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</si>
  <si>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</si>
  <si>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</si>
  <si>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</si>
  <si>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</si>
  <si>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</si>
  <si>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</si>
  <si>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</si>
  <si>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</si>
  <si>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ADM</t>
  </si>
  <si>
    <t>Maria Josefa Avalos</t>
  </si>
  <si>
    <t>603.64.001</t>
  </si>
  <si>
    <t>Servicios de Informatica</t>
  </si>
  <si>
    <t>Servicios</t>
  </si>
  <si>
    <t>Calendly Luis</t>
  </si>
  <si>
    <t xml:space="preserve">Calendly </t>
  </si>
  <si>
    <t>603.38.001</t>
  </si>
  <si>
    <t>Honorarios A Personas Morales Nacionales</t>
  </si>
  <si>
    <t>Servicios Externos</t>
  </si>
  <si>
    <t>Talisis.com</t>
  </si>
  <si>
    <t>UERRE</t>
  </si>
  <si>
    <t>Payroll</t>
  </si>
  <si>
    <t>Luis Garza</t>
  </si>
  <si>
    <t>Asimilados</t>
  </si>
  <si>
    <t>603.31.001</t>
  </si>
  <si>
    <t>Asimilados a salarios</t>
  </si>
  <si>
    <t>Sueldos y Salarios</t>
  </si>
  <si>
    <t>603.01.001</t>
  </si>
  <si>
    <t>Sueldos y salarios</t>
  </si>
  <si>
    <t>Mariana Villarreal</t>
  </si>
  <si>
    <t>Benefits</t>
  </si>
  <si>
    <t>Bono Anual</t>
  </si>
  <si>
    <t>603.22.001</t>
  </si>
  <si>
    <t>Estimulo al personal</t>
  </si>
  <si>
    <t>Hotel</t>
  </si>
  <si>
    <t>Multiple</t>
  </si>
  <si>
    <t>2MX - 2 noches</t>
  </si>
  <si>
    <t>603.49.001</t>
  </si>
  <si>
    <t>Viaticos Hotel</t>
  </si>
  <si>
    <t>Gastos de Viaje</t>
  </si>
  <si>
    <t>Taxi</t>
  </si>
  <si>
    <t>603.49.002</t>
  </si>
  <si>
    <t>Vaticos Taxi</t>
  </si>
  <si>
    <t>Plane</t>
  </si>
  <si>
    <t>603.49.003</t>
  </si>
  <si>
    <t>Viaticos Avion</t>
  </si>
  <si>
    <t>Food</t>
  </si>
  <si>
    <t>603.49.004</t>
  </si>
  <si>
    <t>Viaticos Comidas</t>
  </si>
  <si>
    <t>Mariana Kalifa</t>
  </si>
  <si>
    <t>156.01.001</t>
  </si>
  <si>
    <t>EQUIPO DE COMPUTO</t>
  </si>
  <si>
    <t>CAPEX</t>
  </si>
  <si>
    <t>Arrendadora Laptops</t>
  </si>
  <si>
    <t>TEC</t>
  </si>
  <si>
    <t>GONZALEZ OLLERVIDEZ VICTOR MANUEL</t>
  </si>
  <si>
    <t>Android Lead</t>
  </si>
  <si>
    <t>PEREZ MONCADA ARACELI</t>
  </si>
  <si>
    <t>Mobile iOS Lead</t>
  </si>
  <si>
    <t>CORTES ALANIS MAURICIO</t>
  </si>
  <si>
    <t>Jr. Back-End Developer</t>
  </si>
  <si>
    <t>GARZA MENDIRICHAGA FRANCO</t>
  </si>
  <si>
    <t>iOS Developer</t>
  </si>
  <si>
    <t>OLAN MAYO JAIRO</t>
  </si>
  <si>
    <t>GONZALEZ CANTILLO NAYCOOL DAVID</t>
  </si>
  <si>
    <t>Web</t>
  </si>
  <si>
    <t>Content</t>
  </si>
  <si>
    <t>Nathalia Pontes</t>
  </si>
  <si>
    <t>Content &amp; Programs</t>
  </si>
  <si>
    <t>LearnWorlds</t>
  </si>
  <si>
    <t>Weglot</t>
  </si>
  <si>
    <t>EUR</t>
  </si>
  <si>
    <t>Project Only Hires</t>
  </si>
  <si>
    <t>Project Dependent (Writers, Production Asst)</t>
  </si>
  <si>
    <t>Project Dependent Production</t>
  </si>
  <si>
    <t>Filming, Production</t>
  </si>
  <si>
    <t>RICO SARIÑANA KARLA</t>
  </si>
  <si>
    <t>Head of Content</t>
  </si>
  <si>
    <t>Content and Program Specialist</t>
  </si>
  <si>
    <t>ZARAZUA NAVARRO PAOLA LIZETH</t>
  </si>
  <si>
    <t>CREC</t>
  </si>
  <si>
    <t>Martha Gutierrez</t>
  </si>
  <si>
    <t>Aquisition</t>
  </si>
  <si>
    <t>501.01.001</t>
  </si>
  <si>
    <t>COSTO DE VENTA</t>
  </si>
  <si>
    <t>Production costs</t>
  </si>
  <si>
    <t>UGCs</t>
  </si>
  <si>
    <t>GARZA MOLINA ELEAZAR</t>
  </si>
  <si>
    <t>Designer - video editor</t>
  </si>
  <si>
    <t xml:space="preserve"> </t>
  </si>
  <si>
    <t>IOS</t>
  </si>
  <si>
    <t>ANDROID</t>
  </si>
  <si>
    <t>ene 01</t>
  </si>
  <si>
    <t>feb 01</t>
  </si>
  <si>
    <t>mar 01</t>
  </si>
  <si>
    <t>abr 01</t>
  </si>
  <si>
    <t>may 01</t>
  </si>
  <si>
    <t>jun 01</t>
  </si>
  <si>
    <t>jul 01</t>
  </si>
  <si>
    <t>ago 01</t>
  </si>
  <si>
    <t>sept 01</t>
  </si>
  <si>
    <t>AVERAGE MKT SPEND</t>
  </si>
  <si>
    <t>IOS + aOS</t>
  </si>
  <si>
    <t>Spend</t>
  </si>
  <si>
    <t>Downloads</t>
  </si>
  <si>
    <t>CPI (Without Retargeting)</t>
  </si>
  <si>
    <t xml:space="preserve">MIN </t>
  </si>
  <si>
    <t>MAX</t>
  </si>
  <si>
    <t>CPNU (Without Retargeting)</t>
  </si>
  <si>
    <t>Fts Started</t>
  </si>
  <si>
    <t>CPFT</t>
  </si>
  <si>
    <t>% Conv Rate</t>
  </si>
  <si>
    <t>FTs Converted</t>
  </si>
  <si>
    <t xml:space="preserve">CPFT Converted </t>
  </si>
  <si>
    <t>New Subscriptions</t>
  </si>
  <si>
    <t>ARPU</t>
  </si>
  <si>
    <t>New Subscriptions (original)</t>
  </si>
  <si>
    <t>New Subscriptions (without FT converted)</t>
  </si>
  <si>
    <t xml:space="preserve">Renewals </t>
  </si>
  <si>
    <t>Num of Refunds</t>
  </si>
  <si>
    <t>CHURN</t>
  </si>
  <si>
    <t>Other Purchases</t>
  </si>
  <si>
    <t>FT Conversion Rate (Signups)</t>
  </si>
  <si>
    <t>New Purchases Conversion Rate</t>
  </si>
  <si>
    <t>ARPU (new subscriptions)</t>
  </si>
  <si>
    <t>ARPU (new subscriptions month lvl)</t>
  </si>
  <si>
    <t>ARPU Others</t>
  </si>
  <si>
    <t>ARPU consolidated (new subscriptions + other purchases)</t>
  </si>
  <si>
    <t>New Subscriptions Sales Month Lvl</t>
  </si>
  <si>
    <t>New Subscriptions Sales (original)</t>
  </si>
  <si>
    <t>New Subscriptions Sales</t>
  </si>
  <si>
    <t xml:space="preserve">Renewals Sales </t>
  </si>
  <si>
    <t>Other Sales</t>
  </si>
  <si>
    <t>Total Sales (original)</t>
  </si>
  <si>
    <t>Refunds Amount</t>
  </si>
  <si>
    <t>Commission %</t>
  </si>
  <si>
    <t>Net Sales*</t>
  </si>
  <si>
    <t>Gross Margin*</t>
  </si>
  <si>
    <t>Net Sales (original)</t>
  </si>
  <si>
    <t>Gross Margin* (original)</t>
  </si>
  <si>
    <t>NU/D</t>
  </si>
  <si>
    <t>Duration New Bookings</t>
  </si>
  <si>
    <t>Distinct count of Network</t>
  </si>
  <si>
    <t xml:space="preserve">Weighted Monthly Churn </t>
  </si>
  <si>
    <t xml:space="preserve">Commission &amp; refunds value </t>
  </si>
  <si>
    <t>ARPU RENEWALS IOS</t>
  </si>
  <si>
    <t>AVERAGE</t>
  </si>
  <si>
    <t>ARPU RENEWALS ANDORID</t>
  </si>
  <si>
    <t>ARPU RENEWALS WEB</t>
  </si>
  <si>
    <t>monthly</t>
  </si>
  <si>
    <t>yearly</t>
  </si>
  <si>
    <t>other</t>
  </si>
  <si>
    <t>quarterly</t>
  </si>
  <si>
    <t>Subscriptions %</t>
  </si>
  <si>
    <t>Subscriptions % renewals</t>
  </si>
  <si>
    <t>Renewals</t>
  </si>
  <si>
    <t xml:space="preserve">New Subscriptions + Renewals </t>
  </si>
  <si>
    <t xml:space="preserve">enero </t>
  </si>
  <si>
    <t>febrero</t>
  </si>
  <si>
    <t xml:space="preserve">marzo </t>
  </si>
  <si>
    <t xml:space="preserve">abril </t>
  </si>
  <si>
    <t xml:space="preserve">mayo </t>
  </si>
  <si>
    <t>junio</t>
  </si>
  <si>
    <t xml:space="preserve">julio </t>
  </si>
  <si>
    <t>agosto</t>
  </si>
  <si>
    <t>sep</t>
  </si>
  <si>
    <t xml:space="preserve">oct </t>
  </si>
  <si>
    <t>nov</t>
  </si>
  <si>
    <t>dic</t>
  </si>
  <si>
    <t>Supuestos</t>
  </si>
  <si>
    <t>Laptops</t>
  </si>
  <si>
    <t xml:space="preserve">Cont. Margin </t>
  </si>
  <si>
    <t>Monthly costs</t>
  </si>
  <si>
    <t xml:space="preserve">Aguinaldo </t>
  </si>
  <si>
    <t>Seguros</t>
  </si>
  <si>
    <t xml:space="preserve">Si Vale </t>
  </si>
  <si>
    <t xml:space="preserve">Impuestos </t>
  </si>
  <si>
    <t>Licencias (google / slack / bamboo)</t>
  </si>
  <si>
    <t>Prima Vacacional</t>
  </si>
  <si>
    <t xml:space="preserve">Multiple </t>
  </si>
  <si>
    <t>People Ops</t>
  </si>
  <si>
    <t>Min</t>
  </si>
  <si>
    <t>Max</t>
  </si>
  <si>
    <t xml:space="preserve">Yearly  </t>
  </si>
  <si>
    <t xml:space="preserve">Monthly </t>
  </si>
  <si>
    <t>TOTAL MRR</t>
  </si>
  <si>
    <t xml:space="preserve">Yearly </t>
  </si>
  <si>
    <t>ARPU New Users</t>
  </si>
  <si>
    <t xml:space="preserve">Churn </t>
  </si>
  <si>
    <t>LTR</t>
  </si>
  <si>
    <t xml:space="preserve">Weighted LTR </t>
  </si>
  <si>
    <t>AHORRO 30K</t>
  </si>
  <si>
    <t>Cost Adjustments - 30k</t>
  </si>
  <si>
    <t>TOTAL 2024</t>
  </si>
  <si>
    <t xml:space="preserve">TARGET </t>
  </si>
  <si>
    <t>CONSERVATIVE</t>
  </si>
  <si>
    <t>PESIMISTIC</t>
  </si>
  <si>
    <t>MKT Spend APP</t>
  </si>
  <si>
    <t xml:space="preserve">CONSEJO </t>
  </si>
  <si>
    <t>P&amp;L Gross Sales Per Month</t>
  </si>
  <si>
    <t>ACC Overall</t>
  </si>
  <si>
    <t>CRISTIAN</t>
  </si>
  <si>
    <t xml:space="preserve">AUMENTO PAM </t>
  </si>
  <si>
    <t xml:space="preserve">AUMENTO ESLI   </t>
  </si>
  <si>
    <t>AHORRO ANTES</t>
  </si>
  <si>
    <t>DIFERENCIA</t>
  </si>
  <si>
    <t>Depreciation</t>
  </si>
  <si>
    <t>anual</t>
  </si>
  <si>
    <t>VENTAS 2023</t>
  </si>
  <si>
    <t>ANNUAL</t>
  </si>
  <si>
    <t>VENTAS 2024</t>
  </si>
  <si>
    <t>VENTAS 2025</t>
  </si>
  <si>
    <t xml:space="preserve">Proyectado </t>
  </si>
  <si>
    <t>mensual</t>
  </si>
  <si>
    <t>Q</t>
  </si>
  <si>
    <r>
      <rPr>
        <b/>
        <sz val="12"/>
        <color theme="1"/>
        <rFont val="Aptos Narrow"/>
        <scheme val="minor"/>
      </rPr>
      <t>VENTAS APP</t>
    </r>
    <r>
      <rPr>
        <b/>
        <i/>
        <sz val="12"/>
        <color theme="1"/>
        <rFont val="Aptos Narrow"/>
        <scheme val="minor"/>
      </rPr>
      <t xml:space="preserve"> (both os - APP) </t>
    </r>
  </si>
  <si>
    <t>CASH</t>
  </si>
  <si>
    <t>MKT Spend ACC</t>
  </si>
  <si>
    <t>AVG</t>
  </si>
  <si>
    <t>CONT MARGIN CASH</t>
  </si>
  <si>
    <t>CONT MARGIN ACC</t>
  </si>
  <si>
    <t>EBITDA CASH</t>
  </si>
  <si>
    <t>EBITDA ACC</t>
  </si>
  <si>
    <t>ESCENARIO CONSERVADOR</t>
  </si>
  <si>
    <t>COMMENTS</t>
  </si>
  <si>
    <t>Admon Costs</t>
  </si>
  <si>
    <t>Conversion iOS</t>
  </si>
  <si>
    <t>Conversion Android</t>
  </si>
  <si>
    <t>Yearly MRR</t>
  </si>
  <si>
    <t>https://us-east-1.online.tableau.com/#/site/andressada/views/TrackSubscriptions-V3/TrackSubscriptionsGrossSalesARPUPaymentsPerPlanType?:iid=1</t>
  </si>
  <si>
    <t>Revisar por Superwall - https://us-east-1.online.tableau.com/#/site/andressada/views/TrackSubscriptions-V3/TrackSubscriptionsGrossSalesARPUPaymentsPerPlanType?:iid=1</t>
  </si>
  <si>
    <t>Se consideró costo actual monthlu US subsc</t>
  </si>
  <si>
    <t>Se sacó formulado vs. ARPU monthly contra ARPU objetivo (formula ChatGPT: ARPU_{yearly} = \frac{ARPU_{total} - (p_{monthly} \times ARPU_{monthly})}{p_{yearly}}</t>
  </si>
  <si>
    <t>https://us-east-1.online.tableau.com/#/site/andressada/views/CohortSubscriptions_16321473958690/ChurnbyCohort?:iid=2</t>
  </si>
  <si>
    <t>% comissions</t>
  </si>
  <si>
    <t>Entity</t>
  </si>
  <si>
    <t>Payment Method</t>
  </si>
  <si>
    <t>SERVICIOS</t>
  </si>
  <si>
    <t>CURRENT PAYMENT METHOD 2025</t>
  </si>
  <si>
    <t>NEW PAYMENT METHOD 2026</t>
  </si>
  <si>
    <t>SAPI</t>
  </si>
  <si>
    <t>PRO</t>
  </si>
  <si>
    <t>Tools</t>
  </si>
  <si>
    <t xml:space="preserve">Adobe </t>
  </si>
  <si>
    <t>1249 mxn per month per user 1 + tax = 1388.89</t>
  </si>
  <si>
    <t>Jeeves</t>
  </si>
  <si>
    <t>PRO TECH 7811</t>
  </si>
  <si>
    <t>Product &amp; Tech JVS - 4145</t>
  </si>
  <si>
    <t xml:space="preserve">Figma </t>
  </si>
  <si>
    <t>Number of users? 4 full (20 usd) y 5 devs (15 usd)</t>
  </si>
  <si>
    <t>INC</t>
  </si>
  <si>
    <t xml:space="preserve">Clickup </t>
  </si>
  <si>
    <t>Brex</t>
  </si>
  <si>
    <t>BREX 9547 - Luis Garza</t>
  </si>
  <si>
    <t>N/A</t>
  </si>
  <si>
    <t>Reporting</t>
  </si>
  <si>
    <t>Tableau (Salesforce)</t>
  </si>
  <si>
    <t>Anual ($900dls)  - Febrero</t>
  </si>
  <si>
    <t>BREX 5449 - Viviana Deschamps</t>
  </si>
  <si>
    <t xml:space="preserve">Mixpanel </t>
  </si>
  <si>
    <t>Invoice</t>
  </si>
  <si>
    <t>OpenAi</t>
  </si>
  <si>
    <t>SUELDOS Y SALARIOS</t>
  </si>
  <si>
    <t>GUSTO</t>
  </si>
  <si>
    <t>Director of Product and Engineering</t>
  </si>
  <si>
    <t>Gusto</t>
  </si>
  <si>
    <t>Maria Jose Reyes</t>
  </si>
  <si>
    <t>Mid Product Manager</t>
  </si>
  <si>
    <t>promotion - 30%</t>
  </si>
  <si>
    <t>Paola Villarreal</t>
  </si>
  <si>
    <t>Junior Product Owner</t>
  </si>
  <si>
    <t>NOMINA</t>
  </si>
  <si>
    <t>Maria Fernanda Alvarez</t>
  </si>
  <si>
    <t>Mid UX/UI Designer</t>
  </si>
  <si>
    <t>QSPayroll</t>
  </si>
  <si>
    <t>BENEFITS // OTHER</t>
  </si>
  <si>
    <t>SiVale</t>
  </si>
  <si>
    <t>1 empleado</t>
  </si>
  <si>
    <t>603.15.001</t>
  </si>
  <si>
    <t>Aguinaldo - Payroll SAPI</t>
  </si>
  <si>
    <t>Aguinaldo</t>
  </si>
  <si>
    <t>603.12.001</t>
  </si>
  <si>
    <t>Aguinaldo - RESICO</t>
  </si>
  <si>
    <t>Prima Vacacional (prom. 8 días de vacaciones)</t>
  </si>
  <si>
    <t>603.07.001</t>
  </si>
  <si>
    <t>Impuestos</t>
  </si>
  <si>
    <t>VIATICOS</t>
  </si>
  <si>
    <t>2 viajes --&gt; 5,000 MXN noche promedio (2 noches)</t>
  </si>
  <si>
    <t>1000 transporte p viaje (2 días)</t>
  </si>
  <si>
    <t>2 viajes --&gt; 8,000 p vuelo</t>
  </si>
  <si>
    <t>4,000 MXN comidas p viaje (2 días)</t>
  </si>
  <si>
    <t>Comments</t>
  </si>
  <si>
    <t>SERVERS</t>
  </si>
  <si>
    <t>Servers &amp; Cloud Hosting</t>
  </si>
  <si>
    <t>Amazon Web Services</t>
  </si>
  <si>
    <t>Cloud Computing</t>
  </si>
  <si>
    <t>BREX - 2343 (Viviana Deschamps)</t>
  </si>
  <si>
    <t>603.60.002</t>
  </si>
  <si>
    <t>Servers</t>
  </si>
  <si>
    <t>Google Cloud</t>
  </si>
  <si>
    <t>Google Cloud JVS</t>
  </si>
  <si>
    <t>Atlassian (Bitbucket)</t>
  </si>
  <si>
    <t>Project Repositories 9 usuarios $3.3</t>
  </si>
  <si>
    <t>BREX - 5449 (Viviana Deschamps)</t>
  </si>
  <si>
    <t>Cronitor</t>
  </si>
  <si>
    <t>Monitor Cronjobs</t>
  </si>
  <si>
    <t>PRO&amp;TECH 7811</t>
  </si>
  <si>
    <t>GoDaddy</t>
  </si>
  <si>
    <t>Domain renewals</t>
  </si>
  <si>
    <t>Postman</t>
  </si>
  <si>
    <t>336 anuales agosto</t>
  </si>
  <si>
    <t>Affiliates JVS 0864</t>
  </si>
  <si>
    <t>Rollbar</t>
  </si>
  <si>
    <t>100,000 events per month por 49 a month</t>
  </si>
  <si>
    <t>BREX 7440 - Luis Garza</t>
  </si>
  <si>
    <t xml:space="preserve">Hevo </t>
  </si>
  <si>
    <t>2 pagos semestrales de 6,864 (200M events a month)</t>
  </si>
  <si>
    <t>Algolia</t>
  </si>
  <si>
    <r>
      <t xml:space="preserve">Variable dependiendo de usabilidad (entre 10-14 usd) </t>
    </r>
    <r>
      <rPr>
        <b/>
        <sz val="12"/>
        <color theme="1"/>
        <rFont val="Aptos Narrow"/>
        <scheme val="minor"/>
      </rPr>
      <t>OJO</t>
    </r>
    <r>
      <rPr>
        <sz val="12"/>
        <color theme="1"/>
        <rFont val="Aptos Narrow"/>
        <family val="2"/>
        <scheme val="minor"/>
      </rPr>
      <t xml:space="preserve"> esto se debe de reemplazar con el costo de chat gpt ya que liberemos search y el costo de chat va a subir</t>
    </r>
  </si>
  <si>
    <t>Github/Copilot</t>
  </si>
  <si>
    <t>Se paga Copiot 10 usd al mes</t>
  </si>
  <si>
    <t>Coba Reyes, Luis</t>
  </si>
  <si>
    <t>QS Payroll</t>
  </si>
  <si>
    <t>Juárez Negrete, Daniel Misael</t>
  </si>
  <si>
    <t>Backend Lead - Servers</t>
  </si>
  <si>
    <t>Mauricio Cortés Alanís</t>
  </si>
  <si>
    <t>Navarro Gonzalez, Cristian</t>
  </si>
  <si>
    <t>Android Dev</t>
  </si>
  <si>
    <t>Nazariega Barcelos, Roberto</t>
  </si>
  <si>
    <t>NAZARIEGA BARCELOS ROBERTO</t>
  </si>
  <si>
    <t>Olan, Jairo</t>
  </si>
  <si>
    <t>Pérez Moncada, Araceli</t>
  </si>
  <si>
    <t>Rodriguez Rubio, Alejandra</t>
  </si>
  <si>
    <t>Jr. Back-End Developer - Servers</t>
  </si>
  <si>
    <t>Tenorio Guzmán, Jorge</t>
  </si>
  <si>
    <t>Flores Espinoza, Christian</t>
  </si>
  <si>
    <t>iOS Dev</t>
  </si>
  <si>
    <t>10 empleados</t>
  </si>
  <si>
    <t>Cuenta Contable</t>
  </si>
  <si>
    <t>Descrición</t>
  </si>
  <si>
    <t>Clasificación P&amp;L</t>
  </si>
  <si>
    <t>153.01.001</t>
  </si>
  <si>
    <t>MAQUINARIA Y EQUIPO</t>
  </si>
  <si>
    <t>155.01.001</t>
  </si>
  <si>
    <t>MOBILIARIO Y EQUIPO DE OFICINA</t>
  </si>
  <si>
    <t>160.01.001</t>
  </si>
  <si>
    <t>OTROS ACTIVOS FIJOS</t>
  </si>
  <si>
    <t>160.01.002</t>
  </si>
  <si>
    <t>Multimedia</t>
  </si>
  <si>
    <t>160.01.003</t>
  </si>
  <si>
    <t>Desarrollo Software</t>
  </si>
  <si>
    <t>160.01.004</t>
  </si>
  <si>
    <t>DESARROLLO DE PROYECTOS</t>
  </si>
  <si>
    <t>160.01.005</t>
  </si>
  <si>
    <t>LICENCIAS DE SOFTWARE</t>
  </si>
  <si>
    <t>170.01.001</t>
  </si>
  <si>
    <t>Adaptaciones y Mejoras</t>
  </si>
  <si>
    <t>178.01.001</t>
  </si>
  <si>
    <t>Investigación y Desarrollo</t>
  </si>
  <si>
    <t>179.01.002</t>
  </si>
  <si>
    <t>CREACION DE MARCA</t>
  </si>
  <si>
    <t>181.01.001</t>
  </si>
  <si>
    <t>GASTOS DE INSTALACION</t>
  </si>
  <si>
    <t>401.01.001</t>
  </si>
  <si>
    <t>INGRESOS KINEDU</t>
  </si>
  <si>
    <t>Ventas Totales</t>
  </si>
  <si>
    <t>401.01.002</t>
  </si>
  <si>
    <t>INGRESOS B2B</t>
  </si>
  <si>
    <t>401.01.003</t>
  </si>
  <si>
    <t>INGRESOS MARKETING</t>
  </si>
  <si>
    <t>401.01.004</t>
  </si>
  <si>
    <t>INGRESOS CLASSROOMS</t>
  </si>
  <si>
    <t>401.04.001</t>
  </si>
  <si>
    <t>INGRESO KINEDU 0%</t>
  </si>
  <si>
    <t>401.04.002</t>
  </si>
  <si>
    <t>INGRESO B2B 0%</t>
  </si>
  <si>
    <t>401.04.003</t>
  </si>
  <si>
    <t>INGRESOS POR MARKETING 0%</t>
  </si>
  <si>
    <t>401.38.001</t>
  </si>
  <si>
    <t>OTROS INGRESOS PROPIOS</t>
  </si>
  <si>
    <t>402.01.001</t>
  </si>
  <si>
    <t>Comisiones sobre ventas 16%</t>
  </si>
  <si>
    <t>Comisiones</t>
  </si>
  <si>
    <t>402.02.001</t>
  </si>
  <si>
    <t>Comisiones sobre ventas 0%</t>
  </si>
  <si>
    <t>402.03.001</t>
  </si>
  <si>
    <t>DEVOLUCIONES, DESCUENTOS SOBRE VENTAS EXENTAS</t>
  </si>
  <si>
    <t>Devoluciones</t>
  </si>
  <si>
    <t>603.01.002</t>
  </si>
  <si>
    <t>Practicantes</t>
  </si>
  <si>
    <t>603.06.001</t>
  </si>
  <si>
    <t>Vacaciones</t>
  </si>
  <si>
    <t>Prima vacacional</t>
  </si>
  <si>
    <t>603.10.001</t>
  </si>
  <si>
    <t>Gratificaciones</t>
  </si>
  <si>
    <t>603.11.001</t>
  </si>
  <si>
    <t>Primas de antiguedad</t>
  </si>
  <si>
    <t>603.13.001</t>
  </si>
  <si>
    <t>Indemnizaciones</t>
  </si>
  <si>
    <t>603.14.001</t>
  </si>
  <si>
    <t>Destajo</t>
  </si>
  <si>
    <t>Despensa</t>
  </si>
  <si>
    <t>603.16.001</t>
  </si>
  <si>
    <t>Transporte</t>
  </si>
  <si>
    <t>603.25.002</t>
  </si>
  <si>
    <t>Comisiones a vendedores</t>
  </si>
  <si>
    <t>603.25.003</t>
  </si>
  <si>
    <t>Comisiones vendedores externos</t>
  </si>
  <si>
    <t>603.25.004</t>
  </si>
  <si>
    <t>Colegiaturas</t>
  </si>
  <si>
    <t>Otros</t>
  </si>
  <si>
    <t>603.25.005</t>
  </si>
  <si>
    <t>Becas</t>
  </si>
  <si>
    <t>603.26.001</t>
  </si>
  <si>
    <t>Cuotas al IMSS</t>
  </si>
  <si>
    <t>603.27.001</t>
  </si>
  <si>
    <t>Aportaciones al INFONAVIT</t>
  </si>
  <si>
    <t>603.28.001</t>
  </si>
  <si>
    <t>Aportaciones al SAR</t>
  </si>
  <si>
    <t>603.29.001</t>
  </si>
  <si>
    <t>ISN</t>
  </si>
  <si>
    <t>603.31.002</t>
  </si>
  <si>
    <t>Asimilados a salarios provision</t>
  </si>
  <si>
    <t>603.31.003</t>
  </si>
  <si>
    <t>Personal Outsourcing</t>
  </si>
  <si>
    <t>603.31.004</t>
  </si>
  <si>
    <t>Servicios de Personal</t>
  </si>
  <si>
    <t>603.31.005</t>
  </si>
  <si>
    <t>Supervision de obra</t>
  </si>
  <si>
    <t>603.32.002</t>
  </si>
  <si>
    <t>Seleccion y Reclutamiento</t>
  </si>
  <si>
    <t>603.32.001</t>
  </si>
  <si>
    <t>Servicios administrativos</t>
  </si>
  <si>
    <t>603.34.001</t>
  </si>
  <si>
    <t xml:space="preserve">Honorarios a personas Fisicas </t>
  </si>
  <si>
    <t>603.38.002</t>
  </si>
  <si>
    <t>Honorarios Legales PM</t>
  </si>
  <si>
    <t>603.38.003</t>
  </si>
  <si>
    <t>Honorarios Comercial y marketing</t>
  </si>
  <si>
    <t>603.38.004</t>
  </si>
  <si>
    <t>Honorarios campañas mercadotec en Linea</t>
  </si>
  <si>
    <t>603.45.001</t>
  </si>
  <si>
    <t>Arrendamiento A Personas Fisicas Nacionales</t>
  </si>
  <si>
    <t>Renta de Inmuebles</t>
  </si>
  <si>
    <t>603.46.001</t>
  </si>
  <si>
    <t>Arrendamiento a Personas Morales</t>
  </si>
  <si>
    <t>603.47.001</t>
  </si>
  <si>
    <t>Arrendamiento a residentes Extranjero</t>
  </si>
  <si>
    <t>603.48.001</t>
  </si>
  <si>
    <t>Combustibles y Lubricantes</t>
  </si>
  <si>
    <t>603.49.005</t>
  </si>
  <si>
    <t>Viaticos extranjero</t>
  </si>
  <si>
    <t>603.49.006</t>
  </si>
  <si>
    <t>Gastos de viaje no deducibles</t>
  </si>
  <si>
    <t>603.49.007</t>
  </si>
  <si>
    <t xml:space="preserve">Gastos de Viaje Hotel ND </t>
  </si>
  <si>
    <t>603.54.001</t>
  </si>
  <si>
    <t>Limpieza</t>
  </si>
  <si>
    <t>603.55.001</t>
  </si>
  <si>
    <t>Papeleria y Articulos De Oficina</t>
  </si>
  <si>
    <t>603.55.002</t>
  </si>
  <si>
    <t>Impresiones y copias</t>
  </si>
  <si>
    <t>603.55.003</t>
  </si>
  <si>
    <t>Consumibles</t>
  </si>
  <si>
    <t>603.55.004</t>
  </si>
  <si>
    <t>Materiales y Accesorios</t>
  </si>
  <si>
    <t>603.55.005</t>
  </si>
  <si>
    <t>Mobiliario Equipo y Accesorio</t>
  </si>
  <si>
    <t>603.57.001</t>
  </si>
  <si>
    <t>Seguros y Fianzas</t>
  </si>
  <si>
    <t>603.57.002</t>
  </si>
  <si>
    <t>Seguro de gastos medicos</t>
  </si>
  <si>
    <t>603.59.001</t>
  </si>
  <si>
    <t>Recargos Fiscales</t>
  </si>
  <si>
    <t>603.60.001</t>
  </si>
  <si>
    <t>Cuotas y Suscripciones</t>
  </si>
  <si>
    <t>Almacenamiento de datos</t>
  </si>
  <si>
    <t>603.61.001</t>
  </si>
  <si>
    <t>Propaganda y Publicidad</t>
  </si>
  <si>
    <t>603.61.002</t>
  </si>
  <si>
    <t>Servicios de promocion</t>
  </si>
  <si>
    <t>603.61.003</t>
  </si>
  <si>
    <t>Publicidad Internet</t>
  </si>
  <si>
    <t>603.61.004</t>
  </si>
  <si>
    <t>Promociones</t>
  </si>
  <si>
    <t>603.61.005</t>
  </si>
  <si>
    <t>Gastos de Marketing</t>
  </si>
  <si>
    <t>603.61.007</t>
  </si>
  <si>
    <t>Diseño e impresion</t>
  </si>
  <si>
    <t>603.61.008</t>
  </si>
  <si>
    <t>Eventos marketing</t>
  </si>
  <si>
    <t>603.61.009</t>
  </si>
  <si>
    <t>Asesoria Comercial y marketing</t>
  </si>
  <si>
    <t>603.61.010</t>
  </si>
  <si>
    <t>Campañas mercadotec en linea</t>
  </si>
  <si>
    <t>603.62.001</t>
  </si>
  <si>
    <t>Capacitacion al Personal</t>
  </si>
  <si>
    <t>603.64.002</t>
  </si>
  <si>
    <t>Software, aplicac corporativas</t>
  </si>
  <si>
    <t>603.72.002</t>
  </si>
  <si>
    <t>Mensajeria</t>
  </si>
  <si>
    <t>603.81.001</t>
  </si>
  <si>
    <t>Gastos no deducibles</t>
  </si>
  <si>
    <t>603.81.002</t>
  </si>
  <si>
    <t>Viaticos no deducibles</t>
  </si>
  <si>
    <t>603.82.001</t>
  </si>
  <si>
    <t>Otros Gastos de Administracion</t>
  </si>
  <si>
    <t>603.82.002</t>
  </si>
  <si>
    <t>Estacionamiento</t>
  </si>
  <si>
    <t>603.82.003</t>
  </si>
  <si>
    <t>Organizacion de eventos</t>
  </si>
  <si>
    <t>603.82.004</t>
  </si>
  <si>
    <t>Comidas de Trabajo</t>
  </si>
  <si>
    <t>603.82.005</t>
  </si>
  <si>
    <t>InvestigaciÃ³n y Desarrollo</t>
  </si>
  <si>
    <t>603.82.006</t>
  </si>
  <si>
    <t>Obsequios de Producto</t>
  </si>
  <si>
    <t>613.02.001</t>
  </si>
  <si>
    <t>DEPRECIACION DE MAQUINARIA Y EQUIPO</t>
  </si>
  <si>
    <t>Depreciación</t>
  </si>
  <si>
    <t>613.04.001</t>
  </si>
  <si>
    <t>DEPRECIACION DE MOBILIARIO Y EQUIPO DE OFICINA</t>
  </si>
  <si>
    <t>613.05.001</t>
  </si>
  <si>
    <t>DEPRECIACION DE EQUIPO DE COMPUTO</t>
  </si>
  <si>
    <t>613.08.004</t>
  </si>
  <si>
    <t>Depreciación Desarrollo Softw</t>
  </si>
  <si>
    <t>613.17.001</t>
  </si>
  <si>
    <t>DEPRECIACION DE ADAPTACIONES Y MEJORAS</t>
  </si>
  <si>
    <t>614.06.001</t>
  </si>
  <si>
    <t>AMORTIZACION DE INVESTIGACION Y DESARROLLO DE MERCADO</t>
  </si>
  <si>
    <t>614.07.001</t>
  </si>
  <si>
    <t>AMORTIZACION DE MARCAS Y PATENTES</t>
  </si>
  <si>
    <t>614.09.001</t>
  </si>
  <si>
    <t>AMORTIZACION DE GASTOS DE INSTALACION</t>
  </si>
  <si>
    <t>614.10.002</t>
  </si>
  <si>
    <t>Amort Desarrollo software</t>
  </si>
  <si>
    <t>614.10.003</t>
  </si>
  <si>
    <t>Amort Multimedia</t>
  </si>
  <si>
    <t>614.10.004</t>
  </si>
  <si>
    <t>Amort Licencias Software</t>
  </si>
  <si>
    <t>614.10.005</t>
  </si>
  <si>
    <t>Amort desarrollo de proyectos</t>
  </si>
  <si>
    <t>614.10.007</t>
  </si>
  <si>
    <t>Amort Seguros y Fianzas</t>
  </si>
  <si>
    <t>Description</t>
  </si>
  <si>
    <t>Total Cost USD</t>
  </si>
  <si>
    <t>Freshworks</t>
  </si>
  <si>
    <t>1, annual</t>
  </si>
  <si>
    <t>Content Team JVS - 552568XXXXXX9412</t>
  </si>
  <si>
    <t>Content JVS - •••• 9559</t>
  </si>
  <si>
    <t>Adobe</t>
  </si>
  <si>
    <t>2 monthly</t>
  </si>
  <si>
    <t>Veed</t>
  </si>
  <si>
    <t>1, monthly</t>
  </si>
  <si>
    <t>HeyGen</t>
  </si>
  <si>
    <t>Hellosign</t>
  </si>
  <si>
    <t>credits/ monthly 11,5k credits, 3 people</t>
  </si>
  <si>
    <t>1, Monthly</t>
  </si>
  <si>
    <t>Zoom</t>
  </si>
  <si>
    <t>3 accounts, annual</t>
  </si>
  <si>
    <t>Content Team JVS - 552568XXXXXX9412 and BizOps?</t>
  </si>
  <si>
    <t>Comissions</t>
  </si>
  <si>
    <t>GUSTO fee</t>
  </si>
  <si>
    <t>* 12 USD * 6.6% TAX per contractor (coach)</t>
  </si>
  <si>
    <t>DEEL fee</t>
  </si>
  <si>
    <t>* 35 USD per contractor (coach)</t>
  </si>
  <si>
    <t>Other AIs</t>
  </si>
  <si>
    <t>SERVICIOS EXTERNOS</t>
  </si>
  <si>
    <t>Experts PT</t>
  </si>
  <si>
    <t xml:space="preserve">Portuguese Coaches </t>
  </si>
  <si>
    <t>Coaches</t>
  </si>
  <si>
    <t>Experts ES</t>
  </si>
  <si>
    <t xml:space="preserve">Spanish Coaches </t>
  </si>
  <si>
    <t>Experts EN</t>
  </si>
  <si>
    <t>English Coaches</t>
  </si>
  <si>
    <t>INVOICE</t>
  </si>
  <si>
    <t>Director Live Programs &amp; Content</t>
  </si>
  <si>
    <t>DEEL</t>
  </si>
  <si>
    <t>BRUNO VELOSO IRAHA</t>
  </si>
  <si>
    <t>Content &amp; Programs Analyst</t>
  </si>
  <si>
    <t>BENAVIDES DE LA ROSA LAURA JANETH</t>
  </si>
  <si>
    <t>Content Specialist</t>
  </si>
  <si>
    <t>CASCAJARES NICOLI MONTSERRAT</t>
  </si>
  <si>
    <t>Multimedia Designer</t>
  </si>
  <si>
    <t>MURILLO VARONA PAOLA</t>
  </si>
  <si>
    <t>OMAÑA ROSETTE ESLI</t>
  </si>
  <si>
    <t>Head of Co-Created Content and Experience</t>
  </si>
  <si>
    <t>Caamal Rosette, Allison</t>
  </si>
  <si>
    <t>RUBIO BUENFIL ANA PAMELA</t>
  </si>
  <si>
    <t>Content Analyst</t>
  </si>
  <si>
    <t>BENEFITS</t>
  </si>
  <si>
    <t>4 empleados</t>
  </si>
  <si>
    <t>Aguinaldo - Payroll</t>
  </si>
  <si>
    <t>Aguinaldo - GUSTO</t>
  </si>
  <si>
    <t>1 viaje Mexico - 5 noches</t>
  </si>
  <si>
    <t>Google G Suite</t>
  </si>
  <si>
    <t>Google</t>
  </si>
  <si>
    <t>Google G Suite - 53 usuarios</t>
  </si>
  <si>
    <t>Communication</t>
  </si>
  <si>
    <t>Slack - 39 users</t>
  </si>
  <si>
    <t>Communication tool</t>
  </si>
  <si>
    <t>Payroll Platform</t>
  </si>
  <si>
    <t>Payroll, filing and handling (Concierge) - 2 employees</t>
  </si>
  <si>
    <t>Investment Platform</t>
  </si>
  <si>
    <t>Carta</t>
  </si>
  <si>
    <t>Financial Services</t>
  </si>
  <si>
    <t>ISS/QS Payroll</t>
  </si>
  <si>
    <t>Monthly Accounting, Payroll, Reporting, Taxes</t>
  </si>
  <si>
    <t>Legal Services</t>
  </si>
  <si>
    <t>Garza Duran Abogados</t>
  </si>
  <si>
    <t>Servicios legales</t>
  </si>
  <si>
    <t>Legal</t>
  </si>
  <si>
    <t>Acceleron Law Group</t>
  </si>
  <si>
    <t>Legal services</t>
  </si>
  <si>
    <t>Accounting &amp; Tax</t>
  </si>
  <si>
    <t>Nichols, Dominguez &amp; Velazquez</t>
  </si>
  <si>
    <t>Accounting and tax services</t>
  </si>
  <si>
    <t>Arrowpoint</t>
  </si>
  <si>
    <t>Treasury as a service</t>
  </si>
  <si>
    <t>OPERAM</t>
  </si>
  <si>
    <t>Accounting and tresury services</t>
  </si>
  <si>
    <t>Topaz</t>
  </si>
  <si>
    <t>ASIMILADOS</t>
  </si>
  <si>
    <t>Dir Strategic Projects and Excellence</t>
  </si>
  <si>
    <t>People Opps</t>
  </si>
  <si>
    <t>Regina Elizondo</t>
  </si>
  <si>
    <t>Strategy Specialist</t>
  </si>
  <si>
    <t>Aguinaldo 4 empleados</t>
  </si>
  <si>
    <t>Seguro Gastos Medicos Mayores</t>
  </si>
  <si>
    <t>Seguro Gastos Medicos Menores</t>
  </si>
  <si>
    <t>Seguro de Vida</t>
  </si>
  <si>
    <t>OTROS</t>
  </si>
  <si>
    <t>Recuitement</t>
  </si>
  <si>
    <t>OCC Bolsa de trabajo</t>
  </si>
  <si>
    <t>Linkedin Talent Solutions</t>
  </si>
  <si>
    <t>Varios cultura de trabajo HR</t>
  </si>
  <si>
    <t>Bday Cakes, Despensa, After Office, Comidas, Otros</t>
  </si>
  <si>
    <t>Christmas Party</t>
  </si>
  <si>
    <t>Trainings</t>
  </si>
  <si>
    <t>Pleroma GMP</t>
  </si>
  <si>
    <t>Gian Marco (one on ones)</t>
  </si>
  <si>
    <t>Rent Offices</t>
  </si>
  <si>
    <t>Universidad Regiomontana</t>
  </si>
  <si>
    <t>Renta de Oficinas Monterrey</t>
  </si>
  <si>
    <t>Sanity Check</t>
  </si>
  <si>
    <t>CASH USD</t>
  </si>
  <si>
    <t>Meta</t>
  </si>
  <si>
    <t xml:space="preserve">Spend divided into paid acquisition channels including: Facebook, Google UAC/Search, ASO, etc. </t>
  </si>
  <si>
    <t>TikTok</t>
  </si>
  <si>
    <t>BREX 5449 (Viviana Deschamps)</t>
  </si>
  <si>
    <t>Experimentation</t>
  </si>
  <si>
    <t>Google/influencers/tiktok origin creators</t>
  </si>
  <si>
    <t>Suscripcción anual</t>
  </si>
  <si>
    <t>Marketing JVS - 7209</t>
  </si>
  <si>
    <t>Supermetrics</t>
  </si>
  <si>
    <t>Licencia para pasar datos de back a Google Data Studio</t>
  </si>
  <si>
    <t>Marketing 1186</t>
  </si>
  <si>
    <t>Kochava</t>
  </si>
  <si>
    <t>Pago por usuario (tracking + Smartlinks) - estimado porque es pay per use</t>
  </si>
  <si>
    <t>Envato</t>
  </si>
  <si>
    <t>Licencia</t>
  </si>
  <si>
    <t>Motion (creative cloud)</t>
  </si>
  <si>
    <t>Pago mensual por Ads creatives tool</t>
  </si>
  <si>
    <t>Admanage.ai</t>
  </si>
  <si>
    <t>Elementor</t>
  </si>
  <si>
    <t>Pago anual</t>
  </si>
  <si>
    <t>LeadPages</t>
  </si>
  <si>
    <t>Pago mensual</t>
  </si>
  <si>
    <t>Leanplum</t>
  </si>
  <si>
    <t>Email Campaigns</t>
  </si>
  <si>
    <t>Sketch</t>
  </si>
  <si>
    <t>Capcut</t>
  </si>
  <si>
    <t>Tik tok videos</t>
  </si>
  <si>
    <t>Paypal content</t>
  </si>
  <si>
    <t>External hire</t>
  </si>
  <si>
    <t>TBD</t>
  </si>
  <si>
    <t xml:space="preserve">MARTHA GUTIERREZ SANCHEZ </t>
  </si>
  <si>
    <t>Head of Marketing</t>
  </si>
  <si>
    <t>SILVA CRANTSCHANINOV LARISSA</t>
  </si>
  <si>
    <t>Mkt Manager</t>
  </si>
  <si>
    <t>Ramirez Padilla, Laura</t>
  </si>
  <si>
    <t>Lifecycles Mkt</t>
  </si>
  <si>
    <t>Sánchez, Samantha</t>
  </si>
  <si>
    <t>Lifecycle Designer</t>
  </si>
  <si>
    <t>Velázquez Mejía, Andrea</t>
  </si>
  <si>
    <t>Lifecycles Manager</t>
  </si>
  <si>
    <t>Letayf Valenzuela, Nicole</t>
  </si>
  <si>
    <t>3 empleados</t>
  </si>
  <si>
    <t>Aguinaldo - PAYROLL</t>
  </si>
  <si>
    <t>BREX</t>
  </si>
  <si>
    <t>Paypal</t>
  </si>
  <si>
    <t>ADMINISTRADORA Y COMERCIALIZADORA RR DE MEXICO</t>
  </si>
  <si>
    <t>LinkedIn SN P262477676 LINKEDIN.COM IRL</t>
  </si>
  <si>
    <t>Delaware Division of Corporations</t>
  </si>
  <si>
    <t>Partnerships</t>
  </si>
  <si>
    <t xml:space="preserve">Corp E Corp </t>
  </si>
  <si>
    <t>Paola Padilla</t>
  </si>
  <si>
    <t>Superwall</t>
  </si>
  <si>
    <t>Paywall</t>
  </si>
  <si>
    <t>Mercury</t>
  </si>
  <si>
    <t>&lt;</t>
  </si>
  <si>
    <t>$45 USD por usuario</t>
  </si>
  <si>
    <t>Deel</t>
  </si>
  <si>
    <t xml:space="preserve">** 40k buidget propuesta Martha </t>
  </si>
  <si>
    <t>Papeleria / Articulos De Oficina / DHL / Cargadores, otros</t>
  </si>
  <si>
    <t>Product Intern</t>
  </si>
  <si>
    <t>Capital Becarios</t>
  </si>
  <si>
    <t>TDB</t>
  </si>
  <si>
    <t>Intern Android</t>
  </si>
  <si>
    <t>Escenario 1</t>
  </si>
  <si>
    <t>Escenario 2</t>
  </si>
  <si>
    <t>Escenario 3</t>
  </si>
  <si>
    <t>ESCENARIO OBJETIVO</t>
  </si>
  <si>
    <t>ESCENARIO PESIMISTA</t>
  </si>
  <si>
    <t>Market Spend (Meta)</t>
  </si>
  <si>
    <t>Market Spend (others)</t>
  </si>
  <si>
    <t>Total 2026</t>
  </si>
  <si>
    <t>NEW SALARY MXN</t>
  </si>
  <si>
    <t>Nombre</t>
  </si>
  <si>
    <t>Equipo</t>
  </si>
  <si>
    <t>REGIMEN</t>
  </si>
  <si>
    <t>Sueldo Actual</t>
  </si>
  <si>
    <t>Moneda</t>
  </si>
  <si>
    <t>Sueldo Actual MXN</t>
  </si>
  <si>
    <t>Fecha de Contratación</t>
  </si>
  <si>
    <t>Último Asenso</t>
  </si>
  <si>
    <t>Nivel</t>
  </si>
  <si>
    <t>Next Promotion</t>
  </si>
  <si>
    <t>Razón</t>
  </si>
  <si>
    <t>enero 2026</t>
  </si>
  <si>
    <t>Garza Sada, Luis</t>
  </si>
  <si>
    <t>CEO</t>
  </si>
  <si>
    <t>TOTAL SPEND:</t>
  </si>
  <si>
    <t>Pontes, Nathalia</t>
  </si>
  <si>
    <t>Contratista BR</t>
  </si>
  <si>
    <t>agosto 2024</t>
  </si>
  <si>
    <t>Benavides de la Rosa, Laura</t>
  </si>
  <si>
    <t>RESICO</t>
  </si>
  <si>
    <t>noviembre 2024</t>
  </si>
  <si>
    <t>Cascajares Nicoli, Montserrat</t>
  </si>
  <si>
    <t>mayo 2025</t>
  </si>
  <si>
    <t>mayo 2026</t>
  </si>
  <si>
    <t>agosto 2025</t>
  </si>
  <si>
    <t>Murillo Varona, Paola</t>
  </si>
  <si>
    <t>enero 2024</t>
  </si>
  <si>
    <t>Omaña Rosette, Esli</t>
  </si>
  <si>
    <t>enero 2025</t>
  </si>
  <si>
    <t>Rubio Buenfil, Ana</t>
  </si>
  <si>
    <t>Iraha, Bruno</t>
  </si>
  <si>
    <t>Kalifa, Mariana</t>
  </si>
  <si>
    <t>Product</t>
  </si>
  <si>
    <t>septiembre 2024</t>
  </si>
  <si>
    <t>VP</t>
  </si>
  <si>
    <t>Villarreal Prieto, Paola</t>
  </si>
  <si>
    <t>-</t>
  </si>
  <si>
    <t>Reyes Rodriguez, María</t>
  </si>
  <si>
    <t>María Fernanda Álvarez</t>
  </si>
  <si>
    <t>Tec</t>
  </si>
  <si>
    <t>julio 2025</t>
  </si>
  <si>
    <t>febrero 2023</t>
  </si>
  <si>
    <t>diciembre 2024</t>
  </si>
  <si>
    <t>Gutierrez, Martha</t>
  </si>
  <si>
    <t>Marketing</t>
  </si>
  <si>
    <t>julio 2024</t>
  </si>
  <si>
    <t>marzo 2024</t>
  </si>
  <si>
    <t>Intern</t>
  </si>
  <si>
    <t>Crantschaninov, Larissa</t>
  </si>
  <si>
    <t>octubre 2024</t>
  </si>
  <si>
    <t>Avalos, María Josefa</t>
  </si>
  <si>
    <t>Bizops</t>
  </si>
  <si>
    <t>Elizondo Llano, Regina</t>
  </si>
  <si>
    <t>Padilla, Paola</t>
  </si>
  <si>
    <t>TOTAL MXN TODAY</t>
  </si>
  <si>
    <t>PROMOTION</t>
  </si>
  <si>
    <t>INFLATION</t>
  </si>
  <si>
    <t>Zoom services - INBOUND licence,  Luis personal licence</t>
  </si>
  <si>
    <t>Includes Claude + Chat GPT (all teams) + Luis personal</t>
  </si>
  <si>
    <t>*pendienre actualización</t>
  </si>
  <si>
    <t>Q4 2025</t>
  </si>
  <si>
    <t>2 Laptops</t>
  </si>
  <si>
    <t>Laptops nuevas</t>
  </si>
  <si>
    <t xml:space="preserve">6 laptops - 25k cada una </t>
  </si>
  <si>
    <t>Jeeves 7252 - Luis Garza</t>
  </si>
  <si>
    <t>Jeeves 6067 - BizOps</t>
  </si>
  <si>
    <t>Jeeves 7276 - Viviana Deschamps</t>
  </si>
  <si>
    <t>Mercury 5738</t>
  </si>
  <si>
    <t>Mercury 1869</t>
  </si>
  <si>
    <t>Brex 9547 - Luis Garza</t>
  </si>
  <si>
    <t>PENDING</t>
  </si>
  <si>
    <t>AI Licences</t>
  </si>
  <si>
    <t>ISN 3%</t>
  </si>
  <si>
    <t>SIPARE (SAR, IMSS, INFONAVIT (avg. 22%))</t>
  </si>
  <si>
    <t>Capital becarios</t>
  </si>
  <si>
    <t>Crecimiento - 40%</t>
  </si>
  <si>
    <t>Extraordinario 40%</t>
  </si>
  <si>
    <t>ACC USD</t>
  </si>
  <si>
    <t>promotion 30%</t>
  </si>
  <si>
    <t>MRR</t>
  </si>
  <si>
    <t>** NO fue sacado del modelo se uso primedo 4% approx incremento promedio sobre el MRR año 2025. Pendiente arreglar rsto para budget 2027. NO cambia por scenario solo es escenario conservador osea escenario 2</t>
  </si>
  <si>
    <t>CFO as a service</t>
  </si>
  <si>
    <t>Sales &amp; Marketing</t>
  </si>
  <si>
    <t>Research &amp; Development</t>
  </si>
  <si>
    <t>Content (Educational Content)</t>
  </si>
  <si>
    <t>General &amp; Administrative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</si>
</sst>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&quot;$&quot;* #,##0_-;\-&quot;$&quot;* #,##0_-;_-&quot;$&quot;* &quot;-&quot;??_-;_-@_-"/>
    <numFmt numFmtId="166" formatCode="0.0%"/>
    <numFmt numFmtId="167" formatCode="_-&quot;$&quot;* #,##0.0_-;\-&quot;$&quot;* #,##0.0_-;_-&quot;$&quot;* &quot;-&quot;??_-;_-@_-"/>
    <numFmt numFmtId="168" formatCode="_-* #,##0_-;\-* #,##0_-;_-* &quot;-&quot;??_-;_-@_-"/>
    <numFmt numFmtId="169" formatCode="_-&quot;$&quot;* #,##0.000_-;\-&quot;$&quot;* #,##0.000_-;_-&quot;$&quot;* &quot;-&quot;??_-;_-@_-"/>
    <numFmt numFmtId="170" formatCode="_(* #,##0_);_(* \(#,##0\);_(* &quot;-&quot;??_);_(@_)"/>
    <numFmt numFmtId="171" formatCode="_(&quot;$&quot;* #,##0_);_(&quot;$&quot;* \(#,##0\);_(&quot;$&quot;* &quot;-&quot;??_);_(@_)"/>
    <numFmt numFmtId="172" formatCode="&quot; &quot;[$$-80A]* #,##0.00&quot; &quot;;&quot; &quot;[$$-80A]* \(#,##0.00\);&quot; &quot;[$$-80A]* &quot;-&quot;??&quot; &quot;"/>
    <numFmt numFmtId="173" formatCode="&quot;$ &quot;#,##0;\-&quot;$ &quot;#,##0"/>
    <numFmt numFmtId="174" formatCode="&quot;$&quot;#,##0.00;\(&quot;$&quot;#,##0.00\)"/>
    <numFmt numFmtId="175" formatCode="&quot;$&quot;#,##0.00"/>
    <numFmt numFmtId="176" formatCode="[$$-409]#,##0.00;\-[$$-409]#,##0.00"/>
    <numFmt numFmtId="177" formatCode="&quot;$ &quot;#,##0.00;\-&quot;$ &quot;#,##0.00"/>
    <numFmt numFmtId="178" formatCode="&quot;$&quot;#,##0;\-&quot;$&quot;#,##0"/>
    <numFmt numFmtId="179" formatCode="&quot;$&quot;#,##0;\(&quot;$&quot;#,##0\)"/>
    <numFmt numFmtId="180" formatCode="#,##0.00;\-#,##0.00"/>
    <numFmt numFmtId="181" formatCode="&quot;$&quot;#,##0.00;\-&quot;$&quot;#,##0.00"/>
    <numFmt numFmtId="182" formatCode="_-&quot;$&quot;* #,##0.00_-;\-&quot;$&quot;* #,##0.00_-;_-&quot;$&quot;* &quot;-&quot;??_-;_-@"/>
    <numFmt numFmtId="183" formatCode="_-&quot;$&quot;* #,##0_-;\-&quot;$&quot;* #,##0_-;_-&quot;$&quot;* &quot;-&quot;??_-;_-@"/>
    <numFmt numFmtId="184" formatCode="&quot; &quot;&quot;$&quot;* #,##0.00&quot; &quot;;&quot; &quot;&quot;$&quot;* \(#,##0.00\);&quot; &quot;&quot;$&quot;* &quot;-&quot;??&quot; &quot;"/>
    <numFmt numFmtId="185" formatCode="&quot; &quot;&quot;$&quot;* #,##0&quot; &quot;;&quot;-&quot;&quot;$&quot;* #,##0&quot; &quot;;&quot; &quot;&quot;$&quot;* &quot;-&quot;??&quot; &quot;"/>
    <numFmt numFmtId="186" formatCode="d/m/yyyy"/>
  </numFmts>
  <fonts count="84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4"/>
      <name val="Aptos Narrow"/>
      <family val="2"/>
      <scheme val="minor"/>
    </font>
    <font>
      <b/>
      <sz val="16"/>
      <name val="Aptos Narrow"/>
      <family val="2"/>
      <scheme val="minor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sz val="12"/>
      <color rgb="FF4472C4"/>
      <name val="Aptos Narrow"/>
      <family val="2"/>
      <scheme val="minor"/>
    </font>
    <font>
      <sz val="12"/>
      <name val="Aptos Narrow"/>
      <family val="2"/>
      <scheme val="minor"/>
    </font>
    <font>
      <b/>
      <u/>
      <sz val="12"/>
      <name val="Aptos Narrow"/>
      <family val="2"/>
      <scheme val="minor"/>
    </font>
    <font>
      <i/>
      <sz val="12"/>
      <name val="Aptos Narrow"/>
      <family val="2"/>
      <scheme val="minor"/>
    </font>
    <font>
      <b/>
      <sz val="12"/>
      <color theme="4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6"/>
      <color rgb="FF027FCD"/>
      <name val="Aptos Narrow"/>
      <family val="2"/>
      <scheme val="minor"/>
    </font>
    <font>
      <sz val="12"/>
      <color theme="9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Calibri (Body)"/>
    </font>
    <font>
      <sz val="12"/>
      <color theme="1"/>
      <name val="Aptos Narrow"/>
      <scheme val="minor"/>
    </font>
    <font>
      <sz val="12"/>
      <name val="Calibri"/>
      <family val="2"/>
    </font>
    <font>
      <sz val="12"/>
      <name val="Calibri (Body)"/>
    </font>
    <font>
      <sz val="12"/>
      <color theme="1"/>
      <name val="Calibri"/>
      <family val="2"/>
    </font>
    <font>
      <sz val="9"/>
      <color theme="9" tint="-0.249977111117893"/>
      <name val="Aptos Narrow"/>
      <family val="2"/>
      <scheme val="minor"/>
    </font>
    <font>
      <sz val="9"/>
      <color theme="4"/>
      <name val="Aptos Narrow"/>
      <family val="2"/>
      <scheme val="minor"/>
    </font>
    <font>
      <sz val="12"/>
      <color theme="3" tint="0.249977111117893"/>
      <name val="Aptos Narrow"/>
      <family val="2"/>
      <scheme val="minor"/>
    </font>
    <font>
      <b/>
      <sz val="9"/>
      <color rgb="FF000000"/>
      <name val="Gotham Rounded"/>
    </font>
    <font>
      <sz val="10"/>
      <color rgb="FF000000"/>
      <name val="Gotham Rounded"/>
    </font>
    <font>
      <sz val="9"/>
      <color rgb="FF000000"/>
      <name val="Gotham Rounded"/>
    </font>
    <font>
      <sz val="11"/>
      <name val="Aptos Narrow"/>
      <family val="2"/>
      <scheme val="minor"/>
    </font>
    <font>
      <b/>
      <sz val="10"/>
      <color rgb="FF000000"/>
      <name val="Gotham Rounded"/>
    </font>
    <font>
      <b/>
      <sz val="10"/>
      <color theme="1"/>
      <name val="Gotham Rounded"/>
    </font>
    <font>
      <b/>
      <sz val="9"/>
      <color theme="1"/>
      <name val="Gotham Rounded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2"/>
      <color theme="1"/>
      <name val="Aptos Narrow"/>
      <scheme val="minor"/>
    </font>
    <font>
      <b/>
      <sz val="12"/>
      <name val="Aptos Narrow"/>
      <scheme val="minor"/>
    </font>
    <font>
      <sz val="12"/>
      <color theme="9"/>
      <name val="Aptos Narrow"/>
      <scheme val="minor"/>
    </font>
    <font>
      <sz val="12"/>
      <color theme="4"/>
      <name val="Aptos Narrow"/>
      <scheme val="minor"/>
    </font>
    <font>
      <b/>
      <i/>
      <sz val="12"/>
      <color theme="1"/>
      <name val="Aptos Narrow"/>
      <scheme val="minor"/>
    </font>
    <font>
      <b/>
      <sz val="10"/>
      <name val="Aptos Narrow"/>
      <scheme val="minor"/>
    </font>
    <font>
      <b/>
      <sz val="12"/>
      <color theme="5" tint="-0.249977111117893"/>
      <name val="Aptos Narrow"/>
      <scheme val="minor"/>
    </font>
    <font>
      <i/>
      <sz val="12"/>
      <color theme="1"/>
      <name val="Aptos Narrow"/>
      <scheme val="minor"/>
    </font>
    <font>
      <b/>
      <i/>
      <sz val="12"/>
      <name val="Aptos Narrow"/>
      <scheme val="minor"/>
    </font>
    <font>
      <sz val="12"/>
      <color rgb="FF0070C0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2"/>
      <color rgb="FF0070C0"/>
      <name val="Aptos Narrow"/>
      <scheme val="minor"/>
    </font>
    <font>
      <i/>
      <sz val="10"/>
      <color rgb="FF0070C0"/>
      <name val="Aptos Narrow"/>
      <scheme val="minor"/>
    </font>
    <font>
      <b/>
      <i/>
      <sz val="10"/>
      <color rgb="FF0070C0"/>
      <name val="Aptos Narrow"/>
      <scheme val="minor"/>
    </font>
    <font>
      <b/>
      <sz val="12"/>
      <color rgb="FF000000"/>
      <name val="Aptos Narrow"/>
      <scheme val="minor"/>
    </font>
    <font>
      <sz val="11"/>
      <color rgb="FF000000"/>
      <name val="Calibri"/>
      <family val="2"/>
    </font>
    <font>
      <u/>
      <sz val="12"/>
      <color theme="10"/>
      <name val="Aptos Narrow"/>
      <family val="2"/>
      <scheme val="minor"/>
    </font>
    <font>
      <b/>
      <sz val="12"/>
      <color rgb="FFFF0000"/>
      <name val="Aptos Narrow"/>
      <scheme val="minor"/>
    </font>
    <font>
      <sz val="12"/>
      <color theme="1"/>
      <name val="Arial"/>
      <family val="2"/>
    </font>
    <font>
      <sz val="12"/>
      <color theme="1"/>
      <name val="Aptos"/>
    </font>
    <font>
      <b/>
      <sz val="12"/>
      <color theme="1"/>
      <name val="Arial"/>
      <family val="2"/>
    </font>
    <font>
      <sz val="15"/>
      <color rgb="FFD1D2D3"/>
      <name val="Arial"/>
      <family val="2"/>
    </font>
    <font>
      <sz val="12"/>
      <color theme="1"/>
      <name val="Aptos Narrow"/>
    </font>
    <font>
      <b/>
      <sz val="12"/>
      <color theme="0"/>
      <name val="Aptos Narrow"/>
    </font>
    <font>
      <b/>
      <sz val="12"/>
      <color theme="1"/>
      <name val="Aptos Narrow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sz val="12"/>
      <color theme="3" tint="0.499984740745262"/>
      <name val="Aptos Narrow"/>
      <family val="2"/>
      <scheme val="minor"/>
    </font>
    <font>
      <sz val="12"/>
      <color indexed="8"/>
      <name val="Aptos Narrow"/>
    </font>
    <font>
      <b/>
      <sz val="12"/>
      <color indexed="8"/>
      <name val="Aptos Narrow"/>
    </font>
    <font>
      <sz val="12"/>
      <color indexed="8"/>
      <name val="Calibri"/>
      <family val="2"/>
    </font>
    <font>
      <sz val="12"/>
      <color indexed="8"/>
      <name val="Calibri (Body)"/>
    </font>
    <font>
      <sz val="11"/>
      <color indexed="8"/>
      <name val="Helvetica Neue"/>
      <family val="2"/>
    </font>
    <font>
      <sz val="11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theme="1"/>
      <name val="Aptos Narrow"/>
      <scheme val="minor"/>
    </font>
    <font>
      <sz val="12"/>
      <color rgb="FFFF0000"/>
      <name val="Aptos Narrow"/>
      <scheme val="minor"/>
    </font>
    <font>
      <b/>
      <sz val="16"/>
      <color rgb="FFFF0000"/>
      <name val="Aptos Narrow"/>
      <scheme val="minor"/>
    </font>
    <font>
      <sz val="10"/>
      <color rgb="FFFF0000"/>
      <name val="Aptos Narrow"/>
      <scheme val="minor"/>
    </font>
    <font>
      <b/>
      <sz val="10"/>
      <color rgb="FFFF0000"/>
      <name val="Aptos Narrow"/>
      <scheme val="minor"/>
    </font>
    <font>
      <b/>
      <i/>
      <sz val="12"/>
      <color theme="1"/>
      <name val="Aptos Narrow"/>
    </font>
    <font>
      <sz val="12"/>
      <name val="Aptos Narrow"/>
    </font>
    <font>
      <sz val="9"/>
      <color rgb="FF3A7D22"/>
      <name val="Aptos Narrow"/>
    </font>
    <font>
      <sz val="9"/>
      <color theme="4"/>
      <name val="Aptos Narrow"/>
    </font>
    <font>
      <sz val="12"/>
      <color rgb="FF215E99"/>
      <name val="Aptos Narrow"/>
    </font>
    <font>
      <sz val="12"/>
      <color theme="9"/>
      <name val="Aptos Narrow"/>
    </font>
    <font>
      <sz val="12"/>
      <name val="Aptos Narrow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1CB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F75B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89999084444715716"/>
        <bgColor theme="9" tint="0.79998168889431442"/>
      </patternFill>
    </fill>
    <fill>
      <patternFill patternType="solid">
        <fgColor rgb="FFF7A09D"/>
        <bgColor indexed="64"/>
      </patternFill>
    </fill>
    <fill>
      <patternFill patternType="solid">
        <fgColor rgb="FFFFBFBA"/>
        <bgColor indexed="64"/>
      </patternFill>
    </fill>
    <fill>
      <patternFill patternType="solid">
        <fgColor rgb="FFF9F0C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A6C9EC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2F75B6"/>
        <bgColor rgb="FF2F75B6"/>
      </patternFill>
    </fill>
    <fill>
      <patternFill patternType="solid">
        <fgColor rgb="FFD0D0D0"/>
        <bgColor rgb="FFD0D0D0"/>
      </patternFill>
    </fill>
    <fill>
      <patternFill patternType="solid">
        <fgColor rgb="FF7F7F7F"/>
        <bgColor rgb="FF7F7F7F"/>
      </patternFill>
    </fill>
    <fill>
      <patternFill patternType="solid">
        <fgColor rgb="FFB8D4EF"/>
        <bgColor rgb="FFB8D4EF"/>
      </patternFill>
    </fill>
    <fill>
      <patternFill patternType="solid">
        <fgColor indexed="23"/>
        <bgColor auto="1"/>
      </patternFill>
    </fill>
    <fill>
      <patternFill patternType="solid">
        <fgColor rgb="FFE8E8E8"/>
        <bgColor rgb="FFE8E8E8"/>
      </patternFill>
    </fill>
    <fill>
      <patternFill patternType="solid">
        <fgColor rgb="FFFFFF00"/>
        <bgColor rgb="FFFFFF00"/>
      </patternFill>
    </fill>
    <fill>
      <patternFill patternType="solid">
        <fgColor rgb="FFDBE9F7"/>
        <bgColor rgb="FFDBE9F7"/>
      </patternFill>
    </fill>
    <fill>
      <patternFill patternType="solid">
        <fgColor rgb="FFD9F2D0"/>
        <bgColor rgb="FFD9F2D0"/>
      </patternFill>
    </fill>
    <fill>
      <patternFill patternType="solid">
        <fgColor rgb="FFFF0000"/>
        <bgColor indexed="64"/>
      </patternFill>
    </fill>
    <fill>
      <patternFill patternType="solid">
        <fgColor rgb="FFAEAEAE"/>
        <bgColor rgb="FFAEAEAE"/>
      </patternFill>
    </fill>
    <fill>
      <patternFill patternType="solid">
        <fgColor rgb="FFF9F0C0"/>
        <bgColor rgb="FFF9F0C0"/>
      </patternFill>
    </fill>
    <fill>
      <patternFill patternType="solid">
        <fgColor rgb="FFFAE2D5"/>
        <bgColor rgb="FFFAE2D5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20" fillId="0" borderId="0"/>
    <xf numFmtId="0" fontId="65" fillId="0" borderId="0" applyNumberFormat="0" applyFill="0" applyBorder="0" applyProtection="0"/>
  </cellStyleXfs>
  <cellXfs count="789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 wrapText="1"/>
    </xf>
    <xf numFmtId="0" fontId="0" fillId="2" borderId="1" xfId="0" applyFill="1" applyBorder="1"/>
    <xf numFmtId="0" fontId="3" fillId="0" borderId="0" xfId="0" applyFont="1" applyAlignment="1">
      <alignment horizontal="center" wrapText="1"/>
    </xf>
    <xf numFmtId="0" fontId="3" fillId="0" borderId="0" xfId="0" applyFont="1"/>
    <xf numFmtId="9" fontId="0" fillId="0" borderId="0" xfId="3" applyFont="1"/>
    <xf numFmtId="164" fontId="0" fillId="0" borderId="0" xfId="0" applyNumberFormat="1"/>
    <xf numFmtId="0" fontId="3" fillId="5" borderId="6" xfId="0" applyFont="1" applyFill="1" applyBorder="1"/>
    <xf numFmtId="0" fontId="3" fillId="0" borderId="8" xfId="0" applyFont="1" applyBorder="1"/>
    <xf numFmtId="9" fontId="0" fillId="0" borderId="9" xfId="0" applyNumberFormat="1" applyBorder="1"/>
    <xf numFmtId="165" fontId="0" fillId="0" borderId="0" xfId="0" applyNumberFormat="1"/>
    <xf numFmtId="167" fontId="0" fillId="5" borderId="7" xfId="2" applyNumberFormat="1" applyFont="1" applyFill="1" applyBorder="1"/>
    <xf numFmtId="167" fontId="0" fillId="0" borderId="9" xfId="2" applyNumberFormat="1" applyFont="1" applyFill="1" applyBorder="1"/>
    <xf numFmtId="0" fontId="3" fillId="5" borderId="8" xfId="0" applyFont="1" applyFill="1" applyBorder="1"/>
    <xf numFmtId="167" fontId="0" fillId="5" borderId="9" xfId="2" applyNumberFormat="1" applyFont="1" applyFill="1" applyBorder="1"/>
    <xf numFmtId="0" fontId="3" fillId="0" borderId="12" xfId="0" applyFont="1" applyBorder="1"/>
    <xf numFmtId="167" fontId="0" fillId="0" borderId="13" xfId="2" applyNumberFormat="1" applyFont="1" applyFill="1" applyBorder="1"/>
    <xf numFmtId="44" fontId="0" fillId="5" borderId="7" xfId="2" applyFont="1" applyFill="1" applyBorder="1"/>
    <xf numFmtId="44" fontId="0" fillId="0" borderId="13" xfId="2" applyFont="1" applyBorder="1"/>
    <xf numFmtId="0" fontId="0" fillId="0" borderId="9" xfId="0" applyBorder="1"/>
    <xf numFmtId="0" fontId="0" fillId="5" borderId="0" xfId="0" applyFill="1"/>
    <xf numFmtId="0" fontId="6" fillId="0" borderId="0" xfId="0" applyFont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0" fillId="10" borderId="0" xfId="0" applyFill="1"/>
    <xf numFmtId="0" fontId="0" fillId="10" borderId="9" xfId="0" applyFill="1" applyBorder="1"/>
    <xf numFmtId="0" fontId="8" fillId="0" borderId="0" xfId="0" applyFont="1"/>
    <xf numFmtId="44" fontId="0" fillId="0" borderId="0" xfId="0" applyNumberFormat="1"/>
    <xf numFmtId="0" fontId="0" fillId="0" borderId="0" xfId="0" applyAlignment="1">
      <alignment horizontal="left" indent="1"/>
    </xf>
    <xf numFmtId="165" fontId="4" fillId="0" borderId="0" xfId="2" applyNumberFormat="1" applyFont="1"/>
    <xf numFmtId="165" fontId="0" fillId="0" borderId="9" xfId="0" applyNumberFormat="1" applyBorder="1"/>
    <xf numFmtId="44" fontId="4" fillId="0" borderId="0" xfId="2" applyFont="1"/>
    <xf numFmtId="164" fontId="0" fillId="0" borderId="9" xfId="0" applyNumberFormat="1" applyBorder="1"/>
    <xf numFmtId="44" fontId="0" fillId="0" borderId="0" xfId="2" applyFont="1"/>
    <xf numFmtId="10" fontId="4" fillId="0" borderId="0" xfId="3" applyNumberFormat="1" applyFont="1"/>
    <xf numFmtId="10" fontId="0" fillId="0" borderId="0" xfId="3" applyNumberFormat="1" applyFont="1" applyFill="1"/>
    <xf numFmtId="10" fontId="0" fillId="0" borderId="9" xfId="3" applyNumberFormat="1" applyFont="1" applyFill="1" applyBorder="1"/>
    <xf numFmtId="44" fontId="0" fillId="0" borderId="9" xfId="2" applyFont="1" applyBorder="1"/>
    <xf numFmtId="9" fontId="4" fillId="0" borderId="0" xfId="3" applyFont="1"/>
    <xf numFmtId="9" fontId="4" fillId="0" borderId="9" xfId="3" applyFont="1" applyBorder="1"/>
    <xf numFmtId="9" fontId="4" fillId="0" borderId="0" xfId="3" applyFont="1" applyFill="1"/>
    <xf numFmtId="9" fontId="1" fillId="0" borderId="0" xfId="3" applyFont="1" applyFill="1"/>
    <xf numFmtId="9" fontId="1" fillId="0" borderId="9" xfId="3" applyFont="1" applyFill="1" applyBorder="1"/>
    <xf numFmtId="9" fontId="9" fillId="0" borderId="0" xfId="0" applyNumberFormat="1" applyFont="1"/>
    <xf numFmtId="9" fontId="0" fillId="0" borderId="0" xfId="0" applyNumberFormat="1"/>
    <xf numFmtId="168" fontId="10" fillId="0" borderId="0" xfId="1" applyNumberFormat="1" applyFont="1" applyAlignment="1">
      <alignment horizontal="left" vertical="top" wrapText="1"/>
    </xf>
    <xf numFmtId="168" fontId="10" fillId="0" borderId="0" xfId="1" applyNumberFormat="1" applyFont="1" applyFill="1" applyAlignment="1">
      <alignment horizontal="left" vertical="top" wrapText="1"/>
    </xf>
    <xf numFmtId="168" fontId="10" fillId="0" borderId="9" xfId="1" applyNumberFormat="1" applyFont="1" applyFill="1" applyBorder="1" applyAlignment="1">
      <alignment horizontal="left" vertical="top" wrapText="1"/>
    </xf>
    <xf numFmtId="168" fontId="0" fillId="0" borderId="9" xfId="1" applyNumberFormat="1" applyFont="1" applyBorder="1"/>
    <xf numFmtId="0" fontId="10" fillId="0" borderId="0" xfId="0" applyFont="1"/>
    <xf numFmtId="0" fontId="10" fillId="0" borderId="0" xfId="0" applyFont="1" applyAlignment="1">
      <alignment horizontal="left" vertical="top" wrapText="1"/>
    </xf>
    <xf numFmtId="0" fontId="10" fillId="0" borderId="9" xfId="0" applyFont="1" applyBorder="1"/>
    <xf numFmtId="0" fontId="11" fillId="0" borderId="0" xfId="0" applyFont="1"/>
    <xf numFmtId="168" fontId="6" fillId="0" borderId="0" xfId="1" applyNumberFormat="1" applyFont="1"/>
    <xf numFmtId="168" fontId="6" fillId="0" borderId="0" xfId="1" applyNumberFormat="1" applyFont="1" applyFill="1"/>
    <xf numFmtId="168" fontId="6" fillId="0" borderId="9" xfId="1" applyNumberFormat="1" applyFont="1" applyFill="1" applyBorder="1"/>
    <xf numFmtId="168" fontId="6" fillId="0" borderId="0" xfId="1" applyNumberFormat="1" applyFont="1" applyBorder="1"/>
    <xf numFmtId="168" fontId="6" fillId="0" borderId="9" xfId="1" applyNumberFormat="1" applyFont="1" applyBorder="1"/>
    <xf numFmtId="0" fontId="0" fillId="0" borderId="0" xfId="0" applyAlignment="1">
      <alignment horizontal="left" indent="4"/>
    </xf>
    <xf numFmtId="0" fontId="6" fillId="0" borderId="0" xfId="0" applyFont="1" applyAlignment="1">
      <alignment horizontal="left" indent="2"/>
    </xf>
    <xf numFmtId="168" fontId="10" fillId="0" borderId="0" xfId="1" applyNumberFormat="1" applyFont="1"/>
    <xf numFmtId="168" fontId="10" fillId="0" borderId="0" xfId="1" applyNumberFormat="1" applyFont="1" applyFill="1"/>
    <xf numFmtId="168" fontId="10" fillId="0" borderId="9" xfId="1" applyNumberFormat="1" applyFont="1" applyFill="1" applyBorder="1"/>
    <xf numFmtId="0" fontId="12" fillId="0" borderId="0" xfId="0" applyFont="1" applyAlignment="1">
      <alignment horizontal="left" indent="2"/>
    </xf>
    <xf numFmtId="44" fontId="10" fillId="0" borderId="0" xfId="2" applyFont="1"/>
    <xf numFmtId="44" fontId="10" fillId="0" borderId="9" xfId="2" applyFont="1" applyBorder="1"/>
    <xf numFmtId="165" fontId="10" fillId="0" borderId="0" xfId="0" applyNumberFormat="1" applyFont="1"/>
    <xf numFmtId="165" fontId="10" fillId="0" borderId="9" xfId="0" applyNumberFormat="1" applyFont="1" applyBorder="1"/>
    <xf numFmtId="0" fontId="10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165" fontId="6" fillId="0" borderId="0" xfId="0" applyNumberFormat="1" applyFont="1"/>
    <xf numFmtId="165" fontId="6" fillId="0" borderId="9" xfId="0" applyNumberFormat="1" applyFont="1" applyBorder="1"/>
    <xf numFmtId="168" fontId="1" fillId="0" borderId="0" xfId="1" applyNumberFormat="1" applyFont="1" applyFill="1" applyBorder="1"/>
    <xf numFmtId="168" fontId="1" fillId="0" borderId="9" xfId="1" applyNumberFormat="1" applyFont="1" applyFill="1" applyBorder="1"/>
    <xf numFmtId="169" fontId="1" fillId="0" borderId="0" xfId="2" applyNumberFormat="1" applyFont="1" applyFill="1" applyBorder="1"/>
    <xf numFmtId="168" fontId="6" fillId="0" borderId="0" xfId="0" applyNumberFormat="1" applyFont="1"/>
    <xf numFmtId="168" fontId="6" fillId="0" borderId="9" xfId="0" applyNumberFormat="1" applyFont="1" applyBorder="1"/>
    <xf numFmtId="168" fontId="13" fillId="0" borderId="0" xfId="1" applyNumberFormat="1" applyFont="1" applyFill="1" applyBorder="1"/>
    <xf numFmtId="9" fontId="4" fillId="0" borderId="0" xfId="3" applyFont="1" applyFill="1" applyBorder="1"/>
    <xf numFmtId="9" fontId="4" fillId="0" borderId="9" xfId="3" applyFont="1" applyFill="1" applyBorder="1"/>
    <xf numFmtId="165" fontId="13" fillId="0" borderId="0" xfId="0" applyNumberFormat="1" applyFont="1"/>
    <xf numFmtId="165" fontId="1" fillId="0" borderId="0" xfId="2" applyNumberFormat="1" applyFont="1" applyFill="1"/>
    <xf numFmtId="165" fontId="1" fillId="0" borderId="9" xfId="2" applyNumberFormat="1" applyFont="1" applyFill="1" applyBorder="1"/>
    <xf numFmtId="0" fontId="0" fillId="11" borderId="0" xfId="0" applyFill="1"/>
    <xf numFmtId="0" fontId="0" fillId="11" borderId="9" xfId="0" applyFill="1" applyBorder="1"/>
    <xf numFmtId="9" fontId="4" fillId="0" borderId="0" xfId="0" applyNumberFormat="1" applyFont="1"/>
    <xf numFmtId="168" fontId="10" fillId="0" borderId="9" xfId="1" applyNumberFormat="1" applyFont="1" applyBorder="1"/>
    <xf numFmtId="168" fontId="6" fillId="0" borderId="0" xfId="1" applyNumberFormat="1" applyFont="1" applyFill="1" applyBorder="1"/>
    <xf numFmtId="0" fontId="0" fillId="12" borderId="0" xfId="0" applyFill="1"/>
    <xf numFmtId="165" fontId="4" fillId="0" borderId="0" xfId="0" applyNumberFormat="1" applyFont="1"/>
    <xf numFmtId="9" fontId="0" fillId="0" borderId="9" xfId="3" applyFont="1" applyBorder="1"/>
    <xf numFmtId="0" fontId="7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9" xfId="0" applyFill="1" applyBorder="1"/>
    <xf numFmtId="0" fontId="0" fillId="0" borderId="0" xfId="0" applyAlignment="1">
      <alignment horizontal="left" indent="3"/>
    </xf>
    <xf numFmtId="165" fontId="14" fillId="0" borderId="0" xfId="0" applyNumberFormat="1" applyFont="1"/>
    <xf numFmtId="165" fontId="14" fillId="0" borderId="9" xfId="0" applyNumberFormat="1" applyFont="1" applyBorder="1"/>
    <xf numFmtId="44" fontId="14" fillId="0" borderId="0" xfId="0" applyNumberFormat="1" applyFont="1"/>
    <xf numFmtId="44" fontId="14" fillId="0" borderId="9" xfId="0" applyNumberFormat="1" applyFont="1" applyBorder="1"/>
    <xf numFmtId="168" fontId="14" fillId="0" borderId="0" xfId="0" applyNumberFormat="1" applyFont="1"/>
    <xf numFmtId="168" fontId="14" fillId="0" borderId="9" xfId="0" applyNumberFormat="1" applyFont="1" applyBorder="1"/>
    <xf numFmtId="165" fontId="15" fillId="0" borderId="0" xfId="0" applyNumberFormat="1" applyFont="1"/>
    <xf numFmtId="165" fontId="15" fillId="0" borderId="9" xfId="0" applyNumberFormat="1" applyFont="1" applyBorder="1"/>
    <xf numFmtId="168" fontId="15" fillId="0" borderId="0" xfId="0" applyNumberFormat="1" applyFont="1"/>
    <xf numFmtId="168" fontId="15" fillId="0" borderId="9" xfId="0" applyNumberFormat="1" applyFont="1" applyBorder="1"/>
    <xf numFmtId="164" fontId="15" fillId="0" borderId="0" xfId="0" applyNumberFormat="1" applyFont="1"/>
    <xf numFmtId="164" fontId="15" fillId="0" borderId="9" xfId="0" applyNumberFormat="1" applyFont="1" applyBorder="1"/>
    <xf numFmtId="0" fontId="3" fillId="0" borderId="0" xfId="0" applyFont="1" applyAlignment="1">
      <alignment horizontal="left" indent="3"/>
    </xf>
    <xf numFmtId="44" fontId="3" fillId="0" borderId="0" xfId="0" applyNumberFormat="1" applyFont="1"/>
    <xf numFmtId="44" fontId="3" fillId="0" borderId="9" xfId="0" applyNumberFormat="1" applyFont="1" applyBorder="1"/>
    <xf numFmtId="0" fontId="0" fillId="0" borderId="0" xfId="0" applyAlignment="1">
      <alignment horizontal="left" indent="6"/>
    </xf>
    <xf numFmtId="44" fontId="0" fillId="0" borderId="18" xfId="0" applyNumberFormat="1" applyBorder="1"/>
    <xf numFmtId="0" fontId="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3" fillId="14" borderId="19" xfId="0" applyFont="1" applyFill="1" applyBorder="1" applyAlignment="1">
      <alignment horizontal="center" vertical="center"/>
    </xf>
    <xf numFmtId="0" fontId="3" fillId="14" borderId="20" xfId="0" applyFont="1" applyFill="1" applyBorder="1" applyAlignment="1">
      <alignment horizontal="center" vertical="center"/>
    </xf>
    <xf numFmtId="170" fontId="0" fillId="0" borderId="0" xfId="0" applyNumberFormat="1"/>
    <xf numFmtId="0" fontId="7" fillId="0" borderId="0" xfId="0" applyFont="1" applyAlignment="1">
      <alignment horizontal="center" vertical="center"/>
    </xf>
    <xf numFmtId="0" fontId="0" fillId="16" borderId="0" xfId="0" applyFill="1"/>
    <xf numFmtId="0" fontId="3" fillId="2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6" fillId="0" borderId="0" xfId="0" applyFont="1"/>
    <xf numFmtId="0" fontId="10" fillId="16" borderId="0" xfId="0" applyFont="1" applyFill="1"/>
    <xf numFmtId="0" fontId="10" fillId="0" borderId="0" xfId="0" applyFont="1" applyAlignment="1">
      <alignment horizontal="left" indent="1"/>
    </xf>
    <xf numFmtId="165" fontId="10" fillId="16" borderId="0" xfId="2" applyNumberFormat="1" applyFont="1" applyFill="1" applyBorder="1"/>
    <xf numFmtId="165" fontId="10" fillId="0" borderId="0" xfId="2" applyNumberFormat="1" applyFont="1" applyFill="1" applyBorder="1"/>
    <xf numFmtId="170" fontId="10" fillId="0" borderId="0" xfId="1" applyNumberFormat="1" applyFont="1" applyFill="1" applyBorder="1"/>
    <xf numFmtId="170" fontId="10" fillId="16" borderId="0" xfId="1" applyNumberFormat="1" applyFont="1" applyFill="1" applyBorder="1"/>
    <xf numFmtId="0" fontId="6" fillId="0" borderId="0" xfId="0" applyFont="1" applyAlignment="1">
      <alignment horizontal="left" indent="1"/>
    </xf>
    <xf numFmtId="0" fontId="10" fillId="0" borderId="18" xfId="0" applyFont="1" applyBorder="1" applyAlignment="1">
      <alignment horizontal="left" indent="1"/>
    </xf>
    <xf numFmtId="170" fontId="10" fillId="0" borderId="18" xfId="2" applyNumberFormat="1" applyFont="1" applyFill="1" applyBorder="1"/>
    <xf numFmtId="170" fontId="10" fillId="16" borderId="18" xfId="2" applyNumberFormat="1" applyFont="1" applyFill="1" applyBorder="1"/>
    <xf numFmtId="165" fontId="6" fillId="16" borderId="0" xfId="0" applyNumberFormat="1" applyFont="1" applyFill="1"/>
    <xf numFmtId="0" fontId="12" fillId="0" borderId="0" xfId="0" applyFont="1" applyAlignment="1">
      <alignment horizontal="left" indent="1"/>
    </xf>
    <xf numFmtId="9" fontId="12" fillId="0" borderId="0" xfId="3" applyFont="1" applyFill="1" applyBorder="1"/>
    <xf numFmtId="9" fontId="12" fillId="16" borderId="0" xfId="3" applyFont="1" applyFill="1" applyBorder="1"/>
    <xf numFmtId="44" fontId="10" fillId="0" borderId="0" xfId="0" applyNumberFormat="1" applyFont="1"/>
    <xf numFmtId="170" fontId="10" fillId="0" borderId="0" xfId="2" applyNumberFormat="1" applyFont="1" applyFill="1" applyBorder="1"/>
    <xf numFmtId="170" fontId="10" fillId="16" borderId="0" xfId="2" applyNumberFormat="1" applyFont="1" applyFill="1" applyBorder="1"/>
    <xf numFmtId="0" fontId="6" fillId="0" borderId="18" xfId="0" applyFont="1" applyBorder="1" applyAlignment="1">
      <alignment horizontal="left" indent="1"/>
    </xf>
    <xf numFmtId="170" fontId="6" fillId="0" borderId="22" xfId="0" applyNumberFormat="1" applyFont="1" applyBorder="1"/>
    <xf numFmtId="170" fontId="6" fillId="16" borderId="22" xfId="0" applyNumberFormat="1" applyFont="1" applyFill="1" applyBorder="1"/>
    <xf numFmtId="170" fontId="6" fillId="0" borderId="0" xfId="2" applyNumberFormat="1" applyFont="1" applyFill="1" applyBorder="1"/>
    <xf numFmtId="170" fontId="6" fillId="16" borderId="0" xfId="2" applyNumberFormat="1" applyFont="1" applyFill="1" applyBorder="1"/>
    <xf numFmtId="0" fontId="10" fillId="0" borderId="0" xfId="0" applyFont="1" applyAlignment="1">
      <alignment horizontal="left" indent="2"/>
    </xf>
    <xf numFmtId="0" fontId="6" fillId="0" borderId="22" xfId="0" applyFont="1" applyBorder="1"/>
    <xf numFmtId="9" fontId="10" fillId="0" borderId="0" xfId="3" applyFont="1" applyFill="1" applyBorder="1"/>
    <xf numFmtId="9" fontId="10" fillId="16" borderId="0" xfId="3" applyFont="1" applyFill="1" applyBorder="1"/>
    <xf numFmtId="0" fontId="7" fillId="13" borderId="0" xfId="0" applyFont="1" applyFill="1" applyAlignment="1">
      <alignment vertical="center" wrapText="1"/>
    </xf>
    <xf numFmtId="165" fontId="1" fillId="0" borderId="0" xfId="2" applyNumberFormat="1" applyFont="1" applyFill="1" applyBorder="1"/>
    <xf numFmtId="0" fontId="10" fillId="0" borderId="18" xfId="0" applyFont="1" applyBorder="1" applyAlignment="1">
      <alignment horizontal="left" indent="4"/>
    </xf>
    <xf numFmtId="9" fontId="0" fillId="0" borderId="0" xfId="3" applyFont="1" applyAlignment="1">
      <alignment horizontal="center"/>
    </xf>
    <xf numFmtId="0" fontId="2" fillId="17" borderId="0" xfId="0" applyFont="1" applyFill="1"/>
    <xf numFmtId="9" fontId="2" fillId="18" borderId="0" xfId="3" applyFont="1" applyFill="1" applyAlignment="1">
      <alignment horizontal="left"/>
    </xf>
    <xf numFmtId="9" fontId="2" fillId="19" borderId="0" xfId="3" applyFont="1" applyFill="1" applyAlignment="1">
      <alignment horizontal="left"/>
    </xf>
    <xf numFmtId="9" fontId="2" fillId="17" borderId="0" xfId="3" applyFont="1" applyFill="1" applyAlignment="1">
      <alignment horizontal="left"/>
    </xf>
    <xf numFmtId="9" fontId="2" fillId="20" borderId="0" xfId="3" applyFont="1" applyFill="1" applyAlignment="1">
      <alignment horizontal="left"/>
    </xf>
    <xf numFmtId="44" fontId="3" fillId="21" borderId="0" xfId="2" applyFont="1" applyFill="1"/>
    <xf numFmtId="9" fontId="0" fillId="9" borderId="0" xfId="3" applyFont="1" applyFill="1" applyAlignment="1">
      <alignment horizontal="center"/>
    </xf>
    <xf numFmtId="9" fontId="0" fillId="8" borderId="0" xfId="3" applyFont="1" applyFill="1" applyAlignment="1">
      <alignment horizontal="center"/>
    </xf>
    <xf numFmtId="9" fontId="0" fillId="14" borderId="0" xfId="3" applyFont="1" applyFill="1" applyAlignment="1">
      <alignment horizontal="center"/>
    </xf>
    <xf numFmtId="9" fontId="0" fillId="2" borderId="0" xfId="3" applyFont="1" applyFill="1" applyAlignment="1">
      <alignment horizontal="center"/>
    </xf>
    <xf numFmtId="0" fontId="0" fillId="0" borderId="0" xfId="0" applyProtection="1">
      <protection locked="0"/>
    </xf>
    <xf numFmtId="44" fontId="3" fillId="0" borderId="2" xfId="4" applyFont="1" applyBorder="1"/>
    <xf numFmtId="44" fontId="0" fillId="0" borderId="2" xfId="4" applyFont="1" applyFill="1" applyBorder="1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171" fontId="0" fillId="0" borderId="2" xfId="0" applyNumberFormat="1" applyBorder="1" applyAlignment="1">
      <alignment horizontal="center" vertical="center"/>
    </xf>
    <xf numFmtId="44" fontId="0" fillId="0" borderId="2" xfId="4" applyFont="1" applyBorder="1"/>
    <xf numFmtId="0" fontId="0" fillId="7" borderId="0" xfId="0" applyFill="1"/>
    <xf numFmtId="0" fontId="0" fillId="0" borderId="0" xfId="0" applyAlignment="1">
      <alignment wrapText="1"/>
    </xf>
    <xf numFmtId="0" fontId="19" fillId="0" borderId="0" xfId="0" applyFont="1"/>
    <xf numFmtId="44" fontId="3" fillId="21" borderId="0" xfId="2" applyFont="1" applyFill="1" applyAlignment="1">
      <alignment wrapText="1"/>
    </xf>
    <xf numFmtId="9" fontId="0" fillId="14" borderId="0" xfId="3" applyFont="1" applyFill="1" applyAlignment="1">
      <alignment horizontal="center" wrapText="1"/>
    </xf>
    <xf numFmtId="49" fontId="0" fillId="0" borderId="0" xfId="0" applyNumberFormat="1"/>
    <xf numFmtId="44" fontId="0" fillId="0" borderId="2" xfId="4" applyFont="1" applyFill="1" applyBorder="1" applyAlignment="1"/>
    <xf numFmtId="172" fontId="0" fillId="0" borderId="2" xfId="0" applyNumberFormat="1" applyBorder="1"/>
    <xf numFmtId="172" fontId="19" fillId="0" borderId="2" xfId="0" applyNumberFormat="1" applyFont="1" applyBorder="1"/>
    <xf numFmtId="171" fontId="0" fillId="0" borderId="2" xfId="4" applyNumberFormat="1" applyFont="1" applyFill="1" applyBorder="1" applyAlignment="1"/>
    <xf numFmtId="0" fontId="10" fillId="0" borderId="0" xfId="0" applyFont="1" applyAlignment="1">
      <alignment wrapText="1"/>
    </xf>
    <xf numFmtId="9" fontId="10" fillId="9" borderId="0" xfId="3" applyFont="1" applyFill="1" applyAlignment="1">
      <alignment horizontal="center" wrapText="1"/>
    </xf>
    <xf numFmtId="9" fontId="10" fillId="8" borderId="0" xfId="3" applyFont="1" applyFill="1" applyAlignment="1">
      <alignment horizontal="center" wrapText="1"/>
    </xf>
    <xf numFmtId="9" fontId="10" fillId="2" borderId="0" xfId="3" applyFont="1" applyFill="1" applyAlignment="1">
      <alignment horizontal="center" wrapText="1"/>
    </xf>
    <xf numFmtId="0" fontId="21" fillId="0" borderId="0" xfId="0" applyFont="1" applyAlignment="1">
      <alignment wrapText="1"/>
    </xf>
    <xf numFmtId="0" fontId="10" fillId="0" borderId="0" xfId="0" applyFont="1" applyAlignment="1" applyProtection="1">
      <alignment wrapText="1"/>
      <protection locked="0"/>
    </xf>
    <xf numFmtId="165" fontId="6" fillId="0" borderId="2" xfId="2" applyNumberFormat="1" applyFont="1" applyBorder="1" applyAlignment="1">
      <alignment wrapText="1"/>
    </xf>
    <xf numFmtId="165" fontId="10" fillId="0" borderId="2" xfId="2" applyNumberFormat="1" applyFont="1" applyFill="1" applyBorder="1" applyAlignment="1">
      <alignment wrapText="1"/>
    </xf>
    <xf numFmtId="0" fontId="23" fillId="0" borderId="0" xfId="0" applyFont="1"/>
    <xf numFmtId="6" fontId="0" fillId="0" borderId="2" xfId="4" applyNumberFormat="1" applyFont="1" applyFill="1" applyBorder="1"/>
    <xf numFmtId="0" fontId="19" fillId="0" borderId="0" xfId="0" applyFont="1" applyProtection="1">
      <protection locked="0"/>
    </xf>
    <xf numFmtId="44" fontId="0" fillId="0" borderId="0" xfId="2" applyFont="1" applyFill="1"/>
    <xf numFmtId="44" fontId="0" fillId="0" borderId="9" xfId="2" applyFont="1" applyFill="1" applyBorder="1"/>
    <xf numFmtId="44" fontId="0" fillId="0" borderId="9" xfId="0" applyNumberFormat="1" applyBorder="1"/>
    <xf numFmtId="9" fontId="0" fillId="0" borderId="13" xfId="0" applyNumberFormat="1" applyBorder="1"/>
    <xf numFmtId="0" fontId="0" fillId="0" borderId="6" xfId="0" applyBorder="1"/>
    <xf numFmtId="0" fontId="0" fillId="0" borderId="21" xfId="0" applyBorder="1"/>
    <xf numFmtId="0" fontId="0" fillId="0" borderId="8" xfId="0" applyBorder="1"/>
    <xf numFmtId="0" fontId="0" fillId="0" borderId="12" xfId="0" applyBorder="1"/>
    <xf numFmtId="0" fontId="0" fillId="0" borderId="7" xfId="0" applyBorder="1"/>
    <xf numFmtId="0" fontId="3" fillId="2" borderId="23" xfId="0" applyFont="1" applyFill="1" applyBorder="1" applyAlignment="1">
      <alignment horizontal="center"/>
    </xf>
    <xf numFmtId="165" fontId="0" fillId="0" borderId="24" xfId="2" applyNumberFormat="1" applyFont="1" applyFill="1" applyBorder="1" applyAlignment="1">
      <alignment vertical="center"/>
    </xf>
    <xf numFmtId="9" fontId="25" fillId="0" borderId="26" xfId="0" applyNumberFormat="1" applyFont="1" applyBorder="1" applyAlignment="1">
      <alignment horizontal="center"/>
    </xf>
    <xf numFmtId="0" fontId="0" fillId="0" borderId="27" xfId="0" applyBorder="1"/>
    <xf numFmtId="0" fontId="3" fillId="0" borderId="24" xfId="0" applyFont="1" applyBorder="1" applyAlignment="1">
      <alignment vertical="center"/>
    </xf>
    <xf numFmtId="0" fontId="24" fillId="0" borderId="26" xfId="0" applyFont="1" applyBorder="1" applyAlignment="1">
      <alignment horizontal="center"/>
    </xf>
    <xf numFmtId="44" fontId="17" fillId="0" borderId="9" xfId="2" applyFont="1" applyBorder="1"/>
    <xf numFmtId="0" fontId="3" fillId="10" borderId="0" xfId="0" applyFont="1" applyFill="1"/>
    <xf numFmtId="0" fontId="3" fillId="13" borderId="0" xfId="0" applyFont="1" applyFill="1"/>
    <xf numFmtId="0" fontId="3" fillId="12" borderId="0" xfId="0" applyFont="1" applyFill="1"/>
    <xf numFmtId="0" fontId="3" fillId="10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17" fontId="27" fillId="0" borderId="0" xfId="0" applyNumberFormat="1" applyFont="1" applyAlignment="1">
      <alignment horizontal="center"/>
    </xf>
    <xf numFmtId="0" fontId="28" fillId="0" borderId="0" xfId="0" applyFont="1" applyAlignment="1">
      <alignment horizontal="left" vertical="top"/>
    </xf>
    <xf numFmtId="173" fontId="29" fillId="0" borderId="0" xfId="0" applyNumberFormat="1" applyFont="1" applyAlignment="1">
      <alignment vertic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3" fontId="29" fillId="0" borderId="0" xfId="0" applyNumberFormat="1" applyFont="1" applyAlignment="1">
      <alignment vertical="center"/>
    </xf>
    <xf numFmtId="173" fontId="0" fillId="0" borderId="0" xfId="0" applyNumberFormat="1"/>
    <xf numFmtId="174" fontId="29" fillId="0" borderId="0" xfId="0" applyNumberFormat="1" applyFont="1" applyAlignment="1">
      <alignment vertical="center"/>
    </xf>
    <xf numFmtId="0" fontId="0" fillId="8" borderId="2" xfId="0" applyFill="1" applyBorder="1" applyAlignment="1">
      <alignment horizontal="center"/>
    </xf>
    <xf numFmtId="0" fontId="0" fillId="24" borderId="2" xfId="0" applyFill="1" applyBorder="1" applyAlignment="1">
      <alignment horizontal="center"/>
    </xf>
    <xf numFmtId="0" fontId="31" fillId="0" borderId="0" xfId="0" applyFont="1" applyAlignment="1">
      <alignment horizontal="left" vertical="top"/>
    </xf>
    <xf numFmtId="175" fontId="29" fillId="0" borderId="0" xfId="0" applyNumberFormat="1" applyFont="1" applyAlignment="1">
      <alignment vertical="center"/>
    </xf>
    <xf numFmtId="176" fontId="29" fillId="0" borderId="0" xfId="0" applyNumberFormat="1" applyFont="1" applyAlignment="1">
      <alignment vertical="center"/>
    </xf>
    <xf numFmtId="10" fontId="0" fillId="0" borderId="2" xfId="3" applyNumberFormat="1" applyFont="1" applyBorder="1"/>
    <xf numFmtId="10" fontId="0" fillId="0" borderId="0" xfId="3" applyNumberFormat="1" applyFont="1" applyFill="1" applyBorder="1"/>
    <xf numFmtId="177" fontId="29" fillId="0" borderId="0" xfId="0" applyNumberFormat="1" applyFont="1" applyAlignment="1">
      <alignment vertical="center"/>
    </xf>
    <xf numFmtId="164" fontId="0" fillId="0" borderId="2" xfId="5" applyFont="1" applyBorder="1"/>
    <xf numFmtId="164" fontId="0" fillId="0" borderId="0" xfId="5" applyFont="1" applyFill="1" applyBorder="1"/>
    <xf numFmtId="10" fontId="29" fillId="0" borderId="0" xfId="0" applyNumberFormat="1" applyFont="1" applyAlignment="1">
      <alignment vertical="center"/>
    </xf>
    <xf numFmtId="178" fontId="29" fillId="0" borderId="0" xfId="0" applyNumberFormat="1" applyFont="1" applyAlignment="1">
      <alignment vertical="center"/>
    </xf>
    <xf numFmtId="173" fontId="27" fillId="0" borderId="0" xfId="0" applyNumberFormat="1" applyFont="1" applyAlignment="1">
      <alignment vertical="center"/>
    </xf>
    <xf numFmtId="179" fontId="29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top"/>
    </xf>
    <xf numFmtId="173" fontId="33" fillId="0" borderId="0" xfId="0" applyNumberFormat="1" applyFont="1" applyAlignment="1">
      <alignment vertical="center"/>
    </xf>
    <xf numFmtId="9" fontId="29" fillId="0" borderId="0" xfId="0" applyNumberFormat="1" applyFont="1" applyAlignment="1">
      <alignment vertical="center"/>
    </xf>
    <xf numFmtId="179" fontId="27" fillId="0" borderId="0" xfId="0" applyNumberFormat="1" applyFont="1" applyAlignment="1">
      <alignment vertical="center"/>
    </xf>
    <xf numFmtId="180" fontId="29" fillId="0" borderId="0" xfId="0" applyNumberFormat="1" applyFont="1" applyAlignment="1">
      <alignment vertical="center"/>
    </xf>
    <xf numFmtId="4" fontId="29" fillId="0" borderId="0" xfId="0" applyNumberFormat="1" applyFont="1" applyAlignment="1">
      <alignment vertical="center"/>
    </xf>
    <xf numFmtId="0" fontId="31" fillId="0" borderId="3" xfId="0" applyFont="1" applyBorder="1" applyAlignment="1">
      <alignment horizontal="left" vertical="top"/>
    </xf>
    <xf numFmtId="10" fontId="0" fillId="0" borderId="16" xfId="3" applyNumberFormat="1" applyFont="1" applyBorder="1"/>
    <xf numFmtId="10" fontId="0" fillId="0" borderId="17" xfId="3" applyNumberFormat="1" applyFont="1" applyBorder="1"/>
    <xf numFmtId="0" fontId="31" fillId="3" borderId="0" xfId="0" applyFont="1" applyFill="1" applyAlignment="1">
      <alignment horizontal="left" vertical="top"/>
    </xf>
    <xf numFmtId="178" fontId="27" fillId="3" borderId="0" xfId="0" applyNumberFormat="1" applyFont="1" applyFill="1" applyAlignment="1">
      <alignment vertical="center"/>
    </xf>
    <xf numFmtId="0" fontId="3" fillId="2" borderId="6" xfId="0" applyFont="1" applyFill="1" applyBorder="1"/>
    <xf numFmtId="9" fontId="0" fillId="2" borderId="21" xfId="3" applyFont="1" applyFill="1" applyBorder="1"/>
    <xf numFmtId="0" fontId="0" fillId="2" borderId="21" xfId="0" applyFill="1" applyBorder="1"/>
    <xf numFmtId="0" fontId="0" fillId="2" borderId="7" xfId="0" applyFill="1" applyBorder="1"/>
    <xf numFmtId="0" fontId="34" fillId="0" borderId="8" xfId="0" applyFont="1" applyBorder="1" applyAlignment="1">
      <alignment horizontal="left" vertical="top"/>
    </xf>
    <xf numFmtId="181" fontId="34" fillId="0" borderId="0" xfId="0" applyNumberFormat="1" applyFont="1" applyAlignment="1">
      <alignment vertical="center"/>
    </xf>
    <xf numFmtId="181" fontId="34" fillId="0" borderId="9" xfId="0" applyNumberFormat="1" applyFont="1" applyBorder="1" applyAlignment="1">
      <alignment vertical="center"/>
    </xf>
    <xf numFmtId="181" fontId="0" fillId="0" borderId="0" xfId="0" applyNumberFormat="1"/>
    <xf numFmtId="0" fontId="35" fillId="2" borderId="12" xfId="0" applyFont="1" applyFill="1" applyBorder="1" applyAlignment="1">
      <alignment horizontal="left" vertical="top"/>
    </xf>
    <xf numFmtId="164" fontId="0" fillId="2" borderId="1" xfId="5" applyFont="1" applyFill="1" applyBorder="1"/>
    <xf numFmtId="164" fontId="0" fillId="2" borderId="13" xfId="5" applyFont="1" applyFill="1" applyBorder="1"/>
    <xf numFmtId="0" fontId="3" fillId="0" borderId="6" xfId="0" applyFont="1" applyBorder="1"/>
    <xf numFmtId="9" fontId="0" fillId="0" borderId="21" xfId="3" applyFont="1" applyBorder="1"/>
    <xf numFmtId="9" fontId="0" fillId="0" borderId="7" xfId="3" applyFont="1" applyBorder="1"/>
    <xf numFmtId="9" fontId="0" fillId="0" borderId="0" xfId="3" applyFont="1" applyFill="1"/>
    <xf numFmtId="9" fontId="0" fillId="0" borderId="0" xfId="3" applyFont="1" applyBorder="1"/>
    <xf numFmtId="9" fontId="34" fillId="0" borderId="0" xfId="0" applyNumberFormat="1" applyFont="1" applyAlignment="1">
      <alignment vertical="center"/>
    </xf>
    <xf numFmtId="9" fontId="0" fillId="0" borderId="1" xfId="0" applyNumberFormat="1" applyBorder="1"/>
    <xf numFmtId="0" fontId="3" fillId="0" borderId="3" xfId="0" applyFont="1" applyBorder="1"/>
    <xf numFmtId="3" fontId="0" fillId="0" borderId="16" xfId="0" applyNumberFormat="1" applyBorder="1"/>
    <xf numFmtId="3" fontId="0" fillId="0" borderId="17" xfId="0" applyNumberFormat="1" applyBorder="1"/>
    <xf numFmtId="3" fontId="34" fillId="0" borderId="21" xfId="0" applyNumberFormat="1" applyFont="1" applyBorder="1" applyAlignment="1">
      <alignment vertical="center"/>
    </xf>
    <xf numFmtId="3" fontId="34" fillId="0" borderId="7" xfId="0" applyNumberFormat="1" applyFont="1" applyBorder="1" applyAlignment="1">
      <alignment vertical="center"/>
    </xf>
    <xf numFmtId="3" fontId="34" fillId="0" borderId="0" xfId="0" applyNumberFormat="1" applyFont="1" applyAlignment="1">
      <alignment vertical="center"/>
    </xf>
    <xf numFmtId="3" fontId="0" fillId="0" borderId="1" xfId="0" applyNumberFormat="1" applyBorder="1"/>
    <xf numFmtId="3" fontId="0" fillId="0" borderId="13" xfId="0" applyNumberFormat="1" applyBorder="1"/>
    <xf numFmtId="3" fontId="0" fillId="0" borderId="0" xfId="0" applyNumberFormat="1"/>
    <xf numFmtId="3" fontId="0" fillId="0" borderId="21" xfId="0" applyNumberFormat="1" applyBorder="1"/>
    <xf numFmtId="9" fontId="0" fillId="0" borderId="0" xfId="3" applyFont="1" applyFill="1" applyBorder="1"/>
    <xf numFmtId="0" fontId="31" fillId="7" borderId="0" xfId="0" applyFont="1" applyFill="1" applyAlignment="1">
      <alignment horizontal="left" vertical="top"/>
    </xf>
    <xf numFmtId="3" fontId="29" fillId="7" borderId="0" xfId="0" applyNumberFormat="1" applyFont="1" applyFill="1" applyAlignment="1">
      <alignment vertical="center"/>
    </xf>
    <xf numFmtId="0" fontId="28" fillId="7" borderId="0" xfId="0" applyFont="1" applyFill="1" applyAlignment="1">
      <alignment horizontal="left" vertical="top"/>
    </xf>
    <xf numFmtId="10" fontId="29" fillId="7" borderId="0" xfId="0" applyNumberFormat="1" applyFont="1" applyFill="1" applyAlignment="1">
      <alignment vertical="center"/>
    </xf>
    <xf numFmtId="10" fontId="0" fillId="7" borderId="2" xfId="3" applyNumberFormat="1" applyFont="1" applyFill="1" applyBorder="1"/>
    <xf numFmtId="10" fontId="0" fillId="7" borderId="0" xfId="3" applyNumberFormat="1" applyFont="1" applyFill="1" applyBorder="1"/>
    <xf numFmtId="175" fontId="29" fillId="7" borderId="0" xfId="0" applyNumberFormat="1" applyFont="1" applyFill="1" applyAlignment="1">
      <alignment vertical="center"/>
    </xf>
    <xf numFmtId="175" fontId="0" fillId="7" borderId="2" xfId="0" applyNumberFormat="1" applyFill="1" applyBorder="1"/>
    <xf numFmtId="175" fontId="0" fillId="7" borderId="0" xfId="0" applyNumberFormat="1" applyFill="1"/>
    <xf numFmtId="175" fontId="27" fillId="7" borderId="0" xfId="0" applyNumberFormat="1" applyFont="1" applyFill="1" applyAlignment="1">
      <alignment vertical="center"/>
    </xf>
    <xf numFmtId="4" fontId="29" fillId="7" borderId="0" xfId="0" applyNumberFormat="1" applyFont="1" applyFill="1" applyAlignment="1">
      <alignment vertical="center"/>
    </xf>
    <xf numFmtId="165" fontId="12" fillId="0" borderId="0" xfId="3" applyNumberFormat="1" applyFont="1" applyFill="1" applyBorder="1"/>
    <xf numFmtId="0" fontId="37" fillId="0" borderId="0" xfId="0" applyFont="1" applyAlignment="1">
      <alignment horizontal="left" indent="1"/>
    </xf>
    <xf numFmtId="165" fontId="36" fillId="0" borderId="21" xfId="2" applyNumberFormat="1" applyFont="1" applyFill="1" applyBorder="1"/>
    <xf numFmtId="165" fontId="37" fillId="16" borderId="0" xfId="2" applyNumberFormat="1" applyFont="1" applyFill="1" applyBorder="1"/>
    <xf numFmtId="170" fontId="37" fillId="0" borderId="21" xfId="1" applyNumberFormat="1" applyFont="1" applyFill="1" applyBorder="1"/>
    <xf numFmtId="165" fontId="12" fillId="0" borderId="0" xfId="2" applyNumberFormat="1" applyFont="1" applyFill="1" applyBorder="1"/>
    <xf numFmtId="165" fontId="12" fillId="16" borderId="0" xfId="3" applyNumberFormat="1" applyFont="1" applyFill="1" applyBorder="1"/>
    <xf numFmtId="0" fontId="36" fillId="0" borderId="0" xfId="0" applyFont="1"/>
    <xf numFmtId="171" fontId="0" fillId="0" borderId="0" xfId="0" applyNumberFormat="1"/>
    <xf numFmtId="165" fontId="36" fillId="0" borderId="0" xfId="0" applyNumberFormat="1" applyFont="1"/>
    <xf numFmtId="44" fontId="20" fillId="0" borderId="0" xfId="0" applyNumberFormat="1" applyFont="1"/>
    <xf numFmtId="171" fontId="0" fillId="13" borderId="2" xfId="0" applyNumberFormat="1" applyFill="1" applyBorder="1" applyAlignment="1">
      <alignment horizontal="center" vertical="center"/>
    </xf>
    <xf numFmtId="9" fontId="10" fillId="14" borderId="0" xfId="3" applyFont="1" applyFill="1" applyAlignment="1">
      <alignment horizontal="center"/>
    </xf>
    <xf numFmtId="9" fontId="10" fillId="2" borderId="0" xfId="3" applyFont="1" applyFill="1" applyAlignment="1">
      <alignment horizontal="center"/>
    </xf>
    <xf numFmtId="0" fontId="10" fillId="0" borderId="0" xfId="0" applyFont="1" applyProtection="1">
      <protection locked="0"/>
    </xf>
    <xf numFmtId="44" fontId="3" fillId="21" borderId="0" xfId="2" applyFont="1" applyFill="1" applyAlignment="1"/>
    <xf numFmtId="165" fontId="6" fillId="0" borderId="2" xfId="2" applyNumberFormat="1" applyFont="1" applyBorder="1" applyAlignment="1"/>
    <xf numFmtId="165" fontId="22" fillId="0" borderId="2" xfId="2" applyNumberFormat="1" applyFont="1" applyBorder="1" applyAlignment="1"/>
    <xf numFmtId="165" fontId="10" fillId="0" borderId="2" xfId="2" applyNumberFormat="1" applyFont="1" applyFill="1" applyBorder="1" applyAlignment="1"/>
    <xf numFmtId="44" fontId="0" fillId="0" borderId="0" xfId="2" applyFont="1" applyAlignment="1"/>
    <xf numFmtId="44" fontId="3" fillId="0" borderId="2" xfId="4" applyFont="1" applyBorder="1" applyAlignment="1"/>
    <xf numFmtId="171" fontId="3" fillId="0" borderId="2" xfId="4" applyNumberFormat="1" applyFont="1" applyBorder="1" applyAlignment="1"/>
    <xf numFmtId="8" fontId="0" fillId="0" borderId="2" xfId="4" applyNumberFormat="1" applyFont="1" applyFill="1" applyBorder="1" applyAlignment="1"/>
    <xf numFmtId="171" fontId="18" fillId="0" borderId="2" xfId="0" applyNumberFormat="1" applyFont="1" applyBorder="1"/>
    <xf numFmtId="171" fontId="10" fillId="0" borderId="2" xfId="4" applyNumberFormat="1" applyFont="1" applyFill="1" applyBorder="1" applyAlignment="1"/>
    <xf numFmtId="165" fontId="0" fillId="0" borderId="2" xfId="2" applyNumberFormat="1" applyFont="1" applyBorder="1" applyAlignment="1"/>
    <xf numFmtId="165" fontId="0" fillId="0" borderId="2" xfId="2" applyNumberFormat="1" applyFont="1" applyFill="1" applyBorder="1" applyAlignment="1"/>
    <xf numFmtId="165" fontId="3" fillId="0" borderId="2" xfId="2" applyNumberFormat="1" applyFont="1" applyBorder="1" applyAlignment="1"/>
    <xf numFmtId="9" fontId="0" fillId="0" borderId="9" xfId="3" applyFont="1" applyFill="1" applyBorder="1"/>
    <xf numFmtId="0" fontId="0" fillId="0" borderId="2" xfId="0" applyBorder="1"/>
    <xf numFmtId="44" fontId="3" fillId="0" borderId="0" xfId="4" applyFont="1" applyBorder="1"/>
    <xf numFmtId="171" fontId="0" fillId="0" borderId="0" xfId="4" applyNumberFormat="1" applyFont="1" applyBorder="1"/>
    <xf numFmtId="44" fontId="19" fillId="0" borderId="0" xfId="4" applyFont="1" applyFill="1" applyBorder="1"/>
    <xf numFmtId="9" fontId="0" fillId="0" borderId="0" xfId="3" applyFont="1" applyFill="1" applyAlignment="1">
      <alignment horizontal="center"/>
    </xf>
    <xf numFmtId="9" fontId="10" fillId="0" borderId="0" xfId="3" applyFont="1" applyFill="1" applyAlignment="1">
      <alignment horizontal="center"/>
    </xf>
    <xf numFmtId="0" fontId="36" fillId="0" borderId="27" xfId="0" applyFont="1" applyBorder="1" applyAlignment="1">
      <alignment horizontal="center"/>
    </xf>
    <xf numFmtId="0" fontId="0" fillId="0" borderId="0" xfId="0" applyAlignment="1">
      <alignment horizontal="left" indent="5"/>
    </xf>
    <xf numFmtId="167" fontId="4" fillId="0" borderId="0" xfId="0" applyNumberFormat="1" applyFont="1"/>
    <xf numFmtId="171" fontId="4" fillId="0" borderId="0" xfId="2" applyNumberFormat="1" applyFont="1"/>
    <xf numFmtId="9" fontId="1" fillId="0" borderId="0" xfId="3" applyFont="1" applyFill="1" applyBorder="1"/>
    <xf numFmtId="168" fontId="1" fillId="0" borderId="0" xfId="3" applyNumberFormat="1" applyFont="1" applyAlignment="1">
      <alignment horizontal="right" vertical="top" wrapText="1"/>
    </xf>
    <xf numFmtId="168" fontId="1" fillId="0" borderId="9" xfId="3" applyNumberFormat="1" applyFont="1" applyBorder="1" applyAlignment="1">
      <alignment horizontal="right" vertical="top" wrapText="1"/>
    </xf>
    <xf numFmtId="170" fontId="4" fillId="0" borderId="0" xfId="1" applyNumberFormat="1" applyFont="1" applyFill="1" applyAlignment="1">
      <alignment horizontal="right" vertical="top" wrapText="1"/>
    </xf>
    <xf numFmtId="170" fontId="4" fillId="0" borderId="0" xfId="1" applyNumberFormat="1" applyFont="1" applyFill="1" applyAlignment="1">
      <alignment horizontal="right"/>
    </xf>
    <xf numFmtId="170" fontId="4" fillId="0" borderId="0" xfId="1" applyNumberFormat="1" applyFont="1" applyFill="1"/>
    <xf numFmtId="170" fontId="10" fillId="0" borderId="9" xfId="1" applyNumberFormat="1" applyFont="1" applyFill="1" applyBorder="1"/>
    <xf numFmtId="170" fontId="1" fillId="0" borderId="0" xfId="1" applyNumberFormat="1" applyFont="1" applyAlignment="1">
      <alignment horizontal="right" vertical="top" wrapText="1"/>
    </xf>
    <xf numFmtId="170" fontId="1" fillId="0" borderId="9" xfId="1" applyNumberFormat="1" applyFont="1" applyBorder="1" applyAlignment="1">
      <alignment horizontal="right" vertical="top" wrapText="1"/>
    </xf>
    <xf numFmtId="170" fontId="4" fillId="0" borderId="0" xfId="1" applyNumberFormat="1" applyFont="1" applyAlignment="1">
      <alignment horizontal="right" vertical="top" wrapText="1"/>
    </xf>
    <xf numFmtId="170" fontId="10" fillId="0" borderId="0" xfId="1" applyNumberFormat="1" applyFont="1" applyFill="1"/>
    <xf numFmtId="10" fontId="10" fillId="0" borderId="0" xfId="3" applyNumberFormat="1" applyFont="1" applyFill="1" applyBorder="1"/>
    <xf numFmtId="10" fontId="14" fillId="0" borderId="0" xfId="3" applyNumberFormat="1" applyFont="1" applyFill="1"/>
    <xf numFmtId="10" fontId="14" fillId="0" borderId="9" xfId="3" applyNumberFormat="1" applyFont="1" applyFill="1" applyBorder="1"/>
    <xf numFmtId="44" fontId="15" fillId="0" borderId="0" xfId="2" applyFont="1" applyFill="1"/>
    <xf numFmtId="44" fontId="15" fillId="0" borderId="9" xfId="2" applyFont="1" applyFill="1" applyBorder="1"/>
    <xf numFmtId="164" fontId="41" fillId="0" borderId="0" xfId="0" applyNumberFormat="1" applyFont="1"/>
    <xf numFmtId="43" fontId="15" fillId="0" borderId="0" xfId="1" applyFont="1" applyFill="1"/>
    <xf numFmtId="43" fontId="15" fillId="0" borderId="9" xfId="1" applyFont="1" applyFill="1" applyBorder="1"/>
    <xf numFmtId="43" fontId="41" fillId="0" borderId="0" xfId="1" applyFont="1" applyFill="1"/>
    <xf numFmtId="0" fontId="8" fillId="0" borderId="0" xfId="0" applyFont="1" applyAlignment="1">
      <alignment horizontal="left" indent="3"/>
    </xf>
    <xf numFmtId="168" fontId="0" fillId="0" borderId="0" xfId="0" applyNumberFormat="1"/>
    <xf numFmtId="168" fontId="0" fillId="0" borderId="9" xfId="0" applyNumberFormat="1" applyBorder="1"/>
    <xf numFmtId="0" fontId="20" fillId="0" borderId="0" xfId="0" applyFont="1" applyAlignment="1">
      <alignment horizontal="left" indent="6"/>
    </xf>
    <xf numFmtId="170" fontId="4" fillId="0" borderId="0" xfId="0" applyNumberFormat="1" applyFont="1"/>
    <xf numFmtId="170" fontId="4" fillId="0" borderId="9" xfId="0" applyNumberFormat="1" applyFont="1" applyBorder="1"/>
    <xf numFmtId="170" fontId="0" fillId="0" borderId="9" xfId="0" applyNumberFormat="1" applyBorder="1"/>
    <xf numFmtId="44" fontId="0" fillId="0" borderId="0" xfId="2" applyFont="1" applyFill="1" applyBorder="1"/>
    <xf numFmtId="43" fontId="20" fillId="0" borderId="0" xfId="1" applyFont="1" applyFill="1"/>
    <xf numFmtId="43" fontId="20" fillId="0" borderId="9" xfId="1" applyFont="1" applyFill="1" applyBorder="1"/>
    <xf numFmtId="43" fontId="20" fillId="0" borderId="0" xfId="1" applyFont="1" applyFill="1" applyBorder="1"/>
    <xf numFmtId="43" fontId="36" fillId="0" borderId="0" xfId="1" applyFont="1" applyFill="1" applyBorder="1"/>
    <xf numFmtId="43" fontId="36" fillId="0" borderId="0" xfId="1" applyFont="1" applyFill="1"/>
    <xf numFmtId="43" fontId="36" fillId="0" borderId="9" xfId="1" applyFont="1" applyFill="1" applyBorder="1"/>
    <xf numFmtId="43" fontId="0" fillId="0" borderId="0" xfId="1" applyFont="1" applyFill="1"/>
    <xf numFmtId="43" fontId="0" fillId="0" borderId="9" xfId="1" applyFont="1" applyFill="1" applyBorder="1"/>
    <xf numFmtId="43" fontId="0" fillId="0" borderId="0" xfId="1" applyFont="1" applyFill="1" applyBorder="1"/>
    <xf numFmtId="0" fontId="42" fillId="0" borderId="0" xfId="0" applyFont="1" applyAlignment="1">
      <alignment horizontal="left" indent="2"/>
    </xf>
    <xf numFmtId="44" fontId="36" fillId="0" borderId="0" xfId="2" applyFont="1" applyFill="1"/>
    <xf numFmtId="44" fontId="36" fillId="0" borderId="9" xfId="2" applyFont="1" applyFill="1" applyBorder="1"/>
    <xf numFmtId="44" fontId="36" fillId="0" borderId="0" xfId="2" applyFont="1" applyFill="1" applyBorder="1"/>
    <xf numFmtId="0" fontId="36" fillId="5" borderId="0" xfId="0" applyFont="1" applyFill="1"/>
    <xf numFmtId="0" fontId="0" fillId="5" borderId="0" xfId="0" applyFill="1" applyAlignment="1">
      <alignment horizontal="left"/>
    </xf>
    <xf numFmtId="0" fontId="43" fillId="5" borderId="0" xfId="0" applyFont="1" applyFill="1"/>
    <xf numFmtId="171" fontId="36" fillId="0" borderId="0" xfId="2" applyNumberFormat="1" applyFont="1" applyAlignment="1"/>
    <xf numFmtId="0" fontId="36" fillId="11" borderId="0" xfId="0" applyFont="1" applyFill="1" applyAlignment="1">
      <alignment horizontal="center" vertical="center"/>
    </xf>
    <xf numFmtId="0" fontId="36" fillId="0" borderId="0" xfId="0" applyFont="1" applyAlignment="1">
      <alignment vertical="center"/>
    </xf>
    <xf numFmtId="0" fontId="36" fillId="26" borderId="0" xfId="0" applyFont="1" applyFill="1" applyAlignment="1">
      <alignment horizontal="center" vertical="center"/>
    </xf>
    <xf numFmtId="0" fontId="36" fillId="25" borderId="0" xfId="0" applyFont="1" applyFill="1" applyAlignment="1">
      <alignment horizontal="center" vertical="center"/>
    </xf>
    <xf numFmtId="0" fontId="36" fillId="14" borderId="0" xfId="0" applyFont="1" applyFill="1" applyAlignment="1">
      <alignment horizontal="center" vertical="center"/>
    </xf>
    <xf numFmtId="165" fontId="10" fillId="20" borderId="0" xfId="2" applyNumberFormat="1" applyFont="1" applyFill="1" applyBorder="1"/>
    <xf numFmtId="170" fontId="10" fillId="20" borderId="0" xfId="1" applyNumberFormat="1" applyFont="1" applyFill="1" applyBorder="1"/>
    <xf numFmtId="165" fontId="37" fillId="20" borderId="0" xfId="2" applyNumberFormat="1" applyFont="1" applyFill="1" applyBorder="1"/>
    <xf numFmtId="165" fontId="6" fillId="20" borderId="0" xfId="0" applyNumberFormat="1" applyFont="1" applyFill="1"/>
    <xf numFmtId="9" fontId="12" fillId="20" borderId="0" xfId="3" applyFont="1" applyFill="1" applyBorder="1"/>
    <xf numFmtId="0" fontId="10" fillId="20" borderId="0" xfId="0" applyFont="1" applyFill="1"/>
    <xf numFmtId="170" fontId="10" fillId="20" borderId="0" xfId="2" applyNumberFormat="1" applyFont="1" applyFill="1" applyBorder="1"/>
    <xf numFmtId="170" fontId="6" fillId="20" borderId="0" xfId="2" applyNumberFormat="1" applyFont="1" applyFill="1" applyBorder="1"/>
    <xf numFmtId="165" fontId="12" fillId="20" borderId="0" xfId="3" applyNumberFormat="1" applyFont="1" applyFill="1" applyBorder="1"/>
    <xf numFmtId="0" fontId="0" fillId="20" borderId="0" xfId="0" applyFill="1"/>
    <xf numFmtId="0" fontId="0" fillId="0" borderId="0" xfId="0" applyAlignment="1">
      <alignment vertical="center"/>
    </xf>
    <xf numFmtId="165" fontId="12" fillId="0" borderId="0" xfId="0" applyNumberFormat="1" applyFont="1" applyAlignment="1">
      <alignment horizontal="left"/>
    </xf>
    <xf numFmtId="0" fontId="36" fillId="2" borderId="0" xfId="0" applyFont="1" applyFill="1"/>
    <xf numFmtId="0" fontId="44" fillId="0" borderId="0" xfId="0" applyFont="1" applyAlignment="1">
      <alignment horizontal="center"/>
    </xf>
    <xf numFmtId="172" fontId="0" fillId="0" borderId="0" xfId="0" applyNumberFormat="1"/>
    <xf numFmtId="0" fontId="0" fillId="9" borderId="0" xfId="0" applyFill="1"/>
    <xf numFmtId="6" fontId="0" fillId="9" borderId="0" xfId="0" applyNumberFormat="1" applyFill="1"/>
    <xf numFmtId="171" fontId="0" fillId="25" borderId="0" xfId="0" applyNumberFormat="1" applyFill="1"/>
    <xf numFmtId="166" fontId="17" fillId="0" borderId="0" xfId="3" applyNumberFormat="1" applyFont="1" applyBorder="1"/>
    <xf numFmtId="10" fontId="14" fillId="0" borderId="0" xfId="3" applyNumberFormat="1" applyFont="1" applyFill="1" applyBorder="1"/>
    <xf numFmtId="44" fontId="15" fillId="0" borderId="0" xfId="2" applyFont="1" applyFill="1" applyBorder="1"/>
    <xf numFmtId="0" fontId="6" fillId="0" borderId="21" xfId="0" applyFont="1" applyBorder="1" applyAlignment="1">
      <alignment horizontal="center"/>
    </xf>
    <xf numFmtId="165" fontId="0" fillId="0" borderId="24" xfId="2" applyNumberFormat="1" applyFont="1" applyFill="1" applyBorder="1" applyAlignment="1">
      <alignment horizontal="center" vertical="center"/>
    </xf>
    <xf numFmtId="165" fontId="36" fillId="0" borderId="9" xfId="0" applyNumberFormat="1" applyFont="1" applyBorder="1"/>
    <xf numFmtId="164" fontId="41" fillId="0" borderId="9" xfId="0" applyNumberFormat="1" applyFont="1" applyBorder="1"/>
    <xf numFmtId="43" fontId="41" fillId="0" borderId="9" xfId="1" applyFont="1" applyFill="1" applyBorder="1"/>
    <xf numFmtId="6" fontId="46" fillId="0" borderId="0" xfId="0" applyNumberFormat="1" applyFont="1"/>
    <xf numFmtId="0" fontId="36" fillId="27" borderId="0" xfId="0" applyFont="1" applyFill="1"/>
    <xf numFmtId="0" fontId="36" fillId="27" borderId="31" xfId="0" applyFont="1" applyFill="1" applyBorder="1" applyAlignment="1">
      <alignment horizontal="center"/>
    </xf>
    <xf numFmtId="6" fontId="47" fillId="0" borderId="31" xfId="0" applyNumberFormat="1" applyFont="1" applyBorder="1"/>
    <xf numFmtId="9" fontId="49" fillId="0" borderId="0" xfId="3" applyFont="1" applyAlignment="1">
      <alignment horizontal="center"/>
    </xf>
    <xf numFmtId="9" fontId="50" fillId="0" borderId="0" xfId="3" applyFont="1" applyAlignment="1">
      <alignment horizontal="center"/>
    </xf>
    <xf numFmtId="6" fontId="36" fillId="0" borderId="0" xfId="0" applyNumberFormat="1" applyFont="1"/>
    <xf numFmtId="0" fontId="40" fillId="2" borderId="0" xfId="0" applyFont="1" applyFill="1"/>
    <xf numFmtId="0" fontId="3" fillId="0" borderId="0" xfId="0" applyFont="1" applyAlignment="1">
      <alignment wrapText="1"/>
    </xf>
    <xf numFmtId="9" fontId="1" fillId="0" borderId="0" xfId="3" applyFont="1" applyAlignment="1">
      <alignment horizontal="right" vertical="top" wrapText="1"/>
    </xf>
    <xf numFmtId="9" fontId="4" fillId="0" borderId="0" xfId="3" applyFont="1" applyAlignment="1">
      <alignment horizontal="right" vertical="top" wrapText="1"/>
    </xf>
    <xf numFmtId="9" fontId="4" fillId="0" borderId="0" xfId="3" applyFont="1" applyFill="1" applyAlignment="1">
      <alignment horizontal="right"/>
    </xf>
    <xf numFmtId="9" fontId="10" fillId="0" borderId="0" xfId="3" applyFont="1" applyFill="1"/>
    <xf numFmtId="165" fontId="39" fillId="0" borderId="0" xfId="0" applyNumberFormat="1" applyFont="1"/>
    <xf numFmtId="165" fontId="20" fillId="26" borderId="0" xfId="2" applyNumberFormat="1" applyFont="1" applyFill="1"/>
    <xf numFmtId="164" fontId="20" fillId="26" borderId="0" xfId="2" applyNumberFormat="1" applyFont="1" applyFill="1"/>
    <xf numFmtId="0" fontId="36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20" fillId="0" borderId="0" xfId="0" applyFont="1"/>
    <xf numFmtId="10" fontId="20" fillId="26" borderId="0" xfId="3" applyNumberFormat="1" applyFont="1" applyFill="1"/>
    <xf numFmtId="165" fontId="1" fillId="26" borderId="0" xfId="2" applyNumberFormat="1" applyFont="1" applyFill="1"/>
    <xf numFmtId="0" fontId="1" fillId="0" borderId="0" xfId="0" applyFont="1"/>
    <xf numFmtId="0" fontId="43" fillId="0" borderId="0" xfId="0" applyFont="1"/>
    <xf numFmtId="0" fontId="51" fillId="28" borderId="0" xfId="0" applyFont="1" applyFill="1"/>
    <xf numFmtId="0" fontId="18" fillId="0" borderId="0" xfId="0" applyFont="1"/>
    <xf numFmtId="0" fontId="51" fillId="28" borderId="33" xfId="0" applyFont="1" applyFill="1" applyBorder="1" applyAlignment="1">
      <alignment horizontal="center"/>
    </xf>
    <xf numFmtId="6" fontId="52" fillId="0" borderId="0" xfId="0" applyNumberFormat="1" applyFont="1"/>
    <xf numFmtId="9" fontId="49" fillId="0" borderId="0" xfId="0" applyNumberFormat="1" applyFont="1" applyAlignment="1">
      <alignment horizontal="center"/>
    </xf>
    <xf numFmtId="9" fontId="50" fillId="0" borderId="0" xfId="0" applyNumberFormat="1" applyFont="1" applyAlignment="1">
      <alignment horizontal="center"/>
    </xf>
    <xf numFmtId="6" fontId="0" fillId="7" borderId="0" xfId="0" applyNumberFormat="1" applyFill="1"/>
    <xf numFmtId="0" fontId="36" fillId="0" borderId="4" xfId="0" applyFont="1" applyBorder="1"/>
    <xf numFmtId="0" fontId="0" fillId="0" borderId="28" xfId="0" applyBorder="1"/>
    <xf numFmtId="9" fontId="49" fillId="0" borderId="28" xfId="3" applyFont="1" applyBorder="1" applyAlignment="1">
      <alignment horizontal="center"/>
    </xf>
    <xf numFmtId="0" fontId="0" fillId="0" borderId="5" xfId="0" applyBorder="1"/>
    <xf numFmtId="0" fontId="51" fillId="28" borderId="10" xfId="0" applyFont="1" applyFill="1" applyBorder="1"/>
    <xf numFmtId="0" fontId="0" fillId="0" borderId="11" xfId="0" applyBorder="1"/>
    <xf numFmtId="6" fontId="52" fillId="0" borderId="10" xfId="0" applyNumberFormat="1" applyFont="1" applyBorder="1"/>
    <xf numFmtId="9" fontId="49" fillId="0" borderId="10" xfId="0" applyNumberFormat="1" applyFont="1" applyBorder="1" applyAlignment="1">
      <alignment horizontal="center"/>
    </xf>
    <xf numFmtId="9" fontId="49" fillId="0" borderId="0" xfId="3" applyFont="1" applyBorder="1" applyAlignment="1">
      <alignment horizontal="center"/>
    </xf>
    <xf numFmtId="9" fontId="0" fillId="0" borderId="11" xfId="0" applyNumberFormat="1" applyBorder="1"/>
    <xf numFmtId="9" fontId="50" fillId="0" borderId="10" xfId="0" applyNumberFormat="1" applyFont="1" applyBorder="1" applyAlignment="1">
      <alignment horizontal="center"/>
    </xf>
    <xf numFmtId="9" fontId="50" fillId="0" borderId="0" xfId="3" applyFont="1" applyBorder="1" applyAlignment="1">
      <alignment horizontal="center"/>
    </xf>
    <xf numFmtId="0" fontId="0" fillId="0" borderId="10" xfId="0" applyBorder="1"/>
    <xf numFmtId="6" fontId="18" fillId="7" borderId="0" xfId="0" applyNumberFormat="1" applyFont="1" applyFill="1"/>
    <xf numFmtId="0" fontId="0" fillId="0" borderId="14" xfId="0" applyBorder="1"/>
    <xf numFmtId="0" fontId="0" fillId="0" borderId="29" xfId="0" applyBorder="1"/>
    <xf numFmtId="0" fontId="0" fillId="0" borderId="15" xfId="0" applyBorder="1"/>
    <xf numFmtId="9" fontId="50" fillId="0" borderId="14" xfId="0" applyNumberFormat="1" applyFont="1" applyBorder="1" applyAlignment="1">
      <alignment horizontal="center"/>
    </xf>
    <xf numFmtId="0" fontId="36" fillId="0" borderId="29" xfId="0" applyFont="1" applyBorder="1"/>
    <xf numFmtId="6" fontId="36" fillId="0" borderId="29" xfId="0" applyNumberFormat="1" applyFont="1" applyBorder="1"/>
    <xf numFmtId="9" fontId="50" fillId="0" borderId="29" xfId="3" applyFont="1" applyBorder="1" applyAlignment="1">
      <alignment horizontal="center"/>
    </xf>
    <xf numFmtId="9" fontId="0" fillId="0" borderId="15" xfId="0" applyNumberFormat="1" applyBorder="1"/>
    <xf numFmtId="0" fontId="0" fillId="0" borderId="25" xfId="0" applyBorder="1"/>
    <xf numFmtId="0" fontId="36" fillId="0" borderId="25" xfId="0" applyFont="1" applyBorder="1"/>
    <xf numFmtId="9" fontId="50" fillId="0" borderId="25" xfId="3" applyFont="1" applyBorder="1" applyAlignment="1">
      <alignment horizontal="center"/>
    </xf>
    <xf numFmtId="9" fontId="50" fillId="0" borderId="26" xfId="3" applyFont="1" applyBorder="1" applyAlignment="1">
      <alignment horizontal="center"/>
    </xf>
    <xf numFmtId="8" fontId="20" fillId="0" borderId="24" xfId="0" applyNumberFormat="1" applyFont="1" applyBorder="1" applyAlignment="1">
      <alignment vertical="center"/>
    </xf>
    <xf numFmtId="17" fontId="36" fillId="15" borderId="27" xfId="0" applyNumberFormat="1" applyFont="1" applyFill="1" applyBorder="1" applyAlignment="1">
      <alignment horizontal="center"/>
    </xf>
    <xf numFmtId="0" fontId="3" fillId="27" borderId="0" xfId="0" applyFont="1" applyFill="1" applyAlignment="1">
      <alignment horizontal="center"/>
    </xf>
    <xf numFmtId="0" fontId="10" fillId="0" borderId="1" xfId="0" applyFont="1" applyBorder="1" applyAlignment="1">
      <alignment horizontal="left" indent="1"/>
    </xf>
    <xf numFmtId="9" fontId="36" fillId="22" borderId="0" xfId="3" applyFont="1" applyFill="1"/>
    <xf numFmtId="171" fontId="17" fillId="0" borderId="9" xfId="2" applyNumberFormat="1" applyFont="1" applyBorder="1"/>
    <xf numFmtId="166" fontId="17" fillId="0" borderId="9" xfId="3" applyNumberFormat="1" applyFont="1" applyBorder="1"/>
    <xf numFmtId="10" fontId="17" fillId="0" borderId="9" xfId="3" applyNumberFormat="1" applyFont="1" applyBorder="1"/>
    <xf numFmtId="171" fontId="36" fillId="0" borderId="9" xfId="2" applyNumberFormat="1" applyFont="1" applyBorder="1"/>
    <xf numFmtId="0" fontId="53" fillId="0" borderId="0" xfId="6"/>
    <xf numFmtId="9" fontId="1" fillId="7" borderId="9" xfId="3" applyFont="1" applyFill="1" applyBorder="1"/>
    <xf numFmtId="168" fontId="10" fillId="7" borderId="9" xfId="1" applyNumberFormat="1" applyFont="1" applyFill="1" applyBorder="1"/>
    <xf numFmtId="164" fontId="3" fillId="21" borderId="0" xfId="5" applyFont="1" applyFill="1"/>
    <xf numFmtId="0" fontId="3" fillId="29" borderId="0" xfId="0" applyFont="1" applyFill="1"/>
    <xf numFmtId="0" fontId="54" fillId="0" borderId="0" xfId="0" applyFont="1"/>
    <xf numFmtId="9" fontId="3" fillId="29" borderId="0" xfId="3" applyFont="1" applyFill="1" applyAlignment="1">
      <alignment horizontal="center"/>
    </xf>
    <xf numFmtId="0" fontId="3" fillId="3" borderId="0" xfId="0" applyFont="1" applyFill="1"/>
    <xf numFmtId="165" fontId="3" fillId="3" borderId="0" xfId="5" applyNumberFormat="1" applyFont="1" applyFill="1"/>
    <xf numFmtId="44" fontId="0" fillId="8" borderId="2" xfId="4" applyFont="1" applyFill="1" applyBorder="1"/>
    <xf numFmtId="44" fontId="20" fillId="0" borderId="2" xfId="4" applyFont="1" applyBorder="1"/>
    <xf numFmtId="164" fontId="3" fillId="0" borderId="0" xfId="0" applyNumberFormat="1" applyFont="1"/>
    <xf numFmtId="0" fontId="0" fillId="0" borderId="0" xfId="0" applyAlignment="1">
      <alignment horizontal="left" indent="2"/>
    </xf>
    <xf numFmtId="172" fontId="0" fillId="0" borderId="34" xfId="0" applyNumberFormat="1" applyBorder="1"/>
    <xf numFmtId="0" fontId="55" fillId="0" borderId="0" xfId="0" applyFont="1"/>
    <xf numFmtId="172" fontId="56" fillId="0" borderId="2" xfId="0" applyNumberFormat="1" applyFont="1" applyBorder="1"/>
    <xf numFmtId="0" fontId="57" fillId="0" borderId="0" xfId="0" applyFont="1"/>
    <xf numFmtId="49" fontId="19" fillId="0" borderId="0" xfId="0" applyNumberFormat="1" applyFont="1"/>
    <xf numFmtId="171" fontId="0" fillId="0" borderId="2" xfId="4" applyNumberFormat="1" applyFont="1" applyFill="1" applyBorder="1"/>
    <xf numFmtId="0" fontId="3" fillId="0" borderId="0" xfId="0" applyFont="1" applyAlignment="1">
      <alignment horizontal="left" indent="1"/>
    </xf>
    <xf numFmtId="0" fontId="46" fillId="0" borderId="0" xfId="0" applyFont="1"/>
    <xf numFmtId="44" fontId="0" fillId="0" borderId="0" xfId="4" applyFont="1"/>
    <xf numFmtId="166" fontId="0" fillId="0" borderId="0" xfId="3" applyNumberFormat="1" applyFont="1"/>
    <xf numFmtId="0" fontId="3" fillId="0" borderId="35" xfId="0" applyFont="1" applyBorder="1"/>
    <xf numFmtId="0" fontId="58" fillId="0" borderId="0" xfId="0" applyFont="1"/>
    <xf numFmtId="18" fontId="53" fillId="0" borderId="0" xfId="6" applyNumberFormat="1"/>
    <xf numFmtId="0" fontId="20" fillId="0" borderId="0" xfId="7"/>
    <xf numFmtId="9" fontId="59" fillId="0" borderId="0" xfId="7" applyNumberFormat="1" applyFont="1" applyAlignment="1">
      <alignment horizontal="center"/>
    </xf>
    <xf numFmtId="182" fontId="59" fillId="0" borderId="0" xfId="7" applyNumberFormat="1" applyFont="1"/>
    <xf numFmtId="0" fontId="60" fillId="30" borderId="0" xfId="7" applyFont="1" applyFill="1"/>
    <xf numFmtId="183" fontId="61" fillId="31" borderId="0" xfId="7" applyNumberFormat="1" applyFont="1" applyFill="1"/>
    <xf numFmtId="183" fontId="60" fillId="30" borderId="0" xfId="7" applyNumberFormat="1" applyFont="1" applyFill="1"/>
    <xf numFmtId="0" fontId="61" fillId="32" borderId="0" xfId="7" applyFont="1" applyFill="1"/>
    <xf numFmtId="183" fontId="61" fillId="32" borderId="0" xfId="7" applyNumberFormat="1" applyFont="1" applyFill="1"/>
    <xf numFmtId="0" fontId="55" fillId="0" borderId="0" xfId="7" applyFont="1"/>
    <xf numFmtId="49" fontId="59" fillId="0" borderId="0" xfId="7" applyNumberFormat="1" applyFont="1"/>
    <xf numFmtId="183" fontId="61" fillId="0" borderId="36" xfId="7" applyNumberFormat="1" applyFont="1" applyBorder="1"/>
    <xf numFmtId="183" fontId="59" fillId="0" borderId="36" xfId="7" applyNumberFormat="1" applyFont="1" applyBorder="1"/>
    <xf numFmtId="0" fontId="62" fillId="0" borderId="0" xfId="7" applyFont="1"/>
    <xf numFmtId="0" fontId="59" fillId="0" borderId="0" xfId="7" applyFont="1"/>
    <xf numFmtId="0" fontId="59" fillId="0" borderId="0" xfId="7" applyFont="1" applyAlignment="1">
      <alignment horizontal="left"/>
    </xf>
    <xf numFmtId="0" fontId="61" fillId="33" borderId="0" xfId="7" applyFont="1" applyFill="1"/>
    <xf numFmtId="183" fontId="61" fillId="33" borderId="0" xfId="7" applyNumberFormat="1" applyFont="1" applyFill="1"/>
    <xf numFmtId="0" fontId="59" fillId="0" borderId="0" xfId="7" applyFont="1" applyAlignment="1">
      <alignment wrapText="1"/>
    </xf>
    <xf numFmtId="0" fontId="61" fillId="0" borderId="0" xfId="7" applyFont="1"/>
    <xf numFmtId="0" fontId="23" fillId="0" borderId="0" xfId="7" applyFont="1"/>
    <xf numFmtId="0" fontId="63" fillId="0" borderId="0" xfId="7" applyFont="1"/>
    <xf numFmtId="44" fontId="3" fillId="0" borderId="2" xfId="4" applyFont="1" applyFill="1" applyBorder="1"/>
    <xf numFmtId="164" fontId="3" fillId="29" borderId="0" xfId="5" applyFont="1" applyFill="1"/>
    <xf numFmtId="171" fontId="3" fillId="0" borderId="2" xfId="4" applyNumberFormat="1" applyFont="1" applyBorder="1"/>
    <xf numFmtId="171" fontId="0" fillId="0" borderId="2" xfId="4" applyNumberFormat="1" applyFont="1" applyBorder="1"/>
    <xf numFmtId="0" fontId="0" fillId="8" borderId="0" xfId="0" applyFill="1"/>
    <xf numFmtId="0" fontId="0" fillId="27" borderId="0" xfId="0" applyFill="1"/>
    <xf numFmtId="171" fontId="36" fillId="27" borderId="0" xfId="2" applyNumberFormat="1" applyFont="1" applyFill="1"/>
    <xf numFmtId="170" fontId="17" fillId="0" borderId="0" xfId="2" applyNumberFormat="1" applyFont="1" applyFill="1" applyBorder="1"/>
    <xf numFmtId="165" fontId="17" fillId="0" borderId="0" xfId="2" applyNumberFormat="1" applyFont="1" applyFill="1" applyBorder="1"/>
    <xf numFmtId="165" fontId="64" fillId="0" borderId="0" xfId="2" applyNumberFormat="1" applyFont="1" applyFill="1" applyBorder="1"/>
    <xf numFmtId="0" fontId="26" fillId="23" borderId="37" xfId="0" applyFont="1" applyFill="1" applyBorder="1"/>
    <xf numFmtId="0" fontId="26" fillId="0" borderId="38" xfId="0" applyFont="1" applyBorder="1"/>
    <xf numFmtId="0" fontId="26" fillId="23" borderId="38" xfId="0" applyFont="1" applyFill="1" applyBorder="1"/>
    <xf numFmtId="0" fontId="26" fillId="23" borderId="39" xfId="0" applyFont="1" applyFill="1" applyBorder="1"/>
    <xf numFmtId="0" fontId="17" fillId="6" borderId="37" xfId="0" applyFont="1" applyFill="1" applyBorder="1"/>
    <xf numFmtId="0" fontId="17" fillId="0" borderId="38" xfId="0" applyFont="1" applyBorder="1"/>
    <xf numFmtId="0" fontId="17" fillId="6" borderId="38" xfId="0" applyFont="1" applyFill="1" applyBorder="1"/>
    <xf numFmtId="0" fontId="17" fillId="6" borderId="39" xfId="0" applyFont="1" applyFill="1" applyBorder="1"/>
    <xf numFmtId="171" fontId="26" fillId="23" borderId="23" xfId="2" applyNumberFormat="1" applyFont="1" applyFill="1" applyBorder="1"/>
    <xf numFmtId="44" fontId="26" fillId="0" borderId="24" xfId="2" applyFont="1" applyFill="1" applyBorder="1"/>
    <xf numFmtId="171" fontId="26" fillId="23" borderId="40" xfId="2" applyNumberFormat="1" applyFont="1" applyFill="1" applyBorder="1"/>
    <xf numFmtId="8" fontId="17" fillId="6" borderId="23" xfId="3" applyNumberFormat="1" applyFont="1" applyFill="1" applyBorder="1"/>
    <xf numFmtId="44" fontId="17" fillId="0" borderId="24" xfId="2" applyFont="1" applyFill="1" applyBorder="1"/>
    <xf numFmtId="8" fontId="17" fillId="6" borderId="40" xfId="3" applyNumberFormat="1" applyFont="1" applyFill="1" applyBorder="1"/>
    <xf numFmtId="171" fontId="26" fillId="23" borderId="23" xfId="3" applyNumberFormat="1" applyFont="1" applyFill="1" applyBorder="1"/>
    <xf numFmtId="8" fontId="26" fillId="0" borderId="24" xfId="2" applyNumberFormat="1" applyFont="1" applyFill="1" applyBorder="1"/>
    <xf numFmtId="171" fontId="26" fillId="23" borderId="40" xfId="3" applyNumberFormat="1" applyFont="1" applyFill="1" applyBorder="1"/>
    <xf numFmtId="171" fontId="26" fillId="23" borderId="37" xfId="2" applyNumberFormat="1" applyFont="1" applyFill="1" applyBorder="1"/>
    <xf numFmtId="8" fontId="26" fillId="0" borderId="38" xfId="2" applyNumberFormat="1" applyFont="1" applyFill="1" applyBorder="1"/>
    <xf numFmtId="171" fontId="26" fillId="23" borderId="39" xfId="2" applyNumberFormat="1" applyFont="1" applyFill="1" applyBorder="1"/>
    <xf numFmtId="8" fontId="38" fillId="6" borderId="37" xfId="3" applyNumberFormat="1" applyFont="1" applyFill="1" applyBorder="1"/>
    <xf numFmtId="44" fontId="38" fillId="0" borderId="38" xfId="2" applyFont="1" applyFill="1" applyBorder="1"/>
    <xf numFmtId="8" fontId="38" fillId="6" borderId="39" xfId="3" applyNumberFormat="1" applyFont="1" applyFill="1" applyBorder="1"/>
    <xf numFmtId="9" fontId="26" fillId="23" borderId="23" xfId="3" applyFont="1" applyFill="1" applyBorder="1"/>
    <xf numFmtId="9" fontId="17" fillId="6" borderId="23" xfId="3" applyFont="1" applyFill="1" applyBorder="1"/>
    <xf numFmtId="44" fontId="45" fillId="0" borderId="9" xfId="2" applyFont="1" applyFill="1" applyBorder="1"/>
    <xf numFmtId="9" fontId="45" fillId="0" borderId="9" xfId="3" applyFont="1" applyBorder="1"/>
    <xf numFmtId="9" fontId="45" fillId="0" borderId="9" xfId="0" applyNumberFormat="1" applyFont="1" applyBorder="1"/>
    <xf numFmtId="166" fontId="45" fillId="0" borderId="0" xfId="3" applyNumberFormat="1" applyFont="1" applyFill="1" applyBorder="1"/>
    <xf numFmtId="166" fontId="45" fillId="0" borderId="9" xfId="3" applyNumberFormat="1" applyFont="1" applyFill="1" applyBorder="1"/>
    <xf numFmtId="10" fontId="26" fillId="23" borderId="24" xfId="3" applyNumberFormat="1" applyFont="1" applyFill="1" applyBorder="1"/>
    <xf numFmtId="10" fontId="26" fillId="23" borderId="40" xfId="3" applyNumberFormat="1" applyFont="1" applyFill="1" applyBorder="1"/>
    <xf numFmtId="10" fontId="17" fillId="6" borderId="24" xfId="3" applyNumberFormat="1" applyFont="1" applyFill="1" applyBorder="1"/>
    <xf numFmtId="10" fontId="17" fillId="6" borderId="40" xfId="3" applyNumberFormat="1" applyFont="1" applyFill="1" applyBorder="1"/>
    <xf numFmtId="171" fontId="17" fillId="0" borderId="8" xfId="2" applyNumberFormat="1" applyFont="1" applyBorder="1"/>
    <xf numFmtId="171" fontId="17" fillId="0" borderId="0" xfId="2" applyNumberFormat="1" applyFont="1" applyBorder="1"/>
    <xf numFmtId="44" fontId="17" fillId="0" borderId="8" xfId="2" applyFont="1" applyBorder="1"/>
    <xf numFmtId="44" fontId="17" fillId="0" borderId="0" xfId="2" applyFont="1" applyBorder="1"/>
    <xf numFmtId="10" fontId="17" fillId="0" borderId="8" xfId="3" applyNumberFormat="1" applyFont="1" applyBorder="1"/>
    <xf numFmtId="10" fontId="17" fillId="0" borderId="0" xfId="3" applyNumberFormat="1" applyFont="1" applyBorder="1"/>
    <xf numFmtId="44" fontId="0" fillId="0" borderId="8" xfId="2" applyFont="1" applyBorder="1"/>
    <xf numFmtId="44" fontId="0" fillId="0" borderId="0" xfId="2" applyFont="1" applyBorder="1"/>
    <xf numFmtId="44" fontId="45" fillId="0" borderId="8" xfId="2" applyFont="1" applyFill="1" applyBorder="1"/>
    <xf numFmtId="44" fontId="45" fillId="0" borderId="0" xfId="2" applyFont="1" applyFill="1" applyBorder="1"/>
    <xf numFmtId="9" fontId="45" fillId="0" borderId="8" xfId="3" applyFont="1" applyBorder="1"/>
    <xf numFmtId="9" fontId="45" fillId="0" borderId="0" xfId="3" applyFont="1" applyBorder="1"/>
    <xf numFmtId="166" fontId="17" fillId="0" borderId="8" xfId="3" applyNumberFormat="1" applyFont="1" applyBorder="1"/>
    <xf numFmtId="9" fontId="45" fillId="0" borderId="8" xfId="0" applyNumberFormat="1" applyFont="1" applyBorder="1"/>
    <xf numFmtId="9" fontId="45" fillId="0" borderId="0" xfId="0" applyNumberFormat="1" applyFont="1"/>
    <xf numFmtId="168" fontId="0" fillId="0" borderId="8" xfId="1" applyNumberFormat="1" applyFont="1" applyBorder="1"/>
    <xf numFmtId="168" fontId="0" fillId="0" borderId="0" xfId="1" applyNumberFormat="1" applyFont="1" applyBorder="1"/>
    <xf numFmtId="168" fontId="6" fillId="0" borderId="8" xfId="1" applyNumberFormat="1" applyFont="1" applyBorder="1"/>
    <xf numFmtId="166" fontId="45" fillId="0" borderId="8" xfId="3" applyNumberFormat="1" applyFont="1" applyFill="1" applyBorder="1"/>
    <xf numFmtId="168" fontId="10" fillId="0" borderId="8" xfId="1" applyNumberFormat="1" applyFont="1" applyFill="1" applyBorder="1"/>
    <xf numFmtId="44" fontId="10" fillId="0" borderId="8" xfId="2" applyFont="1" applyBorder="1"/>
    <xf numFmtId="44" fontId="10" fillId="0" borderId="0" xfId="2" applyFont="1" applyBorder="1"/>
    <xf numFmtId="44" fontId="0" fillId="0" borderId="8" xfId="0" applyNumberFormat="1" applyBorder="1"/>
    <xf numFmtId="171" fontId="36" fillId="0" borderId="8" xfId="2" applyNumberFormat="1" applyFont="1" applyBorder="1"/>
    <xf numFmtId="171" fontId="36" fillId="0" borderId="0" xfId="2" applyNumberFormat="1" applyFont="1" applyBorder="1"/>
    <xf numFmtId="165" fontId="10" fillId="0" borderId="8" xfId="0" applyNumberFormat="1" applyFont="1" applyBorder="1"/>
    <xf numFmtId="165" fontId="6" fillId="0" borderId="8" xfId="0" applyNumberFormat="1" applyFont="1" applyBorder="1"/>
    <xf numFmtId="9" fontId="0" fillId="0" borderId="8" xfId="3" applyFont="1" applyBorder="1"/>
    <xf numFmtId="165" fontId="36" fillId="0" borderId="8" xfId="0" applyNumberFormat="1" applyFont="1" applyBorder="1"/>
    <xf numFmtId="10" fontId="1" fillId="0" borderId="8" xfId="3" applyNumberFormat="1" applyFont="1" applyFill="1" applyBorder="1"/>
    <xf numFmtId="10" fontId="1" fillId="0" borderId="0" xfId="3" applyNumberFormat="1" applyFont="1" applyFill="1" applyBorder="1"/>
    <xf numFmtId="10" fontId="1" fillId="0" borderId="9" xfId="3" applyNumberFormat="1" applyFont="1" applyFill="1" applyBorder="1"/>
    <xf numFmtId="165" fontId="0" fillId="0" borderId="8" xfId="0" applyNumberFormat="1" applyBorder="1"/>
    <xf numFmtId="0" fontId="10" fillId="0" borderId="8" xfId="0" applyFont="1" applyBorder="1"/>
    <xf numFmtId="171" fontId="10" fillId="0" borderId="0" xfId="0" applyNumberFormat="1" applyFont="1"/>
    <xf numFmtId="9" fontId="10" fillId="0" borderId="0" xfId="0" applyNumberFormat="1" applyFont="1"/>
    <xf numFmtId="44" fontId="36" fillId="0" borderId="0" xfId="0" applyNumberFormat="1" applyFont="1"/>
    <xf numFmtId="44" fontId="36" fillId="0" borderId="9" xfId="0" applyNumberFormat="1" applyFont="1" applyBorder="1"/>
    <xf numFmtId="171" fontId="37" fillId="0" borderId="8" xfId="2" applyNumberFormat="1" applyFont="1" applyBorder="1"/>
    <xf numFmtId="171" fontId="37" fillId="0" borderId="0" xfId="2" applyNumberFormat="1" applyFont="1" applyBorder="1"/>
    <xf numFmtId="171" fontId="37" fillId="0" borderId="9" xfId="2" applyNumberFormat="1" applyFont="1" applyBorder="1"/>
    <xf numFmtId="9" fontId="0" fillId="0" borderId="0" xfId="0" applyNumberFormat="1" applyAlignment="1">
      <alignment horizontal="center"/>
    </xf>
    <xf numFmtId="49" fontId="67" fillId="0" borderId="0" xfId="0" applyNumberFormat="1" applyFont="1"/>
    <xf numFmtId="49" fontId="68" fillId="0" borderId="0" xfId="0" applyNumberFormat="1" applyFont="1"/>
    <xf numFmtId="184" fontId="0" fillId="0" borderId="34" xfId="0" applyNumberFormat="1" applyBorder="1"/>
    <xf numFmtId="49" fontId="66" fillId="34" borderId="0" xfId="0" applyNumberFormat="1" applyFont="1" applyFill="1"/>
    <xf numFmtId="0" fontId="66" fillId="34" borderId="0" xfId="0" applyFont="1" applyFill="1"/>
    <xf numFmtId="185" fontId="66" fillId="34" borderId="41" xfId="0" applyNumberFormat="1" applyFont="1" applyFill="1" applyBorder="1"/>
    <xf numFmtId="0" fontId="0" fillId="0" borderId="42" xfId="0" applyBorder="1"/>
    <xf numFmtId="0" fontId="66" fillId="0" borderId="0" xfId="0" applyFont="1" applyAlignment="1">
      <alignment horizontal="left"/>
    </xf>
    <xf numFmtId="172" fontId="0" fillId="0" borderId="43" xfId="0" applyNumberFormat="1" applyBorder="1"/>
    <xf numFmtId="184" fontId="0" fillId="0" borderId="43" xfId="0" applyNumberFormat="1" applyBorder="1"/>
    <xf numFmtId="0" fontId="2" fillId="17" borderId="9" xfId="0" applyFont="1" applyFill="1" applyBorder="1"/>
    <xf numFmtId="0" fontId="3" fillId="29" borderId="9" xfId="0" applyFont="1" applyFill="1" applyBorder="1"/>
    <xf numFmtId="172" fontId="0" fillId="0" borderId="44" xfId="0" applyNumberFormat="1" applyBorder="1"/>
    <xf numFmtId="184" fontId="0" fillId="0" borderId="44" xfId="0" applyNumberFormat="1" applyBorder="1"/>
    <xf numFmtId="165" fontId="3" fillId="3" borderId="9" xfId="5" applyNumberFormat="1" applyFont="1" applyFill="1" applyBorder="1"/>
    <xf numFmtId="185" fontId="66" fillId="34" borderId="45" xfId="0" applyNumberFormat="1" applyFont="1" applyFill="1" applyBorder="1"/>
    <xf numFmtId="44" fontId="1" fillId="26" borderId="2" xfId="4" applyFont="1" applyFill="1" applyBorder="1"/>
    <xf numFmtId="44" fontId="0" fillId="26" borderId="2" xfId="4" applyFont="1" applyFill="1" applyBorder="1"/>
    <xf numFmtId="172" fontId="17" fillId="0" borderId="34" xfId="0" applyNumberFormat="1" applyFont="1" applyBorder="1"/>
    <xf numFmtId="171" fontId="17" fillId="0" borderId="18" xfId="0" applyNumberFormat="1" applyFont="1" applyBorder="1" applyAlignment="1">
      <alignment horizontal="left" indent="1"/>
    </xf>
    <xf numFmtId="10" fontId="38" fillId="6" borderId="38" xfId="3" applyNumberFormat="1" applyFont="1" applyFill="1" applyBorder="1"/>
    <xf numFmtId="184" fontId="0" fillId="8" borderId="34" xfId="0" applyNumberFormat="1" applyFill="1" applyBorder="1"/>
    <xf numFmtId="44" fontId="2" fillId="17" borderId="0" xfId="2" applyFont="1" applyFill="1"/>
    <xf numFmtId="172" fontId="0" fillId="9" borderId="34" xfId="0" applyNumberFormat="1" applyFill="1" applyBorder="1"/>
    <xf numFmtId="172" fontId="0" fillId="9" borderId="43" xfId="0" applyNumberFormat="1" applyFill="1" applyBorder="1"/>
    <xf numFmtId="172" fontId="0" fillId="9" borderId="44" xfId="0" applyNumberFormat="1" applyFill="1" applyBorder="1"/>
    <xf numFmtId="44" fontId="0" fillId="9" borderId="2" xfId="4" applyFont="1" applyFill="1" applyBorder="1"/>
    <xf numFmtId="171" fontId="0" fillId="9" borderId="2" xfId="4" applyNumberFormat="1" applyFont="1" applyFill="1" applyBorder="1"/>
    <xf numFmtId="172" fontId="56" fillId="8" borderId="2" xfId="0" applyNumberFormat="1" applyFont="1" applyFill="1" applyBorder="1"/>
    <xf numFmtId="168" fontId="1" fillId="0" borderId="8" xfId="1" applyNumberFormat="1" applyFont="1" applyFill="1" applyBorder="1"/>
    <xf numFmtId="170" fontId="6" fillId="0" borderId="8" xfId="1" applyNumberFormat="1" applyFont="1" applyFill="1" applyBorder="1"/>
    <xf numFmtId="170" fontId="6" fillId="0" borderId="0" xfId="1" applyNumberFormat="1" applyFont="1" applyFill="1" applyBorder="1"/>
    <xf numFmtId="170" fontId="6" fillId="0" borderId="9" xfId="1" applyNumberFormat="1" applyFont="1" applyFill="1" applyBorder="1"/>
    <xf numFmtId="9" fontId="10" fillId="0" borderId="8" xfId="3" applyFont="1" applyFill="1" applyBorder="1"/>
    <xf numFmtId="9" fontId="10" fillId="0" borderId="9" xfId="3" applyFont="1" applyFill="1" applyBorder="1"/>
    <xf numFmtId="165" fontId="36" fillId="0" borderId="30" xfId="0" applyNumberFormat="1" applyFont="1" applyBorder="1"/>
    <xf numFmtId="165" fontId="1" fillId="0" borderId="8" xfId="2" applyNumberFormat="1" applyFont="1" applyFill="1" applyBorder="1"/>
    <xf numFmtId="168" fontId="6" fillId="7" borderId="9" xfId="1" applyNumberFormat="1" applyFont="1" applyFill="1" applyBorder="1"/>
    <xf numFmtId="171" fontId="0" fillId="8" borderId="2" xfId="4" applyNumberFormat="1" applyFont="1" applyFill="1" applyBorder="1"/>
    <xf numFmtId="171" fontId="0" fillId="8" borderId="2" xfId="0" applyNumberFormat="1" applyFill="1" applyBorder="1" applyAlignment="1">
      <alignment horizontal="center" vertical="center"/>
    </xf>
    <xf numFmtId="183" fontId="59" fillId="8" borderId="36" xfId="7" applyNumberFormat="1" applyFont="1" applyFill="1" applyBorder="1"/>
    <xf numFmtId="170" fontId="10" fillId="0" borderId="9" xfId="1" applyNumberFormat="1" applyFont="1" applyBorder="1" applyAlignment="1">
      <alignment horizontal="left" vertical="top" wrapText="1"/>
    </xf>
    <xf numFmtId="0" fontId="71" fillId="5" borderId="46" xfId="0" applyFont="1" applyFill="1" applyBorder="1" applyAlignment="1">
      <alignment horizontal="center"/>
    </xf>
    <xf numFmtId="0" fontId="71" fillId="5" borderId="47" xfId="0" applyFont="1" applyFill="1" applyBorder="1" applyAlignment="1">
      <alignment horizontal="center"/>
    </xf>
    <xf numFmtId="0" fontId="71" fillId="5" borderId="48" xfId="0" applyFont="1" applyFill="1" applyBorder="1" applyAlignment="1">
      <alignment horizontal="center"/>
    </xf>
    <xf numFmtId="165" fontId="72" fillId="0" borderId="49" xfId="0" applyNumberFormat="1" applyFont="1" applyBorder="1"/>
    <xf numFmtId="171" fontId="72" fillId="0" borderId="50" xfId="0" applyNumberFormat="1" applyFont="1" applyBorder="1"/>
    <xf numFmtId="171" fontId="72" fillId="0" borderId="51" xfId="0" applyNumberFormat="1" applyFont="1" applyBorder="1"/>
    <xf numFmtId="165" fontId="0" fillId="0" borderId="0" xfId="2" applyNumberFormat="1" applyFont="1" applyFill="1" applyBorder="1" applyAlignment="1">
      <alignment vertical="center"/>
    </xf>
    <xf numFmtId="8" fontId="0" fillId="8" borderId="2" xfId="4" applyNumberFormat="1" applyFont="1" applyFill="1" applyBorder="1"/>
    <xf numFmtId="182" fontId="61" fillId="9" borderId="0" xfId="7" applyNumberFormat="1" applyFont="1" applyFill="1"/>
    <xf numFmtId="171" fontId="0" fillId="0" borderId="0" xfId="2" applyNumberFormat="1" applyFont="1"/>
    <xf numFmtId="170" fontId="10" fillId="0" borderId="0" xfId="0" applyNumberFormat="1" applyFont="1"/>
    <xf numFmtId="44" fontId="3" fillId="7" borderId="0" xfId="0" applyNumberFormat="1" applyFont="1" applyFill="1"/>
    <xf numFmtId="0" fontId="59" fillId="0" borderId="0" xfId="0" applyFont="1" applyAlignment="1">
      <alignment horizontal="center"/>
    </xf>
    <xf numFmtId="17" fontId="59" fillId="0" borderId="0" xfId="0" applyNumberFormat="1" applyFont="1"/>
    <xf numFmtId="8" fontId="59" fillId="0" borderId="0" xfId="0" applyNumberFormat="1" applyFont="1"/>
    <xf numFmtId="186" fontId="59" fillId="0" borderId="0" xfId="0" applyNumberFormat="1" applyFont="1"/>
    <xf numFmtId="0" fontId="59" fillId="0" borderId="52" xfId="0" applyFont="1" applyBorder="1"/>
    <xf numFmtId="9" fontId="59" fillId="0" borderId="53" xfId="0" applyNumberFormat="1" applyFont="1" applyBorder="1"/>
    <xf numFmtId="0" fontId="61" fillId="35" borderId="0" xfId="0" applyFont="1" applyFill="1"/>
    <xf numFmtId="8" fontId="61" fillId="35" borderId="0" xfId="0" applyNumberFormat="1" applyFont="1" applyFill="1"/>
    <xf numFmtId="0" fontId="61" fillId="35" borderId="0" xfId="0" applyFont="1" applyFill="1" applyAlignment="1">
      <alignment horizontal="center"/>
    </xf>
    <xf numFmtId="0" fontId="59" fillId="0" borderId="54" xfId="0" applyFont="1" applyBorder="1"/>
    <xf numFmtId="9" fontId="59" fillId="0" borderId="55" xfId="0" applyNumberFormat="1" applyFont="1" applyBorder="1"/>
    <xf numFmtId="0" fontId="59" fillId="36" borderId="0" xfId="0" applyFont="1" applyFill="1"/>
    <xf numFmtId="8" fontId="59" fillId="36" borderId="0" xfId="0" applyNumberFormat="1" applyFont="1" applyFill="1"/>
    <xf numFmtId="186" fontId="59" fillId="36" borderId="0" xfId="0" applyNumberFormat="1" applyFont="1" applyFill="1"/>
    <xf numFmtId="0" fontId="59" fillId="36" borderId="0" xfId="0" applyFont="1" applyFill="1" applyAlignment="1">
      <alignment horizontal="center"/>
    </xf>
    <xf numFmtId="9" fontId="59" fillId="0" borderId="0" xfId="0" applyNumberFormat="1" applyFont="1" applyAlignment="1">
      <alignment horizontal="center"/>
    </xf>
    <xf numFmtId="182" fontId="59" fillId="0" borderId="0" xfId="0" applyNumberFormat="1" applyFont="1"/>
    <xf numFmtId="44" fontId="59" fillId="37" borderId="0" xfId="0" applyNumberFormat="1" applyFont="1" applyFill="1"/>
    <xf numFmtId="0" fontId="59" fillId="37" borderId="0" xfId="0" applyFont="1" applyFill="1"/>
    <xf numFmtId="8" fontId="59" fillId="38" borderId="0" xfId="0" applyNumberFormat="1" applyFont="1" applyFill="1"/>
    <xf numFmtId="9" fontId="59" fillId="36" borderId="0" xfId="0" applyNumberFormat="1" applyFont="1" applyFill="1" applyAlignment="1">
      <alignment horizontal="center"/>
    </xf>
    <xf numFmtId="0" fontId="61" fillId="0" borderId="0" xfId="0" applyFont="1"/>
    <xf numFmtId="8" fontId="61" fillId="0" borderId="0" xfId="0" applyNumberFormat="1" applyFont="1"/>
    <xf numFmtId="0" fontId="61" fillId="0" borderId="0" xfId="0" applyFont="1" applyAlignment="1">
      <alignment horizontal="center"/>
    </xf>
    <xf numFmtId="44" fontId="61" fillId="0" borderId="0" xfId="0" applyNumberFormat="1" applyFont="1"/>
    <xf numFmtId="9" fontId="59" fillId="0" borderId="0" xfId="3" applyFont="1"/>
    <xf numFmtId="0" fontId="11" fillId="39" borderId="0" xfId="0" applyFont="1" applyFill="1"/>
    <xf numFmtId="165" fontId="13" fillId="39" borderId="0" xfId="0" applyNumberFormat="1" applyFont="1" applyFill="1"/>
    <xf numFmtId="165" fontId="10" fillId="39" borderId="0" xfId="2" applyNumberFormat="1" applyFont="1" applyFill="1"/>
    <xf numFmtId="165" fontId="37" fillId="39" borderId="0" xfId="2" applyNumberFormat="1" applyFont="1" applyFill="1" applyBorder="1"/>
    <xf numFmtId="0" fontId="0" fillId="39" borderId="0" xfId="0" applyFill="1"/>
    <xf numFmtId="165" fontId="6" fillId="39" borderId="0" xfId="0" applyNumberFormat="1" applyFont="1" applyFill="1"/>
    <xf numFmtId="165" fontId="6" fillId="39" borderId="9" xfId="0" applyNumberFormat="1" applyFont="1" applyFill="1" applyBorder="1"/>
    <xf numFmtId="165" fontId="37" fillId="39" borderId="8" xfId="2" applyNumberFormat="1" applyFont="1" applyFill="1" applyBorder="1"/>
    <xf numFmtId="165" fontId="37" fillId="39" borderId="9" xfId="2" applyNumberFormat="1" applyFont="1" applyFill="1" applyBorder="1"/>
    <xf numFmtId="0" fontId="73" fillId="21" borderId="0" xfId="0" applyFont="1" applyFill="1"/>
    <xf numFmtId="0" fontId="74" fillId="21" borderId="16" xfId="0" applyFont="1" applyFill="1" applyBorder="1" applyAlignment="1">
      <alignment horizontal="center"/>
    </xf>
    <xf numFmtId="0" fontId="54" fillId="21" borderId="0" xfId="0" applyFont="1" applyFill="1" applyAlignment="1">
      <alignment horizontal="center"/>
    </xf>
    <xf numFmtId="165" fontId="73" fillId="21" borderId="0" xfId="2" applyNumberFormat="1" applyFont="1" applyFill="1"/>
    <xf numFmtId="164" fontId="73" fillId="21" borderId="0" xfId="2" applyNumberFormat="1" applyFont="1" applyFill="1"/>
    <xf numFmtId="10" fontId="73" fillId="21" borderId="0" xfId="3" applyNumberFormat="1" applyFont="1" applyFill="1"/>
    <xf numFmtId="9" fontId="73" fillId="21" borderId="0" xfId="3" applyFont="1" applyFill="1"/>
    <xf numFmtId="166" fontId="73" fillId="21" borderId="0" xfId="3" applyNumberFormat="1" applyFont="1" applyFill="1" applyBorder="1"/>
    <xf numFmtId="9" fontId="73" fillId="21" borderId="0" xfId="0" applyNumberFormat="1" applyFont="1" applyFill="1"/>
    <xf numFmtId="9" fontId="73" fillId="21" borderId="0" xfId="3" applyFont="1" applyFill="1" applyBorder="1"/>
    <xf numFmtId="44" fontId="73" fillId="21" borderId="0" xfId="2" applyFont="1" applyFill="1"/>
    <xf numFmtId="165" fontId="73" fillId="21" borderId="0" xfId="0" applyNumberFormat="1" applyFont="1" applyFill="1"/>
    <xf numFmtId="165" fontId="54" fillId="21" borderId="0" xfId="0" applyNumberFormat="1" applyFont="1" applyFill="1"/>
    <xf numFmtId="165" fontId="54" fillId="21" borderId="8" xfId="2" applyNumberFormat="1" applyFont="1" applyFill="1" applyBorder="1"/>
    <xf numFmtId="44" fontId="54" fillId="21" borderId="0" xfId="0" applyNumberFormat="1" applyFont="1" applyFill="1"/>
    <xf numFmtId="165" fontId="54" fillId="21" borderId="0" xfId="2" applyNumberFormat="1" applyFont="1" applyFill="1" applyBorder="1"/>
    <xf numFmtId="44" fontId="73" fillId="21" borderId="0" xfId="0" applyNumberFormat="1" applyFont="1" applyFill="1"/>
    <xf numFmtId="165" fontId="75" fillId="21" borderId="0" xfId="0" applyNumberFormat="1" applyFont="1" applyFill="1"/>
    <xf numFmtId="44" fontId="75" fillId="21" borderId="0" xfId="0" applyNumberFormat="1" applyFont="1" applyFill="1"/>
    <xf numFmtId="168" fontId="75" fillId="21" borderId="0" xfId="0" applyNumberFormat="1" applyFont="1" applyFill="1"/>
    <xf numFmtId="10" fontId="75" fillId="21" borderId="0" xfId="3" applyNumberFormat="1" applyFont="1" applyFill="1" applyBorder="1"/>
    <xf numFmtId="44" fontId="75" fillId="21" borderId="0" xfId="2" applyFont="1" applyFill="1" applyBorder="1"/>
    <xf numFmtId="164" fontId="76" fillId="21" borderId="0" xfId="0" applyNumberFormat="1" applyFont="1" applyFill="1"/>
    <xf numFmtId="43" fontId="76" fillId="21" borderId="0" xfId="1" applyFont="1" applyFill="1"/>
    <xf numFmtId="164" fontId="75" fillId="21" borderId="0" xfId="0" applyNumberFormat="1" applyFont="1" applyFill="1"/>
    <xf numFmtId="44" fontId="73" fillId="21" borderId="18" xfId="0" applyNumberFormat="1" applyFont="1" applyFill="1" applyBorder="1"/>
    <xf numFmtId="168" fontId="73" fillId="21" borderId="0" xfId="0" applyNumberFormat="1" applyFont="1" applyFill="1"/>
    <xf numFmtId="170" fontId="73" fillId="21" borderId="0" xfId="0" applyNumberFormat="1" applyFont="1" applyFill="1"/>
    <xf numFmtId="44" fontId="73" fillId="21" borderId="0" xfId="2" applyFont="1" applyFill="1" applyBorder="1"/>
    <xf numFmtId="43" fontId="54" fillId="21" borderId="0" xfId="1" applyFont="1" applyFill="1" applyBorder="1"/>
    <xf numFmtId="43" fontId="73" fillId="21" borderId="0" xfId="1" applyFont="1" applyFill="1" applyBorder="1"/>
    <xf numFmtId="44" fontId="54" fillId="21" borderId="0" xfId="2" applyFont="1" applyFill="1" applyBorder="1"/>
    <xf numFmtId="0" fontId="61" fillId="38" borderId="0" xfId="0" applyFont="1" applyFill="1" applyAlignment="1">
      <alignment wrapText="1"/>
    </xf>
    <xf numFmtId="0" fontId="61" fillId="0" borderId="0" xfId="0" applyFont="1" applyAlignment="1">
      <alignment wrapText="1"/>
    </xf>
    <xf numFmtId="0" fontId="59" fillId="0" borderId="57" xfId="0" applyFont="1" applyBorder="1"/>
    <xf numFmtId="0" fontId="61" fillId="0" borderId="57" xfId="0" applyFont="1" applyBorder="1" applyAlignment="1">
      <alignment horizontal="center"/>
    </xf>
    <xf numFmtId="17" fontId="61" fillId="40" borderId="57" xfId="0" applyNumberFormat="1" applyFont="1" applyFill="1" applyBorder="1" applyAlignment="1">
      <alignment horizontal="center"/>
    </xf>
    <xf numFmtId="0" fontId="61" fillId="35" borderId="58" xfId="0" applyFont="1" applyFill="1" applyBorder="1" applyAlignment="1">
      <alignment horizontal="center"/>
    </xf>
    <xf numFmtId="0" fontId="61" fillId="0" borderId="59" xfId="0" applyFont="1" applyBorder="1" applyAlignment="1">
      <alignment vertical="center"/>
    </xf>
    <xf numFmtId="8" fontId="59" fillId="0" borderId="59" xfId="0" applyNumberFormat="1" applyFont="1" applyBorder="1" applyAlignment="1">
      <alignment vertical="center"/>
    </xf>
    <xf numFmtId="183" fontId="59" fillId="0" borderId="59" xfId="0" applyNumberFormat="1" applyFont="1" applyBorder="1" applyAlignment="1">
      <alignment horizontal="center" vertical="center"/>
    </xf>
    <xf numFmtId="183" fontId="59" fillId="0" borderId="59" xfId="0" applyNumberFormat="1" applyFont="1" applyBorder="1" applyAlignment="1">
      <alignment vertical="center"/>
    </xf>
    <xf numFmtId="0" fontId="79" fillId="0" borderId="60" xfId="0" applyFont="1" applyBorder="1" applyAlignment="1">
      <alignment horizontal="center"/>
    </xf>
    <xf numFmtId="9" fontId="80" fillId="0" borderId="60" xfId="0" applyNumberFormat="1" applyFont="1" applyBorder="1" applyAlignment="1">
      <alignment horizontal="center"/>
    </xf>
    <xf numFmtId="0" fontId="81" fillId="37" borderId="61" xfId="0" applyFont="1" applyFill="1" applyBorder="1"/>
    <xf numFmtId="171" fontId="81" fillId="37" borderId="58" xfId="0" applyNumberFormat="1" applyFont="1" applyFill="1" applyBorder="1"/>
    <xf numFmtId="171" fontId="81" fillId="37" borderId="61" xfId="0" applyNumberFormat="1" applyFont="1" applyFill="1" applyBorder="1"/>
    <xf numFmtId="9" fontId="81" fillId="37" borderId="58" xfId="0" applyNumberFormat="1" applyFont="1" applyFill="1" applyBorder="1"/>
    <xf numFmtId="0" fontId="81" fillId="0" borderId="62" xfId="0" applyFont="1" applyBorder="1"/>
    <xf numFmtId="44" fontId="81" fillId="0" borderId="59" xfId="0" applyNumberFormat="1" applyFont="1" applyBorder="1"/>
    <xf numFmtId="8" fontId="81" fillId="0" borderId="59" xfId="0" applyNumberFormat="1" applyFont="1" applyBorder="1"/>
    <xf numFmtId="8" fontId="81" fillId="0" borderId="62" xfId="0" applyNumberFormat="1" applyFont="1" applyBorder="1"/>
    <xf numFmtId="0" fontId="81" fillId="37" borderId="62" xfId="0" applyFont="1" applyFill="1" applyBorder="1"/>
    <xf numFmtId="10" fontId="81" fillId="37" borderId="59" xfId="0" applyNumberFormat="1" applyFont="1" applyFill="1" applyBorder="1"/>
    <xf numFmtId="0" fontId="81" fillId="37" borderId="63" xfId="0" applyFont="1" applyFill="1" applyBorder="1"/>
    <xf numFmtId="10" fontId="81" fillId="37" borderId="64" xfId="0" applyNumberFormat="1" applyFont="1" applyFill="1" applyBorder="1"/>
    <xf numFmtId="10" fontId="81" fillId="37" borderId="63" xfId="0" applyNumberFormat="1" applyFont="1" applyFill="1" applyBorder="1"/>
    <xf numFmtId="0" fontId="82" fillId="38" borderId="61" xfId="0" applyFont="1" applyFill="1" applyBorder="1"/>
    <xf numFmtId="8" fontId="82" fillId="38" borderId="58" xfId="0" applyNumberFormat="1" applyFont="1" applyFill="1" applyBorder="1"/>
    <xf numFmtId="8" fontId="82" fillId="38" borderId="61" xfId="0" applyNumberFormat="1" applyFont="1" applyFill="1" applyBorder="1"/>
    <xf numFmtId="9" fontId="82" fillId="38" borderId="58" xfId="0" applyNumberFormat="1" applyFont="1" applyFill="1" applyBorder="1"/>
    <xf numFmtId="0" fontId="82" fillId="0" borderId="62" xfId="0" applyFont="1" applyBorder="1"/>
    <xf numFmtId="44" fontId="82" fillId="0" borderId="59" xfId="0" applyNumberFormat="1" applyFont="1" applyBorder="1"/>
    <xf numFmtId="44" fontId="82" fillId="0" borderId="62" xfId="0" applyNumberFormat="1" applyFont="1" applyBorder="1"/>
    <xf numFmtId="0" fontId="82" fillId="38" borderId="62" xfId="0" applyFont="1" applyFill="1" applyBorder="1"/>
    <xf numFmtId="10" fontId="82" fillId="38" borderId="59" xfId="0" applyNumberFormat="1" applyFont="1" applyFill="1" applyBorder="1"/>
    <xf numFmtId="10" fontId="82" fillId="38" borderId="62" xfId="0" applyNumberFormat="1" applyFont="1" applyFill="1" applyBorder="1"/>
    <xf numFmtId="0" fontId="82" fillId="38" borderId="63" xfId="0" applyFont="1" applyFill="1" applyBorder="1"/>
    <xf numFmtId="10" fontId="82" fillId="38" borderId="64" xfId="0" applyNumberFormat="1" applyFont="1" applyFill="1" applyBorder="1"/>
    <xf numFmtId="10" fontId="82" fillId="38" borderId="63" xfId="0" applyNumberFormat="1" applyFont="1" applyFill="1" applyBorder="1"/>
    <xf numFmtId="0" fontId="61" fillId="41" borderId="0" xfId="0" applyFont="1" applyFill="1" applyAlignment="1">
      <alignment wrapText="1"/>
    </xf>
    <xf numFmtId="44" fontId="81" fillId="36" borderId="59" xfId="0" applyNumberFormat="1" applyFont="1" applyFill="1" applyBorder="1"/>
    <xf numFmtId="44" fontId="82" fillId="36" borderId="59" xfId="0" applyNumberFormat="1" applyFont="1" applyFill="1" applyBorder="1"/>
    <xf numFmtId="0" fontId="61" fillId="42" borderId="0" xfId="0" applyFont="1" applyFill="1" applyAlignment="1">
      <alignment wrapText="1"/>
    </xf>
    <xf numFmtId="171" fontId="81" fillId="37" borderId="64" xfId="0" applyNumberFormat="1" applyFont="1" applyFill="1" applyBorder="1"/>
    <xf numFmtId="171" fontId="81" fillId="37" borderId="63" xfId="0" applyNumberFormat="1" applyFont="1" applyFill="1" applyBorder="1"/>
    <xf numFmtId="171" fontId="0" fillId="7" borderId="0" xfId="2" applyNumberFormat="1" applyFont="1" applyFill="1"/>
    <xf numFmtId="0" fontId="0" fillId="26" borderId="0" xfId="0" applyFill="1"/>
    <xf numFmtId="44" fontId="0" fillId="26" borderId="0" xfId="0" applyNumberFormat="1" applyFill="1"/>
    <xf numFmtId="44" fontId="0" fillId="26" borderId="0" xfId="2" applyFont="1" applyFill="1"/>
    <xf numFmtId="171" fontId="0" fillId="26" borderId="0" xfId="2" applyNumberFormat="1" applyFont="1" applyFill="1"/>
    <xf numFmtId="0" fontId="0" fillId="2" borderId="2" xfId="0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17" xfId="0" applyNumberFormat="1" applyBorder="1" applyAlignment="1">
      <alignment horizontal="center"/>
    </xf>
    <xf numFmtId="0" fontId="3" fillId="21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48" fillId="0" borderId="0" xfId="0" applyFont="1" applyAlignment="1">
      <alignment horizontal="center"/>
    </xf>
    <xf numFmtId="0" fontId="48" fillId="0" borderId="32" xfId="0" applyFont="1" applyBorder="1" applyAlignment="1">
      <alignment horizontal="center"/>
    </xf>
    <xf numFmtId="0" fontId="40" fillId="0" borderId="29" xfId="0" applyFont="1" applyBorder="1" applyAlignment="1">
      <alignment horizontal="left" wrapText="1"/>
    </xf>
    <xf numFmtId="0" fontId="77" fillId="0" borderId="56" xfId="0" applyFont="1" applyBorder="1" applyAlignment="1">
      <alignment horizontal="left" wrapText="1"/>
    </xf>
    <xf numFmtId="0" fontId="78" fillId="0" borderId="56" xfId="0" applyFont="1" applyBorder="1"/>
    <xf numFmtId="0" fontId="7" fillId="13" borderId="0" xfId="0" applyFont="1" applyFill="1" applyAlignment="1">
      <alignment horizontal="center" vertical="center"/>
    </xf>
    <xf numFmtId="0" fontId="5" fillId="5" borderId="3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7" fillId="10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83" fillId="0" borderId="0" xfId="0" applyFont="1" applyAlignment="1">
      <alignment horizontal="left" indent="5"/>
    </xf>
  </cellXfs>
  <cellStyles count="9">
    <cellStyle name="Comma" xfId="1" builtinId="3"/>
    <cellStyle name="Currency" xfId="2" builtinId="4"/>
    <cellStyle name="Currency 2" xfId="4" xr:uid="{0BE44622-9F63-2547-A580-A6F97D49006E}"/>
    <cellStyle name="Currency 3" xfId="5" xr:uid="{70EF9E4A-64C6-414B-A3F7-12A48F4C3D10}"/>
    <cellStyle name="Hyperlink" xfId="6" builtinId="8"/>
    <cellStyle name="Normal" xfId="0" builtinId="0"/>
    <cellStyle name="Normal 2" xfId="7" xr:uid="{90376AC1-60F4-0046-B728-ECF30D969DCB}"/>
    <cellStyle name="Normal 3" xfId="8" xr:uid="{43CA487C-B2DA-724D-A5FB-73EAA9BFFAE9}"/>
    <cellStyle name="Percent" xfId="3" builtinId="5"/>
  </cellStyles>
  <dxfs count="0"/>
  <tableStyles count="0" defaultTableStyle="TableStyleMedium2" defaultPivotStyle="PivotStyleLight16"/>
  <colors>
    <mruColors>
      <color rgb="FFF9F0C0"/>
      <color rgb="FFFFBF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pepisavalos/Library/CloudStorage/GoogleDrive-mariajosefa@kinedu.com/My%20Drive/Presupuesto%20y%20Finanzas/2025/Budget%202025/Cost%20Budget/Budget%20Areas%202025%20DRAFT.xlsx" TargetMode="External"/><Relationship Id="rId2" Type="http://schemas.openxmlformats.org/officeDocument/2006/relationships/externalLinkPath" Target="/Users/pepisavalos/Library/CloudStorage/GoogleDrive-mariajosefa@kinedu.com/My%20Drive/Presupuesto%20y%20Finanzas/2025/Budget%202025/Cost%20Budget/Budget%20Areas%202025%20DRAFT.xlsx" TargetMode="External"/><Relationship Id="rId1" Type="http://schemas.openxmlformats.org/officeDocument/2006/relationships/externalLinkPath" Target="/Users/pepisavalos/Library/CloudStorage/GoogleDrive-mariajosefa@kinedu.com/My%20Drive/Presupuesto%20y%20Finanzas/2025/Budget%202025/Cost%20Budget/Budget%20Areas%202025%20DRAFT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pepisavalos/Library/CloudStorage/GoogleDrive-mariajosefa@kinedu.com/My%20Drive/Presupuesto%20y%20Finanzas/Presupuesto%202023/BE%20Model%20vF%202023.xlsx" TargetMode="External"/><Relationship Id="rId2" Type="http://schemas.openxmlformats.org/officeDocument/2006/relationships/externalLinkPath" Target="/Users/pepisavalos/Library/CloudStorage/GoogleDrive-mariajosefa@kinedu.com/My%20Drive/Presupuesto%20y%20Finanzas/Presupuesto%202023/BE%20Model%20vF%202023.xlsx" TargetMode="External"/><Relationship Id="rId1" Type="http://schemas.openxmlformats.org/officeDocument/2006/relationships/externalLinkPath" Target="/Users/pepisavalos/Library/CloudStorage/GoogleDrive-mariajosefa@kinedu.com/My%20Drive/Presupuesto%20y%20Finanzas/Presupuesto%202023/BE%20Model%20vF%202023.xlsx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pepisavalos/Downloads/Budget%202025_RE%20(2).xlsx" TargetMode="External"/><Relationship Id="rId2" Type="http://schemas.openxmlformats.org/officeDocument/2006/relationships/externalLinkPath" Target="/Users/pepisavalos/Downloads/Budget%202025_RE%20(2).xlsx" TargetMode="External"/><Relationship Id="rId1" Type="http://schemas.openxmlformats.org/officeDocument/2006/relationships/externalLinkPath" Target="/Users/pepisavalos/Downloads/Budget%202025_RE%20(2)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episavalos/Library/CloudStorage/GoogleDrive-mariajosefa@kinedu.com/My%20Drive/Presupuesto%20y%20Finanzas/2026/Budget%202026/Budget%202026%20CASH%20-%20final.xlsm" TargetMode="External"/><Relationship Id="rId1" Type="http://schemas.openxmlformats.org/officeDocument/2006/relationships/externalLinkPath" Target="Budget%202026%20CASH%20-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. Assumptions"/>
      <sheetName val="Instructions"/>
      <sheetName val="Admon 2025"/>
      <sheetName val="Marketing 2025"/>
      <sheetName val="Product 2025"/>
      <sheetName val="Tech 2025"/>
      <sheetName val="Content 2025"/>
      <sheetName val="Account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esults"/>
      <sheetName val="Dashboard Costs"/>
      <sheetName val="Model"/>
      <sheetName val="Historical KPIs"/>
      <sheetName val="Historical P&amp;L"/>
      <sheetName val="Historical P&amp;L - MRR"/>
      <sheetName val="LTR Sensitivity"/>
      <sheetName val="Accounts"/>
      <sheetName val="Travel"/>
      <sheetName val="C. Assumptions"/>
      <sheetName val="Aumentos"/>
      <sheetName val="CORP ADM"/>
      <sheetName val="PRO"/>
      <sheetName val="CREC"/>
      <sheetName val="TECH"/>
      <sheetName val="Consolidated"/>
      <sheetName val="BR"/>
      <sheetName val="Live Progra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upuestos"/>
      <sheetName val="Results CASH"/>
      <sheetName val="Model"/>
      <sheetName val="C. Assumptions"/>
      <sheetName val="24-Operational Dashboard"/>
      <sheetName val="Dashboard Costs"/>
      <sheetName val="Consolidated Gastos"/>
      <sheetName val="Admon 2025"/>
      <sheetName val="Product 2025"/>
      <sheetName val="Tech 2025"/>
      <sheetName val="Content 2025"/>
      <sheetName val="Marketing 2025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4-Operational Dashboard"/>
      <sheetName val="CONSEJO"/>
      <sheetName val="Results CASH"/>
      <sheetName val="Prev. analysis"/>
      <sheetName val="Supuestos"/>
      <sheetName val="Escenarios BD"/>
      <sheetName val="Model"/>
      <sheetName val="Consolidated Costs"/>
      <sheetName val="BizOps 2026"/>
      <sheetName val="Product 2026"/>
      <sheetName val="Tech 2026"/>
      <sheetName val="Marketing 2025"/>
      <sheetName val="Content 2026"/>
      <sheetName val="Salary Increases"/>
      <sheetName val="Accounts"/>
      <sheetName val="AHORR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9">
          <cell r="M9">
            <v>18.5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FD2FE1E-368A-3942-B3BE-FB1C5DDCE340}">
  <we:reference id="wa200009404" version="1.0.0.8" store="en-US" storeType="OMEX"/>
  <we:alternateReferences>
    <we:reference id="wa200009404" version="1.0.0.8" store="en-US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us-east-1.online.tableau.com/" TargetMode="External"/><Relationship Id="rId2" Type="http://schemas.openxmlformats.org/officeDocument/2006/relationships/hyperlink" Target="https://us-east-1.online.tableau.com/" TargetMode="External"/><Relationship Id="rId1" Type="http://schemas.openxmlformats.org/officeDocument/2006/relationships/hyperlink" Target="https://us-east-1.online.tableau.com/" TargetMode="External"/><Relationship Id="rId4" Type="http://schemas.openxmlformats.org/officeDocument/2006/relationships/hyperlink" Target="https://us-east-1.online.tableau.com/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A862-BAF7-7F45-8C30-8EFEEE4043A4}">
  <sheetPr codeName="Sheet1"/>
  <dimension ref="B1:BJ70"/>
  <sheetViews>
    <sheetView showGridLines="0" zoomScale="75" workbookViewId="0">
      <selection activeCell="R20" sqref="R20"/>
    </sheetView>
  </sheetViews>
  <sheetFormatPr baseColWidth="10" defaultColWidth="8.83203125" defaultRowHeight="16"/>
  <cols>
    <col min="2" max="2" width="35" customWidth="1"/>
    <col min="3" max="11" width="8.83203125" bestFit="1" customWidth="1"/>
    <col min="13" max="13" width="12.5" customWidth="1"/>
    <col min="14" max="14" width="9.1640625" bestFit="1" customWidth="1"/>
    <col min="15" max="15" width="9.1640625" customWidth="1"/>
    <col min="17" max="17" width="29.5" customWidth="1"/>
    <col min="18" max="18" width="8" bestFit="1" customWidth="1"/>
    <col min="28" max="29" width="9.1640625" bestFit="1" customWidth="1"/>
    <col min="30" max="30" width="6.33203125" customWidth="1"/>
    <col min="31" max="31" width="16.83203125" bestFit="1" customWidth="1"/>
    <col min="32" max="32" width="29.5" customWidth="1"/>
    <col min="33" max="33" width="8" bestFit="1" customWidth="1"/>
    <col min="43" max="44" width="9.1640625" bestFit="1" customWidth="1"/>
    <col min="51" max="51" width="9.33203125" bestFit="1" customWidth="1"/>
    <col min="62" max="62" width="9.1640625" bestFit="1" customWidth="1"/>
  </cols>
  <sheetData>
    <row r="1" spans="2:62"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X1" s="25"/>
      <c r="AY1" s="25"/>
      <c r="AZ1" s="25"/>
      <c r="BA1" s="25"/>
      <c r="BB1" s="25"/>
      <c r="BC1" s="93"/>
      <c r="BD1" s="93"/>
      <c r="BE1" s="93"/>
      <c r="BF1" s="93"/>
      <c r="BG1" s="93"/>
      <c r="BH1" s="93"/>
    </row>
    <row r="2" spans="2:62">
      <c r="B2" s="207" t="s">
        <v>209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Q2" s="208" t="s">
        <v>210</v>
      </c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F2" s="209" t="s">
        <v>62</v>
      </c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X2" s="210" t="s">
        <v>209</v>
      </c>
      <c r="AY2" s="210"/>
      <c r="AZ2" s="25"/>
      <c r="BA2" s="25"/>
      <c r="BB2" s="25"/>
      <c r="BC2" s="211" t="s">
        <v>210</v>
      </c>
      <c r="BD2" s="93"/>
      <c r="BE2" s="93"/>
      <c r="BF2" s="93"/>
      <c r="BG2" s="93"/>
      <c r="BH2" s="93"/>
    </row>
    <row r="3" spans="2:62">
      <c r="B3" s="775">
        <v>2024</v>
      </c>
      <c r="C3" s="775"/>
      <c r="D3" s="775"/>
      <c r="E3" s="775"/>
      <c r="F3" s="775"/>
      <c r="G3" s="775"/>
      <c r="H3" s="775"/>
      <c r="I3" s="775"/>
      <c r="J3" s="775"/>
      <c r="K3" s="775"/>
      <c r="L3" s="775"/>
      <c r="M3" s="775"/>
      <c r="N3" s="775"/>
      <c r="O3" s="212"/>
      <c r="Q3" s="775">
        <v>2024</v>
      </c>
      <c r="R3" s="775"/>
      <c r="S3" s="775"/>
      <c r="T3" s="775"/>
      <c r="U3" s="775"/>
      <c r="V3" s="775"/>
      <c r="W3" s="775"/>
      <c r="X3" s="775"/>
      <c r="Y3" s="775"/>
      <c r="Z3" s="775"/>
      <c r="AA3" s="775"/>
      <c r="AB3" s="775"/>
      <c r="AC3" s="775"/>
      <c r="AF3" s="775">
        <v>2024</v>
      </c>
      <c r="AG3" s="775"/>
      <c r="AH3" s="775"/>
      <c r="AI3" s="775"/>
      <c r="AJ3" s="775"/>
      <c r="AK3" s="775"/>
      <c r="AL3" s="775"/>
      <c r="AM3" s="775"/>
      <c r="AN3" s="775"/>
      <c r="AO3" s="775"/>
      <c r="AP3" s="775"/>
      <c r="AQ3" s="775"/>
      <c r="AR3" s="775"/>
      <c r="AX3" s="775">
        <v>2024</v>
      </c>
      <c r="AY3" s="775"/>
      <c r="AZ3" s="775"/>
      <c r="BA3" s="775"/>
      <c r="BB3" s="775"/>
      <c r="BC3" s="775"/>
      <c r="BD3" s="775"/>
      <c r="BE3" s="775"/>
      <c r="BF3" s="775"/>
      <c r="BG3" s="775"/>
      <c r="BH3" s="775"/>
    </row>
    <row r="4" spans="2:62"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212"/>
      <c r="Q4" s="212"/>
      <c r="R4" s="212"/>
      <c r="S4" s="212"/>
      <c r="T4" s="212"/>
      <c r="U4" s="212"/>
      <c r="V4" s="212"/>
      <c r="W4" s="212"/>
      <c r="X4" s="212"/>
      <c r="Y4" s="212"/>
      <c r="Z4" s="212"/>
      <c r="AA4" s="212"/>
      <c r="AB4" s="212"/>
      <c r="AC4" s="212"/>
      <c r="AF4" s="212"/>
      <c r="AG4" s="212"/>
      <c r="AH4" s="212"/>
      <c r="AI4" s="212"/>
      <c r="AJ4" s="212"/>
      <c r="AK4" s="212"/>
      <c r="AL4" s="212"/>
      <c r="AM4" s="212"/>
      <c r="AN4" s="212"/>
      <c r="AO4" s="212"/>
      <c r="AP4" s="212"/>
      <c r="AQ4" s="212"/>
      <c r="AR4" s="212"/>
    </row>
    <row r="5" spans="2:62">
      <c r="C5" s="213" t="s">
        <v>211</v>
      </c>
      <c r="D5" s="213" t="s">
        <v>212</v>
      </c>
      <c r="E5" s="213" t="s">
        <v>213</v>
      </c>
      <c r="F5" s="213" t="s">
        <v>214</v>
      </c>
      <c r="G5" s="213" t="s">
        <v>215</v>
      </c>
      <c r="H5" s="213" t="s">
        <v>216</v>
      </c>
      <c r="I5" s="213" t="s">
        <v>217</v>
      </c>
      <c r="J5" s="213" t="s">
        <v>218</v>
      </c>
      <c r="K5" s="213" t="s">
        <v>219</v>
      </c>
      <c r="M5" s="771" t="s">
        <v>220</v>
      </c>
      <c r="N5" s="771"/>
      <c r="O5" s="214"/>
      <c r="R5" s="213" t="s">
        <v>211</v>
      </c>
      <c r="S5" s="213" t="s">
        <v>212</v>
      </c>
      <c r="T5" s="213" t="s">
        <v>213</v>
      </c>
      <c r="U5" s="213" t="s">
        <v>214</v>
      </c>
      <c r="V5" s="213" t="s">
        <v>215</v>
      </c>
      <c r="W5" s="213" t="s">
        <v>216</v>
      </c>
      <c r="X5" s="213" t="s">
        <v>217</v>
      </c>
      <c r="Y5" s="213" t="s">
        <v>218</v>
      </c>
      <c r="Z5" s="213" t="s">
        <v>219</v>
      </c>
      <c r="AB5" s="771" t="s">
        <v>220</v>
      </c>
      <c r="AC5" s="771"/>
      <c r="AG5" s="213" t="s">
        <v>211</v>
      </c>
      <c r="AH5" s="213" t="s">
        <v>212</v>
      </c>
      <c r="AI5" s="213" t="s">
        <v>213</v>
      </c>
      <c r="AJ5" s="213" t="s">
        <v>214</v>
      </c>
      <c r="AK5" s="213" t="s">
        <v>215</v>
      </c>
      <c r="AL5" s="213" t="s">
        <v>216</v>
      </c>
      <c r="AM5" s="213" t="s">
        <v>217</v>
      </c>
      <c r="AN5" s="213" t="s">
        <v>218</v>
      </c>
      <c r="AO5" s="213" t="s">
        <v>219</v>
      </c>
      <c r="AP5" s="215">
        <v>37165</v>
      </c>
      <c r="AS5" s="771" t="s">
        <v>220</v>
      </c>
      <c r="AT5" s="771"/>
      <c r="AX5" s="5" t="s">
        <v>221</v>
      </c>
    </row>
    <row r="6" spans="2:62">
      <c r="B6" s="216" t="s">
        <v>222</v>
      </c>
      <c r="C6" s="217">
        <v>132217.42000000001</v>
      </c>
      <c r="D6" s="217">
        <v>128554.14</v>
      </c>
      <c r="E6" s="217">
        <v>140847.47999999998</v>
      </c>
      <c r="F6" s="217">
        <v>134397.11000000002</v>
      </c>
      <c r="G6" s="217">
        <v>132917.930005</v>
      </c>
      <c r="H6" s="217">
        <v>143607.28999899997</v>
      </c>
      <c r="I6" s="217">
        <v>155557.66999900001</v>
      </c>
      <c r="J6" s="217">
        <v>144227.56000300002</v>
      </c>
      <c r="K6" s="217">
        <v>126653.89051099999</v>
      </c>
      <c r="M6" s="773">
        <f>+AVERAGE(C6:K6)</f>
        <v>137664.49894633333</v>
      </c>
      <c r="N6" s="774"/>
      <c r="O6" s="218"/>
      <c r="Q6" s="216" t="s">
        <v>222</v>
      </c>
      <c r="R6" s="217">
        <v>19973.990000000002</v>
      </c>
      <c r="S6" s="217">
        <v>18756.680001000001</v>
      </c>
      <c r="T6" s="217">
        <v>18112.150000000001</v>
      </c>
      <c r="U6" s="217">
        <v>18294.52</v>
      </c>
      <c r="V6" s="217">
        <v>13806.050000000001</v>
      </c>
      <c r="W6" s="217">
        <v>16704.619999999995</v>
      </c>
      <c r="X6" s="217">
        <v>17896.179999999997</v>
      </c>
      <c r="Y6" s="217">
        <v>23103.840000999997</v>
      </c>
      <c r="Z6" s="217">
        <v>23327.840633999993</v>
      </c>
      <c r="AB6" s="773">
        <f>+AVERAGE(R6:Z6)</f>
        <v>18886.207848444443</v>
      </c>
      <c r="AC6" s="774"/>
      <c r="AF6" s="216" t="s">
        <v>222</v>
      </c>
      <c r="AG6" s="217">
        <v>0</v>
      </c>
      <c r="AH6" s="217">
        <v>0</v>
      </c>
      <c r="AI6" s="217">
        <v>0</v>
      </c>
      <c r="AJ6" s="217">
        <v>0</v>
      </c>
      <c r="AK6" s="217">
        <v>0</v>
      </c>
      <c r="AL6" s="217">
        <v>0</v>
      </c>
      <c r="AM6" s="217">
        <v>0</v>
      </c>
      <c r="AN6" s="217">
        <v>1965.37</v>
      </c>
      <c r="AO6" s="217">
        <v>7785.9172029999991</v>
      </c>
      <c r="AP6" s="217">
        <v>3897.4800000000005</v>
      </c>
      <c r="AS6" s="773">
        <f>+AVERAGE(AN6:AP6)</f>
        <v>4549.5890676666668</v>
      </c>
      <c r="AT6" s="774"/>
      <c r="AX6" s="219"/>
      <c r="AY6" s="215">
        <v>36892</v>
      </c>
      <c r="AZ6" s="215">
        <v>36923</v>
      </c>
      <c r="BA6" s="215">
        <v>36951</v>
      </c>
      <c r="BB6" s="215">
        <v>36982</v>
      </c>
      <c r="BC6" s="215">
        <v>37012</v>
      </c>
      <c r="BD6" s="215">
        <v>37043</v>
      </c>
      <c r="BE6" s="215">
        <v>37073</v>
      </c>
      <c r="BF6" s="215">
        <v>37104</v>
      </c>
      <c r="BG6" s="215">
        <v>37135</v>
      </c>
      <c r="BH6" s="215">
        <v>37165</v>
      </c>
    </row>
    <row r="7" spans="2:62">
      <c r="B7" s="216" t="s">
        <v>223</v>
      </c>
      <c r="C7" s="220">
        <v>79568</v>
      </c>
      <c r="D7" s="220">
        <v>73450</v>
      </c>
      <c r="E7" s="220">
        <v>67047</v>
      </c>
      <c r="F7" s="220">
        <v>52899</v>
      </c>
      <c r="G7" s="220">
        <v>56301</v>
      </c>
      <c r="H7" s="220">
        <v>63617</v>
      </c>
      <c r="I7" s="220">
        <v>73784</v>
      </c>
      <c r="J7" s="220">
        <v>70583</v>
      </c>
      <c r="K7" s="220">
        <v>63273</v>
      </c>
      <c r="Q7" s="216" t="s">
        <v>223</v>
      </c>
      <c r="R7" s="220">
        <v>57854</v>
      </c>
      <c r="S7" s="220">
        <v>46701</v>
      </c>
      <c r="T7" s="220">
        <v>39262</v>
      </c>
      <c r="U7" s="220">
        <v>37173</v>
      </c>
      <c r="V7" s="220">
        <v>33397</v>
      </c>
      <c r="W7" s="220">
        <v>35437</v>
      </c>
      <c r="X7" s="220">
        <v>35090</v>
      </c>
      <c r="Y7" s="220">
        <v>40890</v>
      </c>
      <c r="Z7" s="220">
        <v>34539</v>
      </c>
      <c r="AF7" s="216" t="s">
        <v>223</v>
      </c>
      <c r="AG7" s="220">
        <v>0</v>
      </c>
      <c r="AH7" s="220">
        <v>0</v>
      </c>
      <c r="AI7" s="220">
        <v>0</v>
      </c>
      <c r="AJ7" s="220">
        <v>0</v>
      </c>
      <c r="AK7" s="220">
        <v>0</v>
      </c>
      <c r="AL7" s="220">
        <v>0</v>
      </c>
      <c r="AM7" s="220">
        <v>0</v>
      </c>
      <c r="AN7" s="220">
        <v>0</v>
      </c>
      <c r="AO7" s="220">
        <v>0</v>
      </c>
      <c r="AP7" s="220">
        <v>0</v>
      </c>
      <c r="AX7" s="216" t="s">
        <v>222</v>
      </c>
      <c r="AY7" s="217">
        <v>152191.41</v>
      </c>
      <c r="AZ7" s="217">
        <v>147310.82000099996</v>
      </c>
      <c r="BA7" s="217">
        <v>158959.63</v>
      </c>
      <c r="BB7" s="217">
        <v>152691.62999999998</v>
      </c>
      <c r="BC7" s="217">
        <v>146723.98000499999</v>
      </c>
      <c r="BD7" s="217">
        <v>160311.909999</v>
      </c>
      <c r="BE7" s="217">
        <v>173453.84999900003</v>
      </c>
      <c r="BF7" s="217">
        <v>167331.400004</v>
      </c>
      <c r="BG7" s="217">
        <v>149981.73114500006</v>
      </c>
      <c r="BH7" s="217">
        <v>141850.00491899997</v>
      </c>
      <c r="BJ7" s="221"/>
    </row>
    <row r="8" spans="2:62">
      <c r="B8" s="216" t="s">
        <v>224</v>
      </c>
      <c r="C8" s="222">
        <v>1.6616908807560831</v>
      </c>
      <c r="D8" s="222">
        <v>1.7502265486725663</v>
      </c>
      <c r="E8" s="222">
        <v>2.100727549331066</v>
      </c>
      <c r="F8" s="222">
        <v>2.5406361178850263</v>
      </c>
      <c r="G8" s="222">
        <v>2.3608449229143353</v>
      </c>
      <c r="H8" s="222">
        <v>2.2573728720153414</v>
      </c>
      <c r="I8" s="222">
        <v>2.1082845874308793</v>
      </c>
      <c r="J8" s="222">
        <v>2.0433753170451809</v>
      </c>
      <c r="K8" s="222">
        <v>2.001705158772304</v>
      </c>
      <c r="M8" s="771" t="s">
        <v>35</v>
      </c>
      <c r="N8" s="771"/>
      <c r="O8" s="214"/>
      <c r="Q8" s="216" t="s">
        <v>224</v>
      </c>
      <c r="R8" s="222">
        <v>0.34524821101393166</v>
      </c>
      <c r="S8" s="222">
        <v>0.4016333697565363</v>
      </c>
      <c r="T8" s="222">
        <v>0.46131501197086244</v>
      </c>
      <c r="U8" s="222">
        <v>0.49214537433083155</v>
      </c>
      <c r="V8" s="222">
        <v>0.41339192143006859</v>
      </c>
      <c r="W8" s="222">
        <v>0.47138922595027782</v>
      </c>
      <c r="X8" s="222">
        <v>0.51000797948133358</v>
      </c>
      <c r="Y8" s="222">
        <v>0.5650242113230618</v>
      </c>
      <c r="Z8" s="222">
        <v>0.67540579153999802</v>
      </c>
      <c r="AB8" s="771" t="s">
        <v>35</v>
      </c>
      <c r="AC8" s="771"/>
      <c r="AF8" s="216" t="s">
        <v>224</v>
      </c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S8" s="771" t="s">
        <v>35</v>
      </c>
      <c r="AT8" s="771"/>
      <c r="AX8" s="216" t="s">
        <v>223</v>
      </c>
      <c r="AY8" s="220">
        <v>137422</v>
      </c>
      <c r="AZ8" s="220">
        <v>120151</v>
      </c>
      <c r="BA8" s="220">
        <v>106309</v>
      </c>
      <c r="BB8" s="220">
        <v>90072</v>
      </c>
      <c r="BC8" s="220">
        <v>89698</v>
      </c>
      <c r="BD8" s="220">
        <v>99054</v>
      </c>
      <c r="BE8" s="220">
        <v>108874</v>
      </c>
      <c r="BF8" s="220">
        <v>111473</v>
      </c>
      <c r="BG8" s="220">
        <v>97812</v>
      </c>
      <c r="BH8" s="220">
        <v>125777</v>
      </c>
    </row>
    <row r="9" spans="2:62">
      <c r="B9" s="216" t="s">
        <v>64</v>
      </c>
      <c r="C9" s="220">
        <v>59830</v>
      </c>
      <c r="D9" s="220">
        <v>52071</v>
      </c>
      <c r="E9" s="220">
        <v>50071</v>
      </c>
      <c r="F9" s="220">
        <v>45602</v>
      </c>
      <c r="G9" s="220">
        <v>47768</v>
      </c>
      <c r="H9" s="220">
        <v>53151</v>
      </c>
      <c r="I9" s="220">
        <v>62438</v>
      </c>
      <c r="J9" s="220">
        <v>60559</v>
      </c>
      <c r="K9" s="220">
        <v>53620</v>
      </c>
      <c r="M9" s="223" t="s">
        <v>225</v>
      </c>
      <c r="N9" s="224" t="s">
        <v>226</v>
      </c>
      <c r="O9" s="214"/>
      <c r="Q9" s="216" t="s">
        <v>64</v>
      </c>
      <c r="R9" s="220">
        <v>48269</v>
      </c>
      <c r="S9" s="220">
        <v>39776</v>
      </c>
      <c r="T9" s="220">
        <v>32198</v>
      </c>
      <c r="U9" s="220">
        <v>31066</v>
      </c>
      <c r="V9" s="220">
        <v>27273</v>
      </c>
      <c r="W9" s="220">
        <v>31258</v>
      </c>
      <c r="X9" s="220">
        <v>29180</v>
      </c>
      <c r="Y9" s="220">
        <v>35633</v>
      </c>
      <c r="Z9" s="220">
        <v>30419</v>
      </c>
      <c r="AB9" s="223" t="s">
        <v>225</v>
      </c>
      <c r="AC9" s="224" t="s">
        <v>226</v>
      </c>
      <c r="AF9" s="216" t="s">
        <v>64</v>
      </c>
      <c r="AG9" s="220">
        <v>203</v>
      </c>
      <c r="AH9" s="220">
        <v>161</v>
      </c>
      <c r="AI9" s="220">
        <v>162</v>
      </c>
      <c r="AJ9" s="220">
        <v>150</v>
      </c>
      <c r="AK9" s="220">
        <v>138</v>
      </c>
      <c r="AL9" s="220">
        <v>140</v>
      </c>
      <c r="AM9" s="220">
        <v>125</v>
      </c>
      <c r="AN9" s="220">
        <v>119</v>
      </c>
      <c r="AO9" s="220">
        <v>108</v>
      </c>
      <c r="AP9" s="220">
        <v>138</v>
      </c>
      <c r="AS9" s="223" t="s">
        <v>225</v>
      </c>
      <c r="AT9" s="224" t="s">
        <v>226</v>
      </c>
      <c r="AX9" s="216" t="s">
        <v>224</v>
      </c>
      <c r="AY9" s="222">
        <v>1.1074748584651657</v>
      </c>
      <c r="AZ9" s="222">
        <v>1.2260473903754439</v>
      </c>
      <c r="BA9" s="222">
        <v>1.4952603260307218</v>
      </c>
      <c r="BB9" s="222">
        <v>1.6952174926725283</v>
      </c>
      <c r="BC9" s="222">
        <v>1.6357553123258042</v>
      </c>
      <c r="BD9" s="222">
        <v>1.6184294425162031</v>
      </c>
      <c r="BE9" s="222">
        <v>1.5931613608299504</v>
      </c>
      <c r="BF9" s="222">
        <v>1.5010935383814914</v>
      </c>
      <c r="BG9" s="222">
        <v>1.53336738994193</v>
      </c>
      <c r="BH9" s="222">
        <v>1.1277896985855917</v>
      </c>
    </row>
    <row r="10" spans="2:62" s="170" customFormat="1">
      <c r="B10" s="277" t="s">
        <v>227</v>
      </c>
      <c r="C10" s="283">
        <v>2.2098850075213106</v>
      </c>
      <c r="D10" s="283">
        <v>2.4688241055481939</v>
      </c>
      <c r="E10" s="283">
        <v>2.8129552036108723</v>
      </c>
      <c r="F10" s="283">
        <v>2.9471757817639581</v>
      </c>
      <c r="G10" s="283">
        <v>2.7825726428780775</v>
      </c>
      <c r="H10" s="283">
        <v>2.7018737182555355</v>
      </c>
      <c r="I10" s="283">
        <v>2.4913941830135493</v>
      </c>
      <c r="J10" s="283">
        <v>2.3816040555986726</v>
      </c>
      <c r="K10" s="283">
        <v>2.3620643511935842</v>
      </c>
      <c r="M10" s="284">
        <f>+MIN(C10:K10)</f>
        <v>2.2098850075213106</v>
      </c>
      <c r="N10" s="284">
        <f>+MAX(C10:K10)</f>
        <v>2.9471757817639581</v>
      </c>
      <c r="O10" s="285"/>
      <c r="Q10" s="277" t="s">
        <v>227</v>
      </c>
      <c r="R10" s="283">
        <v>0.41380575524663865</v>
      </c>
      <c r="S10" s="283">
        <v>0.47155772327534196</v>
      </c>
      <c r="T10" s="283">
        <v>0.56252406981800118</v>
      </c>
      <c r="U10" s="283">
        <v>0.58889203630979203</v>
      </c>
      <c r="V10" s="283">
        <v>0.50621677116562169</v>
      </c>
      <c r="W10" s="283">
        <v>0.53441103077612118</v>
      </c>
      <c r="X10" s="283">
        <v>0.61330294722412604</v>
      </c>
      <c r="Y10" s="283">
        <v>0.64838324028288374</v>
      </c>
      <c r="Z10" s="283">
        <v>0.76688387632729516</v>
      </c>
      <c r="AB10" s="284">
        <f>+MIN(R10:Z10)</f>
        <v>0.41380575524663865</v>
      </c>
      <c r="AC10" s="284">
        <f>+MAX(R10:Z10)</f>
        <v>0.76688387632729516</v>
      </c>
      <c r="AF10" s="277" t="s">
        <v>227</v>
      </c>
      <c r="AG10" s="283">
        <v>0</v>
      </c>
      <c r="AH10" s="283">
        <v>0</v>
      </c>
      <c r="AI10" s="283">
        <v>0</v>
      </c>
      <c r="AJ10" s="283">
        <v>0</v>
      </c>
      <c r="AK10" s="283">
        <v>0</v>
      </c>
      <c r="AL10" s="283">
        <v>0</v>
      </c>
      <c r="AM10" s="283">
        <v>0</v>
      </c>
      <c r="AN10" s="286">
        <v>16.515714285714285</v>
      </c>
      <c r="AO10" s="286">
        <v>72.09182595370369</v>
      </c>
      <c r="AP10" s="286">
        <v>28.242608695652176</v>
      </c>
      <c r="AS10" s="284">
        <f>+MIN(AN10:AP10)</f>
        <v>16.515714285714285</v>
      </c>
      <c r="AT10" s="284">
        <f>+MAX(AN10:AP10)</f>
        <v>72.09182595370369</v>
      </c>
      <c r="AX10" s="279" t="s">
        <v>64</v>
      </c>
      <c r="AY10" s="278">
        <v>108098</v>
      </c>
      <c r="AZ10" s="278">
        <v>91844</v>
      </c>
      <c r="BA10" s="278">
        <v>82269</v>
      </c>
      <c r="BB10" s="278">
        <v>76663</v>
      </c>
      <c r="BC10" s="278">
        <v>75038</v>
      </c>
      <c r="BD10" s="278">
        <v>84407</v>
      </c>
      <c r="BE10" s="278">
        <v>91610</v>
      </c>
      <c r="BF10" s="278">
        <v>96190</v>
      </c>
      <c r="BG10" s="278">
        <v>84040</v>
      </c>
      <c r="BH10" s="278">
        <v>117693</v>
      </c>
    </row>
    <row r="11" spans="2:62">
      <c r="B11" s="216" t="s">
        <v>228</v>
      </c>
      <c r="C11" s="220">
        <v>12357</v>
      </c>
      <c r="D11" s="220">
        <v>11019</v>
      </c>
      <c r="E11" s="220">
        <v>10743</v>
      </c>
      <c r="F11" s="220">
        <v>9391</v>
      </c>
      <c r="G11" s="220">
        <v>9981</v>
      </c>
      <c r="H11" s="220">
        <v>11359</v>
      </c>
      <c r="I11" s="220">
        <v>14095</v>
      </c>
      <c r="J11" s="220">
        <v>13480</v>
      </c>
      <c r="K11" s="220">
        <v>11485</v>
      </c>
      <c r="Q11" s="216" t="s">
        <v>228</v>
      </c>
      <c r="R11" s="220">
        <v>1186</v>
      </c>
      <c r="S11" s="220">
        <v>811</v>
      </c>
      <c r="T11" s="220">
        <v>82</v>
      </c>
      <c r="U11" s="220">
        <v>24</v>
      </c>
      <c r="V11" s="220">
        <v>33</v>
      </c>
      <c r="W11" s="220">
        <v>11</v>
      </c>
      <c r="X11" s="220">
        <v>10</v>
      </c>
      <c r="Y11" s="220">
        <v>23</v>
      </c>
      <c r="Z11" s="220">
        <v>102</v>
      </c>
      <c r="AF11" s="216" t="s">
        <v>228</v>
      </c>
      <c r="AG11" s="220">
        <v>28</v>
      </c>
      <c r="AH11" s="220">
        <v>11</v>
      </c>
      <c r="AI11" s="220">
        <v>19</v>
      </c>
      <c r="AJ11" s="220">
        <v>12</v>
      </c>
      <c r="AK11" s="220">
        <v>13</v>
      </c>
      <c r="AL11" s="220">
        <v>12</v>
      </c>
      <c r="AM11" s="220">
        <v>12</v>
      </c>
      <c r="AN11" s="220">
        <v>11</v>
      </c>
      <c r="AO11" s="220">
        <v>13</v>
      </c>
      <c r="AP11" s="220">
        <v>11</v>
      </c>
      <c r="AX11" s="216" t="s">
        <v>227</v>
      </c>
      <c r="AY11" s="226">
        <v>1.4079021813539567</v>
      </c>
      <c r="AZ11" s="226">
        <v>1.6039242628914241</v>
      </c>
      <c r="BA11" s="226">
        <v>1.9321935358397453</v>
      </c>
      <c r="BB11" s="226">
        <v>1.9917252129449665</v>
      </c>
      <c r="BC11" s="226">
        <v>1.9553290333564326</v>
      </c>
      <c r="BD11" s="226">
        <v>1.8992726906417714</v>
      </c>
      <c r="BE11" s="226">
        <v>1.8933942800895103</v>
      </c>
      <c r="BF11" s="226">
        <v>1.7395924732716499</v>
      </c>
      <c r="BG11" s="226">
        <v>1.784646967455974</v>
      </c>
      <c r="BH11" s="226">
        <v>1.2052543899722157</v>
      </c>
    </row>
    <row r="12" spans="2:62">
      <c r="B12" s="216" t="s">
        <v>229</v>
      </c>
      <c r="C12" s="227">
        <v>10.699799304038198</v>
      </c>
      <c r="D12" s="227">
        <v>11.666588619656956</v>
      </c>
      <c r="E12" s="227">
        <v>13.110628316112816</v>
      </c>
      <c r="F12" s="227">
        <v>14.311267170695348</v>
      </c>
      <c r="G12" s="227">
        <v>13.31709548191564</v>
      </c>
      <c r="H12" s="227">
        <v>12.642599700589837</v>
      </c>
      <c r="I12" s="227">
        <v>11.036372472437035</v>
      </c>
      <c r="J12" s="227">
        <v>10.69937388746291</v>
      </c>
      <c r="K12" s="227">
        <v>11.027765825946886</v>
      </c>
      <c r="M12" s="771" t="s">
        <v>230</v>
      </c>
      <c r="N12" s="771"/>
      <c r="O12" s="214"/>
      <c r="Q12" s="216" t="s">
        <v>229</v>
      </c>
      <c r="R12" s="227">
        <v>16.841475548060711</v>
      </c>
      <c r="S12" s="227">
        <v>23.127842171393343</v>
      </c>
      <c r="T12" s="227">
        <v>220.87987804878051</v>
      </c>
      <c r="U12" s="227">
        <v>762.27166666666665</v>
      </c>
      <c r="V12" s="227">
        <v>418.36515151515152</v>
      </c>
      <c r="W12" s="227">
        <v>1518.6018181818179</v>
      </c>
      <c r="X12" s="227">
        <v>1789.6179999999997</v>
      </c>
      <c r="Y12" s="227">
        <v>1004.5147826521737</v>
      </c>
      <c r="Z12" s="227">
        <v>228.70431994117641</v>
      </c>
      <c r="AB12" s="771" t="s">
        <v>230</v>
      </c>
      <c r="AC12" s="771"/>
      <c r="AF12" s="216" t="s">
        <v>229</v>
      </c>
      <c r="AG12" s="227">
        <v>0</v>
      </c>
      <c r="AH12" s="227">
        <v>0</v>
      </c>
      <c r="AI12" s="227">
        <v>0</v>
      </c>
      <c r="AJ12" s="227">
        <v>0</v>
      </c>
      <c r="AK12" s="227">
        <v>0</v>
      </c>
      <c r="AL12" s="227">
        <v>0</v>
      </c>
      <c r="AM12" s="227">
        <v>0</v>
      </c>
      <c r="AN12" s="227">
        <v>178.67</v>
      </c>
      <c r="AO12" s="227">
        <v>598.91670792307684</v>
      </c>
      <c r="AP12" s="227">
        <v>354.31636363636369</v>
      </c>
      <c r="AS12" s="771" t="s">
        <v>230</v>
      </c>
      <c r="AT12" s="771"/>
      <c r="AX12" s="216" t="s">
        <v>228</v>
      </c>
      <c r="AY12" s="220">
        <v>13544</v>
      </c>
      <c r="AZ12" s="220">
        <v>11829</v>
      </c>
      <c r="BA12" s="220">
        <v>10824</v>
      </c>
      <c r="BB12" s="220">
        <v>9414</v>
      </c>
      <c r="BC12" s="220">
        <v>10012</v>
      </c>
      <c r="BD12" s="220">
        <v>11369</v>
      </c>
      <c r="BE12" s="220">
        <v>14102</v>
      </c>
      <c r="BF12" s="220">
        <v>13501</v>
      </c>
      <c r="BG12" s="220">
        <v>11586</v>
      </c>
      <c r="BH12" s="220">
        <v>14581</v>
      </c>
    </row>
    <row r="13" spans="2:62">
      <c r="B13" s="216" t="s">
        <v>231</v>
      </c>
      <c r="C13" s="220">
        <v>1799</v>
      </c>
      <c r="D13" s="220">
        <v>1591</v>
      </c>
      <c r="E13" s="220">
        <v>1719</v>
      </c>
      <c r="F13" s="220">
        <v>1349</v>
      </c>
      <c r="G13" s="220">
        <v>1231</v>
      </c>
      <c r="H13" s="220">
        <v>1391</v>
      </c>
      <c r="I13" s="220">
        <v>1637</v>
      </c>
      <c r="J13" s="220">
        <v>1657</v>
      </c>
      <c r="K13" s="220">
        <v>1397</v>
      </c>
      <c r="M13" s="223" t="s">
        <v>225</v>
      </c>
      <c r="N13" s="224" t="s">
        <v>226</v>
      </c>
      <c r="O13" s="214"/>
      <c r="Q13" s="216" t="s">
        <v>231</v>
      </c>
      <c r="R13" s="220">
        <v>94</v>
      </c>
      <c r="S13" s="220">
        <v>53</v>
      </c>
      <c r="T13" s="220">
        <v>25</v>
      </c>
      <c r="U13" s="220">
        <v>12</v>
      </c>
      <c r="V13" s="220">
        <v>4</v>
      </c>
      <c r="W13" s="220">
        <v>2</v>
      </c>
      <c r="X13" s="220">
        <v>2</v>
      </c>
      <c r="Y13" s="220">
        <v>5</v>
      </c>
      <c r="Z13" s="220">
        <v>14</v>
      </c>
      <c r="AB13" s="223" t="s">
        <v>225</v>
      </c>
      <c r="AC13" s="224" t="s">
        <v>226</v>
      </c>
      <c r="AF13" s="216" t="s">
        <v>231</v>
      </c>
      <c r="AG13" s="220">
        <v>7</v>
      </c>
      <c r="AH13" s="220">
        <v>2</v>
      </c>
      <c r="AI13" s="220">
        <v>3</v>
      </c>
      <c r="AJ13" s="220">
        <v>6</v>
      </c>
      <c r="AK13" s="220">
        <v>6</v>
      </c>
      <c r="AL13" s="220">
        <v>1</v>
      </c>
      <c r="AM13" s="220">
        <v>3</v>
      </c>
      <c r="AN13" s="220">
        <v>1</v>
      </c>
      <c r="AO13" s="220">
        <v>5</v>
      </c>
      <c r="AP13" s="220">
        <v>0</v>
      </c>
      <c r="AS13" s="223" t="s">
        <v>225</v>
      </c>
      <c r="AT13" s="224" t="s">
        <v>226</v>
      </c>
      <c r="AX13" s="216" t="s">
        <v>229</v>
      </c>
      <c r="AY13" s="227">
        <v>11.236814087418784</v>
      </c>
      <c r="AZ13" s="227">
        <v>12.453362076337811</v>
      </c>
      <c r="BA13" s="227">
        <v>14.68584903917221</v>
      </c>
      <c r="BB13" s="227">
        <v>16.219633524537919</v>
      </c>
      <c r="BC13" s="227">
        <v>14.654812225829005</v>
      </c>
      <c r="BD13" s="227">
        <v>14.100792505849238</v>
      </c>
      <c r="BE13" s="227">
        <v>12.299946815983551</v>
      </c>
      <c r="BF13" s="227">
        <v>12.3940004447078</v>
      </c>
      <c r="BG13" s="227">
        <v>12.945082957448649</v>
      </c>
      <c r="BH13" s="227">
        <v>9.7284140264042218</v>
      </c>
    </row>
    <row r="14" spans="2:62">
      <c r="B14" s="216" t="s">
        <v>232</v>
      </c>
      <c r="C14" s="227">
        <v>73.494952751528629</v>
      </c>
      <c r="D14" s="227">
        <v>80.800842237586423</v>
      </c>
      <c r="E14" s="227">
        <v>81.93570680628271</v>
      </c>
      <c r="F14" s="227">
        <v>99.627212750185336</v>
      </c>
      <c r="G14" s="227">
        <v>107.97557270917953</v>
      </c>
      <c r="H14" s="227">
        <v>103.24032350754851</v>
      </c>
      <c r="I14" s="227">
        <v>95.026065973732443</v>
      </c>
      <c r="J14" s="227">
        <v>87.041375982498508</v>
      </c>
      <c r="K14" s="227">
        <v>90.66133894846098</v>
      </c>
      <c r="M14" s="228">
        <f>+MIN(C22:K22)</f>
        <v>6.49011562849683E-2</v>
      </c>
      <c r="N14" s="228">
        <f>+MAX(C22:K22)</f>
        <v>8.8015018673483658E-2</v>
      </c>
      <c r="O14" s="229"/>
      <c r="Q14" s="216" t="s">
        <v>232</v>
      </c>
      <c r="R14" s="227">
        <v>212.48925531914895</v>
      </c>
      <c r="S14" s="227">
        <v>353.89962266037736</v>
      </c>
      <c r="T14" s="227">
        <v>724.4860000000001</v>
      </c>
      <c r="U14" s="227">
        <v>1524.5433333333333</v>
      </c>
      <c r="V14" s="227">
        <v>3451.5125000000003</v>
      </c>
      <c r="W14" s="227">
        <v>8352.3099999999977</v>
      </c>
      <c r="X14" s="227">
        <v>8948.0899999999983</v>
      </c>
      <c r="Y14" s="227">
        <v>4620.7680001999997</v>
      </c>
      <c r="Z14" s="227">
        <v>1666.2743309999994</v>
      </c>
      <c r="AB14" s="228">
        <f>+MIN(R22:Z22)</f>
        <v>1.6118005345045476E-2</v>
      </c>
      <c r="AC14" s="228">
        <f>+MAX(R22:Z22)</f>
        <v>2.6696367374914324E-2</v>
      </c>
      <c r="AF14" s="216" t="s">
        <v>232</v>
      </c>
      <c r="AG14" s="227">
        <v>0</v>
      </c>
      <c r="AH14" s="227">
        <v>0</v>
      </c>
      <c r="AI14" s="227">
        <v>0</v>
      </c>
      <c r="AJ14" s="227">
        <v>0</v>
      </c>
      <c r="AK14" s="227">
        <v>0</v>
      </c>
      <c r="AL14" s="227">
        <v>0</v>
      </c>
      <c r="AM14" s="227">
        <v>0</v>
      </c>
      <c r="AN14" s="227">
        <v>1965.37</v>
      </c>
      <c r="AO14" s="227">
        <v>1557.1834405999998</v>
      </c>
      <c r="AP14" s="227"/>
      <c r="AS14" s="228">
        <f>+MIN(AN22:AP22)</f>
        <v>0.11594202898550725</v>
      </c>
      <c r="AT14" s="228">
        <f>+MAX(AN22:AP22)</f>
        <v>0.21296296296296297</v>
      </c>
      <c r="AX14" s="216" t="s">
        <v>231</v>
      </c>
      <c r="AY14" s="220">
        <v>1893</v>
      </c>
      <c r="AZ14" s="220">
        <v>1644</v>
      </c>
      <c r="BA14" s="220">
        <v>1744</v>
      </c>
      <c r="BB14" s="220">
        <v>1360</v>
      </c>
      <c r="BC14" s="220">
        <v>1235</v>
      </c>
      <c r="BD14" s="220">
        <v>1393</v>
      </c>
      <c r="BE14" s="220">
        <v>1638</v>
      </c>
      <c r="BF14" s="220">
        <v>1661</v>
      </c>
      <c r="BG14" s="220">
        <v>1407</v>
      </c>
      <c r="BH14" s="220">
        <v>1643</v>
      </c>
    </row>
    <row r="15" spans="2:62">
      <c r="B15" s="216" t="s">
        <v>48</v>
      </c>
      <c r="C15" s="230">
        <v>31.729642428605715</v>
      </c>
      <c r="D15" s="230">
        <v>32.356944374528062</v>
      </c>
      <c r="E15" s="230">
        <v>31.959945541184474</v>
      </c>
      <c r="F15" s="230">
        <v>36.942581088510174</v>
      </c>
      <c r="G15" s="230">
        <v>38.774191950116688</v>
      </c>
      <c r="H15" s="230">
        <v>39.247687892593596</v>
      </c>
      <c r="I15" s="230">
        <v>36.260529137296039</v>
      </c>
      <c r="J15" s="230">
        <v>32.973836306127119</v>
      </c>
      <c r="K15" s="230">
        <v>36.394796123850575</v>
      </c>
      <c r="Q15" s="216" t="s">
        <v>48</v>
      </c>
      <c r="R15" s="230">
        <v>25.673508997429309</v>
      </c>
      <c r="S15" s="230">
        <v>27.422046785087719</v>
      </c>
      <c r="T15" s="230">
        <v>25.61831683168317</v>
      </c>
      <c r="U15" s="230">
        <v>29.507290322580644</v>
      </c>
      <c r="V15" s="230">
        <v>21.879635499207609</v>
      </c>
      <c r="W15" s="230">
        <v>23.627468175388962</v>
      </c>
      <c r="X15" s="230">
        <v>22.973273427471113</v>
      </c>
      <c r="Y15" s="230">
        <v>25.988571429696286</v>
      </c>
      <c r="Z15" s="230">
        <v>29.491581079646007</v>
      </c>
      <c r="AF15" s="216" t="s">
        <v>48</v>
      </c>
      <c r="AG15" s="230">
        <v>0</v>
      </c>
      <c r="AH15" s="230">
        <v>0</v>
      </c>
      <c r="AI15" s="230">
        <v>0</v>
      </c>
      <c r="AJ15" s="230">
        <v>0</v>
      </c>
      <c r="AK15" s="230">
        <v>0</v>
      </c>
      <c r="AL15" s="230">
        <v>0</v>
      </c>
      <c r="AM15" s="230">
        <v>0</v>
      </c>
      <c r="AN15" s="230">
        <v>140.38357142857143</v>
      </c>
      <c r="AO15" s="230">
        <v>338.51813926086953</v>
      </c>
      <c r="AP15" s="230">
        <v>243.59250000000003</v>
      </c>
      <c r="AX15" s="216" t="s">
        <v>232</v>
      </c>
      <c r="AY15" s="227">
        <v>80.39694136291601</v>
      </c>
      <c r="AZ15" s="227">
        <v>89.605121655109457</v>
      </c>
      <c r="BA15" s="227">
        <v>91.146576834862387</v>
      </c>
      <c r="BB15" s="227">
        <v>112.27325735294116</v>
      </c>
      <c r="BC15" s="227">
        <v>118.80484210931174</v>
      </c>
      <c r="BD15" s="227">
        <v>115.08392677602296</v>
      </c>
      <c r="BE15" s="227">
        <v>105.89368131807083</v>
      </c>
      <c r="BF15" s="227">
        <v>100.74136062853702</v>
      </c>
      <c r="BG15" s="227">
        <v>106.59682384150679</v>
      </c>
      <c r="BH15" s="227">
        <v>86.33597377906267</v>
      </c>
    </row>
    <row r="16" spans="2:62">
      <c r="B16" s="216" t="s">
        <v>233</v>
      </c>
      <c r="C16" s="220">
        <v>4167</v>
      </c>
      <c r="D16" s="220">
        <v>3973</v>
      </c>
      <c r="E16" s="220">
        <v>4407</v>
      </c>
      <c r="F16" s="220">
        <v>3638</v>
      </c>
      <c r="G16" s="220">
        <v>3428</v>
      </c>
      <c r="H16" s="220">
        <v>3659</v>
      </c>
      <c r="I16" s="220">
        <v>4290</v>
      </c>
      <c r="J16" s="220">
        <v>4374</v>
      </c>
      <c r="K16" s="220">
        <v>3480</v>
      </c>
      <c r="M16" s="771" t="s">
        <v>234</v>
      </c>
      <c r="N16" s="771"/>
      <c r="O16" s="214"/>
      <c r="Q16" s="216" t="s">
        <v>233</v>
      </c>
      <c r="R16" s="220">
        <v>778</v>
      </c>
      <c r="S16" s="220">
        <v>684</v>
      </c>
      <c r="T16" s="220">
        <v>707</v>
      </c>
      <c r="U16" s="220">
        <v>620</v>
      </c>
      <c r="V16" s="220">
        <v>631</v>
      </c>
      <c r="W16" s="220">
        <v>707</v>
      </c>
      <c r="X16" s="220">
        <v>779</v>
      </c>
      <c r="Y16" s="220">
        <v>889</v>
      </c>
      <c r="Z16" s="220">
        <v>791</v>
      </c>
      <c r="AB16" s="771" t="s">
        <v>234</v>
      </c>
      <c r="AC16" s="771"/>
      <c r="AF16" s="216" t="s">
        <v>233</v>
      </c>
      <c r="AG16" s="220">
        <v>23</v>
      </c>
      <c r="AH16" s="220">
        <v>14</v>
      </c>
      <c r="AI16" s="220">
        <v>15</v>
      </c>
      <c r="AJ16" s="220">
        <v>16</v>
      </c>
      <c r="AK16" s="220">
        <v>14</v>
      </c>
      <c r="AL16" s="220">
        <v>12</v>
      </c>
      <c r="AM16" s="220">
        <v>19</v>
      </c>
      <c r="AN16" s="220">
        <v>14</v>
      </c>
      <c r="AO16" s="220">
        <v>23</v>
      </c>
      <c r="AP16" s="220">
        <v>16</v>
      </c>
      <c r="AS16" s="771" t="s">
        <v>234</v>
      </c>
      <c r="AT16" s="771"/>
      <c r="AX16" s="216" t="s">
        <v>48</v>
      </c>
      <c r="AY16" s="230">
        <v>30.776827098078869</v>
      </c>
      <c r="AZ16" s="230">
        <v>31.625337054744517</v>
      </c>
      <c r="BA16" s="230">
        <v>31.083228392647634</v>
      </c>
      <c r="BB16" s="230">
        <v>35.859941286989191</v>
      </c>
      <c r="BC16" s="230">
        <v>36.130012313469585</v>
      </c>
      <c r="BD16" s="230">
        <v>36.726668957388313</v>
      </c>
      <c r="BE16" s="230">
        <v>34.218553955217999</v>
      </c>
      <c r="BF16" s="230">
        <v>31.806006463409997</v>
      </c>
      <c r="BG16" s="230">
        <v>35.108083133192899</v>
      </c>
      <c r="BH16" s="230">
        <v>30.99191717697181</v>
      </c>
    </row>
    <row r="17" spans="2:60">
      <c r="B17" s="216" t="s">
        <v>235</v>
      </c>
      <c r="C17" s="220">
        <v>3585</v>
      </c>
      <c r="D17" s="220">
        <v>3417</v>
      </c>
      <c r="E17" s="220">
        <v>3773</v>
      </c>
      <c r="F17" s="220">
        <v>3105</v>
      </c>
      <c r="G17" s="220">
        <v>2894</v>
      </c>
      <c r="H17" s="220">
        <v>3133</v>
      </c>
      <c r="I17" s="220">
        <v>3586</v>
      </c>
      <c r="J17" s="220">
        <v>3711</v>
      </c>
      <c r="K17" s="220">
        <v>2951</v>
      </c>
      <c r="M17" s="223" t="s">
        <v>225</v>
      </c>
      <c r="N17" s="224" t="s">
        <v>226</v>
      </c>
      <c r="O17" s="214"/>
      <c r="Q17" s="216" t="s">
        <v>235</v>
      </c>
      <c r="R17" s="220">
        <v>721</v>
      </c>
      <c r="S17" s="220">
        <v>639</v>
      </c>
      <c r="T17" s="220">
        <v>656</v>
      </c>
      <c r="U17" s="220">
        <v>584</v>
      </c>
      <c r="V17" s="220">
        <v>595</v>
      </c>
      <c r="W17" s="220">
        <v>662</v>
      </c>
      <c r="X17" s="220">
        <v>695</v>
      </c>
      <c r="Y17" s="220">
        <v>819</v>
      </c>
      <c r="Z17" s="220">
        <v>738</v>
      </c>
      <c r="AB17" s="223" t="s">
        <v>225</v>
      </c>
      <c r="AC17" s="224" t="s">
        <v>226</v>
      </c>
      <c r="AF17" s="216" t="s">
        <v>235</v>
      </c>
      <c r="AG17" s="220">
        <v>22</v>
      </c>
      <c r="AH17" s="220">
        <v>12</v>
      </c>
      <c r="AI17" s="220">
        <v>14</v>
      </c>
      <c r="AJ17" s="220">
        <v>14</v>
      </c>
      <c r="AK17" s="220">
        <v>13</v>
      </c>
      <c r="AL17" s="220">
        <v>12</v>
      </c>
      <c r="AM17" s="220">
        <v>11</v>
      </c>
      <c r="AN17" s="220">
        <v>11</v>
      </c>
      <c r="AO17" s="220">
        <v>20</v>
      </c>
      <c r="AP17" s="220">
        <v>13</v>
      </c>
      <c r="AS17" s="223" t="s">
        <v>225</v>
      </c>
      <c r="AT17" s="224" t="s">
        <v>226</v>
      </c>
      <c r="AX17" s="216" t="s">
        <v>233</v>
      </c>
      <c r="AY17" s="220">
        <v>4945</v>
      </c>
      <c r="AZ17" s="220">
        <v>4658</v>
      </c>
      <c r="BA17" s="220">
        <v>5114</v>
      </c>
      <c r="BB17" s="220">
        <v>4258</v>
      </c>
      <c r="BC17" s="220">
        <v>4061</v>
      </c>
      <c r="BD17" s="220">
        <v>4365</v>
      </c>
      <c r="BE17" s="220">
        <v>5069</v>
      </c>
      <c r="BF17" s="220">
        <v>5261</v>
      </c>
      <c r="BG17" s="220">
        <v>4272</v>
      </c>
      <c r="BH17" s="220">
        <v>4577</v>
      </c>
    </row>
    <row r="18" spans="2:60">
      <c r="B18" s="216" t="s">
        <v>236</v>
      </c>
      <c r="C18" s="220">
        <v>2368</v>
      </c>
      <c r="D18" s="220">
        <v>2382</v>
      </c>
      <c r="E18" s="220">
        <v>2688</v>
      </c>
      <c r="F18" s="220">
        <v>2289</v>
      </c>
      <c r="G18" s="220">
        <v>2197</v>
      </c>
      <c r="H18" s="220">
        <v>2268</v>
      </c>
      <c r="I18" s="220">
        <v>2653</v>
      </c>
      <c r="J18" s="220">
        <v>2717</v>
      </c>
      <c r="K18" s="220">
        <v>2083</v>
      </c>
      <c r="M18" s="231">
        <f>+MIN(C25:K25)</f>
        <v>58.355317786922726</v>
      </c>
      <c r="N18" s="231">
        <f>+MAX(C25:K25)</f>
        <v>62.603796496280282</v>
      </c>
      <c r="O18" s="232"/>
      <c r="Q18" s="216" t="s">
        <v>236</v>
      </c>
      <c r="R18" s="220">
        <v>684</v>
      </c>
      <c r="S18" s="220">
        <v>631</v>
      </c>
      <c r="T18" s="220">
        <v>682</v>
      </c>
      <c r="U18" s="220">
        <v>608</v>
      </c>
      <c r="V18" s="220">
        <v>627</v>
      </c>
      <c r="W18" s="220">
        <v>705</v>
      </c>
      <c r="X18" s="220">
        <v>777</v>
      </c>
      <c r="Y18" s="220">
        <v>884</v>
      </c>
      <c r="Z18" s="220">
        <v>777</v>
      </c>
      <c r="AB18" s="231">
        <f>+MIN(R25:Z25)</f>
        <v>33.734766619519093</v>
      </c>
      <c r="AC18" s="231">
        <f>+MAX(R25:Z25)</f>
        <v>44.973457583547557</v>
      </c>
      <c r="AF18" s="216" t="s">
        <v>236</v>
      </c>
      <c r="AG18" s="220">
        <v>16</v>
      </c>
      <c r="AH18" s="220">
        <v>12</v>
      </c>
      <c r="AI18" s="220">
        <v>12</v>
      </c>
      <c r="AJ18" s="220">
        <v>10</v>
      </c>
      <c r="AK18" s="220">
        <v>8</v>
      </c>
      <c r="AL18" s="220">
        <v>11</v>
      </c>
      <c r="AM18" s="220">
        <v>16</v>
      </c>
      <c r="AN18" s="220">
        <v>13</v>
      </c>
      <c r="AO18" s="220">
        <v>18</v>
      </c>
      <c r="AP18" s="220">
        <v>16</v>
      </c>
      <c r="AS18" s="231">
        <f>+MIN(AN25:AP25)</f>
        <v>45.368124999999999</v>
      </c>
      <c r="AT18" s="231">
        <f>+MAX(AN25:AP25)</f>
        <v>50.997142857142855</v>
      </c>
      <c r="AX18" s="216" t="s">
        <v>235</v>
      </c>
      <c r="AY18" s="220">
        <v>4306</v>
      </c>
      <c r="AZ18" s="220">
        <v>4057</v>
      </c>
      <c r="BA18" s="220">
        <v>4429</v>
      </c>
      <c r="BB18" s="220">
        <v>3689</v>
      </c>
      <c r="BC18" s="220">
        <v>3490</v>
      </c>
      <c r="BD18" s="220">
        <v>3794</v>
      </c>
      <c r="BE18" s="220">
        <v>4278</v>
      </c>
      <c r="BF18" s="220">
        <v>4528</v>
      </c>
      <c r="BG18" s="220">
        <v>3683</v>
      </c>
      <c r="BH18" s="220">
        <v>4104</v>
      </c>
    </row>
    <row r="19" spans="2:60">
      <c r="B19" s="216" t="s">
        <v>237</v>
      </c>
      <c r="C19" s="220">
        <v>2335</v>
      </c>
      <c r="D19" s="220">
        <v>2342</v>
      </c>
      <c r="E19" s="220">
        <v>2469</v>
      </c>
      <c r="F19" s="220">
        <v>2690</v>
      </c>
      <c r="G19" s="220">
        <v>2783</v>
      </c>
      <c r="H19" s="220">
        <v>2764</v>
      </c>
      <c r="I19" s="220">
        <v>2836</v>
      </c>
      <c r="J19" s="220">
        <v>2862</v>
      </c>
      <c r="K19" s="220">
        <v>2789</v>
      </c>
      <c r="Q19" s="216" t="s">
        <v>237</v>
      </c>
      <c r="R19" s="220">
        <v>589</v>
      </c>
      <c r="S19" s="220">
        <v>613</v>
      </c>
      <c r="T19" s="220">
        <v>662</v>
      </c>
      <c r="U19" s="220">
        <v>728</v>
      </c>
      <c r="V19" s="220">
        <v>791</v>
      </c>
      <c r="W19" s="220">
        <v>706</v>
      </c>
      <c r="X19" s="220">
        <v>728</v>
      </c>
      <c r="Y19" s="220">
        <v>790</v>
      </c>
      <c r="Z19" s="220">
        <v>759</v>
      </c>
      <c r="AF19" s="216" t="s">
        <v>237</v>
      </c>
      <c r="AG19" s="220">
        <v>21</v>
      </c>
      <c r="AH19" s="220">
        <v>24</v>
      </c>
      <c r="AI19" s="220">
        <v>27</v>
      </c>
      <c r="AJ19" s="220">
        <v>23</v>
      </c>
      <c r="AK19" s="220">
        <v>26</v>
      </c>
      <c r="AL19" s="220">
        <v>24</v>
      </c>
      <c r="AM19" s="220">
        <v>29</v>
      </c>
      <c r="AN19" s="220">
        <v>21</v>
      </c>
      <c r="AO19" s="220">
        <v>29</v>
      </c>
      <c r="AP19" s="220">
        <v>31</v>
      </c>
      <c r="AX19" s="216" t="s">
        <v>236</v>
      </c>
      <c r="AY19" s="220">
        <v>3052</v>
      </c>
      <c r="AZ19" s="220">
        <v>3014</v>
      </c>
      <c r="BA19" s="220">
        <v>3370</v>
      </c>
      <c r="BB19" s="220">
        <v>2898</v>
      </c>
      <c r="BC19" s="220">
        <v>2826</v>
      </c>
      <c r="BD19" s="220">
        <v>2972</v>
      </c>
      <c r="BE19" s="220">
        <v>3431</v>
      </c>
      <c r="BF19" s="220">
        <v>3600</v>
      </c>
      <c r="BG19" s="220">
        <v>2865</v>
      </c>
      <c r="BH19" s="220">
        <v>2934</v>
      </c>
    </row>
    <row r="20" spans="2:60">
      <c r="B20" s="216" t="s">
        <v>238</v>
      </c>
      <c r="C20" s="220">
        <v>587</v>
      </c>
      <c r="D20" s="220">
        <v>551</v>
      </c>
      <c r="E20" s="220">
        <v>653</v>
      </c>
      <c r="F20" s="220">
        <v>524</v>
      </c>
      <c r="G20" s="220">
        <v>522</v>
      </c>
      <c r="H20" s="220">
        <v>540</v>
      </c>
      <c r="I20" s="220">
        <v>661</v>
      </c>
      <c r="J20" s="220">
        <v>702</v>
      </c>
      <c r="K20" s="220">
        <v>565</v>
      </c>
      <c r="M20" s="771" t="s">
        <v>239</v>
      </c>
      <c r="N20" s="771"/>
      <c r="O20" s="214"/>
      <c r="Q20" s="216" t="s">
        <v>238</v>
      </c>
      <c r="R20" s="220">
        <v>45</v>
      </c>
      <c r="S20" s="220">
        <v>53</v>
      </c>
      <c r="T20" s="220">
        <v>44</v>
      </c>
      <c r="U20" s="220">
        <v>42</v>
      </c>
      <c r="V20" s="220">
        <v>34</v>
      </c>
      <c r="W20" s="220">
        <v>47</v>
      </c>
      <c r="X20" s="220">
        <v>73</v>
      </c>
      <c r="Y20" s="220">
        <v>77</v>
      </c>
      <c r="Z20" s="220">
        <v>71</v>
      </c>
      <c r="AB20" s="771" t="s">
        <v>239</v>
      </c>
      <c r="AC20" s="771"/>
      <c r="AF20" s="216" t="s">
        <v>238</v>
      </c>
      <c r="AG20" s="220">
        <v>1</v>
      </c>
      <c r="AH20" s="220">
        <v>2</v>
      </c>
      <c r="AI20" s="220">
        <v>2</v>
      </c>
      <c r="AJ20" s="220">
        <v>1</v>
      </c>
      <c r="AK20" s="220">
        <v>2</v>
      </c>
      <c r="AL20" s="220">
        <v>0</v>
      </c>
      <c r="AM20" s="220">
        <v>8</v>
      </c>
      <c r="AN20" s="220">
        <v>2</v>
      </c>
      <c r="AO20" s="220">
        <v>3</v>
      </c>
      <c r="AP20" s="220">
        <v>4</v>
      </c>
      <c r="AS20" s="771" t="s">
        <v>239</v>
      </c>
      <c r="AT20" s="771"/>
      <c r="AX20" s="216" t="s">
        <v>237</v>
      </c>
      <c r="AY20" s="220">
        <v>2925</v>
      </c>
      <c r="AZ20" s="220">
        <v>2954</v>
      </c>
      <c r="BA20" s="220">
        <v>3130</v>
      </c>
      <c r="BB20" s="220">
        <v>3418</v>
      </c>
      <c r="BC20" s="220">
        <v>3572</v>
      </c>
      <c r="BD20" s="220">
        <v>3469</v>
      </c>
      <c r="BE20" s="220">
        <v>3564</v>
      </c>
      <c r="BF20" s="220">
        <v>3651</v>
      </c>
      <c r="BG20" s="220">
        <v>3544</v>
      </c>
      <c r="BH20" s="220">
        <v>3506</v>
      </c>
    </row>
    <row r="21" spans="2:60">
      <c r="B21" s="216" t="s">
        <v>240</v>
      </c>
      <c r="C21" s="220">
        <v>0</v>
      </c>
      <c r="D21" s="220">
        <v>0</v>
      </c>
      <c r="E21" s="220">
        <v>0</v>
      </c>
      <c r="F21" s="220">
        <v>0</v>
      </c>
      <c r="G21" s="220">
        <v>0</v>
      </c>
      <c r="H21" s="220">
        <v>0</v>
      </c>
      <c r="I21" s="220">
        <v>0</v>
      </c>
      <c r="J21" s="220">
        <v>0</v>
      </c>
      <c r="K21" s="220">
        <v>0</v>
      </c>
      <c r="M21" s="223" t="s">
        <v>225</v>
      </c>
      <c r="N21" s="224" t="s">
        <v>226</v>
      </c>
      <c r="O21" s="214"/>
      <c r="Q21" s="216" t="s">
        <v>240</v>
      </c>
      <c r="R21" s="220">
        <v>0</v>
      </c>
      <c r="S21" s="220">
        <v>0</v>
      </c>
      <c r="T21" s="220">
        <v>0</v>
      </c>
      <c r="U21" s="220">
        <v>0</v>
      </c>
      <c r="V21" s="220">
        <v>0</v>
      </c>
      <c r="W21" s="220">
        <v>0</v>
      </c>
      <c r="X21" s="220">
        <v>0</v>
      </c>
      <c r="Y21" s="220">
        <v>0</v>
      </c>
      <c r="Z21" s="220">
        <v>0</v>
      </c>
      <c r="AB21" s="223" t="s">
        <v>225</v>
      </c>
      <c r="AC21" s="224" t="s">
        <v>226</v>
      </c>
      <c r="AF21" s="216" t="s">
        <v>240</v>
      </c>
      <c r="AG21" s="220">
        <v>0</v>
      </c>
      <c r="AH21" s="220">
        <v>0</v>
      </c>
      <c r="AI21" s="220">
        <v>0</v>
      </c>
      <c r="AJ21" s="220">
        <v>0</v>
      </c>
      <c r="AK21" s="220">
        <v>0</v>
      </c>
      <c r="AL21" s="220">
        <v>0</v>
      </c>
      <c r="AM21" s="220">
        <v>0</v>
      </c>
      <c r="AN21" s="220">
        <v>0</v>
      </c>
      <c r="AO21" s="220">
        <v>0</v>
      </c>
      <c r="AP21" s="220">
        <v>0</v>
      </c>
      <c r="AS21" s="223" t="s">
        <v>225</v>
      </c>
      <c r="AT21" s="224" t="s">
        <v>226</v>
      </c>
      <c r="AX21" s="216" t="s">
        <v>238</v>
      </c>
      <c r="AY21" s="220">
        <v>632</v>
      </c>
      <c r="AZ21" s="220">
        <v>604</v>
      </c>
      <c r="BA21" s="220">
        <v>697</v>
      </c>
      <c r="BB21" s="220">
        <v>566</v>
      </c>
      <c r="BC21" s="220">
        <v>557</v>
      </c>
      <c r="BD21" s="220">
        <v>587</v>
      </c>
      <c r="BE21" s="220">
        <v>736</v>
      </c>
      <c r="BF21" s="220">
        <v>778</v>
      </c>
      <c r="BG21" s="220">
        <v>636</v>
      </c>
      <c r="BH21" s="220">
        <v>645</v>
      </c>
    </row>
    <row r="22" spans="2:60" s="170" customFormat="1">
      <c r="B22" s="277" t="s">
        <v>65</v>
      </c>
      <c r="C22" s="280">
        <v>6.964733411332108E-2</v>
      </c>
      <c r="D22" s="280">
        <v>7.6299667761325879E-2</v>
      </c>
      <c r="E22" s="280">
        <v>8.8015018673483658E-2</v>
      </c>
      <c r="F22" s="280">
        <v>7.977720275426517E-2</v>
      </c>
      <c r="G22" s="280">
        <v>7.1763523697873047E-2</v>
      </c>
      <c r="H22" s="280">
        <v>6.8841602227615664E-2</v>
      </c>
      <c r="I22" s="280">
        <v>6.8708158493225285E-2</v>
      </c>
      <c r="J22" s="280">
        <v>7.2227084330983002E-2</v>
      </c>
      <c r="K22" s="280">
        <v>6.49011562849683E-2</v>
      </c>
      <c r="M22" s="281">
        <f>+MIN(C46:K46)</f>
        <v>9.2232400000000006E-2</v>
      </c>
      <c r="N22" s="281">
        <f>+MAX(C46:K46)</f>
        <v>0.1008405</v>
      </c>
      <c r="O22" s="282"/>
      <c r="Q22" s="277" t="s">
        <v>65</v>
      </c>
      <c r="R22" s="280">
        <v>1.6118005345045476E-2</v>
      </c>
      <c r="S22" s="280">
        <v>1.7196299275945293E-2</v>
      </c>
      <c r="T22" s="280">
        <v>2.1957885582955462E-2</v>
      </c>
      <c r="U22" s="280">
        <v>1.9957509817807251E-2</v>
      </c>
      <c r="V22" s="280">
        <v>2.3136435302313643E-2</v>
      </c>
      <c r="W22" s="280">
        <v>2.2618209738306992E-2</v>
      </c>
      <c r="X22" s="280">
        <v>2.6696367374914324E-2</v>
      </c>
      <c r="Y22" s="280">
        <v>2.494878343108916E-2</v>
      </c>
      <c r="Z22" s="280">
        <v>2.6003484664190144E-2</v>
      </c>
      <c r="AB22" s="281">
        <f>+MIN(R46:Z46)</f>
        <v>0.1179873</v>
      </c>
      <c r="AC22" s="281">
        <f>+MAX(R46:Z46)</f>
        <v>0.15451380000000001</v>
      </c>
      <c r="AF22" s="277" t="s">
        <v>65</v>
      </c>
      <c r="AG22" s="280">
        <v>0.11330049261083744</v>
      </c>
      <c r="AH22" s="280">
        <v>8.6956521739130432E-2</v>
      </c>
      <c r="AI22" s="280">
        <v>9.2592592592592587E-2</v>
      </c>
      <c r="AJ22" s="280">
        <v>0.10666666666666667</v>
      </c>
      <c r="AK22" s="280">
        <v>0.10144927536231885</v>
      </c>
      <c r="AL22" s="280">
        <v>8.5714285714285715E-2</v>
      </c>
      <c r="AM22" s="280">
        <v>0.152</v>
      </c>
      <c r="AN22" s="280">
        <v>0.11764705882352941</v>
      </c>
      <c r="AO22" s="280">
        <v>0.21296296296296297</v>
      </c>
      <c r="AP22" s="280">
        <v>0.11594202898550725</v>
      </c>
      <c r="AS22" s="281">
        <f>+MIN(AN46:AO46)</f>
        <v>6.5261209291283484E-2</v>
      </c>
      <c r="AT22" s="281">
        <f>+MAX(AN46:AO46)</f>
        <v>7.4928834374271017E-2</v>
      </c>
      <c r="AX22" s="279" t="s">
        <v>240</v>
      </c>
      <c r="AY22" s="278">
        <v>0</v>
      </c>
      <c r="AZ22" s="278">
        <v>0</v>
      </c>
      <c r="BA22" s="278">
        <v>0</v>
      </c>
      <c r="BB22" s="278">
        <v>0</v>
      </c>
      <c r="BC22" s="278">
        <v>0</v>
      </c>
      <c r="BD22" s="278">
        <v>0</v>
      </c>
      <c r="BE22" s="278">
        <v>0</v>
      </c>
      <c r="BF22" s="278">
        <v>0</v>
      </c>
      <c r="BG22" s="278">
        <v>0</v>
      </c>
      <c r="BH22" s="278">
        <v>0</v>
      </c>
    </row>
    <row r="23" spans="2:60">
      <c r="B23" s="216" t="s">
        <v>241</v>
      </c>
      <c r="C23" s="233">
        <v>3.0068527494567943E-2</v>
      </c>
      <c r="D23" s="233">
        <v>3.0554435290276738E-2</v>
      </c>
      <c r="E23" s="233">
        <v>3.4331249625531746E-2</v>
      </c>
      <c r="F23" s="233">
        <v>2.958203587561949E-2</v>
      </c>
      <c r="G23" s="233">
        <v>2.5770390219393736E-2</v>
      </c>
      <c r="H23" s="233">
        <v>2.6170721152941619E-2</v>
      </c>
      <c r="I23" s="233">
        <v>2.6218008264198085E-2</v>
      </c>
      <c r="J23" s="233">
        <v>2.7361746396076553E-2</v>
      </c>
      <c r="K23" s="233">
        <v>2.6053711301753078E-2</v>
      </c>
      <c r="Q23" s="216" t="s">
        <v>241</v>
      </c>
      <c r="R23" s="233">
        <v>1.9474196689386564E-3</v>
      </c>
      <c r="S23" s="233">
        <v>1.3324617860016089E-3</v>
      </c>
      <c r="T23" s="233">
        <v>7.76445741971551E-4</v>
      </c>
      <c r="U23" s="233">
        <v>3.8627438357046286E-4</v>
      </c>
      <c r="V23" s="233">
        <v>1.4666520001466651E-4</v>
      </c>
      <c r="W23" s="233">
        <v>6.3983620193230539E-5</v>
      </c>
      <c r="X23" s="233">
        <v>6.8540095956134332E-5</v>
      </c>
      <c r="Y23" s="233">
        <v>1.4031936687901664E-4</v>
      </c>
      <c r="Z23" s="233">
        <v>4.6023866662283443E-4</v>
      </c>
      <c r="AF23" s="216" t="s">
        <v>241</v>
      </c>
      <c r="AG23" s="233">
        <v>3.4482758620689655E-2</v>
      </c>
      <c r="AH23" s="233">
        <v>1.2422360248447204E-2</v>
      </c>
      <c r="AI23" s="233">
        <v>1.8518518518518517E-2</v>
      </c>
      <c r="AJ23" s="233">
        <v>0.04</v>
      </c>
      <c r="AK23" s="233">
        <v>4.3478260869565216E-2</v>
      </c>
      <c r="AL23" s="233">
        <v>7.1428571428571426E-3</v>
      </c>
      <c r="AM23" s="233">
        <v>2.4E-2</v>
      </c>
      <c r="AN23" s="233">
        <v>8.4033613445378148E-3</v>
      </c>
      <c r="AO23" s="233">
        <v>4.6296296296296294E-2</v>
      </c>
      <c r="AP23" s="233">
        <v>0</v>
      </c>
      <c r="AX23" s="216" t="s">
        <v>65</v>
      </c>
      <c r="AY23" s="233">
        <v>4.5745527206793833E-2</v>
      </c>
      <c r="AZ23" s="233">
        <v>5.0716432211140632E-2</v>
      </c>
      <c r="BA23" s="233">
        <v>6.216193219803328E-2</v>
      </c>
      <c r="BB23" s="233">
        <v>5.5541786781106925E-2</v>
      </c>
      <c r="BC23" s="233">
        <v>5.4119246248567392E-2</v>
      </c>
      <c r="BD23" s="233">
        <v>5.1713720426031014E-2</v>
      </c>
      <c r="BE23" s="233">
        <v>5.5332387293963538E-2</v>
      </c>
      <c r="BF23" s="233">
        <v>5.469383511799563E-2</v>
      </c>
      <c r="BG23" s="233">
        <v>5.0832936696811042E-2</v>
      </c>
      <c r="BH23" s="233">
        <v>3.8889313722991169E-2</v>
      </c>
    </row>
    <row r="24" spans="2:60">
      <c r="B24" s="216" t="s">
        <v>242</v>
      </c>
      <c r="C24" s="233">
        <v>3.9578806618753133E-2</v>
      </c>
      <c r="D24" s="233">
        <v>4.5745232471049148E-2</v>
      </c>
      <c r="E24" s="233">
        <v>5.3683769047951906E-2</v>
      </c>
      <c r="F24" s="233">
        <v>5.0195166878645676E-2</v>
      </c>
      <c r="G24" s="233">
        <v>4.5993133478479317E-2</v>
      </c>
      <c r="H24" s="233">
        <v>4.2670881074674039E-2</v>
      </c>
      <c r="I24" s="233">
        <v>4.2490150229027197E-2</v>
      </c>
      <c r="J24" s="233">
        <v>4.4865337934906456E-2</v>
      </c>
      <c r="K24" s="233">
        <v>3.8847444983215219E-2</v>
      </c>
      <c r="Q24" s="216" t="s">
        <v>242</v>
      </c>
      <c r="R24" s="233">
        <v>1.4170585676106818E-2</v>
      </c>
      <c r="S24" s="233">
        <v>1.5863837489943685E-2</v>
      </c>
      <c r="T24" s="233">
        <v>2.1181439840983911E-2</v>
      </c>
      <c r="U24" s="233">
        <v>1.9571235434236785E-2</v>
      </c>
      <c r="V24" s="233">
        <v>2.2989770102298978E-2</v>
      </c>
      <c r="W24" s="233">
        <v>2.2554226118113762E-2</v>
      </c>
      <c r="X24" s="233">
        <v>2.662782727895819E-2</v>
      </c>
      <c r="Y24" s="233">
        <v>2.4808464064210143E-2</v>
      </c>
      <c r="Z24" s="233">
        <v>2.5543245997567309E-2</v>
      </c>
      <c r="AF24" s="216" t="s">
        <v>242</v>
      </c>
      <c r="AG24" s="233">
        <v>7.8817733990147784E-2</v>
      </c>
      <c r="AH24" s="233">
        <v>7.4534161490683232E-2</v>
      </c>
      <c r="AI24" s="233">
        <v>7.407407407407407E-2</v>
      </c>
      <c r="AJ24" s="233">
        <v>6.6666666666666666E-2</v>
      </c>
      <c r="AK24" s="233">
        <v>5.7971014492753624E-2</v>
      </c>
      <c r="AL24" s="233">
        <v>7.857142857142857E-2</v>
      </c>
      <c r="AM24" s="233">
        <v>0.128</v>
      </c>
      <c r="AN24" s="233">
        <v>0.1092436974789916</v>
      </c>
      <c r="AO24" s="233">
        <v>0.16666666666666666</v>
      </c>
      <c r="AP24" s="233">
        <v>0.11594202898550725</v>
      </c>
      <c r="AX24" s="216" t="s">
        <v>241</v>
      </c>
      <c r="AY24" s="233">
        <v>1.7511887361468297E-2</v>
      </c>
      <c r="AZ24" s="233">
        <v>1.7899917250990809E-2</v>
      </c>
      <c r="BA24" s="233">
        <v>2.1198750440627696E-2</v>
      </c>
      <c r="BB24" s="233">
        <v>1.7739978868554582E-2</v>
      </c>
      <c r="BC24" s="233">
        <v>1.6458327780591166E-2</v>
      </c>
      <c r="BD24" s="233">
        <v>1.6503370573530633E-2</v>
      </c>
      <c r="BE24" s="233">
        <v>1.7880144089073246E-2</v>
      </c>
      <c r="BF24" s="233">
        <v>1.7267907266867659E-2</v>
      </c>
      <c r="BG24" s="233">
        <v>1.674202760590195E-2</v>
      </c>
      <c r="BH24" s="233">
        <v>1.3960048601021301E-2</v>
      </c>
    </row>
    <row r="25" spans="2:60" s="170" customFormat="1">
      <c r="B25" s="277" t="s">
        <v>243</v>
      </c>
      <c r="C25" s="287">
        <v>62.603796496280282</v>
      </c>
      <c r="D25" s="287">
        <v>60.937065190032712</v>
      </c>
      <c r="E25" s="287">
        <v>60.650642160199673</v>
      </c>
      <c r="F25" s="287">
        <v>60.558441451346887</v>
      </c>
      <c r="G25" s="287">
        <v>59.557456242707104</v>
      </c>
      <c r="H25" s="287">
        <v>59.562456955452291</v>
      </c>
      <c r="I25" s="287">
        <v>58.551766899766889</v>
      </c>
      <c r="J25" s="287">
        <v>58.355317786922726</v>
      </c>
      <c r="K25" s="287">
        <v>59.97645977011495</v>
      </c>
      <c r="Q25" s="279" t="s">
        <v>243</v>
      </c>
      <c r="R25" s="287">
        <v>44.973457583547557</v>
      </c>
      <c r="S25" s="287">
        <v>42.043538011695908</v>
      </c>
      <c r="T25" s="287">
        <v>39.861329561527583</v>
      </c>
      <c r="U25" s="287">
        <v>40.25980645161291</v>
      </c>
      <c r="V25" s="287">
        <v>36.881822503961963</v>
      </c>
      <c r="W25" s="287">
        <v>33.734766619519093</v>
      </c>
      <c r="X25" s="287">
        <v>36.623260590500649</v>
      </c>
      <c r="Y25" s="287">
        <v>37.001912260967373</v>
      </c>
      <c r="Z25" s="287">
        <v>36.933577749683948</v>
      </c>
      <c r="AF25" s="279" t="s">
        <v>243</v>
      </c>
      <c r="AG25" s="287">
        <v>54.671304347826087</v>
      </c>
      <c r="AH25" s="287">
        <v>61.105714285714285</v>
      </c>
      <c r="AI25" s="287">
        <v>61.924666666666667</v>
      </c>
      <c r="AJ25" s="287">
        <v>65.236249999999998</v>
      </c>
      <c r="AK25" s="287">
        <v>61.045714285714283</v>
      </c>
      <c r="AL25" s="287">
        <v>46.17499999999999</v>
      </c>
      <c r="AM25" s="287">
        <v>56.51736842105263</v>
      </c>
      <c r="AN25" s="287">
        <v>50.997142857142855</v>
      </c>
      <c r="AO25" s="287">
        <v>47.556521739130432</v>
      </c>
      <c r="AP25" s="287">
        <v>45.368124999999999</v>
      </c>
      <c r="AX25" s="279" t="s">
        <v>242</v>
      </c>
      <c r="AY25" s="280">
        <v>2.8233639845325537E-2</v>
      </c>
      <c r="AZ25" s="280">
        <v>3.2816514960149819E-2</v>
      </c>
      <c r="BA25" s="280">
        <v>4.0963181757405584E-2</v>
      </c>
      <c r="BB25" s="280">
        <v>3.7801807912552339E-2</v>
      </c>
      <c r="BC25" s="280">
        <v>3.7660918467976229E-2</v>
      </c>
      <c r="BD25" s="280">
        <v>3.5210349852500385E-2</v>
      </c>
      <c r="BE25" s="280">
        <v>3.7452243204890295E-2</v>
      </c>
      <c r="BF25" s="280">
        <v>3.7425927851127978E-2</v>
      </c>
      <c r="BG25" s="280">
        <v>3.4090909090909088E-2</v>
      </c>
      <c r="BH25" s="280">
        <v>2.4929265121969871E-2</v>
      </c>
    </row>
    <row r="26" spans="2:60">
      <c r="B26" s="216" t="s">
        <v>244</v>
      </c>
      <c r="C26" s="234">
        <v>7.2318158547316207</v>
      </c>
      <c r="D26" s="234">
        <v>7.2753955868780942</v>
      </c>
      <c r="E26" s="234">
        <v>7.3199009152106473</v>
      </c>
      <c r="F26" s="234">
        <v>7.3599092908191306</v>
      </c>
      <c r="G26" s="234">
        <v>7.1950413263321673</v>
      </c>
      <c r="H26" s="234">
        <v>7.1602787646898056</v>
      </c>
      <c r="I26" s="234">
        <v>7.0481237373737384</v>
      </c>
      <c r="J26" s="234">
        <v>7.1696961210181378</v>
      </c>
      <c r="K26" s="234">
        <v>7.2976034482758623</v>
      </c>
      <c r="Q26" s="216" t="s">
        <v>244</v>
      </c>
      <c r="R26" s="234">
        <v>7.6155666238217652</v>
      </c>
      <c r="S26" s="234">
        <v>7.6316581384015585</v>
      </c>
      <c r="T26" s="234">
        <v>7.5512812352663827</v>
      </c>
      <c r="U26" s="234">
        <v>7.3511250000000006</v>
      </c>
      <c r="V26" s="234">
        <v>7.3848217115689385</v>
      </c>
      <c r="W26" s="234">
        <v>7.3739203206034905</v>
      </c>
      <c r="X26" s="234">
        <v>7.2820924261874209</v>
      </c>
      <c r="Y26" s="234">
        <v>6.6732480314960609</v>
      </c>
      <c r="Z26" s="234">
        <v>6.748045722713865</v>
      </c>
      <c r="AF26" s="216" t="s">
        <v>244</v>
      </c>
      <c r="AG26" s="234">
        <v>7.1326449275362327</v>
      </c>
      <c r="AH26" s="234">
        <v>5.7495238095238097</v>
      </c>
      <c r="AI26" s="234">
        <v>5.9542222222222225</v>
      </c>
      <c r="AJ26" s="234">
        <v>6.1610937500000009</v>
      </c>
      <c r="AK26" s="234">
        <v>6.2316666666666665</v>
      </c>
      <c r="AL26" s="234">
        <v>6.2610416666666673</v>
      </c>
      <c r="AM26" s="234">
        <v>8.2307456140350865</v>
      </c>
      <c r="AN26" s="234">
        <v>4.8364285714285717</v>
      </c>
      <c r="AO26" s="234">
        <v>7.2654347826086951</v>
      </c>
      <c r="AP26" s="234">
        <v>5.6122916666666676</v>
      </c>
      <c r="AX26" s="216" t="s">
        <v>243</v>
      </c>
      <c r="AY26" s="220">
        <v>59.830004044489385</v>
      </c>
      <c r="AZ26" s="220">
        <v>58.162528982395862</v>
      </c>
      <c r="BA26" s="220">
        <v>57.776562377786462</v>
      </c>
      <c r="BB26" s="220">
        <v>57.597054955378098</v>
      </c>
      <c r="BC26" s="220">
        <v>56.026852991873895</v>
      </c>
      <c r="BD26" s="220">
        <v>55.379269186712477</v>
      </c>
      <c r="BE26" s="220">
        <v>55.227723416847496</v>
      </c>
      <c r="BF26" s="220">
        <v>54.742872077551809</v>
      </c>
      <c r="BG26" s="220">
        <v>55.674747191011257</v>
      </c>
      <c r="BH26" s="220">
        <v>57.00661787196853</v>
      </c>
    </row>
    <row r="27" spans="2:60">
      <c r="B27" s="216" t="s">
        <v>245</v>
      </c>
      <c r="C27" s="220"/>
      <c r="D27" s="220"/>
      <c r="E27" s="220"/>
      <c r="F27" s="220"/>
      <c r="G27" s="220"/>
      <c r="H27" s="220"/>
      <c r="I27" s="220"/>
      <c r="J27" s="220"/>
      <c r="K27" s="220"/>
      <c r="Q27" s="216" t="s">
        <v>245</v>
      </c>
      <c r="R27" s="220"/>
      <c r="S27" s="220"/>
      <c r="T27" s="220"/>
      <c r="U27" s="220"/>
      <c r="V27" s="220"/>
      <c r="W27" s="220"/>
      <c r="X27" s="220"/>
      <c r="Y27" s="220"/>
      <c r="Z27" s="220"/>
      <c r="AF27" s="216" t="s">
        <v>245</v>
      </c>
      <c r="AG27" s="220"/>
      <c r="AH27" s="220"/>
      <c r="AI27" s="220"/>
      <c r="AJ27" s="220"/>
      <c r="AK27" s="220"/>
      <c r="AL27" s="220"/>
      <c r="AM27" s="220"/>
      <c r="AN27" s="220"/>
      <c r="AO27" s="220"/>
      <c r="AP27" s="220"/>
      <c r="AX27" s="216" t="s">
        <v>244</v>
      </c>
      <c r="AY27" s="234">
        <v>7.2921916076845292</v>
      </c>
      <c r="AZ27" s="234">
        <v>7.327227887505364</v>
      </c>
      <c r="BA27" s="234">
        <v>7.3518887693912118</v>
      </c>
      <c r="BB27" s="234">
        <v>7.3581521058399888</v>
      </c>
      <c r="BC27" s="234">
        <v>7.2250108758105549</v>
      </c>
      <c r="BD27" s="234">
        <v>7.195396334478807</v>
      </c>
      <c r="BE27" s="234">
        <v>7.1024404879331877</v>
      </c>
      <c r="BF27" s="234">
        <v>7.0872479883418862</v>
      </c>
      <c r="BG27" s="234">
        <v>7.1959004369538064</v>
      </c>
      <c r="BH27" s="234">
        <v>7.2564722161532291</v>
      </c>
    </row>
    <row r="28" spans="2:60">
      <c r="B28" s="216" t="s">
        <v>246</v>
      </c>
      <c r="C28" s="220">
        <v>62.603796496280282</v>
      </c>
      <c r="D28" s="220">
        <v>60.937065190032712</v>
      </c>
      <c r="E28" s="220">
        <v>60.650642160199673</v>
      </c>
      <c r="F28" s="220">
        <v>60.558441451346887</v>
      </c>
      <c r="G28" s="220">
        <v>59.557456242707104</v>
      </c>
      <c r="H28" s="220">
        <v>59.562456955452291</v>
      </c>
      <c r="I28" s="220">
        <v>58.551766899766889</v>
      </c>
      <c r="J28" s="220">
        <v>58.355317786922726</v>
      </c>
      <c r="K28" s="220">
        <v>59.97645977011495</v>
      </c>
      <c r="Q28" s="216" t="s">
        <v>246</v>
      </c>
      <c r="R28" s="220">
        <v>44.973457583547557</v>
      </c>
      <c r="S28" s="220">
        <v>42.043538011695908</v>
      </c>
      <c r="T28" s="220">
        <v>39.861329561527583</v>
      </c>
      <c r="U28" s="220">
        <v>40.25980645161291</v>
      </c>
      <c r="V28" s="220">
        <v>36.881822503961963</v>
      </c>
      <c r="W28" s="220">
        <v>33.734766619519093</v>
      </c>
      <c r="X28" s="220">
        <v>36.623260590500649</v>
      </c>
      <c r="Y28" s="220">
        <v>37.001912260967373</v>
      </c>
      <c r="Z28" s="220">
        <v>36.933577749683948</v>
      </c>
      <c r="AF28" s="216" t="s">
        <v>246</v>
      </c>
      <c r="AG28" s="220">
        <v>54.671304347826087</v>
      </c>
      <c r="AH28" s="220">
        <v>61.105714285714285</v>
      </c>
      <c r="AI28" s="220">
        <v>61.924666666666667</v>
      </c>
      <c r="AJ28" s="220">
        <v>65.236249999999998</v>
      </c>
      <c r="AK28" s="220">
        <v>61.045714285714283</v>
      </c>
      <c r="AL28" s="220">
        <v>46.17499999999999</v>
      </c>
      <c r="AM28" s="220">
        <v>56.51736842105263</v>
      </c>
      <c r="AN28" s="220">
        <v>50.997142857142855</v>
      </c>
      <c r="AO28" s="220">
        <v>47.556521739130432</v>
      </c>
      <c r="AP28" s="220">
        <v>45.368124999999999</v>
      </c>
      <c r="AX28" s="216" t="s">
        <v>245</v>
      </c>
      <c r="AY28" s="216"/>
      <c r="AZ28" s="220"/>
      <c r="BA28" s="220"/>
      <c r="BB28" s="220"/>
      <c r="BC28" s="220"/>
      <c r="BD28" s="220"/>
      <c r="BE28" s="220"/>
      <c r="BF28" s="220"/>
      <c r="BG28" s="220"/>
      <c r="BH28" s="220"/>
    </row>
    <row r="29" spans="2:60">
      <c r="B29" s="216" t="s">
        <v>247</v>
      </c>
      <c r="C29" s="234">
        <v>30134.976666666662</v>
      </c>
      <c r="D29" s="234">
        <v>28905.146666666667</v>
      </c>
      <c r="E29" s="234">
        <v>32258.803333333322</v>
      </c>
      <c r="F29" s="234">
        <v>26775.35</v>
      </c>
      <c r="G29" s="234">
        <v>24664.601666666669</v>
      </c>
      <c r="H29" s="234">
        <v>26199.46</v>
      </c>
      <c r="I29" s="234">
        <v>30236.450833333336</v>
      </c>
      <c r="J29" s="234">
        <v>31360.250833333335</v>
      </c>
      <c r="K29" s="234">
        <v>25395.66</v>
      </c>
      <c r="Q29" s="216" t="s">
        <v>247</v>
      </c>
      <c r="R29" s="234">
        <v>5924.9108333333334</v>
      </c>
      <c r="S29" s="234">
        <v>5220.0541666666659</v>
      </c>
      <c r="T29" s="234">
        <v>5338.7558333333327</v>
      </c>
      <c r="U29" s="234">
        <v>4557.6975000000002</v>
      </c>
      <c r="V29" s="234">
        <v>4659.8225000000002</v>
      </c>
      <c r="W29" s="234">
        <v>5213.3616666666676</v>
      </c>
      <c r="X29" s="234">
        <v>5672.7500000000009</v>
      </c>
      <c r="Y29" s="234">
        <v>5932.5174999999981</v>
      </c>
      <c r="Z29" s="234">
        <v>5337.7041666666673</v>
      </c>
      <c r="AF29" s="216" t="s">
        <v>247</v>
      </c>
      <c r="AG29" s="234">
        <v>164.05083333333334</v>
      </c>
      <c r="AH29" s="234">
        <v>80.493333333333339</v>
      </c>
      <c r="AI29" s="234">
        <v>89.313333333333333</v>
      </c>
      <c r="AJ29" s="234">
        <v>98.577500000000015</v>
      </c>
      <c r="AK29" s="234">
        <v>87.243333333333325</v>
      </c>
      <c r="AL29" s="234">
        <v>75.132500000000007</v>
      </c>
      <c r="AM29" s="234">
        <v>156.38416666666666</v>
      </c>
      <c r="AN29" s="234">
        <v>67.710000000000008</v>
      </c>
      <c r="AO29" s="234">
        <v>167.10499999999999</v>
      </c>
      <c r="AP29" s="234">
        <v>89.796666666666681</v>
      </c>
      <c r="AX29" s="216" t="s">
        <v>246</v>
      </c>
      <c r="AY29" s="220">
        <v>59.830004044489385</v>
      </c>
      <c r="AZ29" s="220">
        <v>58.162528982395862</v>
      </c>
      <c r="BA29" s="220">
        <v>57.776562377786462</v>
      </c>
      <c r="BB29" s="220">
        <v>57.597054955378098</v>
      </c>
      <c r="BC29" s="220">
        <v>56.026852991873895</v>
      </c>
      <c r="BD29" s="220">
        <v>55.379269186712477</v>
      </c>
      <c r="BE29" s="220">
        <v>55.227723416847496</v>
      </c>
      <c r="BF29" s="220">
        <v>54.742872077551809</v>
      </c>
      <c r="BG29" s="220">
        <v>55.674747191011257</v>
      </c>
      <c r="BH29" s="220">
        <v>57.00661787196853</v>
      </c>
    </row>
    <row r="30" spans="2:60">
      <c r="B30" s="216" t="s">
        <v>248</v>
      </c>
      <c r="C30" s="234">
        <v>216928.56999999995</v>
      </c>
      <c r="D30" s="234">
        <v>200295.80999999994</v>
      </c>
      <c r="E30" s="234">
        <v>219393.3299999999</v>
      </c>
      <c r="F30" s="234">
        <v>179861.50999999995</v>
      </c>
      <c r="G30" s="234">
        <v>164570.83999999997</v>
      </c>
      <c r="H30" s="234">
        <v>178900.94999999998</v>
      </c>
      <c r="I30" s="234">
        <v>200972.84999999998</v>
      </c>
      <c r="J30" s="234">
        <v>206862.37999999998</v>
      </c>
      <c r="K30" s="234">
        <v>170457.12999999995</v>
      </c>
      <c r="Q30" s="216" t="s">
        <v>248</v>
      </c>
      <c r="R30" s="234">
        <v>32208.099999999995</v>
      </c>
      <c r="S30" s="234">
        <v>27052.770000000004</v>
      </c>
      <c r="T30" s="234">
        <v>26700.100000000002</v>
      </c>
      <c r="U30" s="234">
        <v>24000.5</v>
      </c>
      <c r="V30" s="234">
        <v>22280.030000000002</v>
      </c>
      <c r="W30" s="234">
        <v>22826.930000000004</v>
      </c>
      <c r="X30" s="234">
        <v>24501.59</v>
      </c>
      <c r="Y30" s="234">
        <v>30684.34</v>
      </c>
      <c r="Z30" s="234">
        <v>27351.710000000003</v>
      </c>
      <c r="AF30" s="216" t="s">
        <v>248</v>
      </c>
      <c r="AG30" s="234">
        <v>1177.45</v>
      </c>
      <c r="AH30" s="234">
        <v>695.5</v>
      </c>
      <c r="AI30" s="234">
        <v>848.88</v>
      </c>
      <c r="AJ30" s="234">
        <v>903.81</v>
      </c>
      <c r="AK30" s="234">
        <v>794.65</v>
      </c>
      <c r="AL30" s="234">
        <v>554.09999999999991</v>
      </c>
      <c r="AM30" s="234">
        <v>552.66999999999996</v>
      </c>
      <c r="AN30" s="234">
        <v>551.64</v>
      </c>
      <c r="AO30" s="234">
        <v>895.74</v>
      </c>
      <c r="AP30" s="234">
        <v>570.31000000000006</v>
      </c>
      <c r="AX30" s="216" t="s">
        <v>247</v>
      </c>
      <c r="AY30" s="234">
        <v>36059.887499999997</v>
      </c>
      <c r="AZ30" s="234">
        <v>34130.227499999986</v>
      </c>
      <c r="BA30" s="234">
        <v>37597.559166666659</v>
      </c>
      <c r="BB30" s="234">
        <v>31331.011666666673</v>
      </c>
      <c r="BC30" s="234">
        <v>29340.769166666665</v>
      </c>
      <c r="BD30" s="234">
        <v>31407.904999999992</v>
      </c>
      <c r="BE30" s="234">
        <v>36002.270833333328</v>
      </c>
      <c r="BF30" s="234">
        <v>37286.011666666665</v>
      </c>
      <c r="BG30" s="234">
        <v>30740.886666666662</v>
      </c>
      <c r="BH30" s="234">
        <v>33212.873333333329</v>
      </c>
    </row>
    <row r="31" spans="2:60">
      <c r="B31" s="216" t="s">
        <v>249</v>
      </c>
      <c r="C31" s="217">
        <v>260870.01999999993</v>
      </c>
      <c r="D31" s="217">
        <v>242102.95999999996</v>
      </c>
      <c r="E31" s="217">
        <v>267287.37999999995</v>
      </c>
      <c r="F31" s="217">
        <v>220311.61</v>
      </c>
      <c r="G31" s="217">
        <v>204162.95999999996</v>
      </c>
      <c r="H31" s="217">
        <v>217939.02999999994</v>
      </c>
      <c r="I31" s="217">
        <v>251187.07999999996</v>
      </c>
      <c r="J31" s="217">
        <v>255246.16</v>
      </c>
      <c r="K31" s="217">
        <v>208718.08000000002</v>
      </c>
      <c r="Q31" s="216" t="s">
        <v>249</v>
      </c>
      <c r="R31" s="217">
        <v>34989.35</v>
      </c>
      <c r="S31" s="217">
        <v>28757.78</v>
      </c>
      <c r="T31" s="217">
        <v>28181.960000000003</v>
      </c>
      <c r="U31" s="217">
        <v>24961.080000000005</v>
      </c>
      <c r="V31" s="217">
        <v>23272.43</v>
      </c>
      <c r="W31" s="217">
        <v>23850.48</v>
      </c>
      <c r="X31" s="217">
        <v>28529.520000000004</v>
      </c>
      <c r="Y31" s="217">
        <v>32894.699999999997</v>
      </c>
      <c r="Z31" s="217">
        <v>29214.460000000003</v>
      </c>
      <c r="AF31" s="216" t="s">
        <v>249</v>
      </c>
      <c r="AG31" s="217">
        <v>1257.44</v>
      </c>
      <c r="AH31" s="217">
        <v>855.48</v>
      </c>
      <c r="AI31" s="217">
        <v>928.87</v>
      </c>
      <c r="AJ31" s="217">
        <v>1043.78</v>
      </c>
      <c r="AK31" s="217">
        <v>854.64</v>
      </c>
      <c r="AL31" s="217">
        <v>554.09999999999991</v>
      </c>
      <c r="AM31" s="217">
        <v>1073.83</v>
      </c>
      <c r="AN31" s="217">
        <v>713.95999999999992</v>
      </c>
      <c r="AO31" s="217">
        <v>1093.8</v>
      </c>
      <c r="AP31" s="217">
        <v>725.89</v>
      </c>
      <c r="AX31" s="216" t="s">
        <v>248</v>
      </c>
      <c r="AY31" s="234">
        <v>249136.66999999995</v>
      </c>
      <c r="AZ31" s="234">
        <v>227408.89999999991</v>
      </c>
      <c r="BA31" s="234">
        <v>246093.42999999991</v>
      </c>
      <c r="BB31" s="234">
        <v>203837.57999999996</v>
      </c>
      <c r="BC31" s="234">
        <v>186860.54999999993</v>
      </c>
      <c r="BD31" s="234">
        <v>201668.87999999995</v>
      </c>
      <c r="BE31" s="234">
        <v>225318.91</v>
      </c>
      <c r="BF31" s="234">
        <v>237388.04</v>
      </c>
      <c r="BG31" s="234">
        <v>197555.47999999998</v>
      </c>
      <c r="BH31" s="234">
        <v>227044.00999999995</v>
      </c>
    </row>
    <row r="32" spans="2:60">
      <c r="B32" s="216" t="s">
        <v>250</v>
      </c>
      <c r="C32" s="217">
        <v>30407.310000000005</v>
      </c>
      <c r="D32" s="217">
        <v>31167.150000000005</v>
      </c>
      <c r="E32" s="217">
        <v>33062.86</v>
      </c>
      <c r="F32" s="217">
        <v>34231.749999999993</v>
      </c>
      <c r="G32" s="217">
        <v>36286.82</v>
      </c>
      <c r="H32" s="217">
        <v>34611.620000000003</v>
      </c>
      <c r="I32" s="217">
        <v>31084.01</v>
      </c>
      <c r="J32" s="217">
        <v>33123.03</v>
      </c>
      <c r="K32" s="217">
        <v>31812.85</v>
      </c>
      <c r="Q32" s="216" t="s">
        <v>250</v>
      </c>
      <c r="R32" s="217">
        <v>14181.76</v>
      </c>
      <c r="S32" s="217">
        <v>12802.599999999999</v>
      </c>
      <c r="T32" s="217">
        <v>12472.32</v>
      </c>
      <c r="U32" s="217">
        <v>13491.73</v>
      </c>
      <c r="V32" s="217">
        <v>17244.010000000002</v>
      </c>
      <c r="W32" s="217">
        <v>11949.949999999999</v>
      </c>
      <c r="X32" s="217">
        <v>12375.589999999998</v>
      </c>
      <c r="Y32" s="217">
        <v>13792.980000000001</v>
      </c>
      <c r="Z32" s="217">
        <v>12239.17</v>
      </c>
      <c r="AF32" s="216" t="s">
        <v>250</v>
      </c>
      <c r="AG32" s="217">
        <v>644.96</v>
      </c>
      <c r="AH32" s="217">
        <v>618.83000000000004</v>
      </c>
      <c r="AI32" s="217">
        <v>898.08</v>
      </c>
      <c r="AJ32" s="217">
        <v>561.23</v>
      </c>
      <c r="AK32" s="217">
        <v>754.41</v>
      </c>
      <c r="AL32" s="217">
        <v>905.00000000000011</v>
      </c>
      <c r="AM32" s="217">
        <v>803.03</v>
      </c>
      <c r="AN32" s="217">
        <v>501.23</v>
      </c>
      <c r="AO32" s="217">
        <v>788.36</v>
      </c>
      <c r="AP32" s="217">
        <v>1043.9000000000001</v>
      </c>
      <c r="AX32" s="216" t="s">
        <v>249</v>
      </c>
      <c r="AY32" s="217">
        <v>295859.37</v>
      </c>
      <c r="AZ32" s="217">
        <v>270921.05999999994</v>
      </c>
      <c r="BA32" s="217">
        <v>295469.33999999997</v>
      </c>
      <c r="BB32" s="217">
        <v>245248.25999999995</v>
      </c>
      <c r="BC32" s="217">
        <v>227525.0499999999</v>
      </c>
      <c r="BD32" s="217">
        <v>241730.50999999995</v>
      </c>
      <c r="BE32" s="217">
        <v>279949.32999999996</v>
      </c>
      <c r="BF32" s="217">
        <v>288002.25000000006</v>
      </c>
      <c r="BG32" s="217">
        <v>237842.52000000008</v>
      </c>
      <c r="BH32" s="217">
        <v>260919.28999999995</v>
      </c>
    </row>
    <row r="33" spans="2:60">
      <c r="B33" s="216" t="s">
        <v>251</v>
      </c>
      <c r="C33" s="217">
        <v>0</v>
      </c>
      <c r="D33" s="217">
        <v>0</v>
      </c>
      <c r="E33" s="217">
        <v>0</v>
      </c>
      <c r="F33" s="217">
        <v>0</v>
      </c>
      <c r="G33" s="217">
        <v>0</v>
      </c>
      <c r="H33" s="217">
        <v>0</v>
      </c>
      <c r="I33" s="217">
        <v>0</v>
      </c>
      <c r="J33" s="217">
        <v>0</v>
      </c>
      <c r="K33" s="217">
        <v>0</v>
      </c>
      <c r="Q33" s="216" t="s">
        <v>251</v>
      </c>
      <c r="R33" s="217">
        <v>0</v>
      </c>
      <c r="S33" s="217">
        <v>0</v>
      </c>
      <c r="T33" s="217">
        <v>0</v>
      </c>
      <c r="U33" s="217">
        <v>0</v>
      </c>
      <c r="V33" s="217">
        <v>0</v>
      </c>
      <c r="W33" s="217">
        <v>0</v>
      </c>
      <c r="X33" s="217">
        <v>0</v>
      </c>
      <c r="Y33" s="217">
        <v>0</v>
      </c>
      <c r="Z33" s="217">
        <v>0</v>
      </c>
      <c r="AF33" s="216" t="s">
        <v>251</v>
      </c>
      <c r="AG33" s="217">
        <v>0</v>
      </c>
      <c r="AH33" s="217">
        <v>0</v>
      </c>
      <c r="AI33" s="217">
        <v>0</v>
      </c>
      <c r="AJ33" s="217">
        <v>0</v>
      </c>
      <c r="AK33" s="217">
        <v>0</v>
      </c>
      <c r="AL33" s="217">
        <v>0</v>
      </c>
      <c r="AM33" s="217">
        <v>0</v>
      </c>
      <c r="AN33" s="217">
        <v>0</v>
      </c>
      <c r="AO33" s="217">
        <v>0</v>
      </c>
      <c r="AP33" s="217">
        <v>0</v>
      </c>
      <c r="AX33" s="216" t="s">
        <v>250</v>
      </c>
      <c r="AY33" s="217">
        <v>44627.459999999985</v>
      </c>
      <c r="AZ33" s="217">
        <v>43949.759999999995</v>
      </c>
      <c r="BA33" s="217">
        <v>45515.189999999973</v>
      </c>
      <c r="BB33" s="217">
        <v>47740.049999999981</v>
      </c>
      <c r="BC33" s="217">
        <v>53449.369999999974</v>
      </c>
      <c r="BD33" s="217">
        <v>46541.57999999998</v>
      </c>
      <c r="BE33" s="217">
        <v>43514.779999999992</v>
      </c>
      <c r="BF33" s="217">
        <v>46806.469999999987</v>
      </c>
      <c r="BG33" s="217">
        <v>43987.889999999985</v>
      </c>
      <c r="BH33" s="217">
        <v>42997.509999999995</v>
      </c>
    </row>
    <row r="34" spans="2:60">
      <c r="B34" s="216" t="s">
        <v>252</v>
      </c>
      <c r="C34" s="217">
        <v>247335.87999999995</v>
      </c>
      <c r="D34" s="217">
        <v>231462.95999999993</v>
      </c>
      <c r="E34" s="217">
        <v>252456.18999999989</v>
      </c>
      <c r="F34" s="217">
        <v>214093.25999999995</v>
      </c>
      <c r="G34" s="217">
        <v>200857.65999999997</v>
      </c>
      <c r="H34" s="217">
        <v>213512.56999999998</v>
      </c>
      <c r="I34" s="217">
        <v>232056.86</v>
      </c>
      <c r="J34" s="217">
        <v>239985.40999999997</v>
      </c>
      <c r="K34" s="217">
        <v>202269.97999999995</v>
      </c>
      <c r="Q34" s="216" t="s">
        <v>252</v>
      </c>
      <c r="R34" s="217">
        <v>46389.859999999993</v>
      </c>
      <c r="S34" s="217">
        <v>39855.370000000003</v>
      </c>
      <c r="T34" s="217">
        <v>39172.42</v>
      </c>
      <c r="U34" s="217">
        <v>37492.229999999996</v>
      </c>
      <c r="V34" s="217">
        <v>39524.040000000008</v>
      </c>
      <c r="W34" s="217">
        <v>34776.880000000005</v>
      </c>
      <c r="X34" s="217">
        <v>36877.18</v>
      </c>
      <c r="Y34" s="217">
        <v>44477.32</v>
      </c>
      <c r="Z34" s="217">
        <v>39590.880000000005</v>
      </c>
      <c r="AF34" s="225" t="s">
        <v>252</v>
      </c>
      <c r="AG34" s="235">
        <v>1822.41</v>
      </c>
      <c r="AH34" s="235">
        <v>1314.33</v>
      </c>
      <c r="AI34" s="235">
        <v>1746.96</v>
      </c>
      <c r="AJ34" s="235">
        <v>1465.04</v>
      </c>
      <c r="AK34" s="235">
        <v>1549.06</v>
      </c>
      <c r="AL34" s="235">
        <v>1459.1</v>
      </c>
      <c r="AM34" s="235">
        <v>1355.6999999999998</v>
      </c>
      <c r="AN34" s="235">
        <v>1052.8699999999999</v>
      </c>
      <c r="AO34" s="235">
        <v>1684.1</v>
      </c>
      <c r="AP34" s="235">
        <v>1614.21</v>
      </c>
      <c r="AX34" s="216" t="s">
        <v>251</v>
      </c>
      <c r="AY34" s="217">
        <v>0</v>
      </c>
      <c r="AZ34" s="217">
        <v>0</v>
      </c>
      <c r="BA34" s="217">
        <v>0</v>
      </c>
      <c r="BB34" s="217">
        <v>0</v>
      </c>
      <c r="BC34" s="217">
        <v>0</v>
      </c>
      <c r="BD34" s="217">
        <v>0</v>
      </c>
      <c r="BE34" s="217">
        <v>0</v>
      </c>
      <c r="BF34" s="217">
        <v>0</v>
      </c>
      <c r="BG34" s="217">
        <v>0</v>
      </c>
      <c r="BH34" s="217">
        <v>0</v>
      </c>
    </row>
    <row r="35" spans="2:60">
      <c r="B35" s="216" t="s">
        <v>253</v>
      </c>
      <c r="C35" s="236">
        <v>43957.43</v>
      </c>
      <c r="D35" s="236">
        <v>41626.61</v>
      </c>
      <c r="E35" s="236">
        <v>49717.45</v>
      </c>
      <c r="F35" s="236">
        <v>38899.519999999997</v>
      </c>
      <c r="G35" s="236">
        <v>38767.68</v>
      </c>
      <c r="H35" s="236">
        <v>40350.209999999992</v>
      </c>
      <c r="I35" s="236">
        <v>47919.4</v>
      </c>
      <c r="J35" s="236">
        <v>50871.83</v>
      </c>
      <c r="K35" s="236">
        <v>40429.939999999995</v>
      </c>
      <c r="Q35" s="216" t="s">
        <v>253</v>
      </c>
      <c r="R35" s="236">
        <v>2460.17</v>
      </c>
      <c r="S35" s="236">
        <v>2409.5099999999998</v>
      </c>
      <c r="T35" s="236">
        <v>1519.6</v>
      </c>
      <c r="U35" s="236">
        <v>937.56999999999994</v>
      </c>
      <c r="V35" s="236">
        <v>834.07999999999993</v>
      </c>
      <c r="W35" s="236">
        <v>1135.8699999999999</v>
      </c>
      <c r="X35" s="236">
        <v>3935.74</v>
      </c>
      <c r="Y35" s="236">
        <v>2342.9199999999996</v>
      </c>
      <c r="Z35" s="236">
        <v>2398.96</v>
      </c>
      <c r="AF35" s="216" t="s">
        <v>253</v>
      </c>
      <c r="AG35" s="236">
        <v>79.989999999999995</v>
      </c>
      <c r="AH35" s="236">
        <v>139.97</v>
      </c>
      <c r="AI35" s="236">
        <v>159.97999999999999</v>
      </c>
      <c r="AJ35" s="236">
        <v>79.989999999999995</v>
      </c>
      <c r="AK35" s="236">
        <v>119.97</v>
      </c>
      <c r="AL35" s="236">
        <v>0</v>
      </c>
      <c r="AM35" s="236">
        <v>521.16</v>
      </c>
      <c r="AN35" s="236">
        <v>102.34</v>
      </c>
      <c r="AO35" s="236">
        <v>199.96</v>
      </c>
      <c r="AP35" s="236">
        <v>213.65999999999997</v>
      </c>
      <c r="AX35" s="237" t="s">
        <v>252</v>
      </c>
      <c r="AY35" s="238">
        <v>293764.12999999995</v>
      </c>
      <c r="AZ35" s="238">
        <v>271358.65999999992</v>
      </c>
      <c r="BA35" s="238">
        <v>291608.61999999988</v>
      </c>
      <c r="BB35" s="238">
        <v>251577.62999999995</v>
      </c>
      <c r="BC35" s="238">
        <v>240309.9199999999</v>
      </c>
      <c r="BD35" s="238">
        <v>248210.45999999993</v>
      </c>
      <c r="BE35" s="238">
        <v>268833.69</v>
      </c>
      <c r="BF35" s="238">
        <v>284194.51</v>
      </c>
      <c r="BG35" s="238">
        <v>241543.36999999997</v>
      </c>
      <c r="BH35" s="238">
        <v>270041.51999999996</v>
      </c>
    </row>
    <row r="36" spans="2:60">
      <c r="B36" s="216" t="s">
        <v>254</v>
      </c>
      <c r="C36" s="239">
        <v>0.64025835313501622</v>
      </c>
      <c r="D36" s="239">
        <v>0.64022681814835514</v>
      </c>
      <c r="E36" s="239">
        <v>0.64017349544885382</v>
      </c>
      <c r="F36" s="239">
        <v>0.64030197120637988</v>
      </c>
      <c r="G36" s="239">
        <v>0.64034502044880937</v>
      </c>
      <c r="H36" s="239">
        <v>0.64034564709703046</v>
      </c>
      <c r="I36" s="239">
        <v>0.64034969877641201</v>
      </c>
      <c r="J36" s="239">
        <v>0.64028814251666377</v>
      </c>
      <c r="K36" s="239">
        <v>0.64033074606523421</v>
      </c>
      <c r="Q36" s="216" t="s">
        <v>254</v>
      </c>
      <c r="R36" s="239">
        <v>0.78999999999999992</v>
      </c>
      <c r="S36" s="239">
        <v>0.79</v>
      </c>
      <c r="T36" s="239">
        <v>0.79</v>
      </c>
      <c r="U36" s="239">
        <v>0.78999999999999992</v>
      </c>
      <c r="V36" s="239">
        <v>0.79</v>
      </c>
      <c r="W36" s="239">
        <v>0.78999999999999992</v>
      </c>
      <c r="X36" s="239">
        <v>0.79</v>
      </c>
      <c r="Y36" s="239">
        <v>0.79</v>
      </c>
      <c r="Z36" s="239">
        <v>0.78999999999999992</v>
      </c>
      <c r="AF36" s="216" t="s">
        <v>254</v>
      </c>
      <c r="AG36" s="239">
        <v>0.98</v>
      </c>
      <c r="AH36" s="239">
        <v>0.97999999999999987</v>
      </c>
      <c r="AI36" s="239">
        <v>0.98</v>
      </c>
      <c r="AJ36" s="239">
        <v>0.98</v>
      </c>
      <c r="AK36" s="239">
        <v>0.98</v>
      </c>
      <c r="AL36" s="239">
        <v>0.98</v>
      </c>
      <c r="AM36" s="239">
        <v>0.98</v>
      </c>
      <c r="AN36" s="239">
        <v>0.98000000000000009</v>
      </c>
      <c r="AO36" s="239">
        <v>0.98</v>
      </c>
      <c r="AP36" s="239">
        <v>0.98</v>
      </c>
      <c r="AX36" s="216" t="s">
        <v>253</v>
      </c>
      <c r="AY36" s="236">
        <v>46417.599999999999</v>
      </c>
      <c r="AZ36" s="236">
        <v>44036.119999999988</v>
      </c>
      <c r="BA36" s="236">
        <v>51237.05</v>
      </c>
      <c r="BB36" s="236">
        <v>39837.089999999997</v>
      </c>
      <c r="BC36" s="236">
        <v>39681.74</v>
      </c>
      <c r="BD36" s="236">
        <v>41486.080000000002</v>
      </c>
      <c r="BE36" s="236">
        <v>52210.259999999995</v>
      </c>
      <c r="BF36" s="236">
        <v>53164.77</v>
      </c>
      <c r="BG36" s="236">
        <v>42828.899999999994</v>
      </c>
      <c r="BH36" s="236">
        <v>44331.65</v>
      </c>
    </row>
    <row r="37" spans="2:60">
      <c r="B37" s="216" t="s">
        <v>70</v>
      </c>
      <c r="C37" s="236">
        <v>247319.89999999997</v>
      </c>
      <c r="D37" s="236">
        <v>231643.5</v>
      </c>
      <c r="E37" s="236">
        <v>250632.78999999992</v>
      </c>
      <c r="F37" s="236">
        <v>215643.84</v>
      </c>
      <c r="G37" s="236">
        <v>201682.09999999998</v>
      </c>
      <c r="H37" s="236">
        <v>212200.43999999994</v>
      </c>
      <c r="I37" s="236">
        <v>234351.68999999997</v>
      </c>
      <c r="J37" s="236">
        <v>237497.36</v>
      </c>
      <c r="K37" s="236">
        <v>200100.99000000002</v>
      </c>
      <c r="Q37" s="216" t="s">
        <v>70</v>
      </c>
      <c r="R37" s="236">
        <v>46710.94</v>
      </c>
      <c r="S37" s="236">
        <v>39150.869999999995</v>
      </c>
      <c r="T37" s="236">
        <v>39134.68</v>
      </c>
      <c r="U37" s="236">
        <v>37515.240000000005</v>
      </c>
      <c r="V37" s="236">
        <v>39682.36</v>
      </c>
      <c r="W37" s="236">
        <v>34664.559999999998</v>
      </c>
      <c r="X37" s="236">
        <v>36969.370000000003</v>
      </c>
      <c r="Y37" s="236">
        <v>44344.76</v>
      </c>
      <c r="Z37" s="236">
        <v>39054.670000000006</v>
      </c>
      <c r="AF37" s="216" t="s">
        <v>70</v>
      </c>
      <c r="AG37" s="236">
        <v>1822.41</v>
      </c>
      <c r="AH37" s="236">
        <v>1334.34</v>
      </c>
      <c r="AI37" s="236">
        <v>1666.97</v>
      </c>
      <c r="AJ37" s="236">
        <v>1525.02</v>
      </c>
      <c r="AK37" s="236">
        <v>1489.08</v>
      </c>
      <c r="AL37" s="236">
        <v>1459.1</v>
      </c>
      <c r="AM37" s="236">
        <v>1355.6999999999998</v>
      </c>
      <c r="AN37" s="236">
        <v>1112.8500000000001</v>
      </c>
      <c r="AO37" s="236">
        <v>1682.1999999999998</v>
      </c>
      <c r="AP37" s="236">
        <v>1556.13</v>
      </c>
      <c r="AX37" s="216" t="s">
        <v>254</v>
      </c>
      <c r="AY37" s="239">
        <v>0.66395044452840446</v>
      </c>
      <c r="AZ37" s="239">
        <v>0.66217338300535544</v>
      </c>
      <c r="BA37" s="239">
        <v>0.66029370565245982</v>
      </c>
      <c r="BB37" s="239">
        <v>0.66261942963688791</v>
      </c>
      <c r="BC37" s="239">
        <v>0.66492985724434539</v>
      </c>
      <c r="BD37" s="239">
        <v>0.66122027411737605</v>
      </c>
      <c r="BE37" s="239">
        <v>0.66090611857464709</v>
      </c>
      <c r="BF37" s="239">
        <v>0.66354572577774273</v>
      </c>
      <c r="BG37" s="239">
        <v>0.66481219625278898</v>
      </c>
      <c r="BH37" s="239">
        <v>0.66752616708719448</v>
      </c>
    </row>
    <row r="38" spans="2:60">
      <c r="B38" s="216" t="s">
        <v>255</v>
      </c>
      <c r="C38" s="234">
        <v>158337.2794601522</v>
      </c>
      <c r="D38" s="234">
        <v>148294.89832939749</v>
      </c>
      <c r="E38" s="234">
        <v>160440.15984869638</v>
      </c>
      <c r="F38" s="234">
        <v>138064.961065018</v>
      </c>
      <c r="G38" s="234">
        <v>129132.4683576471</v>
      </c>
      <c r="H38" s="234">
        <v>135868.1346670489</v>
      </c>
      <c r="I38" s="234">
        <v>150049.47424445357</v>
      </c>
      <c r="J38" s="234">
        <v>152052.80206287649</v>
      </c>
      <c r="K38" s="234">
        <v>128118.16155642737</v>
      </c>
      <c r="Q38" s="216" t="s">
        <v>255</v>
      </c>
      <c r="R38" s="234">
        <v>36901.642599999999</v>
      </c>
      <c r="S38" s="234">
        <v>30929.187299999998</v>
      </c>
      <c r="T38" s="234">
        <v>30916.397199999999</v>
      </c>
      <c r="U38" s="234">
        <v>29637.039600000004</v>
      </c>
      <c r="V38" s="234">
        <v>31349.064399999999</v>
      </c>
      <c r="W38" s="234">
        <v>27385.002400000001</v>
      </c>
      <c r="X38" s="234">
        <v>29205.802300000003</v>
      </c>
      <c r="Y38" s="234">
        <v>35032.360400000005</v>
      </c>
      <c r="Z38" s="234">
        <v>30853.189300000002</v>
      </c>
      <c r="AF38" s="216" t="s">
        <v>255</v>
      </c>
      <c r="AG38" s="234">
        <v>1785.9618</v>
      </c>
      <c r="AH38" s="234">
        <v>1307.6532</v>
      </c>
      <c r="AI38" s="234">
        <v>1633.6306</v>
      </c>
      <c r="AJ38" s="234">
        <v>1494.5195999999999</v>
      </c>
      <c r="AK38" s="234">
        <v>1459.2983999999999</v>
      </c>
      <c r="AL38" s="234">
        <v>1429.9179999999999</v>
      </c>
      <c r="AM38" s="234">
        <v>1328.586</v>
      </c>
      <c r="AN38" s="234">
        <v>1090.5930000000001</v>
      </c>
      <c r="AO38" s="234">
        <v>1648.5559999999998</v>
      </c>
      <c r="AP38" s="234">
        <v>1525.0074</v>
      </c>
      <c r="AX38" s="225" t="s">
        <v>70</v>
      </c>
      <c r="AY38" s="240">
        <v>294069.23</v>
      </c>
      <c r="AZ38" s="240">
        <v>270834.69999999995</v>
      </c>
      <c r="BA38" s="240">
        <v>289747.47999999992</v>
      </c>
      <c r="BB38" s="240">
        <v>253151.21999999994</v>
      </c>
      <c r="BC38" s="240">
        <v>241292.67999999988</v>
      </c>
      <c r="BD38" s="240">
        <v>246786.00999999989</v>
      </c>
      <c r="BE38" s="240">
        <v>271253.84999999992</v>
      </c>
      <c r="BF38" s="240">
        <v>281643.95</v>
      </c>
      <c r="BG38" s="240">
        <v>239001.51000000004</v>
      </c>
      <c r="BH38" s="240">
        <v>259585.14999999994</v>
      </c>
    </row>
    <row r="39" spans="2:60">
      <c r="B39" s="216" t="s">
        <v>256</v>
      </c>
      <c r="C39" s="234">
        <v>26119.859460152191</v>
      </c>
      <c r="D39" s="234">
        <v>19740.758329397489</v>
      </c>
      <c r="E39" s="234">
        <v>19592.679848696396</v>
      </c>
      <c r="F39" s="234">
        <v>3667.8510650179815</v>
      </c>
      <c r="G39" s="234">
        <v>-3785.4616473529022</v>
      </c>
      <c r="H39" s="234">
        <v>-7739.1553319510713</v>
      </c>
      <c r="I39" s="234">
        <v>-5508.1957545464393</v>
      </c>
      <c r="J39" s="234">
        <v>7825.2420598764729</v>
      </c>
      <c r="K39" s="234">
        <v>1464.2710454273765</v>
      </c>
      <c r="Q39" s="216" t="s">
        <v>256</v>
      </c>
      <c r="R39" s="234">
        <v>16927.652599999998</v>
      </c>
      <c r="S39" s="234">
        <v>12172.507298999997</v>
      </c>
      <c r="T39" s="234">
        <v>12804.247199999998</v>
      </c>
      <c r="U39" s="234">
        <v>11342.519600000003</v>
      </c>
      <c r="V39" s="234">
        <v>17543.0144</v>
      </c>
      <c r="W39" s="234">
        <v>10680.382400000006</v>
      </c>
      <c r="X39" s="234">
        <v>11309.622300000006</v>
      </c>
      <c r="Y39" s="234">
        <v>11928.520399000008</v>
      </c>
      <c r="Z39" s="234">
        <v>7525.348666000009</v>
      </c>
      <c r="AF39" s="216" t="s">
        <v>256</v>
      </c>
      <c r="AG39" s="234">
        <v>1785.9618</v>
      </c>
      <c r="AH39" s="234">
        <v>1307.6532</v>
      </c>
      <c r="AI39" s="234">
        <v>1633.6306</v>
      </c>
      <c r="AJ39" s="234">
        <v>1494.5195999999999</v>
      </c>
      <c r="AK39" s="234">
        <v>1459.2983999999999</v>
      </c>
      <c r="AL39" s="234">
        <v>1429.9179999999999</v>
      </c>
      <c r="AM39" s="234">
        <v>1328.586</v>
      </c>
      <c r="AN39" s="234">
        <v>-874.77699999999982</v>
      </c>
      <c r="AO39" s="234">
        <v>-6137.3612029999995</v>
      </c>
      <c r="AP39" s="234">
        <v>-2372.4726000000005</v>
      </c>
      <c r="AX39" s="216" t="s">
        <v>255</v>
      </c>
      <c r="AY39" s="234">
        <v>194545.55404605827</v>
      </c>
      <c r="AZ39" s="234">
        <v>178630.46924517018</v>
      </c>
      <c r="BA39" s="234">
        <v>190538.69608879951</v>
      </c>
      <c r="BB39" s="234">
        <v>166950.31804580661</v>
      </c>
      <c r="BC39" s="234">
        <v>159577.80708659274</v>
      </c>
      <c r="BD39" s="234">
        <v>162483.32691034453</v>
      </c>
      <c r="BE39" s="234">
        <v>178794.50111362684</v>
      </c>
      <c r="BF39" s="234">
        <v>186023.44490454323</v>
      </c>
      <c r="BG39" s="234">
        <v>158178.18882790892</v>
      </c>
      <c r="BH39" s="234">
        <v>172714.04609484889</v>
      </c>
    </row>
    <row r="40" spans="2:60">
      <c r="B40" s="216" t="s">
        <v>257</v>
      </c>
      <c r="C40" s="234">
        <v>158358.86319999996</v>
      </c>
      <c r="D40" s="234">
        <v>148188.79439999996</v>
      </c>
      <c r="E40" s="234">
        <v>161615.76159999991</v>
      </c>
      <c r="F40" s="234">
        <v>137084.33639999997</v>
      </c>
      <c r="G40" s="234">
        <v>128618.20239999998</v>
      </c>
      <c r="H40" s="234">
        <v>136721.84479999999</v>
      </c>
      <c r="I40" s="234">
        <v>148597.5404</v>
      </c>
      <c r="J40" s="234">
        <v>153659.81239999997</v>
      </c>
      <c r="K40" s="234">
        <v>129519.68719999997</v>
      </c>
      <c r="Q40" s="216" t="s">
        <v>257</v>
      </c>
      <c r="R40" s="234">
        <v>36647.989399999991</v>
      </c>
      <c r="S40" s="234">
        <v>31485.742300000002</v>
      </c>
      <c r="T40" s="234">
        <v>30946.211800000001</v>
      </c>
      <c r="U40" s="234">
        <v>29618.861699999994</v>
      </c>
      <c r="V40" s="234">
        <v>31223.991600000008</v>
      </c>
      <c r="W40" s="234">
        <v>27473.735200000003</v>
      </c>
      <c r="X40" s="234">
        <v>29132.9722</v>
      </c>
      <c r="Y40" s="234">
        <v>35137.082800000004</v>
      </c>
      <c r="Z40" s="234">
        <v>31276.7952</v>
      </c>
      <c r="AF40" s="216" t="s">
        <v>257</v>
      </c>
      <c r="AG40" s="234">
        <v>1785.9618</v>
      </c>
      <c r="AH40" s="234">
        <v>1288.0433999999998</v>
      </c>
      <c r="AI40" s="234">
        <v>1712.0208</v>
      </c>
      <c r="AJ40" s="234">
        <v>1435.7392</v>
      </c>
      <c r="AK40" s="234">
        <v>1518.0788</v>
      </c>
      <c r="AL40" s="234">
        <v>1429.9179999999999</v>
      </c>
      <c r="AM40" s="234">
        <v>1328.5859999999998</v>
      </c>
      <c r="AN40" s="234">
        <v>1031.8126</v>
      </c>
      <c r="AO40" s="234">
        <v>1650.4179999999999</v>
      </c>
      <c r="AP40" s="234">
        <v>1581.9258</v>
      </c>
      <c r="AX40" s="216" t="s">
        <v>256</v>
      </c>
      <c r="AY40" s="234">
        <v>42354.144046058267</v>
      </c>
      <c r="AZ40" s="234">
        <v>31319.649244170228</v>
      </c>
      <c r="BA40" s="234">
        <v>31579.066088799504</v>
      </c>
      <c r="BB40" s="234">
        <v>14258.68804580663</v>
      </c>
      <c r="BC40" s="234">
        <v>12853.827081592754</v>
      </c>
      <c r="BD40" s="234">
        <v>2171.4169113445387</v>
      </c>
      <c r="BE40" s="234">
        <v>5340.6511146268167</v>
      </c>
      <c r="BF40" s="234">
        <v>18692.044900543231</v>
      </c>
      <c r="BG40" s="234">
        <v>8196.4576829088619</v>
      </c>
      <c r="BH40" s="234">
        <v>30864.041175848921</v>
      </c>
    </row>
    <row r="41" spans="2:60">
      <c r="B41" s="216" t="s">
        <v>258</v>
      </c>
      <c r="C41" s="234">
        <v>26141.443199999951</v>
      </c>
      <c r="D41" s="234">
        <v>19634.654399999956</v>
      </c>
      <c r="E41" s="234">
        <v>20768.281599999929</v>
      </c>
      <c r="F41" s="234">
        <v>2687.2263999999559</v>
      </c>
      <c r="G41" s="234">
        <v>-4299.7276050000219</v>
      </c>
      <c r="H41" s="234">
        <v>-6885.4451989999798</v>
      </c>
      <c r="I41" s="234">
        <v>-6960.1295990000071</v>
      </c>
      <c r="J41" s="234">
        <v>9432.2523969999456</v>
      </c>
      <c r="K41" s="234">
        <v>2865.7966889999807</v>
      </c>
      <c r="Q41" s="216" t="s">
        <v>258</v>
      </c>
      <c r="R41" s="234">
        <v>16673.99939999999</v>
      </c>
      <c r="S41" s="234">
        <v>12729.062299000001</v>
      </c>
      <c r="T41" s="234">
        <v>12834.061799999999</v>
      </c>
      <c r="U41" s="234">
        <v>11324.341699999994</v>
      </c>
      <c r="V41" s="234">
        <v>17417.941600000006</v>
      </c>
      <c r="W41" s="234">
        <v>10769.115200000007</v>
      </c>
      <c r="X41" s="234">
        <v>11236.792200000004</v>
      </c>
      <c r="Y41" s="234">
        <v>12033.242799000007</v>
      </c>
      <c r="Z41" s="234">
        <v>7948.9545660000076</v>
      </c>
      <c r="AF41" s="216" t="s">
        <v>258</v>
      </c>
      <c r="AG41" s="234">
        <v>1785.9618</v>
      </c>
      <c r="AH41" s="234">
        <v>1288.0433999999998</v>
      </c>
      <c r="AI41" s="234">
        <v>1712.0208</v>
      </c>
      <c r="AJ41" s="234">
        <v>1435.7392</v>
      </c>
      <c r="AK41" s="234">
        <v>1518.0788</v>
      </c>
      <c r="AL41" s="234">
        <v>1429.9179999999999</v>
      </c>
      <c r="AM41" s="234">
        <v>1328.5859999999998</v>
      </c>
      <c r="AN41" s="234">
        <v>-933.55739999999992</v>
      </c>
      <c r="AO41" s="234">
        <v>-6135.4992029999994</v>
      </c>
      <c r="AP41" s="234">
        <v>-2315.5542000000005</v>
      </c>
      <c r="AX41" s="216" t="s">
        <v>257</v>
      </c>
      <c r="AY41" s="234">
        <v>195044.82469999997</v>
      </c>
      <c r="AZ41" s="234">
        <v>179686.48189999996</v>
      </c>
      <c r="BA41" s="234">
        <v>192547.33629999994</v>
      </c>
      <c r="BB41" s="234">
        <v>166700.22569999998</v>
      </c>
      <c r="BC41" s="234">
        <v>159789.2408</v>
      </c>
      <c r="BD41" s="234">
        <v>164121.78839999996</v>
      </c>
      <c r="BE41" s="234">
        <v>177673.83059999993</v>
      </c>
      <c r="BF41" s="234">
        <v>188576.05239999996</v>
      </c>
      <c r="BG41" s="234">
        <v>160580.97829999999</v>
      </c>
      <c r="BH41" s="234">
        <v>180259.78079999995</v>
      </c>
    </row>
    <row r="42" spans="2:60">
      <c r="B42" s="216" t="s">
        <v>259</v>
      </c>
      <c r="C42" s="241">
        <v>0.75193545143776397</v>
      </c>
      <c r="D42" s="241">
        <v>0.708931245745405</v>
      </c>
      <c r="E42" s="241">
        <v>0.74680448043909498</v>
      </c>
      <c r="F42" s="241">
        <v>0.86205788389194504</v>
      </c>
      <c r="G42" s="241">
        <v>0.84843963695138624</v>
      </c>
      <c r="H42" s="241">
        <v>0.83548422591445681</v>
      </c>
      <c r="I42" s="241">
        <v>0.84622682424373852</v>
      </c>
      <c r="J42" s="241">
        <v>0.85798280039102903</v>
      </c>
      <c r="K42" s="241">
        <v>0.84743887598185641</v>
      </c>
      <c r="Q42" s="216" t="s">
        <v>259</v>
      </c>
      <c r="R42" s="241">
        <v>0.83432433366750791</v>
      </c>
      <c r="S42" s="241">
        <v>0.8517162373396715</v>
      </c>
      <c r="T42" s="241">
        <v>0.82008048494727726</v>
      </c>
      <c r="U42" s="241">
        <v>0.8357140935625319</v>
      </c>
      <c r="V42" s="241">
        <v>0.81663023624876485</v>
      </c>
      <c r="W42" s="241">
        <v>0.88207241019273641</v>
      </c>
      <c r="X42" s="241">
        <v>0.83157594756340836</v>
      </c>
      <c r="Y42" s="241">
        <v>0.8714355588163365</v>
      </c>
      <c r="Z42" s="241">
        <v>0.88071455456151015</v>
      </c>
      <c r="AF42" s="216" t="s">
        <v>259</v>
      </c>
      <c r="AG42" s="241"/>
      <c r="AH42" s="241"/>
      <c r="AI42" s="241"/>
      <c r="AJ42" s="241"/>
      <c r="AK42" s="241"/>
      <c r="AL42" s="241"/>
      <c r="AM42" s="241"/>
      <c r="AN42" s="241"/>
      <c r="AO42" s="241"/>
      <c r="AP42" s="241"/>
      <c r="AX42" s="216" t="s">
        <v>258</v>
      </c>
      <c r="AY42" s="234">
        <v>42853.414699999965</v>
      </c>
      <c r="AZ42" s="234">
        <v>32375.661898999999</v>
      </c>
      <c r="BA42" s="234">
        <v>33587.706299999933</v>
      </c>
      <c r="BB42" s="234">
        <v>14008.595700000005</v>
      </c>
      <c r="BC42" s="234">
        <v>13065.260795000009</v>
      </c>
      <c r="BD42" s="234">
        <v>3809.8784009999654</v>
      </c>
      <c r="BE42" s="234">
        <v>4219.9806009999011</v>
      </c>
      <c r="BF42" s="234">
        <v>21244.652395999961</v>
      </c>
      <c r="BG42" s="234">
        <v>10599.247154999932</v>
      </c>
      <c r="BH42" s="234">
        <v>38409.77588099998</v>
      </c>
    </row>
    <row r="43" spans="2:60">
      <c r="B43" s="216" t="s">
        <v>260</v>
      </c>
      <c r="C43" s="242">
        <v>11.610804415164305</v>
      </c>
      <c r="D43" s="242">
        <v>11.563332972054537</v>
      </c>
      <c r="E43" s="242">
        <v>11.551051755604774</v>
      </c>
      <c r="F43" s="242">
        <v>11.536964166346021</v>
      </c>
      <c r="G43" s="242">
        <v>11.549417778817471</v>
      </c>
      <c r="H43" s="242">
        <v>11.557424431961548</v>
      </c>
      <c r="I43" s="242">
        <v>11.555270398461579</v>
      </c>
      <c r="J43" s="242">
        <v>11.52385477611103</v>
      </c>
      <c r="K43" s="242">
        <v>11.539450535382462</v>
      </c>
      <c r="Q43" s="216" t="s">
        <v>260</v>
      </c>
      <c r="R43" s="242">
        <v>10.948618365302586</v>
      </c>
      <c r="S43" s="242">
        <v>10.812067899538837</v>
      </c>
      <c r="T43" s="242">
        <v>10.715672366293898</v>
      </c>
      <c r="U43" s="242">
        <v>10.79993533933628</v>
      </c>
      <c r="V43" s="242">
        <v>10.587665319006224</v>
      </c>
      <c r="W43" s="242">
        <v>10.36739554088639</v>
      </c>
      <c r="X43" s="242">
        <v>10.49747209206464</v>
      </c>
      <c r="Y43" s="242">
        <v>10.835815192113015</v>
      </c>
      <c r="Z43" s="242">
        <v>10.805454901442642</v>
      </c>
      <c r="AF43" s="216" t="s">
        <v>260</v>
      </c>
      <c r="AG43" s="242">
        <v>11.214125524875938</v>
      </c>
      <c r="AH43" s="242">
        <v>11.870902884930098</v>
      </c>
      <c r="AI43" s="242">
        <v>11.846167924467364</v>
      </c>
      <c r="AJ43" s="242">
        <v>11.866686466496773</v>
      </c>
      <c r="AK43" s="242">
        <v>11.77501638116634</v>
      </c>
      <c r="AL43" s="242">
        <v>11.372874932322686</v>
      </c>
      <c r="AM43" s="242">
        <v>10.392557481165547</v>
      </c>
      <c r="AN43" s="242">
        <v>11.861953050591071</v>
      </c>
      <c r="AO43" s="242">
        <v>11.166703236423478</v>
      </c>
      <c r="AP43" s="242">
        <v>11.515532656463103</v>
      </c>
      <c r="AX43" s="216" t="s">
        <v>259</v>
      </c>
      <c r="AY43" s="241">
        <v>0.78661349711108852</v>
      </c>
      <c r="AZ43" s="241">
        <v>0.76440479063844657</v>
      </c>
      <c r="BA43" s="241">
        <v>0.77386674693581914</v>
      </c>
      <c r="BB43" s="241">
        <v>0.85113020694555463</v>
      </c>
      <c r="BC43" s="241">
        <v>0.83656268813128498</v>
      </c>
      <c r="BD43" s="241">
        <v>0.85213116078098816</v>
      </c>
      <c r="BE43" s="241">
        <v>0.84143137939269252</v>
      </c>
      <c r="BF43" s="241">
        <v>0.86289953621056215</v>
      </c>
      <c r="BG43" s="241">
        <v>0.85919928025191183</v>
      </c>
      <c r="BH43" s="241">
        <v>0.93572751774966811</v>
      </c>
    </row>
    <row r="44" spans="2:60">
      <c r="B44" s="216" t="s">
        <v>261</v>
      </c>
      <c r="C44" s="220">
        <v>6</v>
      </c>
      <c r="D44" s="220">
        <v>8</v>
      </c>
      <c r="E44" s="220">
        <v>8</v>
      </c>
      <c r="F44" s="220">
        <v>7</v>
      </c>
      <c r="G44" s="220">
        <v>7</v>
      </c>
      <c r="H44" s="220">
        <v>6</v>
      </c>
      <c r="I44" s="220">
        <v>7</v>
      </c>
      <c r="J44" s="220">
        <v>7</v>
      </c>
      <c r="K44" s="220">
        <v>7</v>
      </c>
      <c r="Q44" s="216" t="s">
        <v>261</v>
      </c>
      <c r="R44" s="220">
        <v>4</v>
      </c>
      <c r="S44" s="220">
        <v>5</v>
      </c>
      <c r="T44" s="220">
        <v>4</v>
      </c>
      <c r="U44" s="220">
        <v>6</v>
      </c>
      <c r="V44" s="220">
        <v>4</v>
      </c>
      <c r="W44" s="220">
        <v>4</v>
      </c>
      <c r="X44" s="220">
        <v>4</v>
      </c>
      <c r="Y44" s="220">
        <v>4</v>
      </c>
      <c r="Z44" s="220">
        <v>4</v>
      </c>
      <c r="AF44" s="216" t="s">
        <v>261</v>
      </c>
      <c r="AG44" s="220">
        <v>3</v>
      </c>
      <c r="AH44" s="220">
        <v>4</v>
      </c>
      <c r="AI44" s="220">
        <v>3</v>
      </c>
      <c r="AJ44" s="220">
        <v>3</v>
      </c>
      <c r="AK44" s="220">
        <v>3</v>
      </c>
      <c r="AL44" s="220">
        <v>3</v>
      </c>
      <c r="AM44" s="220">
        <v>3</v>
      </c>
      <c r="AN44" s="220">
        <v>3</v>
      </c>
      <c r="AO44" s="220">
        <v>2</v>
      </c>
      <c r="AP44" s="220">
        <v>3</v>
      </c>
      <c r="AX44" s="216" t="s">
        <v>260</v>
      </c>
      <c r="AY44" s="242">
        <v>11.532492007942826</v>
      </c>
      <c r="AZ44" s="242">
        <v>11.483684767806533</v>
      </c>
      <c r="BA44" s="242">
        <v>11.471373002694632</v>
      </c>
      <c r="BB44" s="242">
        <v>11.461904112999617</v>
      </c>
      <c r="BC44" s="242">
        <v>11.450754367486132</v>
      </c>
      <c r="BD44" s="242">
        <v>11.439901525049528</v>
      </c>
      <c r="BE44" s="242">
        <v>11.437497635732868</v>
      </c>
      <c r="BF44" s="242">
        <v>11.444840170519498</v>
      </c>
      <c r="BG44" s="242">
        <v>11.448360705226296</v>
      </c>
      <c r="BH44" s="242">
        <v>11.472130289791915</v>
      </c>
    </row>
    <row r="45" spans="2:60">
      <c r="AX45" s="216" t="s">
        <v>261</v>
      </c>
      <c r="AY45" s="220">
        <v>6</v>
      </c>
      <c r="AZ45" s="220">
        <v>8</v>
      </c>
      <c r="BA45" s="220">
        <v>8</v>
      </c>
      <c r="BB45" s="220">
        <v>8</v>
      </c>
      <c r="BC45" s="220">
        <v>7</v>
      </c>
      <c r="BD45" s="220">
        <v>6</v>
      </c>
      <c r="BE45" s="220">
        <v>7</v>
      </c>
      <c r="BF45" s="220">
        <v>7</v>
      </c>
      <c r="BG45" s="220">
        <v>7</v>
      </c>
      <c r="BH45" s="220">
        <v>8</v>
      </c>
    </row>
    <row r="46" spans="2:60">
      <c r="B46" s="243" t="s">
        <v>262</v>
      </c>
      <c r="C46" s="244">
        <v>9.2232400000000006E-2</v>
      </c>
      <c r="D46" s="244">
        <v>9.2596300000000006E-2</v>
      </c>
      <c r="E46" s="244">
        <v>9.8093399999999997E-2</v>
      </c>
      <c r="F46" s="244">
        <v>9.6376900000000001E-2</v>
      </c>
      <c r="G46" s="244">
        <v>9.8910600000000001E-2</v>
      </c>
      <c r="H46" s="244">
        <v>9.80124E-2</v>
      </c>
      <c r="I46" s="244">
        <v>9.7507700000000003E-2</v>
      </c>
      <c r="J46" s="244">
        <v>0.1008405</v>
      </c>
      <c r="K46" s="245">
        <v>9.9122399999999999E-2</v>
      </c>
      <c r="Q46" s="243" t="s">
        <v>262</v>
      </c>
      <c r="R46" s="244">
        <v>0.1179873</v>
      </c>
      <c r="S46" s="244">
        <v>0.12528310000000001</v>
      </c>
      <c r="T46" s="244">
        <v>0.13060479999999999</v>
      </c>
      <c r="U46" s="244">
        <v>0.12914870000000001</v>
      </c>
      <c r="V46" s="244">
        <v>0.123183</v>
      </c>
      <c r="W46" s="244">
        <v>0.15451380000000001</v>
      </c>
      <c r="X46" s="244">
        <v>0.1399707</v>
      </c>
      <c r="Y46" s="244">
        <v>0.12469470000000001</v>
      </c>
      <c r="Z46" s="245">
        <v>0.12872130000000001</v>
      </c>
      <c r="AF46" s="243" t="s">
        <v>262</v>
      </c>
      <c r="AG46" s="244">
        <v>0.10208252256064568</v>
      </c>
      <c r="AH46" s="244">
        <v>6.7058530645866657E-2</v>
      </c>
      <c r="AI46" s="244">
        <v>5.9673869934775012E-2</v>
      </c>
      <c r="AJ46" s="244">
        <v>7.807696049620548E-2</v>
      </c>
      <c r="AK46" s="244">
        <v>6.1918426074695644E-2</v>
      </c>
      <c r="AL46" s="244">
        <v>8.0561758295960517E-2</v>
      </c>
      <c r="AM46" s="244">
        <v>8.1587532838575769E-2</v>
      </c>
      <c r="AN46" s="244">
        <v>7.4928834374271017E-2</v>
      </c>
      <c r="AO46" s="245">
        <v>6.5261209291283484E-2</v>
      </c>
      <c r="AX46" s="246" t="s">
        <v>263</v>
      </c>
      <c r="AY46" s="247">
        <f>+AY38-(AY38*AY37)</f>
        <v>98821.834019374393</v>
      </c>
      <c r="AZ46" s="247">
        <f t="shared" ref="AZ46:BH46" si="0">+AZ38-(AZ38*AZ37)</f>
        <v>91495.170465759438</v>
      </c>
      <c r="BA46" s="247">
        <f t="shared" si="0"/>
        <v>98429.042727337976</v>
      </c>
      <c r="BB46" s="247">
        <f t="shared" si="0"/>
        <v>85408.302991717646</v>
      </c>
      <c r="BC46" s="247">
        <f t="shared" si="0"/>
        <v>80849.972733494447</v>
      </c>
      <c r="BD46" s="247">
        <f t="shared" si="0"/>
        <v>83606.096819466446</v>
      </c>
      <c r="BE46" s="247">
        <f t="shared" si="0"/>
        <v>91980.520848070446</v>
      </c>
      <c r="BF46" s="247">
        <f t="shared" si="0"/>
        <v>94760.310786339716</v>
      </c>
      <c r="BG46" s="247">
        <f t="shared" si="0"/>
        <v>80110.391229167115</v>
      </c>
      <c r="BH46" s="247">
        <f t="shared" si="0"/>
        <v>86305.26978774555</v>
      </c>
    </row>
    <row r="47" spans="2:60">
      <c r="C47" s="6"/>
    </row>
    <row r="48" spans="2:60">
      <c r="B48" s="248" t="s">
        <v>264</v>
      </c>
      <c r="C48" s="249"/>
      <c r="D48" s="250"/>
      <c r="E48" s="250"/>
      <c r="F48" s="250"/>
      <c r="G48" s="250"/>
      <c r="H48" s="250"/>
      <c r="I48" s="250"/>
      <c r="J48" s="250"/>
      <c r="K48" s="251"/>
      <c r="L48" t="s">
        <v>265</v>
      </c>
      <c r="Q48" s="248" t="s">
        <v>266</v>
      </c>
      <c r="R48" s="249"/>
      <c r="S48" s="250"/>
      <c r="T48" s="250"/>
      <c r="U48" s="250"/>
      <c r="V48" s="250"/>
      <c r="W48" s="250"/>
      <c r="X48" s="250"/>
      <c r="Y48" s="250"/>
      <c r="Z48" s="251"/>
      <c r="AA48" t="s">
        <v>265</v>
      </c>
      <c r="AF48" s="248" t="s">
        <v>267</v>
      </c>
      <c r="AG48" s="249"/>
      <c r="AH48" s="250"/>
      <c r="AI48" s="250"/>
      <c r="AJ48" s="250"/>
      <c r="AK48" s="250"/>
      <c r="AL48" s="250"/>
      <c r="AM48" s="250"/>
      <c r="AN48" s="250"/>
      <c r="AO48" s="251"/>
      <c r="AP48" s="5"/>
    </row>
    <row r="49" spans="2:44">
      <c r="B49" s="252" t="s">
        <v>268</v>
      </c>
      <c r="C49" s="253">
        <v>12.951848184818486</v>
      </c>
      <c r="D49" s="253">
        <v>13.170240000000009</v>
      </c>
      <c r="E49" s="253">
        <v>13.12259764705883</v>
      </c>
      <c r="F49" s="253">
        <v>13.199929971988803</v>
      </c>
      <c r="G49" s="253">
        <v>13.159793233082715</v>
      </c>
      <c r="H49" s="253">
        <v>11.608267716535435</v>
      </c>
      <c r="I49" s="253">
        <v>11.316121266161396</v>
      </c>
      <c r="J49" s="253">
        <v>11.12710706150342</v>
      </c>
      <c r="K49" s="254">
        <v>11.247372093023261</v>
      </c>
      <c r="L49" s="255">
        <f>+AVERAGE(C49:K49)</f>
        <v>12.322586352685818</v>
      </c>
      <c r="Q49" s="252" t="s">
        <v>268</v>
      </c>
      <c r="R49" s="253">
        <v>11.014329896907215</v>
      </c>
      <c r="S49" s="253">
        <v>10.743728448275862</v>
      </c>
      <c r="T49" s="253">
        <v>10.963863636363635</v>
      </c>
      <c r="U49" s="253">
        <v>10.668414634146345</v>
      </c>
      <c r="V49" s="253">
        <v>10.753252173913042</v>
      </c>
      <c r="W49" s="253">
        <v>10.352738301559789</v>
      </c>
      <c r="X49" s="253">
        <v>10.179797297297297</v>
      </c>
      <c r="Y49" s="253">
        <v>10.00724409448819</v>
      </c>
      <c r="Z49" s="254">
        <v>10.016563467492261</v>
      </c>
      <c r="AA49" s="255">
        <f>+AVERAGE(R49:Z49)</f>
        <v>10.522214661160403</v>
      </c>
      <c r="AF49" s="252" t="s">
        <v>268</v>
      </c>
      <c r="AG49" s="253">
        <v>11.542999999999999</v>
      </c>
      <c r="AH49" s="253">
        <v>11.54857142857143</v>
      </c>
      <c r="AI49" s="253">
        <v>12.073333333333331</v>
      </c>
      <c r="AJ49" s="253">
        <v>12.16076923076923</v>
      </c>
      <c r="AK49" s="253">
        <v>11.884166666666665</v>
      </c>
      <c r="AL49" s="253">
        <v>11.293999999999999</v>
      </c>
      <c r="AM49" s="253">
        <v>10.284285714285714</v>
      </c>
      <c r="AN49" s="253">
        <v>10.202142857142857</v>
      </c>
      <c r="AO49" s="254">
        <v>10.292</v>
      </c>
      <c r="AP49" s="255"/>
    </row>
    <row r="50" spans="2:44">
      <c r="B50" s="252" t="s">
        <v>269</v>
      </c>
      <c r="C50" s="253">
        <v>59.683419023136253</v>
      </c>
      <c r="D50" s="253">
        <v>62.071253731343283</v>
      </c>
      <c r="E50" s="253">
        <v>59.904670912951154</v>
      </c>
      <c r="F50" s="253">
        <v>59.827387914230023</v>
      </c>
      <c r="G50" s="253">
        <v>59.293395176252311</v>
      </c>
      <c r="H50" s="253">
        <v>60.624983108108104</v>
      </c>
      <c r="I50" s="253">
        <v>61.229322033898306</v>
      </c>
      <c r="J50" s="253">
        <v>62.876391554702479</v>
      </c>
      <c r="K50" s="254">
        <v>61.239328358208951</v>
      </c>
      <c r="L50" s="255">
        <f>+AVERAGE(C50:K50)</f>
        <v>60.750016868092317</v>
      </c>
      <c r="Q50" s="252" t="s">
        <v>269</v>
      </c>
      <c r="R50" s="253">
        <v>56.501266666666673</v>
      </c>
      <c r="S50" s="253">
        <v>56.291951219512178</v>
      </c>
      <c r="T50" s="253">
        <v>55.388288288288287</v>
      </c>
      <c r="U50" s="253">
        <v>53.407377049180333</v>
      </c>
      <c r="V50" s="253">
        <v>55.509361702127663</v>
      </c>
      <c r="W50" s="253">
        <v>53.489252336448601</v>
      </c>
      <c r="X50" s="253">
        <v>49.400884955752204</v>
      </c>
      <c r="Y50" s="253">
        <v>50.248489208633103</v>
      </c>
      <c r="Z50" s="254">
        <v>54.618823529411763</v>
      </c>
      <c r="AA50" s="255">
        <f>+AVERAGE(R50:Z50)</f>
        <v>53.872854995113421</v>
      </c>
      <c r="AF50" s="252" t="s">
        <v>269</v>
      </c>
      <c r="AG50" s="253">
        <v>63.263333333333328</v>
      </c>
      <c r="AH50" s="253">
        <v>67.792000000000002</v>
      </c>
      <c r="AI50" s="253">
        <v>69.181428571428583</v>
      </c>
      <c r="AJ50" s="253">
        <v>62.816666666666663</v>
      </c>
      <c r="AK50" s="253">
        <v>54.933333333333323</v>
      </c>
      <c r="AL50" s="253">
        <v>81.874285714285719</v>
      </c>
      <c r="AM50" s="253">
        <v>56.001250000000006</v>
      </c>
      <c r="AN50" s="253">
        <v>63.68399999999999</v>
      </c>
      <c r="AO50" s="254">
        <v>54.378750000000004</v>
      </c>
      <c r="AP50" s="255"/>
    </row>
    <row r="51" spans="2:44">
      <c r="B51" s="252" t="s">
        <v>270</v>
      </c>
      <c r="H51" s="253"/>
      <c r="I51" s="253"/>
      <c r="J51" s="253"/>
      <c r="K51" s="20"/>
      <c r="Q51" s="252" t="s">
        <v>270</v>
      </c>
      <c r="W51" s="253"/>
      <c r="X51" s="253"/>
      <c r="Y51" s="253"/>
      <c r="Z51" s="20"/>
      <c r="AF51" s="252" t="s">
        <v>270</v>
      </c>
      <c r="AL51" s="253"/>
      <c r="AM51" s="253"/>
      <c r="AN51" s="253"/>
      <c r="AO51" s="20"/>
    </row>
    <row r="52" spans="2:44">
      <c r="B52" s="252" t="s">
        <v>271</v>
      </c>
      <c r="C52" s="253"/>
      <c r="D52" s="253"/>
      <c r="E52" s="253"/>
      <c r="F52" s="253"/>
      <c r="G52" s="253"/>
      <c r="H52" s="253"/>
      <c r="I52" s="253"/>
      <c r="J52" s="253"/>
      <c r="K52" s="254"/>
      <c r="Q52" s="252" t="s">
        <v>271</v>
      </c>
      <c r="R52" s="253"/>
      <c r="S52" s="253"/>
      <c r="T52" s="253"/>
      <c r="U52" s="253"/>
      <c r="V52" s="253"/>
      <c r="W52" s="253"/>
      <c r="X52" s="253"/>
      <c r="Y52" s="253"/>
      <c r="Z52" s="254"/>
      <c r="AF52" s="252" t="s">
        <v>271</v>
      </c>
      <c r="AG52" s="253"/>
      <c r="AH52" s="253"/>
      <c r="AI52" s="253"/>
      <c r="AJ52" s="253"/>
      <c r="AK52" s="253"/>
      <c r="AL52" s="253"/>
      <c r="AM52" s="253"/>
      <c r="AN52" s="253"/>
      <c r="AO52" s="254"/>
    </row>
    <row r="53" spans="2:44">
      <c r="B53" s="197"/>
      <c r="K53" s="20"/>
      <c r="Q53" s="197"/>
      <c r="Z53" s="20"/>
      <c r="AF53" s="197"/>
      <c r="AO53" s="20"/>
    </row>
    <row r="54" spans="2:44">
      <c r="B54" s="256" t="s">
        <v>265</v>
      </c>
      <c r="C54" s="257">
        <f t="shared" ref="C54:K54" si="1">+AVERAGE(C49:C52)</f>
        <v>36.31763360397737</v>
      </c>
      <c r="D54" s="257">
        <f t="shared" si="1"/>
        <v>37.620746865671649</v>
      </c>
      <c r="E54" s="257">
        <f t="shared" si="1"/>
        <v>36.513634280004993</v>
      </c>
      <c r="F54" s="257">
        <f t="shared" si="1"/>
        <v>36.513658943109412</v>
      </c>
      <c r="G54" s="257">
        <f t="shared" si="1"/>
        <v>36.226594204667514</v>
      </c>
      <c r="H54" s="257">
        <f t="shared" si="1"/>
        <v>36.116625412321767</v>
      </c>
      <c r="I54" s="257">
        <f t="shared" si="1"/>
        <v>36.272721650029851</v>
      </c>
      <c r="J54" s="257">
        <f t="shared" si="1"/>
        <v>37.001749308102951</v>
      </c>
      <c r="K54" s="258">
        <f t="shared" si="1"/>
        <v>36.243350225616105</v>
      </c>
      <c r="Q54" s="256" t="s">
        <v>265</v>
      </c>
      <c r="R54" s="257">
        <f t="shared" ref="R54:Z54" si="2">+AVERAGE(R49:R52)</f>
        <v>33.757798281786947</v>
      </c>
      <c r="S54" s="257">
        <f t="shared" si="2"/>
        <v>33.517839833894023</v>
      </c>
      <c r="T54" s="257">
        <f t="shared" si="2"/>
        <v>33.17607596232596</v>
      </c>
      <c r="U54" s="257">
        <f t="shared" si="2"/>
        <v>32.037895841663342</v>
      </c>
      <c r="V54" s="257">
        <f t="shared" si="2"/>
        <v>33.131306938020352</v>
      </c>
      <c r="W54" s="257">
        <f t="shared" si="2"/>
        <v>31.920995319004195</v>
      </c>
      <c r="X54" s="257">
        <f t="shared" si="2"/>
        <v>29.790341126524751</v>
      </c>
      <c r="Y54" s="257">
        <f t="shared" si="2"/>
        <v>30.127866651560645</v>
      </c>
      <c r="Z54" s="258">
        <f t="shared" si="2"/>
        <v>32.317693498452016</v>
      </c>
      <c r="AF54" s="256" t="s">
        <v>265</v>
      </c>
      <c r="AG54" s="257">
        <f t="shared" ref="AG54:AO54" si="3">+AVERAGE(AG49:AG52)</f>
        <v>37.403166666666664</v>
      </c>
      <c r="AH54" s="257">
        <f t="shared" si="3"/>
        <v>39.670285714285718</v>
      </c>
      <c r="AI54" s="257">
        <f t="shared" si="3"/>
        <v>40.62738095238096</v>
      </c>
      <c r="AJ54" s="257">
        <f t="shared" si="3"/>
        <v>37.488717948717948</v>
      </c>
      <c r="AK54" s="257">
        <f t="shared" si="3"/>
        <v>33.408749999999998</v>
      </c>
      <c r="AL54" s="257">
        <f t="shared" si="3"/>
        <v>46.584142857142858</v>
      </c>
      <c r="AM54" s="257">
        <f t="shared" si="3"/>
        <v>33.142767857142857</v>
      </c>
      <c r="AN54" s="257">
        <f t="shared" si="3"/>
        <v>36.943071428571422</v>
      </c>
      <c r="AO54" s="258">
        <f t="shared" si="3"/>
        <v>32.335374999999999</v>
      </c>
    </row>
    <row r="57" spans="2:44">
      <c r="B57" s="259" t="s">
        <v>272</v>
      </c>
      <c r="C57" s="196"/>
      <c r="D57" s="196"/>
      <c r="E57" s="196"/>
      <c r="F57" s="196"/>
      <c r="G57" s="196"/>
      <c r="H57" s="196"/>
      <c r="I57" s="196"/>
      <c r="J57" s="196"/>
      <c r="K57" s="199"/>
      <c r="Q57" s="259" t="s">
        <v>272</v>
      </c>
      <c r="R57" s="196"/>
      <c r="S57" s="196"/>
      <c r="T57" s="196"/>
      <c r="U57" s="196"/>
      <c r="V57" s="196"/>
      <c r="W57" s="196"/>
      <c r="X57" s="196"/>
      <c r="Y57" s="196"/>
      <c r="Z57" s="199"/>
      <c r="AF57" s="259" t="s">
        <v>273</v>
      </c>
      <c r="AG57" s="196"/>
      <c r="AH57" s="196"/>
      <c r="AI57" s="196"/>
      <c r="AJ57" s="196"/>
      <c r="AK57" s="196"/>
      <c r="AL57" s="196"/>
      <c r="AM57" s="196"/>
      <c r="AN57" s="196"/>
      <c r="AO57" s="199"/>
    </row>
    <row r="58" spans="2:44">
      <c r="B58" s="195" t="s">
        <v>268</v>
      </c>
      <c r="C58" s="260">
        <v>0.43669827105409925</v>
      </c>
      <c r="D58" s="260">
        <v>0.47837295903752508</v>
      </c>
      <c r="E58" s="260">
        <v>0.4924</v>
      </c>
      <c r="F58" s="260">
        <v>0.5199321458863444</v>
      </c>
      <c r="G58" s="260">
        <v>0.52593227603943415</v>
      </c>
      <c r="H58" s="260">
        <v>0.52418010005558646</v>
      </c>
      <c r="I58" s="260">
        <v>0.50537772087067867</v>
      </c>
      <c r="J58" s="260">
        <v>0.50551065393093308</v>
      </c>
      <c r="K58" s="261">
        <v>0.52686093081066154</v>
      </c>
      <c r="M58" s="6"/>
      <c r="N58" s="6"/>
      <c r="O58" s="262"/>
      <c r="Q58" s="197" t="s">
        <v>268</v>
      </c>
      <c r="R58" s="263">
        <v>0.67361111111111116</v>
      </c>
      <c r="S58" s="263">
        <v>0.76315789473684215</v>
      </c>
      <c r="T58" s="263">
        <v>0.80733944954128445</v>
      </c>
      <c r="U58" s="263">
        <v>0.79833101529902639</v>
      </c>
      <c r="V58" s="263">
        <v>0.73907455012853474</v>
      </c>
      <c r="W58" s="263">
        <v>0.83381502890173409</v>
      </c>
      <c r="X58" s="263">
        <v>0.81881051175656983</v>
      </c>
      <c r="Y58" s="263">
        <v>0.80788804071246823</v>
      </c>
      <c r="Z58" s="91">
        <v>0.85562913907284766</v>
      </c>
      <c r="AA58" s="264"/>
      <c r="AB58" s="264"/>
      <c r="AC58" s="264"/>
      <c r="AD58" s="264"/>
      <c r="AE58" s="264"/>
      <c r="AF58" s="197" t="s">
        <v>268</v>
      </c>
      <c r="AG58" s="263">
        <v>0.47619047619047616</v>
      </c>
      <c r="AH58" s="263">
        <v>0.58333333333333337</v>
      </c>
      <c r="AI58" s="263">
        <v>0.44444444444444442</v>
      </c>
      <c r="AJ58" s="263">
        <v>0.56521739130434778</v>
      </c>
      <c r="AK58" s="263">
        <v>0.46153846153846156</v>
      </c>
      <c r="AL58" s="263">
        <v>0.41666666666666669</v>
      </c>
      <c r="AM58" s="263">
        <v>0.48275862068965519</v>
      </c>
      <c r="AN58" s="263">
        <v>0.66666666666666663</v>
      </c>
      <c r="AO58" s="91">
        <v>0.55555555555555558</v>
      </c>
      <c r="AP58" s="264"/>
      <c r="AQ58" s="264"/>
      <c r="AR58" s="264"/>
    </row>
    <row r="59" spans="2:44">
      <c r="B59" s="198" t="s">
        <v>269</v>
      </c>
      <c r="C59" s="265">
        <v>0.5633017289459008</v>
      </c>
      <c r="D59" s="265">
        <v>0.52162704096247492</v>
      </c>
      <c r="E59" s="265">
        <v>0.50760000000000005</v>
      </c>
      <c r="F59" s="265">
        <v>0.4800678541136556</v>
      </c>
      <c r="G59" s="265">
        <v>0.47406772396056585</v>
      </c>
      <c r="H59" s="265">
        <v>0.47581989994441354</v>
      </c>
      <c r="I59" s="265">
        <v>0.49462227912932133</v>
      </c>
      <c r="J59" s="265">
        <v>0.49448934606906692</v>
      </c>
      <c r="K59" s="194">
        <v>0.47313906918933846</v>
      </c>
      <c r="Q59" s="198" t="s">
        <v>269</v>
      </c>
      <c r="R59" s="265">
        <v>0.32638888888888884</v>
      </c>
      <c r="S59" s="265">
        <v>0.23684210526315785</v>
      </c>
      <c r="T59" s="265">
        <v>0.19266055045871555</v>
      </c>
      <c r="U59" s="265">
        <v>0.20166898470097361</v>
      </c>
      <c r="V59" s="265">
        <v>0.26092544987146526</v>
      </c>
      <c r="W59" s="265">
        <v>0.16618497109826591</v>
      </c>
      <c r="X59" s="265">
        <v>0.18118948824343017</v>
      </c>
      <c r="Y59" s="265">
        <v>0.19211195928753177</v>
      </c>
      <c r="Z59" s="194">
        <v>0.14437086092715234</v>
      </c>
      <c r="AF59" s="198" t="s">
        <v>269</v>
      </c>
      <c r="AG59" s="265">
        <v>0.52380952380952372</v>
      </c>
      <c r="AH59" s="265">
        <v>0.41666666666666669</v>
      </c>
      <c r="AI59" s="265">
        <v>0.55555555555555558</v>
      </c>
      <c r="AJ59" s="265">
        <v>0.43478260869565222</v>
      </c>
      <c r="AK59" s="265">
        <v>0.53846153846153844</v>
      </c>
      <c r="AL59" s="265">
        <v>0.58333333333333337</v>
      </c>
      <c r="AM59" s="265">
        <v>0.51724137931034486</v>
      </c>
      <c r="AN59" s="265">
        <v>0.33333333333333331</v>
      </c>
      <c r="AO59" s="194">
        <v>0.44444444444444442</v>
      </c>
    </row>
    <row r="60" spans="2:44" ht="37" customHeight="1">
      <c r="B60" s="214"/>
      <c r="M60" s="6"/>
      <c r="N60" s="6"/>
      <c r="O60" s="262"/>
    </row>
    <row r="61" spans="2:44">
      <c r="B61" s="266" t="s">
        <v>274</v>
      </c>
      <c r="C61" s="267">
        <f>+SUM(C62:C63)</f>
        <v>2309</v>
      </c>
      <c r="D61" s="267">
        <f t="shared" ref="D61:K61" si="4">+SUM(D62:D63)</f>
        <v>2319</v>
      </c>
      <c r="E61" s="267">
        <f t="shared" si="4"/>
        <v>2429</v>
      </c>
      <c r="F61" s="267">
        <f t="shared" si="4"/>
        <v>2668</v>
      </c>
      <c r="G61" s="267">
        <f t="shared" si="4"/>
        <v>2750</v>
      </c>
      <c r="H61" s="267">
        <f t="shared" si="4"/>
        <v>2741</v>
      </c>
      <c r="I61" s="267">
        <f t="shared" si="4"/>
        <v>2811</v>
      </c>
      <c r="J61" s="267">
        <f t="shared" si="4"/>
        <v>2849</v>
      </c>
      <c r="K61" s="268">
        <f t="shared" si="4"/>
        <v>2776</v>
      </c>
      <c r="Q61" s="266" t="s">
        <v>274</v>
      </c>
      <c r="R61" s="267">
        <f>+SUM(R62:R63)</f>
        <v>575</v>
      </c>
      <c r="S61" s="267">
        <f t="shared" ref="S61:Z61" si="5">+SUM(S62:S63)</f>
        <v>609</v>
      </c>
      <c r="T61" s="267">
        <f t="shared" si="5"/>
        <v>652</v>
      </c>
      <c r="U61" s="267">
        <f t="shared" si="5"/>
        <v>717</v>
      </c>
      <c r="V61" s="267">
        <f t="shared" si="5"/>
        <v>777</v>
      </c>
      <c r="W61" s="267">
        <f t="shared" si="5"/>
        <v>689</v>
      </c>
      <c r="X61" s="267">
        <f t="shared" si="5"/>
        <v>720</v>
      </c>
      <c r="Y61" s="267">
        <f t="shared" si="5"/>
        <v>782</v>
      </c>
      <c r="Z61" s="268">
        <f t="shared" si="5"/>
        <v>749</v>
      </c>
      <c r="AF61" s="266" t="s">
        <v>274</v>
      </c>
      <c r="AG61" s="267">
        <f>+SUM(AG62:AG63)</f>
        <v>21</v>
      </c>
      <c r="AH61" s="267">
        <f t="shared" ref="AH61:AO61" si="6">+SUM(AH62:AH63)</f>
        <v>24</v>
      </c>
      <c r="AI61" s="267">
        <f t="shared" si="6"/>
        <v>27</v>
      </c>
      <c r="AJ61" s="267">
        <f t="shared" si="6"/>
        <v>23</v>
      </c>
      <c r="AK61" s="267">
        <f t="shared" si="6"/>
        <v>26</v>
      </c>
      <c r="AL61" s="267">
        <f t="shared" si="6"/>
        <v>24</v>
      </c>
      <c r="AM61" s="267">
        <f t="shared" si="6"/>
        <v>29</v>
      </c>
      <c r="AN61" s="267">
        <f t="shared" si="6"/>
        <v>21</v>
      </c>
      <c r="AO61" s="268">
        <f t="shared" si="6"/>
        <v>27</v>
      </c>
    </row>
    <row r="62" spans="2:44">
      <c r="B62" s="195" t="s">
        <v>268</v>
      </c>
      <c r="C62" s="269">
        <v>1733</v>
      </c>
      <c r="D62" s="269">
        <v>1818</v>
      </c>
      <c r="E62" s="269">
        <v>2001</v>
      </c>
      <c r="F62" s="269">
        <v>2126</v>
      </c>
      <c r="G62" s="269">
        <v>2143</v>
      </c>
      <c r="H62" s="269">
        <v>2130</v>
      </c>
      <c r="I62" s="269">
        <v>2161</v>
      </c>
      <c r="J62" s="269">
        <v>2245</v>
      </c>
      <c r="K62" s="270">
        <v>2196</v>
      </c>
      <c r="L62" s="271"/>
      <c r="M62" s="271"/>
      <c r="N62" s="6"/>
      <c r="O62" s="262"/>
      <c r="Q62" s="195" t="s">
        <v>268</v>
      </c>
      <c r="R62" s="271">
        <v>387</v>
      </c>
      <c r="S62" s="271">
        <v>463</v>
      </c>
      <c r="T62" s="271">
        <v>526</v>
      </c>
      <c r="U62" s="271">
        <v>572</v>
      </c>
      <c r="V62" s="271">
        <v>573</v>
      </c>
      <c r="W62" s="271">
        <v>574</v>
      </c>
      <c r="X62" s="271">
        <v>588</v>
      </c>
      <c r="Y62" s="271">
        <v>631</v>
      </c>
      <c r="Z62" s="271">
        <v>640</v>
      </c>
      <c r="AF62" s="195" t="s">
        <v>268</v>
      </c>
      <c r="AG62" s="269">
        <v>10</v>
      </c>
      <c r="AH62" s="269">
        <v>14</v>
      </c>
      <c r="AI62" s="269">
        <v>12</v>
      </c>
      <c r="AJ62" s="269">
        <v>13</v>
      </c>
      <c r="AK62" s="269">
        <v>12</v>
      </c>
      <c r="AL62" s="269">
        <v>10</v>
      </c>
      <c r="AM62" s="269">
        <v>14</v>
      </c>
      <c r="AN62" s="269">
        <v>14</v>
      </c>
      <c r="AO62" s="270">
        <v>15</v>
      </c>
    </row>
    <row r="63" spans="2:44">
      <c r="B63" s="198" t="s">
        <v>269</v>
      </c>
      <c r="C63" s="272">
        <v>576</v>
      </c>
      <c r="D63" s="272">
        <v>501</v>
      </c>
      <c r="E63" s="272">
        <v>428</v>
      </c>
      <c r="F63" s="272">
        <v>542</v>
      </c>
      <c r="G63" s="272">
        <v>607</v>
      </c>
      <c r="H63" s="272">
        <v>611</v>
      </c>
      <c r="I63" s="272">
        <v>650</v>
      </c>
      <c r="J63" s="272">
        <v>604</v>
      </c>
      <c r="K63" s="273">
        <v>580</v>
      </c>
      <c r="Q63" s="198" t="s">
        <v>269</v>
      </c>
      <c r="R63" s="274">
        <v>188</v>
      </c>
      <c r="S63" s="274">
        <v>146</v>
      </c>
      <c r="T63" s="274">
        <v>126</v>
      </c>
      <c r="U63" s="274">
        <v>145</v>
      </c>
      <c r="V63" s="274">
        <v>204</v>
      </c>
      <c r="W63" s="274">
        <v>115</v>
      </c>
      <c r="X63" s="274">
        <v>132</v>
      </c>
      <c r="Y63" s="274">
        <v>151</v>
      </c>
      <c r="Z63" s="274">
        <v>109</v>
      </c>
      <c r="AF63" s="198" t="s">
        <v>269</v>
      </c>
      <c r="AG63" s="272">
        <v>11</v>
      </c>
      <c r="AH63" s="272">
        <v>10</v>
      </c>
      <c r="AI63" s="272">
        <v>15</v>
      </c>
      <c r="AJ63" s="272">
        <v>10</v>
      </c>
      <c r="AK63" s="272">
        <v>14</v>
      </c>
      <c r="AL63" s="272">
        <v>14</v>
      </c>
      <c r="AM63" s="272">
        <v>15</v>
      </c>
      <c r="AN63" s="272">
        <v>7</v>
      </c>
      <c r="AO63" s="273">
        <v>12</v>
      </c>
    </row>
    <row r="64" spans="2:44">
      <c r="C64" s="6"/>
    </row>
    <row r="66" spans="2:44">
      <c r="B66" s="772">
        <v>2023</v>
      </c>
      <c r="C66" s="772"/>
      <c r="D66" s="772"/>
      <c r="E66" s="772"/>
      <c r="F66" s="772"/>
      <c r="G66" s="772"/>
      <c r="H66" s="772"/>
      <c r="I66" s="772"/>
      <c r="J66" s="772"/>
      <c r="K66" s="772"/>
      <c r="L66" s="772"/>
      <c r="M66" s="772"/>
      <c r="N66" s="772"/>
      <c r="O66" s="212"/>
      <c r="Q66" s="772">
        <v>2023</v>
      </c>
      <c r="R66" s="772"/>
      <c r="S66" s="772"/>
      <c r="T66" s="772"/>
      <c r="U66" s="772"/>
      <c r="V66" s="772"/>
      <c r="W66" s="772"/>
      <c r="X66" s="772"/>
      <c r="Y66" s="772"/>
      <c r="Z66" s="772"/>
      <c r="AA66" s="772"/>
      <c r="AB66" s="772"/>
      <c r="AC66" s="772"/>
      <c r="AF66" s="772">
        <v>2023</v>
      </c>
      <c r="AG66" s="772"/>
      <c r="AH66" s="772"/>
      <c r="AI66" s="772"/>
      <c r="AJ66" s="772"/>
      <c r="AK66" s="772"/>
      <c r="AL66" s="772"/>
      <c r="AM66" s="772"/>
      <c r="AN66" s="772"/>
      <c r="AO66" s="772"/>
      <c r="AP66" s="772"/>
      <c r="AQ66" s="772"/>
      <c r="AR66" s="772"/>
    </row>
    <row r="68" spans="2:44">
      <c r="B68" s="259" t="s">
        <v>275</v>
      </c>
      <c r="C68" s="275" t="s">
        <v>276</v>
      </c>
      <c r="D68" s="275" t="s">
        <v>277</v>
      </c>
      <c r="E68" s="275" t="s">
        <v>278</v>
      </c>
      <c r="F68" s="275" t="s">
        <v>279</v>
      </c>
      <c r="G68" s="275" t="s">
        <v>280</v>
      </c>
      <c r="H68" s="275" t="s">
        <v>281</v>
      </c>
      <c r="I68" s="275" t="s">
        <v>282</v>
      </c>
      <c r="J68" s="275" t="s">
        <v>283</v>
      </c>
      <c r="K68" s="275" t="s">
        <v>284</v>
      </c>
      <c r="L68" s="260" t="s">
        <v>285</v>
      </c>
      <c r="M68" s="260" t="s">
        <v>286</v>
      </c>
      <c r="N68" s="261" t="s">
        <v>287</v>
      </c>
      <c r="O68" s="276"/>
      <c r="Q68" s="259" t="s">
        <v>275</v>
      </c>
      <c r="R68" s="275" t="s">
        <v>276</v>
      </c>
      <c r="S68" s="275" t="s">
        <v>277</v>
      </c>
      <c r="T68" s="275" t="s">
        <v>278</v>
      </c>
      <c r="U68" s="275" t="s">
        <v>279</v>
      </c>
      <c r="V68" s="275" t="s">
        <v>280</v>
      </c>
      <c r="W68" s="275" t="s">
        <v>281</v>
      </c>
      <c r="X68" s="275" t="s">
        <v>282</v>
      </c>
      <c r="Y68" s="275" t="s">
        <v>283</v>
      </c>
      <c r="Z68" s="275" t="s">
        <v>284</v>
      </c>
      <c r="AA68" s="260" t="s">
        <v>285</v>
      </c>
      <c r="AB68" s="260" t="s">
        <v>286</v>
      </c>
      <c r="AC68" s="261" t="s">
        <v>287</v>
      </c>
      <c r="AF68" s="259" t="s">
        <v>275</v>
      </c>
      <c r="AG68" s="275" t="s">
        <v>276</v>
      </c>
      <c r="AH68" s="275" t="s">
        <v>277</v>
      </c>
      <c r="AI68" s="275" t="s">
        <v>278</v>
      </c>
      <c r="AJ68" s="275" t="s">
        <v>279</v>
      </c>
      <c r="AK68" s="275" t="s">
        <v>280</v>
      </c>
      <c r="AL68" s="275" t="s">
        <v>281</v>
      </c>
      <c r="AM68" s="275" t="s">
        <v>282</v>
      </c>
      <c r="AN68" s="275" t="s">
        <v>283</v>
      </c>
      <c r="AO68" s="275" t="s">
        <v>284</v>
      </c>
      <c r="AP68" s="260" t="s">
        <v>285</v>
      </c>
      <c r="AQ68" s="260" t="s">
        <v>286</v>
      </c>
      <c r="AR68" s="261" t="s">
        <v>287</v>
      </c>
    </row>
    <row r="69" spans="2:44">
      <c r="B69" s="195" t="s">
        <v>268</v>
      </c>
      <c r="C69" s="269">
        <v>1788</v>
      </c>
      <c r="D69" s="269">
        <v>1671</v>
      </c>
      <c r="E69" s="269">
        <v>1885</v>
      </c>
      <c r="F69" s="269">
        <v>2018</v>
      </c>
      <c r="G69" s="269">
        <v>2246</v>
      </c>
      <c r="H69" s="269">
        <v>2395</v>
      </c>
      <c r="I69" s="269">
        <v>2520</v>
      </c>
      <c r="J69" s="269">
        <v>2480</v>
      </c>
      <c r="K69" s="269">
        <v>2419</v>
      </c>
      <c r="L69" s="269">
        <v>2389</v>
      </c>
      <c r="M69" s="269">
        <v>2314</v>
      </c>
      <c r="N69" s="270">
        <v>2315</v>
      </c>
      <c r="O69" s="271"/>
      <c r="Q69" s="195" t="s">
        <v>268</v>
      </c>
      <c r="R69" s="269">
        <v>552</v>
      </c>
      <c r="S69" s="269">
        <v>510</v>
      </c>
      <c r="T69" s="269">
        <v>557</v>
      </c>
      <c r="U69" s="269">
        <v>573</v>
      </c>
      <c r="V69" s="269">
        <v>583</v>
      </c>
      <c r="W69" s="269">
        <v>538</v>
      </c>
      <c r="X69" s="269">
        <v>530</v>
      </c>
      <c r="Y69" s="269">
        <v>499</v>
      </c>
      <c r="Z69" s="269">
        <v>484</v>
      </c>
      <c r="AA69" s="269">
        <v>500</v>
      </c>
      <c r="AB69" s="269">
        <v>472</v>
      </c>
      <c r="AC69" s="270">
        <v>516</v>
      </c>
      <c r="AF69" s="195" t="s">
        <v>268</v>
      </c>
      <c r="AG69" s="269">
        <v>14</v>
      </c>
      <c r="AH69" s="269">
        <v>14</v>
      </c>
      <c r="AI69" s="269">
        <v>20</v>
      </c>
      <c r="AJ69" s="269">
        <v>19</v>
      </c>
      <c r="AK69" s="269">
        <v>16</v>
      </c>
      <c r="AL69" s="269">
        <v>19</v>
      </c>
      <c r="AM69" s="269">
        <v>20</v>
      </c>
      <c r="AN69" s="269">
        <v>16</v>
      </c>
      <c r="AO69" s="269">
        <v>12</v>
      </c>
      <c r="AP69" s="269">
        <v>15</v>
      </c>
      <c r="AQ69" s="269">
        <v>14</v>
      </c>
      <c r="AR69" s="270">
        <v>10</v>
      </c>
    </row>
    <row r="70" spans="2:44">
      <c r="B70" s="198" t="s">
        <v>269</v>
      </c>
      <c r="C70" s="272">
        <v>2006</v>
      </c>
      <c r="D70" s="272">
        <v>1495</v>
      </c>
      <c r="E70" s="272">
        <v>1501</v>
      </c>
      <c r="F70" s="272">
        <v>1838</v>
      </c>
      <c r="G70" s="272">
        <v>2053</v>
      </c>
      <c r="H70" s="272">
        <v>2295</v>
      </c>
      <c r="I70" s="272">
        <v>2738</v>
      </c>
      <c r="J70" s="272">
        <v>2432</v>
      </c>
      <c r="K70" s="272">
        <v>2296</v>
      </c>
      <c r="L70" s="272">
        <v>2135</v>
      </c>
      <c r="M70" s="272">
        <v>2544</v>
      </c>
      <c r="N70" s="273">
        <v>2516</v>
      </c>
      <c r="O70" s="274"/>
      <c r="Q70" s="198" t="s">
        <v>269</v>
      </c>
      <c r="R70" s="272">
        <v>602</v>
      </c>
      <c r="S70" s="272">
        <v>474</v>
      </c>
      <c r="T70" s="272">
        <v>414</v>
      </c>
      <c r="U70" s="272">
        <v>475</v>
      </c>
      <c r="V70" s="272">
        <v>510</v>
      </c>
      <c r="W70" s="272">
        <v>384</v>
      </c>
      <c r="X70" s="272">
        <v>426</v>
      </c>
      <c r="Y70" s="272">
        <v>430</v>
      </c>
      <c r="Z70" s="272">
        <v>351</v>
      </c>
      <c r="AA70" s="272">
        <v>353</v>
      </c>
      <c r="AB70" s="272">
        <v>427</v>
      </c>
      <c r="AC70" s="273">
        <v>449</v>
      </c>
      <c r="AF70" s="198" t="s">
        <v>269</v>
      </c>
      <c r="AG70" s="272">
        <v>16</v>
      </c>
      <c r="AH70" s="272">
        <v>18</v>
      </c>
      <c r="AI70" s="272">
        <v>15</v>
      </c>
      <c r="AJ70" s="272">
        <v>12</v>
      </c>
      <c r="AK70" s="272">
        <v>28</v>
      </c>
      <c r="AL70" s="272">
        <v>23</v>
      </c>
      <c r="AM70" s="272">
        <v>17</v>
      </c>
      <c r="AN70" s="272">
        <v>21</v>
      </c>
      <c r="AO70" s="272">
        <v>19</v>
      </c>
      <c r="AP70" s="272">
        <v>23</v>
      </c>
      <c r="AQ70" s="272">
        <v>24</v>
      </c>
      <c r="AR70" s="273">
        <v>10</v>
      </c>
    </row>
  </sheetData>
  <mergeCells count="25">
    <mergeCell ref="B3:N3"/>
    <mergeCell ref="Q3:AC3"/>
    <mergeCell ref="AF3:AR3"/>
    <mergeCell ref="AX3:BH3"/>
    <mergeCell ref="M5:N5"/>
    <mergeCell ref="AB5:AC5"/>
    <mergeCell ref="AS5:AT5"/>
    <mergeCell ref="M6:N6"/>
    <mergeCell ref="AB6:AC6"/>
    <mergeCell ref="AS6:AT6"/>
    <mergeCell ref="M8:N8"/>
    <mergeCell ref="AB8:AC8"/>
    <mergeCell ref="AS8:AT8"/>
    <mergeCell ref="M12:N12"/>
    <mergeCell ref="AB12:AC12"/>
    <mergeCell ref="AS12:AT12"/>
    <mergeCell ref="M16:N16"/>
    <mergeCell ref="AB16:AC16"/>
    <mergeCell ref="AS16:AT16"/>
    <mergeCell ref="M20:N20"/>
    <mergeCell ref="AB20:AC20"/>
    <mergeCell ref="AS20:AT20"/>
    <mergeCell ref="B66:N66"/>
    <mergeCell ref="Q66:AC66"/>
    <mergeCell ref="AF66:AR6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CE64D-7EF1-A043-8CB4-E1DAD1369147}">
  <sheetPr codeName="Sheet14"/>
  <dimension ref="B1:L37"/>
  <sheetViews>
    <sheetView showGridLines="0" workbookViewId="0">
      <selection activeCell="R20" sqref="R20"/>
    </sheetView>
  </sheetViews>
  <sheetFormatPr baseColWidth="10" defaultRowHeight="16"/>
  <cols>
    <col min="2" max="2" width="10.83203125" customWidth="1"/>
    <col min="3" max="3" width="33.1640625" bestFit="1" customWidth="1"/>
    <col min="4" max="4" width="5.5" customWidth="1"/>
    <col min="5" max="5" width="12.6640625" bestFit="1" customWidth="1"/>
    <col min="6" max="6" width="4.83203125" customWidth="1"/>
    <col min="7" max="7" width="4.1640625" customWidth="1"/>
    <col min="8" max="8" width="12.6640625" bestFit="1" customWidth="1"/>
    <col min="9" max="9" width="2.6640625" customWidth="1"/>
    <col min="10" max="10" width="14.1640625" bestFit="1" customWidth="1"/>
    <col min="11" max="11" width="2.5" customWidth="1"/>
    <col min="12" max="12" width="13.33203125" customWidth="1"/>
    <col min="13" max="14" width="12.6640625" bestFit="1" customWidth="1"/>
    <col min="15" max="15" width="23.1640625" bestFit="1" customWidth="1"/>
    <col min="16" max="18" width="11.1640625" bestFit="1" customWidth="1"/>
    <col min="20" max="20" width="12.83203125" bestFit="1" customWidth="1"/>
  </cols>
  <sheetData>
    <row r="1" spans="2:12" s="1" customFormat="1"/>
    <row r="2" spans="2:12" s="1" customFormat="1">
      <c r="B2" s="389" t="s">
        <v>317</v>
      </c>
    </row>
    <row r="3" spans="2:12" s="1" customFormat="1"/>
    <row r="6" spans="2:12">
      <c r="B6" s="295"/>
    </row>
    <row r="7" spans="2:12" ht="40">
      <c r="B7" s="149" t="s">
        <v>319</v>
      </c>
      <c r="C7" s="122" t="s">
        <v>76</v>
      </c>
      <c r="D7" s="377"/>
      <c r="E7" s="376" t="s">
        <v>312</v>
      </c>
      <c r="F7" s="377"/>
      <c r="H7" s="372" t="s">
        <v>313</v>
      </c>
      <c r="I7" s="373"/>
      <c r="J7" s="374" t="s">
        <v>314</v>
      </c>
      <c r="K7" s="373"/>
      <c r="L7" s="375" t="s">
        <v>315</v>
      </c>
    </row>
    <row r="8" spans="2:12" ht="20">
      <c r="B8" s="149" t="s">
        <v>93</v>
      </c>
      <c r="C8" s="124" t="s">
        <v>94</v>
      </c>
      <c r="D8" s="377"/>
      <c r="E8" s="126">
        <v>3474769.8100289041</v>
      </c>
      <c r="F8" s="377"/>
      <c r="H8" s="126">
        <v>6157733.0416751578</v>
      </c>
      <c r="J8" s="126">
        <v>4701590.2212036876</v>
      </c>
      <c r="L8" s="126">
        <v>3526653.850676572</v>
      </c>
    </row>
    <row r="9" spans="2:12" ht="19">
      <c r="B9" s="149"/>
      <c r="C9" s="124" t="s">
        <v>95</v>
      </c>
      <c r="D9" s="377"/>
      <c r="E9" s="126">
        <v>87775.65611729701</v>
      </c>
      <c r="F9" s="377"/>
      <c r="H9" s="126">
        <v>144663.4106724677</v>
      </c>
      <c r="J9" s="126">
        <v>144663.4106724677</v>
      </c>
      <c r="L9" s="126">
        <v>144663.4106724677</v>
      </c>
    </row>
    <row r="10" spans="2:12" ht="19">
      <c r="B10" s="149"/>
      <c r="C10" s="124" t="s">
        <v>96</v>
      </c>
      <c r="D10" s="378"/>
      <c r="E10" s="127">
        <v>346671.78026744613</v>
      </c>
      <c r="F10" s="378"/>
      <c r="H10" s="127">
        <v>435000</v>
      </c>
      <c r="J10" s="127">
        <v>375000</v>
      </c>
      <c r="L10" s="127">
        <v>330000</v>
      </c>
    </row>
    <row r="11" spans="2:12" ht="19">
      <c r="B11" s="149"/>
      <c r="C11" s="289" t="s">
        <v>77</v>
      </c>
      <c r="D11" s="379"/>
      <c r="E11" s="292">
        <v>3788169.0277434522</v>
      </c>
      <c r="F11" s="379"/>
      <c r="H11" s="290">
        <v>6737396.452347626</v>
      </c>
      <c r="J11" s="290">
        <v>5221253.6318761557</v>
      </c>
      <c r="L11" s="290">
        <v>4001317.2613490396</v>
      </c>
    </row>
    <row r="12" spans="2:12" ht="20" thickBot="1">
      <c r="B12" s="92"/>
      <c r="C12" s="151" t="s">
        <v>59</v>
      </c>
      <c r="D12" s="378"/>
      <c r="E12" s="131">
        <v>-957046.82340875664</v>
      </c>
      <c r="F12" s="378"/>
      <c r="H12" s="131">
        <v>-1688373.8574676279</v>
      </c>
      <c r="J12" s="131">
        <v>-1274086.9463264118</v>
      </c>
      <c r="L12" s="131">
        <v>-924864.12359685265</v>
      </c>
    </row>
    <row r="13" spans="2:12" ht="20" thickTop="1">
      <c r="B13" s="92"/>
      <c r="C13" s="129" t="s">
        <v>78</v>
      </c>
      <c r="D13" s="380"/>
      <c r="E13" s="71">
        <v>2831122.2043346949</v>
      </c>
      <c r="F13" s="380"/>
      <c r="H13" s="71">
        <v>5049022.594879996</v>
      </c>
      <c r="J13" s="71">
        <v>3947166.6855497444</v>
      </c>
      <c r="L13" s="71">
        <v>3076453.1377521874</v>
      </c>
    </row>
    <row r="14" spans="2:12" ht="19">
      <c r="B14" s="92"/>
      <c r="C14" s="134" t="s">
        <v>79</v>
      </c>
      <c r="D14" s="380"/>
      <c r="E14" s="135">
        <v>0.74735899681359952</v>
      </c>
      <c r="F14" s="380"/>
      <c r="H14" s="135">
        <v>8.9759614143612918</v>
      </c>
      <c r="J14" s="135">
        <v>9.0711198605371628</v>
      </c>
      <c r="L14" s="135">
        <v>9.2487761585836754</v>
      </c>
    </row>
    <row r="15" spans="2:12" ht="11" customHeight="1">
      <c r="B15" s="92"/>
      <c r="C15" s="122"/>
      <c r="D15" s="381"/>
      <c r="E15" s="50"/>
      <c r="F15" s="381"/>
      <c r="H15" s="50"/>
      <c r="J15" s="50"/>
      <c r="L15" s="50"/>
    </row>
    <row r="16" spans="2:12" ht="19">
      <c r="B16" s="92"/>
      <c r="C16" s="122" t="s">
        <v>80</v>
      </c>
      <c r="D16" s="382"/>
      <c r="E16" s="50"/>
      <c r="F16" s="382"/>
      <c r="H16" s="50"/>
      <c r="J16" s="50"/>
      <c r="L16" s="50"/>
    </row>
    <row r="17" spans="2:12" ht="20" thickBot="1">
      <c r="B17" s="92"/>
      <c r="C17" s="130" t="s">
        <v>81</v>
      </c>
      <c r="D17" s="382"/>
      <c r="E17" s="131">
        <v>-121775.86146957972</v>
      </c>
      <c r="F17" s="382"/>
      <c r="H17" s="131">
        <v>-86707.692307692312</v>
      </c>
      <c r="J17" s="131">
        <v>-86707.692307692312</v>
      </c>
      <c r="L17" s="131">
        <v>-86707.692307692312</v>
      </c>
    </row>
    <row r="18" spans="2:12" ht="20" thickTop="1">
      <c r="B18" s="92"/>
      <c r="C18" s="129" t="s">
        <v>82</v>
      </c>
      <c r="D18" s="383"/>
      <c r="E18" s="71">
        <v>2709346.342865115</v>
      </c>
      <c r="F18" s="383"/>
      <c r="H18" s="71">
        <v>4962314.902572304</v>
      </c>
      <c r="J18" s="71">
        <v>3860458.9932420515</v>
      </c>
      <c r="L18" s="71">
        <v>2989745.4454444954</v>
      </c>
    </row>
    <row r="19" spans="2:12" ht="19">
      <c r="B19" s="92"/>
      <c r="C19" s="134" t="s">
        <v>83</v>
      </c>
      <c r="D19" s="381"/>
      <c r="E19" s="135">
        <v>0.95698671668671509</v>
      </c>
      <c r="F19" s="381"/>
      <c r="H19" s="135">
        <v>0.98282683614931354</v>
      </c>
      <c r="J19" s="135">
        <v>0.97803292862570945</v>
      </c>
      <c r="L19" s="135">
        <v>0.97181569540466162</v>
      </c>
    </row>
    <row r="20" spans="2:12" ht="19">
      <c r="B20" s="92"/>
      <c r="C20" s="134"/>
      <c r="D20" s="381"/>
      <c r="E20" s="135"/>
      <c r="F20" s="381"/>
      <c r="H20" s="135"/>
      <c r="J20" s="135"/>
      <c r="L20" s="135"/>
    </row>
    <row r="21" spans="2:12" ht="19">
      <c r="B21" s="92"/>
      <c r="C21" s="124" t="s">
        <v>33</v>
      </c>
      <c r="D21" s="382"/>
      <c r="E21" s="138">
        <v>-1660948.5377733752</v>
      </c>
      <c r="F21" s="382"/>
      <c r="H21" s="138">
        <v>-2739600</v>
      </c>
      <c r="J21" s="138">
        <v>-2304000</v>
      </c>
      <c r="L21" s="138">
        <v>-2072100</v>
      </c>
    </row>
    <row r="22" spans="2:12" ht="19">
      <c r="B22" s="92"/>
      <c r="C22" s="124"/>
      <c r="D22" s="382"/>
      <c r="E22" s="138"/>
      <c r="F22" s="382"/>
      <c r="H22" s="138"/>
      <c r="J22" s="138"/>
      <c r="L22" s="138"/>
    </row>
    <row r="23" spans="2:12" ht="19">
      <c r="B23" s="92"/>
      <c r="C23" s="388" t="s">
        <v>88</v>
      </c>
      <c r="D23" s="383"/>
      <c r="E23" s="288">
        <v>1048397.8050917401</v>
      </c>
      <c r="F23" s="383"/>
      <c r="H23" s="288">
        <v>2222714.9025723049</v>
      </c>
      <c r="J23" s="288">
        <v>1556458.9932420517</v>
      </c>
      <c r="L23" s="288">
        <v>917645.4454444953</v>
      </c>
    </row>
    <row r="24" spans="2:12" ht="19">
      <c r="B24" s="92"/>
      <c r="C24" s="134" t="s">
        <v>89</v>
      </c>
      <c r="D24" s="383"/>
      <c r="E24" s="135">
        <v>0.27675581459369381</v>
      </c>
      <c r="F24" s="383"/>
      <c r="H24" s="135">
        <v>0.32990709664974616</v>
      </c>
      <c r="J24" s="135">
        <v>0.29810062927028669</v>
      </c>
      <c r="L24" s="135">
        <v>0.22933583755243447</v>
      </c>
    </row>
    <row r="25" spans="2:12" ht="19">
      <c r="B25" s="92"/>
      <c r="C25" s="134"/>
      <c r="D25" s="383"/>
      <c r="E25" s="135"/>
      <c r="F25" s="383"/>
      <c r="H25" s="135"/>
      <c r="J25" s="135"/>
      <c r="L25" s="135"/>
    </row>
    <row r="26" spans="2:12" ht="19">
      <c r="B26" s="92"/>
      <c r="C26" s="122" t="s">
        <v>84</v>
      </c>
      <c r="D26" s="383"/>
      <c r="E26" s="50"/>
      <c r="F26" s="383"/>
      <c r="H26" s="50"/>
      <c r="J26" s="50"/>
      <c r="L26" s="50"/>
    </row>
    <row r="27" spans="2:12" ht="19">
      <c r="B27" s="92"/>
      <c r="C27" s="124" t="s">
        <v>97</v>
      </c>
      <c r="D27" s="383"/>
      <c r="E27" s="138">
        <v>-1289630.5002800955</v>
      </c>
      <c r="F27" s="383"/>
      <c r="H27" s="138">
        <v>-1090736.5687467197</v>
      </c>
      <c r="J27" s="138">
        <v>-1090736.5687467197</v>
      </c>
      <c r="L27" s="138">
        <v>-1090736.5687467197</v>
      </c>
    </row>
    <row r="28" spans="2:12" ht="19">
      <c r="B28" s="92"/>
      <c r="C28" s="124" t="s">
        <v>98</v>
      </c>
      <c r="D28" s="383"/>
      <c r="E28" s="138">
        <v>-150873.41441303559</v>
      </c>
      <c r="F28" s="383"/>
      <c r="H28" s="138">
        <v>-128477.54862191141</v>
      </c>
      <c r="J28" s="138">
        <v>-128477.54862191141</v>
      </c>
      <c r="L28" s="138">
        <v>-128477.54862191141</v>
      </c>
    </row>
    <row r="29" spans="2:12" ht="19">
      <c r="B29" s="92"/>
      <c r="C29" s="124" t="s">
        <v>99</v>
      </c>
      <c r="D29" s="381"/>
      <c r="E29" s="138">
        <v>-79122.027078065628</v>
      </c>
      <c r="F29" s="381"/>
      <c r="H29" s="138">
        <v>-66915.891568431558</v>
      </c>
      <c r="J29" s="138">
        <v>-66915.891568431558</v>
      </c>
      <c r="L29" s="138">
        <v>-66915.891568431558</v>
      </c>
    </row>
    <row r="30" spans="2:12" ht="19">
      <c r="B30" s="92"/>
      <c r="C30" s="124" t="s">
        <v>100</v>
      </c>
      <c r="D30" s="384"/>
      <c r="E30" s="138">
        <v>-294031.65731939516</v>
      </c>
      <c r="F30" s="384"/>
      <c r="H30" s="138">
        <v>-248740.85102584609</v>
      </c>
      <c r="J30" s="138">
        <v>-248740.85102584609</v>
      </c>
      <c r="L30" s="138">
        <v>-248740.85102584609</v>
      </c>
    </row>
    <row r="31" spans="2:12" ht="19">
      <c r="B31" s="92"/>
      <c r="C31" s="124" t="s">
        <v>311</v>
      </c>
      <c r="D31" s="381"/>
      <c r="E31" s="138"/>
      <c r="F31" s="381"/>
      <c r="H31" s="138">
        <v>51002.396205128221</v>
      </c>
      <c r="J31" s="138">
        <v>51002.396205128221</v>
      </c>
      <c r="L31" s="138">
        <v>51002.396205128221</v>
      </c>
    </row>
    <row r="32" spans="2:12" ht="20" thickBot="1">
      <c r="B32" s="92"/>
      <c r="C32" s="140" t="s">
        <v>85</v>
      </c>
      <c r="D32" s="385"/>
      <c r="E32" s="141">
        <v>-1813657.5990905904</v>
      </c>
      <c r="F32" s="385"/>
      <c r="H32" s="141">
        <v>-1483868.4637577806</v>
      </c>
      <c r="J32" s="141">
        <v>-1483868.4637577806</v>
      </c>
      <c r="L32" s="141">
        <v>-1483868.4637577806</v>
      </c>
    </row>
    <row r="33" spans="2:12" ht="20" thickTop="1">
      <c r="B33" s="92"/>
      <c r="C33" s="129" t="s">
        <v>86</v>
      </c>
      <c r="D33" s="381"/>
      <c r="E33" s="143">
        <v>-765259.79399885063</v>
      </c>
      <c r="F33" s="381"/>
      <c r="H33" s="143">
        <v>738846.43881452444</v>
      </c>
      <c r="J33" s="143">
        <v>72590.529484271276</v>
      </c>
      <c r="L33" s="143">
        <v>-566223.01831328531</v>
      </c>
    </row>
    <row r="34" spans="2:12" ht="18" customHeight="1">
      <c r="B34" s="92"/>
      <c r="C34" s="134" t="s">
        <v>87</v>
      </c>
      <c r="D34" s="381"/>
      <c r="E34" s="135">
        <v>-0.20201310669991482</v>
      </c>
      <c r="F34" s="381"/>
      <c r="H34" s="135">
        <v>0.10966349450269852</v>
      </c>
      <c r="J34" s="135">
        <v>1.3902892792087422E-2</v>
      </c>
      <c r="L34" s="135">
        <v>-0.14150915344372964</v>
      </c>
    </row>
    <row r="35" spans="2:12" ht="19" hidden="1">
      <c r="B35" s="92"/>
      <c r="C35" s="145"/>
      <c r="D35" s="383"/>
      <c r="E35" s="50"/>
      <c r="F35" s="383"/>
      <c r="H35" s="50"/>
      <c r="J35" s="50"/>
      <c r="L35" s="50"/>
    </row>
    <row r="36" spans="2:12" ht="20" thickBot="1">
      <c r="B36" s="92"/>
      <c r="C36" s="146" t="s">
        <v>90</v>
      </c>
      <c r="D36" s="382"/>
      <c r="E36" s="141">
        <v>-765259.79399885063</v>
      </c>
      <c r="F36" s="382"/>
      <c r="H36" s="141">
        <v>738846.43881452444</v>
      </c>
      <c r="I36" s="387"/>
      <c r="J36" s="141">
        <v>72590.529484271276</v>
      </c>
      <c r="K36" s="387"/>
      <c r="L36" s="141">
        <v>-566223.01831328531</v>
      </c>
    </row>
    <row r="37" spans="2:12" ht="20" thickTop="1">
      <c r="B37" s="92"/>
      <c r="C37" s="122" t="s">
        <v>91</v>
      </c>
      <c r="D37" s="386"/>
      <c r="E37" s="147">
        <v>-0.20201310669991482</v>
      </c>
      <c r="F37" s="386"/>
      <c r="H37" s="147">
        <v>0.10966349450269852</v>
      </c>
      <c r="J37" s="338">
        <v>1.3902892792087422E-2</v>
      </c>
      <c r="L37" s="147">
        <v>-0.14150915344372964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C687-10F2-8547-A51C-96997A632640}">
  <sheetPr codeName="Sheet5"/>
  <dimension ref="B4:S44"/>
  <sheetViews>
    <sheetView showGridLines="0" tabSelected="1" topLeftCell="A4" zoomScale="85" zoomScaleNormal="110" workbookViewId="0">
      <pane xSplit="3" ySplit="6" topLeftCell="D10" activePane="bottomRight" state="frozen"/>
      <selection activeCell="J7" sqref="J7"/>
      <selection pane="topRight" activeCell="J7" sqref="J7"/>
      <selection pane="bottomLeft" activeCell="J7" sqref="J7"/>
      <selection pane="bottomRight" activeCell="H19" sqref="H19:H20"/>
    </sheetView>
  </sheetViews>
  <sheetFormatPr baseColWidth="10" defaultColWidth="11" defaultRowHeight="16"/>
  <cols>
    <col min="1" max="1" width="2.83203125" customWidth="1"/>
    <col min="2" max="2" width="13.33203125" bestFit="1" customWidth="1"/>
    <col min="3" max="3" width="39.6640625" bestFit="1" customWidth="1"/>
    <col min="4" max="4" width="2.1640625" customWidth="1"/>
    <col min="5" max="5" width="13.1640625" bestFit="1" customWidth="1"/>
    <col min="6" max="6" width="14.1640625" bestFit="1" customWidth="1"/>
    <col min="7" max="7" width="13.1640625" bestFit="1" customWidth="1"/>
    <col min="8" max="16" width="14.1640625" bestFit="1" customWidth="1"/>
    <col min="17" max="17" width="2.1640625" customWidth="1"/>
    <col min="18" max="18" width="15.6640625" bestFit="1" customWidth="1"/>
    <col min="19" max="19" width="51.83203125" bestFit="1" customWidth="1"/>
  </cols>
  <sheetData>
    <row r="4" spans="2:19">
      <c r="C4" s="113"/>
    </row>
    <row r="5" spans="2:19" ht="22">
      <c r="C5" s="114" t="s">
        <v>318</v>
      </c>
    </row>
    <row r="6" spans="2:19">
      <c r="C6" s="113"/>
    </row>
    <row r="7" spans="2:19" ht="19">
      <c r="C7" s="118"/>
    </row>
    <row r="8" spans="2:19">
      <c r="C8" s="5"/>
      <c r="D8" s="119"/>
      <c r="E8" s="776">
        <v>2026</v>
      </c>
      <c r="F8" s="776"/>
      <c r="G8" s="776"/>
      <c r="H8" s="776"/>
      <c r="I8" s="776"/>
      <c r="J8" s="776"/>
      <c r="K8" s="776"/>
      <c r="L8" s="776"/>
      <c r="M8" s="776"/>
      <c r="N8" s="776"/>
      <c r="O8" s="776"/>
      <c r="P8" s="776"/>
      <c r="Q8" s="119"/>
    </row>
    <row r="9" spans="2:19">
      <c r="D9" s="121"/>
      <c r="E9" s="120" t="s">
        <v>20</v>
      </c>
      <c r="F9" s="120" t="s">
        <v>21</v>
      </c>
      <c r="G9" s="120" t="s">
        <v>22</v>
      </c>
      <c r="H9" s="120" t="s">
        <v>23</v>
      </c>
      <c r="I9" s="120" t="s">
        <v>24</v>
      </c>
      <c r="J9" s="120" t="s">
        <v>25</v>
      </c>
      <c r="K9" s="120" t="s">
        <v>26</v>
      </c>
      <c r="L9" s="120" t="s">
        <v>27</v>
      </c>
      <c r="M9" s="120" t="s">
        <v>28</v>
      </c>
      <c r="N9" s="120" t="s">
        <v>29</v>
      </c>
      <c r="O9" s="120" t="s">
        <v>30</v>
      </c>
      <c r="P9" s="120" t="s">
        <v>31</v>
      </c>
      <c r="Q9" s="121"/>
      <c r="R9" s="120" t="s">
        <v>835</v>
      </c>
      <c r="S9" s="461" t="s">
        <v>343</v>
      </c>
    </row>
    <row r="10" spans="2:19"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</row>
    <row r="11" spans="2:19" s="50" customFormat="1" ht="17" customHeight="1">
      <c r="B11" s="149" t="s">
        <v>92</v>
      </c>
      <c r="C11" s="122" t="s">
        <v>76</v>
      </c>
      <c r="D11" s="148"/>
      <c r="F11" s="680"/>
      <c r="G11" s="680"/>
      <c r="H11" s="680"/>
      <c r="I11" s="680"/>
      <c r="J11" s="680"/>
      <c r="K11" s="680"/>
      <c r="L11" s="680"/>
      <c r="M11" s="680"/>
      <c r="N11" s="680"/>
      <c r="O11" s="680"/>
      <c r="P11" s="680"/>
      <c r="Q11" s="148"/>
    </row>
    <row r="12" spans="2:19" s="50" customFormat="1" ht="16" customHeight="1">
      <c r="B12" s="149" t="s">
        <v>93</v>
      </c>
      <c r="C12" s="124" t="s">
        <v>916</v>
      </c>
      <c r="D12" s="125"/>
      <c r="E12" s="766">
        <v>439037.11166068376</v>
      </c>
      <c r="F12" s="766">
        <v>456598.59612711112</v>
      </c>
      <c r="G12" s="766">
        <v>474862.53997219558</v>
      </c>
      <c r="H12" s="766">
        <v>493857.04157108342</v>
      </c>
      <c r="I12" s="766">
        <v>513611.32323392679</v>
      </c>
      <c r="J12" s="766">
        <v>534155.77616328385</v>
      </c>
      <c r="K12" s="766">
        <v>555522.0072098152</v>
      </c>
      <c r="L12" s="766">
        <v>577742.88749820786</v>
      </c>
      <c r="M12" s="766">
        <v>600852.60299813619</v>
      </c>
      <c r="N12" s="766">
        <v>624886.70711806172</v>
      </c>
      <c r="O12" s="766">
        <v>649882.17540278425</v>
      </c>
      <c r="P12" s="766">
        <v>675877.46241889568</v>
      </c>
      <c r="Q12">
        <v>702912.5609156515</v>
      </c>
      <c r="R12" s="126">
        <f>SUM(E12:P12)</f>
        <v>6596886.2313741837</v>
      </c>
      <c r="S12" s="50" t="s">
        <v>917</v>
      </c>
    </row>
    <row r="13" spans="2:19" s="50" customFormat="1" ht="16" hidden="1" customHeight="1">
      <c r="B13" s="149"/>
      <c r="C13" s="124"/>
      <c r="D13" s="125"/>
      <c r="E13" s="523"/>
      <c r="F13" s="523"/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125"/>
      <c r="R13" s="126">
        <f>SUM(E13:P13)</f>
        <v>0</v>
      </c>
    </row>
    <row r="14" spans="2:19" s="50" customFormat="1" ht="16" customHeight="1">
      <c r="B14" s="149"/>
      <c r="C14" s="124"/>
      <c r="D14" s="125"/>
      <c r="E14" s="524">
        <v>15000</v>
      </c>
      <c r="F14" s="524">
        <v>15000</v>
      </c>
      <c r="G14" s="524">
        <v>15000</v>
      </c>
      <c r="H14" s="524">
        <v>15000</v>
      </c>
      <c r="I14" s="524">
        <v>15000</v>
      </c>
      <c r="J14" s="524">
        <v>15000</v>
      </c>
      <c r="K14" s="524">
        <v>15000</v>
      </c>
      <c r="L14" s="524">
        <v>15000</v>
      </c>
      <c r="M14" s="524">
        <v>15000</v>
      </c>
      <c r="N14" s="524">
        <v>15000</v>
      </c>
      <c r="O14" s="524">
        <v>15000</v>
      </c>
      <c r="P14" s="524">
        <v>15000</v>
      </c>
      <c r="Q14" s="125"/>
      <c r="R14" s="126"/>
    </row>
    <row r="15" spans="2:19" s="50" customFormat="1" ht="19" customHeight="1">
      <c r="B15" s="149"/>
      <c r="C15" s="124" t="s">
        <v>96</v>
      </c>
      <c r="D15" s="128"/>
      <c r="E15" s="524">
        <v>7000</v>
      </c>
      <c r="F15" s="524">
        <v>7000</v>
      </c>
      <c r="G15" s="524">
        <v>7000</v>
      </c>
      <c r="H15" s="524">
        <v>7000</v>
      </c>
      <c r="I15" s="524">
        <v>7000</v>
      </c>
      <c r="J15" s="524">
        <v>7000</v>
      </c>
      <c r="K15" s="524">
        <v>7000</v>
      </c>
      <c r="L15" s="524">
        <v>7000</v>
      </c>
      <c r="M15" s="524">
        <v>7000</v>
      </c>
      <c r="N15" s="524">
        <v>7000</v>
      </c>
      <c r="O15" s="524">
        <v>7000</v>
      </c>
      <c r="P15" s="524">
        <v>7000</v>
      </c>
      <c r="Q15" s="128"/>
      <c r="R15" s="126">
        <f>SUM(E15:P15)</f>
        <v>84000</v>
      </c>
    </row>
    <row r="16" spans="2:19" s="50" customFormat="1" ht="16" customHeight="1">
      <c r="B16" s="149"/>
      <c r="C16" s="289" t="s">
        <v>77</v>
      </c>
      <c r="D16" s="291"/>
      <c r="E16" s="290">
        <f t="shared" ref="E16:P16" si="0">+SUM(E12:E15)</f>
        <v>461037.11166068376</v>
      </c>
      <c r="F16" s="290">
        <f t="shared" si="0"/>
        <v>478598.59612711112</v>
      </c>
      <c r="G16" s="290">
        <f t="shared" si="0"/>
        <v>496862.53997219558</v>
      </c>
      <c r="H16" s="290">
        <f t="shared" si="0"/>
        <v>515857.04157108342</v>
      </c>
      <c r="I16" s="290">
        <f t="shared" si="0"/>
        <v>535611.32323392679</v>
      </c>
      <c r="J16" s="290">
        <f t="shared" si="0"/>
        <v>556155.77616328385</v>
      </c>
      <c r="K16" s="290">
        <f t="shared" si="0"/>
        <v>577522.0072098152</v>
      </c>
      <c r="L16" s="290">
        <f t="shared" si="0"/>
        <v>599742.88749820786</v>
      </c>
      <c r="M16" s="290">
        <f t="shared" si="0"/>
        <v>622852.60299813619</v>
      </c>
      <c r="N16" s="290">
        <f t="shared" si="0"/>
        <v>646886.70711806172</v>
      </c>
      <c r="O16" s="290">
        <f t="shared" si="0"/>
        <v>671882.17540278425</v>
      </c>
      <c r="P16" s="290">
        <f t="shared" si="0"/>
        <v>697877.46241889568</v>
      </c>
      <c r="Q16" s="291"/>
      <c r="R16" s="290">
        <f>+SUM(R12:R15)</f>
        <v>6680886.2313741837</v>
      </c>
    </row>
    <row r="17" spans="2:18" s="50" customFormat="1" ht="20" thickBot="1">
      <c r="B17" s="92"/>
      <c r="C17" s="151" t="s">
        <v>59</v>
      </c>
      <c r="D17" s="132"/>
      <c r="E17" s="131">
        <f t="shared" ref="E17:P17" si="1">+SUM(E12,E13)*-0.3</f>
        <v>-131711.13349820513</v>
      </c>
      <c r="F17" s="131">
        <f t="shared" si="1"/>
        <v>-136979.57883813334</v>
      </c>
      <c r="G17" s="131">
        <f t="shared" si="1"/>
        <v>-142458.76199165866</v>
      </c>
      <c r="H17" s="131">
        <f t="shared" si="1"/>
        <v>-148157.11247132503</v>
      </c>
      <c r="I17" s="131">
        <f t="shared" si="1"/>
        <v>-154083.39697017803</v>
      </c>
      <c r="J17" s="131">
        <f t="shared" si="1"/>
        <v>-160246.73284898515</v>
      </c>
      <c r="K17" s="131">
        <f t="shared" si="1"/>
        <v>-166656.60216294456</v>
      </c>
      <c r="L17" s="131">
        <f t="shared" si="1"/>
        <v>-173322.86624946236</v>
      </c>
      <c r="M17" s="131">
        <f t="shared" si="1"/>
        <v>-180255.78089944084</v>
      </c>
      <c r="N17" s="131">
        <f t="shared" si="1"/>
        <v>-187466.01213541851</v>
      </c>
      <c r="O17" s="131">
        <f t="shared" si="1"/>
        <v>-194964.65262083526</v>
      </c>
      <c r="P17" s="131">
        <f t="shared" si="1"/>
        <v>-202763.23872566869</v>
      </c>
      <c r="Q17" s="132"/>
      <c r="R17" s="131">
        <f>SUM(E17:P17)</f>
        <v>-1979065.8694122557</v>
      </c>
    </row>
    <row r="18" spans="2:18" s="50" customFormat="1" ht="20" thickTop="1">
      <c r="B18" s="92"/>
      <c r="C18" s="129" t="s">
        <v>78</v>
      </c>
      <c r="D18" s="133"/>
      <c r="E18" s="71">
        <f>+E16+E17</f>
        <v>329325.97816247866</v>
      </c>
      <c r="F18" s="71">
        <f t="shared" ref="F18:P18" si="2">+F16+F17</f>
        <v>341619.01728897775</v>
      </c>
      <c r="G18" s="71">
        <f t="shared" si="2"/>
        <v>354403.77798053692</v>
      </c>
      <c r="H18" s="71">
        <f t="shared" si="2"/>
        <v>367699.92909975839</v>
      </c>
      <c r="I18" s="71">
        <f t="shared" si="2"/>
        <v>381527.92626374878</v>
      </c>
      <c r="J18" s="71">
        <f t="shared" si="2"/>
        <v>395909.04331429873</v>
      </c>
      <c r="K18" s="71">
        <f t="shared" si="2"/>
        <v>410865.40504687064</v>
      </c>
      <c r="L18" s="71">
        <f t="shared" si="2"/>
        <v>426420.0212487455</v>
      </c>
      <c r="M18" s="71">
        <f t="shared" si="2"/>
        <v>442596.82209869532</v>
      </c>
      <c r="N18" s="71">
        <f t="shared" si="2"/>
        <v>459420.69498264324</v>
      </c>
      <c r="O18" s="71">
        <f t="shared" si="2"/>
        <v>476917.52278194902</v>
      </c>
      <c r="P18" s="71">
        <f t="shared" si="2"/>
        <v>495114.22369322699</v>
      </c>
      <c r="Q18" s="133"/>
      <c r="R18" s="71">
        <f>SUM(E18:P18)</f>
        <v>4881820.3619619301</v>
      </c>
    </row>
    <row r="19" spans="2:18" s="50" customFormat="1" ht="19">
      <c r="B19" s="92"/>
      <c r="C19" s="134" t="s">
        <v>79</v>
      </c>
      <c r="D19" s="136"/>
      <c r="E19" s="135">
        <f>+E18/E16</f>
        <v>0.71431555038210792</v>
      </c>
      <c r="F19" s="135">
        <f t="shared" ref="F19:O19" si="3">+F18/F16</f>
        <v>0.71379026193016049</v>
      </c>
      <c r="G19" s="135">
        <f t="shared" si="3"/>
        <v>0.7132833519716929</v>
      </c>
      <c r="H19" s="135">
        <f t="shared" si="3"/>
        <v>0.71279424233485145</v>
      </c>
      <c r="I19" s="135">
        <f t="shared" si="3"/>
        <v>0.71232236831766438</v>
      </c>
      <c r="J19" s="135">
        <f t="shared" si="3"/>
        <v>0.71186717873458227</v>
      </c>
      <c r="K19" s="135">
        <f t="shared" si="3"/>
        <v>0.71142813592833731</v>
      </c>
      <c r="L19" s="135">
        <f t="shared" si="3"/>
        <v>0.71100471574999669</v>
      </c>
      <c r="M19" s="135">
        <f t="shared" si="3"/>
        <v>0.71059640750994779</v>
      </c>
      <c r="N19" s="135">
        <f t="shared" si="3"/>
        <v>0.71020271390241363</v>
      </c>
      <c r="O19" s="135">
        <f t="shared" si="3"/>
        <v>0.70982315090595083</v>
      </c>
      <c r="P19" s="135">
        <f>+P18/P16</f>
        <v>0.70945724766225282</v>
      </c>
      <c r="Q19" s="136"/>
      <c r="R19" s="135">
        <f>+R18/R16</f>
        <v>0.73071448800255867</v>
      </c>
    </row>
    <row r="20" spans="2:18" s="50" customFormat="1" ht="19">
      <c r="B20" s="92"/>
      <c r="C20" s="122"/>
      <c r="D20" s="123"/>
      <c r="J20" s="137"/>
      <c r="K20" s="137"/>
      <c r="Q20" s="123"/>
    </row>
    <row r="21" spans="2:18" s="50" customFormat="1" ht="19">
      <c r="B21" s="92"/>
      <c r="C21" s="122" t="s">
        <v>80</v>
      </c>
      <c r="D21" s="123"/>
      <c r="Q21" s="123"/>
    </row>
    <row r="22" spans="2:18" s="50" customFormat="1" ht="20" thickBot="1">
      <c r="B22" s="92"/>
      <c r="C22" s="130" t="s">
        <v>81</v>
      </c>
      <c r="D22" s="123"/>
      <c r="E22" s="620">
        <f>+-SUM('Tech 2026'!P6:P7)</f>
        <v>-8400</v>
      </c>
      <c r="F22" s="620">
        <f>+-SUM('Tech 2026'!Q6:Q7)</f>
        <v>-8400</v>
      </c>
      <c r="G22" s="620">
        <f>+-SUM('Tech 2026'!R6:R7)</f>
        <v>-8400</v>
      </c>
      <c r="H22" s="620">
        <f>+-SUM('Tech 2026'!S6:S7)</f>
        <v>-8400</v>
      </c>
      <c r="I22" s="620">
        <f>+-SUM('Tech 2026'!T6:T7)</f>
        <v>-8400</v>
      </c>
      <c r="J22" s="620">
        <f>+-SUM('Tech 2026'!U6:U7)</f>
        <v>-8400</v>
      </c>
      <c r="K22" s="620">
        <f>+-SUM('Tech 2026'!V6:V7)</f>
        <v>-8400</v>
      </c>
      <c r="L22" s="620">
        <f>+-SUM('Tech 2026'!W6:W7)</f>
        <v>-8400</v>
      </c>
      <c r="M22" s="620">
        <f>+-SUM('Tech 2026'!X6:X7)</f>
        <v>-8400</v>
      </c>
      <c r="N22" s="620">
        <f>+-SUM('Tech 2026'!Y6:Y7)</f>
        <v>-8400</v>
      </c>
      <c r="O22" s="620">
        <f>+-SUM('Tech 2026'!Z6:Z7)</f>
        <v>-8400</v>
      </c>
      <c r="P22" s="620">
        <f>+-SUM('Tech 2026'!AA6:AA7)</f>
        <v>-8400</v>
      </c>
      <c r="Q22" s="123"/>
      <c r="R22" s="131">
        <f>SUM(E22:P22)</f>
        <v>-100800</v>
      </c>
    </row>
    <row r="23" spans="2:18" s="50" customFormat="1" ht="20" thickTop="1">
      <c r="B23" s="92"/>
      <c r="C23" s="129" t="s">
        <v>82</v>
      </c>
      <c r="D23" s="133"/>
      <c r="E23" s="71">
        <f>+E18+E22</f>
        <v>320925.97816247866</v>
      </c>
      <c r="F23" s="71">
        <f t="shared" ref="F23:P23" si="4">+F18+F22</f>
        <v>333219.01728897775</v>
      </c>
      <c r="G23" s="71">
        <f t="shared" si="4"/>
        <v>346003.77798053692</v>
      </c>
      <c r="H23" s="71">
        <f t="shared" si="4"/>
        <v>359299.92909975839</v>
      </c>
      <c r="I23" s="71">
        <f t="shared" si="4"/>
        <v>373127.92626374878</v>
      </c>
      <c r="J23" s="71">
        <f t="shared" si="4"/>
        <v>387509.04331429873</v>
      </c>
      <c r="K23" s="71">
        <f t="shared" si="4"/>
        <v>402465.40504687064</v>
      </c>
      <c r="L23" s="71">
        <f t="shared" si="4"/>
        <v>418020.0212487455</v>
      </c>
      <c r="M23" s="71">
        <f t="shared" si="4"/>
        <v>434196.82209869532</v>
      </c>
      <c r="N23" s="71">
        <f t="shared" si="4"/>
        <v>451020.69498264324</v>
      </c>
      <c r="O23" s="71">
        <f t="shared" si="4"/>
        <v>468517.52278194902</v>
      </c>
      <c r="P23" s="71">
        <f t="shared" si="4"/>
        <v>486714.22369322699</v>
      </c>
      <c r="Q23" s="133"/>
      <c r="R23" s="71">
        <f>SUM(E23:P23)</f>
        <v>4781020.3619619301</v>
      </c>
    </row>
    <row r="24" spans="2:18" s="50" customFormat="1" ht="19">
      <c r="B24" s="92"/>
      <c r="C24" s="134" t="s">
        <v>83</v>
      </c>
      <c r="D24" s="133"/>
      <c r="E24" s="135">
        <f>+E23/E18</f>
        <v>0.97449335747252919</v>
      </c>
      <c r="F24" s="135">
        <f t="shared" ref="F24:R24" si="5">+F23/F18</f>
        <v>0.97541120495380862</v>
      </c>
      <c r="G24" s="135">
        <f t="shared" si="5"/>
        <v>0.97629822106337338</v>
      </c>
      <c r="H24" s="135">
        <f t="shared" si="5"/>
        <v>0.97715528523335382</v>
      </c>
      <c r="I24" s="135">
        <f t="shared" si="5"/>
        <v>0.97798326302805649</v>
      </c>
      <c r="J24" s="135">
        <f t="shared" si="5"/>
        <v>0.9787830054861073</v>
      </c>
      <c r="K24" s="135">
        <f t="shared" si="5"/>
        <v>0.97955534854767889</v>
      </c>
      <c r="L24" s="135">
        <f t="shared" si="5"/>
        <v>0.9803011125617388</v>
      </c>
      <c r="M24" s="135">
        <f t="shared" si="5"/>
        <v>0.98102110186835711</v>
      </c>
      <c r="N24" s="135">
        <f t="shared" si="5"/>
        <v>0.98171610445124302</v>
      </c>
      <c r="O24" s="135">
        <f t="shared" si="5"/>
        <v>0.9823868916558125</v>
      </c>
      <c r="P24" s="135">
        <f t="shared" si="5"/>
        <v>0.98303421796824675</v>
      </c>
      <c r="Q24" s="133"/>
      <c r="R24" s="135">
        <f t="shared" si="5"/>
        <v>0.97935196452835271</v>
      </c>
    </row>
    <row r="25" spans="2:18" s="50" customFormat="1" ht="19">
      <c r="B25" s="92"/>
      <c r="C25" s="134"/>
      <c r="D25" s="133"/>
      <c r="E25" s="135"/>
      <c r="F25" s="288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3"/>
      <c r="R25" s="135"/>
    </row>
    <row r="26" spans="2:18" s="50" customFormat="1" ht="19">
      <c r="B26" s="92"/>
      <c r="C26" s="124" t="s">
        <v>833</v>
      </c>
      <c r="D26" s="139"/>
      <c r="E26" s="522">
        <f>+-1*(Model!AA8+Model!AA59)</f>
        <v>-180000</v>
      </c>
      <c r="F26" s="522">
        <f>+-1*(Model!AB8+Model!AB59)</f>
        <v>-180000</v>
      </c>
      <c r="G26" s="522">
        <f>+-1*(Model!AC8+Model!AC59)</f>
        <v>-180000</v>
      </c>
      <c r="H26" s="522">
        <f>+-1*(Model!AD8+Model!AD59)</f>
        <v>-205712</v>
      </c>
      <c r="I26" s="522">
        <f>+-1*(Model!AE8+Model!AE59)</f>
        <v>-205712</v>
      </c>
      <c r="J26" s="522">
        <f>+-1*(Model!AF8+Model!AF59)</f>
        <v>-205712</v>
      </c>
      <c r="K26" s="522">
        <f>+-1*(Model!AG8+Model!AG59)</f>
        <v>-223600</v>
      </c>
      <c r="L26" s="522">
        <f>+-1*(Model!AH8+Model!AH59)</f>
        <v>-223600</v>
      </c>
      <c r="M26" s="522">
        <f>+-1*(Model!AI8+Model!AI59)</f>
        <v>-223600</v>
      </c>
      <c r="N26" s="522">
        <f>+-1*(Model!AJ8+Model!AJ59)</f>
        <v>-241488</v>
      </c>
      <c r="O26" s="522">
        <f>+-1*(Model!AK8+Model!AK59)</f>
        <v>-241488</v>
      </c>
      <c r="P26" s="522">
        <f>+-1*(Model!AL8+Model!AL59)</f>
        <v>-241488</v>
      </c>
      <c r="Q26" s="139"/>
      <c r="R26" s="138">
        <f>SUM(E26:P26)</f>
        <v>-2552400</v>
      </c>
    </row>
    <row r="27" spans="2:18" s="50" customFormat="1" ht="19">
      <c r="B27" s="92"/>
      <c r="C27" s="124" t="s">
        <v>834</v>
      </c>
      <c r="D27" s="139"/>
      <c r="E27" s="522">
        <f>-SUM('Marketing 2025'!P7:P9)</f>
        <v>-25000</v>
      </c>
      <c r="F27" s="522">
        <f>-SUM('Marketing 2025'!Q7:Q9)</f>
        <v>-25000</v>
      </c>
      <c r="G27" s="522">
        <f>-SUM('Marketing 2025'!R7:R9)</f>
        <v>-25000</v>
      </c>
      <c r="H27" s="522">
        <f>-SUM('Marketing 2025'!S7:S9)</f>
        <v>-25000</v>
      </c>
      <c r="I27" s="522">
        <f>-SUM('Marketing 2025'!T7:T9)</f>
        <v>-25000</v>
      </c>
      <c r="J27" s="522">
        <f>-SUM('Marketing 2025'!U7:U9)</f>
        <v>-25000</v>
      </c>
      <c r="K27" s="522">
        <f>-SUM('Marketing 2025'!V7:V9)</f>
        <v>-25000</v>
      </c>
      <c r="L27" s="522">
        <f>-SUM('Marketing 2025'!W7:W9)</f>
        <v>-25000</v>
      </c>
      <c r="M27" s="522">
        <f>-SUM('Marketing 2025'!X7:X9)</f>
        <v>-25000</v>
      </c>
      <c r="N27" s="522">
        <f>-SUM('Marketing 2025'!Y7:Y9)</f>
        <v>-25000</v>
      </c>
      <c r="O27" s="522">
        <f>-SUM('Marketing 2025'!Z7:Z9)</f>
        <v>-25000</v>
      </c>
      <c r="P27" s="522">
        <f>-SUM('Marketing 2025'!AA7:AA9)</f>
        <v>-25000</v>
      </c>
      <c r="Q27" s="139"/>
      <c r="R27" s="138">
        <f>SUM(E27:P27)</f>
        <v>-300000</v>
      </c>
    </row>
    <row r="28" spans="2:18" s="50" customFormat="1" ht="19">
      <c r="B28" s="92"/>
      <c r="C28" s="124"/>
      <c r="D28" s="139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9"/>
      <c r="R28" s="138"/>
    </row>
    <row r="29" spans="2:18" s="50" customFormat="1" ht="19">
      <c r="B29" s="92"/>
      <c r="C29" s="388" t="s">
        <v>88</v>
      </c>
      <c r="D29" s="294"/>
      <c r="E29" s="293">
        <f>+E18+(E26+E27)</f>
        <v>124325.97816247866</v>
      </c>
      <c r="F29" s="293">
        <f t="shared" ref="F29:P29" si="6">+F18+(F26+F27)</f>
        <v>136619.01728897775</v>
      </c>
      <c r="G29" s="293">
        <f t="shared" si="6"/>
        <v>149403.77798053692</v>
      </c>
      <c r="H29" s="293">
        <f t="shared" si="6"/>
        <v>136987.92909975839</v>
      </c>
      <c r="I29" s="293">
        <f t="shared" si="6"/>
        <v>150815.92626374878</v>
      </c>
      <c r="J29" s="293">
        <f t="shared" si="6"/>
        <v>165197.04331429873</v>
      </c>
      <c r="K29" s="293">
        <f t="shared" si="6"/>
        <v>162265.40504687064</v>
      </c>
      <c r="L29" s="293">
        <f t="shared" si="6"/>
        <v>177820.0212487455</v>
      </c>
      <c r="M29" s="293">
        <f t="shared" si="6"/>
        <v>193996.82209869532</v>
      </c>
      <c r="N29" s="293">
        <f t="shared" si="6"/>
        <v>192932.69498264324</v>
      </c>
      <c r="O29" s="293">
        <f t="shared" si="6"/>
        <v>210429.52278194902</v>
      </c>
      <c r="P29" s="293">
        <f t="shared" si="6"/>
        <v>228626.22369322699</v>
      </c>
      <c r="Q29" s="294"/>
      <c r="R29" s="288">
        <f>SUM(E29:P29)</f>
        <v>2029420.3619619301</v>
      </c>
    </row>
    <row r="30" spans="2:18" s="50" customFormat="1" ht="19">
      <c r="B30" s="92"/>
      <c r="C30" s="134" t="s">
        <v>89</v>
      </c>
      <c r="D30" s="136"/>
      <c r="E30" s="135">
        <f>+E29/E16</f>
        <v>0.26966587942269749</v>
      </c>
      <c r="F30" s="135">
        <f t="shared" ref="F30" si="7">+F29/F16</f>
        <v>0.28545636864486973</v>
      </c>
      <c r="G30" s="135">
        <f>+G29/G16</f>
        <v>0.30069438921456537</v>
      </c>
      <c r="H30" s="135">
        <f t="shared" ref="H30:P30" si="8">+H29/H16</f>
        <v>0.26555405482602468</v>
      </c>
      <c r="I30" s="135">
        <f t="shared" si="8"/>
        <v>0.28157718054418418</v>
      </c>
      <c r="J30" s="135">
        <f t="shared" si="8"/>
        <v>0.29703376355080402</v>
      </c>
      <c r="K30" s="135">
        <f t="shared" si="8"/>
        <v>0.28096834929429659</v>
      </c>
      <c r="L30" s="135">
        <f t="shared" si="8"/>
        <v>0.296493755833456</v>
      </c>
      <c r="M30" s="135">
        <f t="shared" si="8"/>
        <v>0.31146505796857982</v>
      </c>
      <c r="N30" s="135">
        <f t="shared" si="8"/>
        <v>0.29824804383780845</v>
      </c>
      <c r="O30" s="135">
        <f t="shared" si="8"/>
        <v>0.3131940844476182</v>
      </c>
      <c r="P30" s="135">
        <f t="shared" si="8"/>
        <v>0.32760224538673499</v>
      </c>
      <c r="Q30" s="136"/>
      <c r="R30" s="135">
        <f>+R29/R16</f>
        <v>0.30376514307810643</v>
      </c>
    </row>
    <row r="31" spans="2:18" s="50" customFormat="1" ht="19">
      <c r="B31" s="92"/>
      <c r="C31" s="134"/>
      <c r="D31" s="136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6"/>
      <c r="R31" s="135"/>
    </row>
    <row r="32" spans="2:18" s="50" customFormat="1" ht="19">
      <c r="B32" s="92"/>
      <c r="C32" s="122" t="s">
        <v>84</v>
      </c>
      <c r="D32" s="123"/>
      <c r="E32" s="138"/>
      <c r="Q32" s="123"/>
    </row>
    <row r="33" spans="2:19" s="50" customFormat="1" ht="19">
      <c r="B33" s="92"/>
      <c r="C33" s="788" t="s">
        <v>919</v>
      </c>
      <c r="D33" s="123"/>
      <c r="E33" s="138">
        <f>-SUMIF('Consolidated Costs'!$B$6:$B$145,"CREC",'Consolidated Costs'!AR$6:AR$145)</f>
        <v>-25918.154603467105</v>
      </c>
      <c r="F33" s="138">
        <f>-SUMIF('Consolidated Costs'!$B$6:$B$145,"CREC",'Consolidated Costs'!AS$6:AS$145)</f>
        <v>-25918.154603467105</v>
      </c>
      <c r="G33" s="138">
        <f>-SUMIF('Consolidated Costs'!$B$6:$B$145,"CREC",'Consolidated Costs'!AT$6:AT$145)</f>
        <v>-25918.154603467105</v>
      </c>
      <c r="H33" s="138">
        <f>-SUMIF('Consolidated Costs'!$B$6:$B$145,"CREC",'Consolidated Costs'!AU$6:AU$145)</f>
        <v>-25918.154603467105</v>
      </c>
      <c r="I33" s="138">
        <f>-SUMIF('Consolidated Costs'!$B$6:$B$145,"CREC",'Consolidated Costs'!AV$6:AV$145)</f>
        <v>-25918.154603467105</v>
      </c>
      <c r="J33" s="138">
        <f>-SUMIF('Consolidated Costs'!$B$6:$B$145,"CREC",'Consolidated Costs'!AW$6:AW$145)</f>
        <v>-25918.154603467105</v>
      </c>
      <c r="K33" s="138">
        <f>-SUMIF('Consolidated Costs'!$B$6:$B$145,"CREC",'Consolidated Costs'!AX$6:AX$145)</f>
        <v>-25918.154603467105</v>
      </c>
      <c r="L33" s="138">
        <f>-SUMIF('Consolidated Costs'!$B$6:$B$145,"CREC",'Consolidated Costs'!AY$6:AY$145)</f>
        <v>-25918.154603467105</v>
      </c>
      <c r="M33" s="138">
        <f>-SUMIF('Consolidated Costs'!$B$6:$B$145,"CREC",'Consolidated Costs'!AZ$6:AZ$145)</f>
        <v>-25918.154603467105</v>
      </c>
      <c r="N33" s="138">
        <f>-SUMIF('Consolidated Costs'!$B$6:$B$145,"CREC",'Consolidated Costs'!BA$6:BA$145)</f>
        <v>-25918.154603467105</v>
      </c>
      <c r="O33" s="138">
        <f>-SUMIF('Consolidated Costs'!$B$6:$B$145,"CREC",'Consolidated Costs'!BB$6:BB$145)</f>
        <v>-25918.154603467105</v>
      </c>
      <c r="P33" s="138">
        <f>-SUMIF('Consolidated Costs'!$B$6:$B$145,"CREC",'Consolidated Costs'!BC$6:BC$145)</f>
        <v>-25918.154603467105</v>
      </c>
      <c r="Q33" s="123"/>
      <c r="R33" s="50">
        <f>SUM(E33:P33)</f>
        <v>-311017.8552416052</v>
      </c>
    </row>
    <row r="34" spans="2:19" s="50" customFormat="1" ht="19">
      <c r="B34" s="92"/>
      <c r="C34" s="788" t="s">
        <v>920</v>
      </c>
      <c r="D34" s="123"/>
      <c r="E34" s="138">
        <f>-(SUMIF('Consolidated Costs'!$B$6:$B$145,"PRO",'Consolidated Costs'!AR$6:AR$145)+SUMIF('Consolidated Costs'!$B$6:$B$145,"TEC",'Consolidated Costs'!AR$6:AR$145))</f>
        <v>-52249.087118993993</v>
      </c>
      <c r="F34" s="138">
        <f>-(SUMIF('Consolidated Costs'!$B$6:$B$145,"PRO",'Consolidated Costs'!AS$6:AS$145)+SUMIF('Consolidated Costs'!$B$6:$B$145,"TEC",'Consolidated Costs'!AS$6:AS$145))</f>
        <v>-52249.087118993993</v>
      </c>
      <c r="G34" s="138">
        <f>-(SUMIF('Consolidated Costs'!$B$6:$B$145,"PRO",'Consolidated Costs'!AT$6:AT$145)+SUMIF('Consolidated Costs'!$B$6:$B$145,"TEC",'Consolidated Costs'!AT$6:AT$145))</f>
        <v>-52249.087118993993</v>
      </c>
      <c r="H34" s="138">
        <f>-(SUMIF('Consolidated Costs'!$B$6:$B$145,"PRO",'Consolidated Costs'!AU$6:AU$145)+SUMIF('Consolidated Costs'!$B$6:$B$145,"TEC",'Consolidated Costs'!AU$6:AU$145))</f>
        <v>-52249.087118993993</v>
      </c>
      <c r="I34" s="138">
        <f>-(SUMIF('Consolidated Costs'!$B$6:$B$145,"PRO",'Consolidated Costs'!AV$6:AV$145)+SUMIF('Consolidated Costs'!$B$6:$B$145,"TEC",'Consolidated Costs'!AV$6:AV$145))</f>
        <v>-52249.087118993993</v>
      </c>
      <c r="J34" s="138">
        <f>-(SUMIF('Consolidated Costs'!$B$6:$B$145,"PRO",'Consolidated Costs'!AW$6:AW$145)+SUMIF('Consolidated Costs'!$B$6:$B$145,"TEC",'Consolidated Costs'!AW$6:AW$145))</f>
        <v>-52249.087118993993</v>
      </c>
      <c r="K34" s="138">
        <f>-(SUMIF('Consolidated Costs'!$B$6:$B$145,"PRO",'Consolidated Costs'!AX$6:AX$145)+SUMIF('Consolidated Costs'!$B$6:$B$145,"TEC",'Consolidated Costs'!AX$6:AX$145))</f>
        <v>-52249.087118993993</v>
      </c>
      <c r="L34" s="138">
        <f>-(SUMIF('Consolidated Costs'!$B$6:$B$145,"PRO",'Consolidated Costs'!AY$6:AY$145)+SUMIF('Consolidated Costs'!$B$6:$B$145,"TEC",'Consolidated Costs'!AY$6:AY$145))</f>
        <v>-52249.087118993993</v>
      </c>
      <c r="M34" s="138">
        <f>-(SUMIF('Consolidated Costs'!$B$6:$B$145,"PRO",'Consolidated Costs'!AZ$6:AZ$145)+SUMIF('Consolidated Costs'!$B$6:$B$145,"TEC",'Consolidated Costs'!AZ$6:AZ$145))</f>
        <v>-52249.087118993993</v>
      </c>
      <c r="N34" s="138">
        <f>-(SUMIF('Consolidated Costs'!$B$6:$B$145,"PRO",'Consolidated Costs'!BA$6:BA$145)+SUMIF('Consolidated Costs'!$B$6:$B$145,"TEC",'Consolidated Costs'!BA$6:BA$145))</f>
        <v>-52249.087118993993</v>
      </c>
      <c r="O34" s="138">
        <f>-(SUMIF('Consolidated Costs'!$B$6:$B$145,"PRO",'Consolidated Costs'!BB$6:BB$145)+SUMIF('Consolidated Costs'!$B$6:$B$145,"TEC",'Consolidated Costs'!BB$6:BB$145))</f>
        <v>-52249.087118993993</v>
      </c>
      <c r="P34" s="138">
        <f>-(SUMIF('Consolidated Costs'!$B$6:$B$145,"PRO",'Consolidated Costs'!BC$6:BC$145)+SUMIF('Consolidated Costs'!$B$6:$B$145,"TEC",'Consolidated Costs'!BC$6:BC$145))</f>
        <v>-52249.087118993993</v>
      </c>
      <c r="Q34" s="123"/>
      <c r="R34" s="50">
        <f>SUM(E34:P34)</f>
        <v>-626989.04542792786</v>
      </c>
    </row>
    <row r="35" spans="2:19" s="50" customFormat="1" ht="19">
      <c r="B35" s="92"/>
      <c r="C35" s="788" t="s">
        <v>921</v>
      </c>
      <c r="D35" s="123"/>
      <c r="E35" s="138">
        <f>-SUMIF('Consolidated Costs'!$B$6:$B$145,"Content",'Consolidated Costs'!AR$6:AR$145)</f>
        <v>-34201.796154919124</v>
      </c>
      <c r="F35" s="138">
        <f>-SUMIF('Consolidated Costs'!$B$6:$B$145,"Content",'Consolidated Costs'!AS$6:AS$145)</f>
        <v>-34201.796154919124</v>
      </c>
      <c r="G35" s="138">
        <f>-SUMIF('Consolidated Costs'!$B$6:$B$145,"Content",'Consolidated Costs'!AT$6:AT$145)</f>
        <v>-34201.796154919124</v>
      </c>
      <c r="H35" s="138">
        <f>-SUMIF('Consolidated Costs'!$B$6:$B$145,"Content",'Consolidated Costs'!AU$6:AU$145)</f>
        <v>-34201.796154919124</v>
      </c>
      <c r="I35" s="138">
        <f>-SUMIF('Consolidated Costs'!$B$6:$B$145,"Content",'Consolidated Costs'!AV$6:AV$145)</f>
        <v>-34201.796154919124</v>
      </c>
      <c r="J35" s="138">
        <f>-SUMIF('Consolidated Costs'!$B$6:$B$145,"Content",'Consolidated Costs'!AW$6:AW$145)</f>
        <v>-34201.796154919124</v>
      </c>
      <c r="K35" s="138">
        <f>-SUMIF('Consolidated Costs'!$B$6:$B$145,"Content",'Consolidated Costs'!AX$6:AX$145)</f>
        <v>-34201.796154919124</v>
      </c>
      <c r="L35" s="138">
        <f>-SUMIF('Consolidated Costs'!$B$6:$B$145,"Content",'Consolidated Costs'!AY$6:AY$145)</f>
        <v>-34201.796154919124</v>
      </c>
      <c r="M35" s="138">
        <f>-SUMIF('Consolidated Costs'!$B$6:$B$145,"Content",'Consolidated Costs'!AZ$6:AZ$145)</f>
        <v>-34201.796154919124</v>
      </c>
      <c r="N35" s="138">
        <f>-SUMIF('Consolidated Costs'!$B$6:$B$145,"Content",'Consolidated Costs'!BA$6:BA$145)</f>
        <v>-34201.796154919124</v>
      </c>
      <c r="O35" s="138">
        <f>-SUMIF('Consolidated Costs'!$B$6:$B$145,"Content",'Consolidated Costs'!BB$6:BB$145)</f>
        <v>-34201.796154919124</v>
      </c>
      <c r="P35" s="138">
        <f>-SUMIF('Consolidated Costs'!$B$6:$B$145,"Content",'Consolidated Costs'!BC$6:BC$145)</f>
        <v>-34201.796154919124</v>
      </c>
      <c r="Q35" s="123"/>
      <c r="R35" s="50">
        <f>SUM(E35:P35)</f>
        <v>-410421.55385902961</v>
      </c>
    </row>
    <row r="36" spans="2:19" s="50" customFormat="1" ht="19">
      <c r="B36" s="92"/>
      <c r="C36" s="788" t="s">
        <v>922</v>
      </c>
      <c r="D36" s="123"/>
      <c r="E36" s="138">
        <f>-SUMIF('Consolidated Costs'!$B$6:$B$145,"ADM",'Consolidated Costs'!AR$6:AR$145)</f>
        <v>-39773.21938254933</v>
      </c>
      <c r="F36" s="138">
        <f>-SUMIF('Consolidated Costs'!$B$6:$B$145,"ADM",'Consolidated Costs'!AS$6:AS$145)</f>
        <v>-39773.21938254933</v>
      </c>
      <c r="G36" s="138">
        <f>-SUMIF('Consolidated Costs'!$B$6:$B$145,"ADM",'Consolidated Costs'!AT$6:AT$145)</f>
        <v>-39773.21938254933</v>
      </c>
      <c r="H36" s="138">
        <f>-SUMIF('Consolidated Costs'!$B$6:$B$145,"ADM",'Consolidated Costs'!AU$6:AU$145)</f>
        <v>-39773.21938254933</v>
      </c>
      <c r="I36" s="138">
        <f>-SUMIF('Consolidated Costs'!$B$6:$B$145,"ADM",'Consolidated Costs'!AV$6:AV$145)</f>
        <v>-39773.21938254933</v>
      </c>
      <c r="J36" s="138">
        <f>-SUMIF('Consolidated Costs'!$B$6:$B$145,"ADM",'Consolidated Costs'!AW$6:AW$145)</f>
        <v>-39773.21938254933</v>
      </c>
      <c r="K36" s="138">
        <f>-SUMIF('Consolidated Costs'!$B$6:$B$145,"ADM",'Consolidated Costs'!AX$6:AX$145)</f>
        <v>-39773.21938254933</v>
      </c>
      <c r="L36" s="138">
        <f>-SUMIF('Consolidated Costs'!$B$6:$B$145,"ADM",'Consolidated Costs'!AY$6:AY$145)</f>
        <v>-39773.21938254933</v>
      </c>
      <c r="M36" s="138">
        <f>-SUMIF('Consolidated Costs'!$B$6:$B$145,"ADM",'Consolidated Costs'!AZ$6:AZ$145)</f>
        <v>-39773.21938254933</v>
      </c>
      <c r="N36" s="138">
        <f>-SUMIF('Consolidated Costs'!$B$6:$B$145,"ADM",'Consolidated Costs'!BA$6:BA$145)</f>
        <v>-39773.21938254933</v>
      </c>
      <c r="O36" s="138">
        <f>-SUMIF('Consolidated Costs'!$B$6:$B$145,"ADM",'Consolidated Costs'!BB$6:BB$145)</f>
        <v>-39773.21938254933</v>
      </c>
      <c r="P36" s="138">
        <f>-SUMIF('Consolidated Costs'!$B$6:$B$145,"ADM",'Consolidated Costs'!BC$6:BC$145)</f>
        <v>-39773.21938254933</v>
      </c>
      <c r="Q36" s="123"/>
      <c r="R36" s="50">
        <f>SUM(E36:P36)</f>
        <v>-477278.63259059208</v>
      </c>
    </row>
    <row r="37" spans="2:19" s="50" customFormat="1" ht="19">
      <c r="B37" s="92"/>
      <c r="C37" s="462" t="s">
        <v>344</v>
      </c>
      <c r="D37" s="139"/>
      <c r="E37" s="522">
        <f>+-'Consolidated Costs'!AR4</f>
        <v>-152142.25725992958</v>
      </c>
      <c r="F37" s="522">
        <f>+-'Consolidated Costs'!AS4</f>
        <v>-152142.25725992958</v>
      </c>
      <c r="G37" s="522">
        <f>+-'Consolidated Costs'!AT4</f>
        <v>-152142.25725992958</v>
      </c>
      <c r="H37" s="522">
        <f>+-'Consolidated Costs'!AU4</f>
        <v>-152142.25725992958</v>
      </c>
      <c r="I37" s="522">
        <f>+-'Consolidated Costs'!AV4</f>
        <v>-152142.25725992958</v>
      </c>
      <c r="J37" s="522">
        <f>+-'Consolidated Costs'!AW4</f>
        <v>-152142.25725992958</v>
      </c>
      <c r="K37" s="522">
        <f>+-'Consolidated Costs'!AX4</f>
        <v>-152142.25725992958</v>
      </c>
      <c r="L37" s="522">
        <f>+-'Consolidated Costs'!AY4</f>
        <v>-152142.25725992958</v>
      </c>
      <c r="M37" s="522">
        <f>+-'Consolidated Costs'!AZ4</f>
        <v>-152142.25725992958</v>
      </c>
      <c r="N37" s="522">
        <f>+-'Consolidated Costs'!BA4</f>
        <v>-152142.25725992958</v>
      </c>
      <c r="O37" s="522">
        <f>+-'Consolidated Costs'!BB4</f>
        <v>-152142.25725992958</v>
      </c>
      <c r="P37" s="522">
        <f>+-'Consolidated Costs'!BC4</f>
        <v>-152142.25725992958</v>
      </c>
      <c r="Q37" s="139"/>
      <c r="R37" s="138">
        <f>SUM(E37:P37)</f>
        <v>-1825707.0871191549</v>
      </c>
    </row>
    <row r="38" spans="2:19" s="50" customFormat="1" ht="20" thickBot="1">
      <c r="B38" s="92"/>
      <c r="C38" s="140" t="s">
        <v>85</v>
      </c>
      <c r="D38" s="139"/>
      <c r="E38" s="141">
        <f>+E37</f>
        <v>-152142.25725992958</v>
      </c>
      <c r="F38" s="141">
        <f t="shared" ref="F38:P38" si="9">+SUM(F37:F37)</f>
        <v>-152142.25725992958</v>
      </c>
      <c r="G38" s="141">
        <f t="shared" si="9"/>
        <v>-152142.25725992958</v>
      </c>
      <c r="H38" s="141">
        <f t="shared" si="9"/>
        <v>-152142.25725992958</v>
      </c>
      <c r="I38" s="141">
        <f t="shared" si="9"/>
        <v>-152142.25725992958</v>
      </c>
      <c r="J38" s="141">
        <f t="shared" si="9"/>
        <v>-152142.25725992958</v>
      </c>
      <c r="K38" s="141">
        <f t="shared" si="9"/>
        <v>-152142.25725992958</v>
      </c>
      <c r="L38" s="141">
        <f t="shared" si="9"/>
        <v>-152142.25725992958</v>
      </c>
      <c r="M38" s="141">
        <f t="shared" si="9"/>
        <v>-152142.25725992958</v>
      </c>
      <c r="N38" s="141">
        <f t="shared" si="9"/>
        <v>-152142.25725992958</v>
      </c>
      <c r="O38" s="141">
        <f t="shared" si="9"/>
        <v>-152142.25725992958</v>
      </c>
      <c r="P38" s="141">
        <f t="shared" si="9"/>
        <v>-152142.25725992958</v>
      </c>
      <c r="Q38" s="139"/>
      <c r="R38" s="141">
        <f>SUM(E38:P38)</f>
        <v>-1825707.0871191549</v>
      </c>
      <c r="S38" s="653"/>
    </row>
    <row r="39" spans="2:19" s="50" customFormat="1" ht="21" thickTop="1" thickBot="1">
      <c r="B39" s="92"/>
      <c r="C39" s="129" t="s">
        <v>86</v>
      </c>
      <c r="D39" s="142"/>
      <c r="E39" s="143">
        <f>+E23+E38+E26+E27</f>
        <v>-36216.279097450926</v>
      </c>
      <c r="F39" s="143">
        <f t="shared" ref="F39:P39" si="10">+F23+F38+F26+F27</f>
        <v>-23923.239970951836</v>
      </c>
      <c r="G39" s="143">
        <f t="shared" si="10"/>
        <v>-11138.479279392661</v>
      </c>
      <c r="H39" s="143">
        <f t="shared" si="10"/>
        <v>-23554.328160171193</v>
      </c>
      <c r="I39" s="143">
        <f t="shared" si="10"/>
        <v>-9726.3309961807972</v>
      </c>
      <c r="J39" s="143">
        <f t="shared" si="10"/>
        <v>4654.7860543691495</v>
      </c>
      <c r="K39" s="143">
        <f t="shared" si="10"/>
        <v>1723.1477869410592</v>
      </c>
      <c r="L39" s="143">
        <f t="shared" si="10"/>
        <v>17277.763988815947</v>
      </c>
      <c r="M39" s="143">
        <f t="shared" si="10"/>
        <v>33454.564838765771</v>
      </c>
      <c r="N39" s="143">
        <f t="shared" si="10"/>
        <v>32390.437722713687</v>
      </c>
      <c r="O39" s="143">
        <f t="shared" si="10"/>
        <v>49887.265522019472</v>
      </c>
      <c r="P39" s="143">
        <f t="shared" si="10"/>
        <v>68083.966433297377</v>
      </c>
      <c r="Q39" s="142"/>
      <c r="R39" s="143">
        <f>SUM(E39:P39)</f>
        <v>102913.27484277505</v>
      </c>
    </row>
    <row r="40" spans="2:19" s="50" customFormat="1" ht="20" thickTop="1">
      <c r="B40" s="92"/>
      <c r="C40" s="134" t="s">
        <v>87</v>
      </c>
      <c r="D40" s="144"/>
      <c r="E40" s="135">
        <f t="shared" ref="E40:R40" si="11">+E39/E16</f>
        <v>-7.8553934556369401E-2</v>
      </c>
      <c r="F40" s="135">
        <f t="shared" si="11"/>
        <v>-4.9986022032956524E-2</v>
      </c>
      <c r="G40" s="135">
        <f t="shared" si="11"/>
        <v>-2.2417627378421345E-2</v>
      </c>
      <c r="H40" s="135">
        <f t="shared" si="11"/>
        <v>-4.5660573108461645E-2</v>
      </c>
      <c r="I40" s="135">
        <f t="shared" si="11"/>
        <v>-1.8159308017341613E-2</v>
      </c>
      <c r="J40" s="135">
        <f t="shared" si="11"/>
        <v>8.3695724361272008E-3</v>
      </c>
      <c r="K40" s="135">
        <f t="shared" si="11"/>
        <v>2.9836919899660815E-3</v>
      </c>
      <c r="L40" s="135">
        <f t="shared" si="11"/>
        <v>2.880861840794665E-2</v>
      </c>
      <c r="M40" s="135">
        <f t="shared" si="11"/>
        <v>5.3711848802959691E-2</v>
      </c>
      <c r="N40" s="135">
        <f t="shared" si="11"/>
        <v>5.0071268069514042E-2</v>
      </c>
      <c r="O40" s="135">
        <f t="shared" si="11"/>
        <v>7.4250020834549943E-2</v>
      </c>
      <c r="P40" s="135">
        <f t="shared" si="11"/>
        <v>9.7558626119423938E-2</v>
      </c>
      <c r="Q40" s="144"/>
      <c r="R40" s="135">
        <f t="shared" si="11"/>
        <v>1.5404135211805116E-2</v>
      </c>
    </row>
    <row r="41" spans="2:19" s="50" customFormat="1" ht="19">
      <c r="B41" s="92"/>
      <c r="C41" s="145" t="s">
        <v>325</v>
      </c>
      <c r="D41" s="139"/>
      <c r="Q41" s="139"/>
    </row>
    <row r="42" spans="2:19" s="50" customFormat="1" ht="20" thickBot="1">
      <c r="B42" s="92"/>
      <c r="C42" s="146" t="s">
        <v>90</v>
      </c>
      <c r="D42" s="123"/>
      <c r="E42" s="141">
        <f>+E39</f>
        <v>-36216.279097450926</v>
      </c>
      <c r="F42" s="141">
        <f t="shared" ref="F42:L42" si="12">+F39</f>
        <v>-23923.239970951836</v>
      </c>
      <c r="G42" s="141">
        <f t="shared" si="12"/>
        <v>-11138.479279392661</v>
      </c>
      <c r="H42" s="141">
        <f t="shared" si="12"/>
        <v>-23554.328160171193</v>
      </c>
      <c r="I42" s="141">
        <f t="shared" si="12"/>
        <v>-9726.3309961807972</v>
      </c>
      <c r="J42" s="141">
        <f t="shared" si="12"/>
        <v>4654.7860543691495</v>
      </c>
      <c r="K42" s="141">
        <f t="shared" si="12"/>
        <v>1723.1477869410592</v>
      </c>
      <c r="L42" s="141">
        <f t="shared" si="12"/>
        <v>17277.763988815947</v>
      </c>
      <c r="M42" s="141">
        <f>+M39</f>
        <v>33454.564838765771</v>
      </c>
      <c r="N42" s="141">
        <f>+N39</f>
        <v>32390.437722713687</v>
      </c>
      <c r="O42" s="141">
        <f>+O39</f>
        <v>49887.265522019472</v>
      </c>
      <c r="P42" s="141">
        <f>+P39</f>
        <v>68083.966433297377</v>
      </c>
      <c r="Q42" s="123"/>
      <c r="R42" s="141">
        <f>SUM(E42:P42)</f>
        <v>102913.27484277505</v>
      </c>
    </row>
    <row r="43" spans="2:19" s="50" customFormat="1" ht="21" thickTop="1" thickBot="1">
      <c r="B43" s="92"/>
      <c r="C43" s="122" t="s">
        <v>91</v>
      </c>
      <c r="D43" s="142"/>
      <c r="E43" s="147">
        <f t="shared" ref="E43:R43" si="13">+E42/E16</f>
        <v>-7.8553934556369401E-2</v>
      </c>
      <c r="F43" s="147">
        <f t="shared" si="13"/>
        <v>-4.9986022032956524E-2</v>
      </c>
      <c r="G43" s="147">
        <f t="shared" si="13"/>
        <v>-2.2417627378421345E-2</v>
      </c>
      <c r="H43" s="147">
        <f t="shared" si="13"/>
        <v>-4.5660573108461645E-2</v>
      </c>
      <c r="I43" s="147">
        <f t="shared" si="13"/>
        <v>-1.8159308017341613E-2</v>
      </c>
      <c r="J43" s="147">
        <f t="shared" si="13"/>
        <v>8.3695724361272008E-3</v>
      </c>
      <c r="K43" s="147">
        <f t="shared" si="13"/>
        <v>2.9836919899660815E-3</v>
      </c>
      <c r="L43" s="147">
        <f t="shared" si="13"/>
        <v>2.880861840794665E-2</v>
      </c>
      <c r="M43" s="147">
        <f t="shared" si="13"/>
        <v>5.3711848802959691E-2</v>
      </c>
      <c r="N43" s="147">
        <f t="shared" si="13"/>
        <v>5.0071268069514042E-2</v>
      </c>
      <c r="O43" s="147">
        <f t="shared" si="13"/>
        <v>7.4250020834549943E-2</v>
      </c>
      <c r="P43" s="147">
        <f t="shared" si="13"/>
        <v>9.7558626119423938E-2</v>
      </c>
      <c r="Q43" s="142"/>
      <c r="R43" s="147">
        <f t="shared" si="13"/>
        <v>1.5404135211805116E-2</v>
      </c>
    </row>
    <row r="44" spans="2:19" ht="17" thickTop="1"/>
  </sheetData>
  <mergeCells count="1">
    <mergeCell ref="E8:P8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0C875-5100-B145-BC90-444114677ECB}">
  <sheetPr codeName="Sheet15"/>
  <dimension ref="B1:P63"/>
  <sheetViews>
    <sheetView topLeftCell="A13" zoomScale="150" workbookViewId="0">
      <selection activeCell="N39" activeCellId="1" sqref="N33 N39"/>
    </sheetView>
  </sheetViews>
  <sheetFormatPr baseColWidth="10" defaultRowHeight="16"/>
  <cols>
    <col min="2" max="2" width="12.1640625" customWidth="1"/>
    <col min="14" max="14" width="11.6640625" bestFit="1" customWidth="1"/>
  </cols>
  <sheetData>
    <row r="1" spans="2:15" s="1" customFormat="1"/>
    <row r="2" spans="2:15" s="1" customFormat="1">
      <c r="B2" s="410" t="s">
        <v>334</v>
      </c>
    </row>
    <row r="3" spans="2:15" ht="17" thickBot="1">
      <c r="B3" s="295" t="s">
        <v>335</v>
      </c>
      <c r="O3" s="45">
        <f>+AVERAGE(O6:O1048576)</f>
        <v>-2.3922658015100191E-2</v>
      </c>
    </row>
    <row r="4" spans="2:15" ht="17" thickBot="1">
      <c r="B4" s="404" t="s">
        <v>327</v>
      </c>
      <c r="N4" s="405" t="s">
        <v>328</v>
      </c>
      <c r="O4" t="s">
        <v>337</v>
      </c>
    </row>
    <row r="5" spans="2:15" ht="17" thickBot="1">
      <c r="B5" s="403">
        <v>186597</v>
      </c>
      <c r="C5" s="403">
        <v>136485</v>
      </c>
      <c r="D5" s="403">
        <v>130294</v>
      </c>
      <c r="E5" s="403">
        <v>153446</v>
      </c>
      <c r="F5" s="403">
        <v>207262</v>
      </c>
      <c r="G5" s="403">
        <v>172894</v>
      </c>
      <c r="H5" s="403">
        <v>228961</v>
      </c>
      <c r="I5" s="403">
        <v>235305</v>
      </c>
      <c r="J5" s="403">
        <v>162457</v>
      </c>
      <c r="K5" s="403">
        <v>181974</v>
      </c>
      <c r="L5" s="403">
        <v>236295</v>
      </c>
      <c r="M5" s="403">
        <v>228849</v>
      </c>
      <c r="N5" s="406">
        <v>2260817</v>
      </c>
    </row>
    <row r="6" spans="2:15">
      <c r="B6" s="407" t="s">
        <v>332</v>
      </c>
      <c r="C6" s="407">
        <f t="shared" ref="C6:M6" si="0">(C5 - B5) / B5</f>
        <v>-0.26855737230502097</v>
      </c>
      <c r="D6" s="407">
        <f t="shared" si="0"/>
        <v>-4.5360296003223798E-2</v>
      </c>
      <c r="E6" s="407">
        <f t="shared" si="0"/>
        <v>0.17769045389657237</v>
      </c>
      <c r="F6" s="407">
        <f t="shared" si="0"/>
        <v>0.35071621286967403</v>
      </c>
      <c r="G6" s="407">
        <f t="shared" si="0"/>
        <v>-0.16581910818191467</v>
      </c>
      <c r="H6" s="407">
        <f t="shared" si="0"/>
        <v>0.3242854003030759</v>
      </c>
      <c r="I6" s="407">
        <f t="shared" si="0"/>
        <v>2.7707775560029874E-2</v>
      </c>
      <c r="J6" s="407">
        <f t="shared" si="0"/>
        <v>-0.3095896814772317</v>
      </c>
      <c r="K6" s="407">
        <f t="shared" si="0"/>
        <v>0.12013640532571696</v>
      </c>
      <c r="L6" s="407">
        <f t="shared" si="0"/>
        <v>0.29850967720663391</v>
      </c>
      <c r="M6" s="407">
        <f t="shared" si="0"/>
        <v>-3.1511458134958419E-2</v>
      </c>
      <c r="N6" s="455"/>
      <c r="O6" s="45">
        <f>+AVERAGE(C6:M6)</f>
        <v>4.3473455369032139E-2</v>
      </c>
    </row>
    <row r="7" spans="2:15" s="295" customFormat="1">
      <c r="B7" s="408" t="s">
        <v>333</v>
      </c>
      <c r="E7" s="409"/>
      <c r="G7" s="408">
        <f>+(SUM(E5:G5)-SUM(B5:D5))/SUM(B5:D5)</f>
        <v>0.176952463297572</v>
      </c>
      <c r="J7" s="408">
        <f>+(SUM(H5:J5)-SUM(E5:G5))/SUM(E5:G5)</f>
        <v>0.17451396359084112</v>
      </c>
      <c r="M7" s="408">
        <f>+(SUM(K5:M5)-SUM(H5:J5))/SUM(H5:J5)</f>
        <v>3.2542287422034931E-2</v>
      </c>
      <c r="N7" s="456"/>
      <c r="O7" s="45">
        <f>+AVERAGE(C7:M7)</f>
        <v>0.12800290477014933</v>
      </c>
    </row>
    <row r="8" spans="2:15">
      <c r="M8" s="407"/>
      <c r="N8" s="455"/>
    </row>
    <row r="9" spans="2:15" ht="17" thickBot="1">
      <c r="N9" s="455"/>
    </row>
    <row r="10" spans="2:15" ht="17" thickBot="1">
      <c r="B10" s="404" t="s">
        <v>329</v>
      </c>
      <c r="N10" s="405" t="s">
        <v>328</v>
      </c>
    </row>
    <row r="11" spans="2:15" ht="17" thickBot="1">
      <c r="B11" s="403">
        <v>197077</v>
      </c>
      <c r="C11" s="403">
        <v>202218</v>
      </c>
      <c r="D11" s="403">
        <v>332733</v>
      </c>
      <c r="E11" s="403">
        <v>266237</v>
      </c>
      <c r="F11" s="403">
        <v>259519</v>
      </c>
      <c r="G11" s="403">
        <v>291579</v>
      </c>
      <c r="H11" s="403">
        <v>218103</v>
      </c>
      <c r="I11" s="403">
        <v>249348</v>
      </c>
      <c r="J11" s="403">
        <v>319293</v>
      </c>
      <c r="K11" s="403">
        <v>456567</v>
      </c>
      <c r="L11" s="403">
        <v>55656</v>
      </c>
      <c r="M11" s="403">
        <v>297826</v>
      </c>
      <c r="N11" s="406">
        <v>3135194</v>
      </c>
    </row>
    <row r="12" spans="2:15">
      <c r="B12" s="407" t="s">
        <v>332</v>
      </c>
      <c r="C12" s="407">
        <f t="shared" ref="C12:M12" si="1">(C11 - B11) / B11</f>
        <v>2.6086250551814773E-2</v>
      </c>
      <c r="D12" s="407">
        <f t="shared" si="1"/>
        <v>0.64541732190012757</v>
      </c>
      <c r="E12" s="407">
        <f t="shared" si="1"/>
        <v>-0.19984792611493299</v>
      </c>
      <c r="F12" s="407">
        <f t="shared" si="1"/>
        <v>-2.5233156924093947E-2</v>
      </c>
      <c r="G12" s="407">
        <f t="shared" si="1"/>
        <v>0.12353623434122357</v>
      </c>
      <c r="H12" s="407">
        <f t="shared" si="1"/>
        <v>-0.25199345631887071</v>
      </c>
      <c r="I12" s="407">
        <f t="shared" si="1"/>
        <v>0.14325800195320559</v>
      </c>
      <c r="J12" s="407">
        <f t="shared" si="1"/>
        <v>0.28051157418547573</v>
      </c>
      <c r="K12" s="407">
        <f t="shared" si="1"/>
        <v>0.42993112908832953</v>
      </c>
      <c r="L12" s="407">
        <f t="shared" si="1"/>
        <v>-0.87809894276196043</v>
      </c>
      <c r="M12" s="407">
        <f t="shared" si="1"/>
        <v>4.351193042978295</v>
      </c>
      <c r="N12" s="455"/>
      <c r="O12" s="45">
        <f>+AVERAGE(C12:M12)</f>
        <v>0.42225091571623763</v>
      </c>
    </row>
    <row r="13" spans="2:15" s="295" customFormat="1">
      <c r="B13" s="408" t="s">
        <v>333</v>
      </c>
      <c r="E13" s="409"/>
      <c r="G13" s="408">
        <f>+(SUM(E11:G11)-SUM(B11:D11))/SUM(B11:D11)</f>
        <v>0.11653515985727322</v>
      </c>
      <c r="J13" s="408">
        <f>+(SUM(H11:J11)-SUM(E11:G11))/SUM(E11:G11)</f>
        <v>-3.7427737708528329E-2</v>
      </c>
      <c r="M13" s="408">
        <f>+(SUM(K11:M11)-SUM(H11:J11))/SUM(H11:J11)</f>
        <v>2.9622087998128998E-2</v>
      </c>
      <c r="N13" s="456"/>
      <c r="O13" s="45">
        <f>+AVERAGE(C13:M13)</f>
        <v>3.6243170048957961E-2</v>
      </c>
    </row>
    <row r="14" spans="2:15">
      <c r="B14" s="407" t="s">
        <v>326</v>
      </c>
      <c r="N14" s="457">
        <f>+(N11-N5)/N5</f>
        <v>0.38675266507638612</v>
      </c>
    </row>
    <row r="15" spans="2:15" ht="17" thickBot="1">
      <c r="N15" s="455"/>
    </row>
    <row r="16" spans="2:15" ht="17" thickBot="1">
      <c r="B16" s="404" t="s">
        <v>330</v>
      </c>
      <c r="K16" s="777" t="s">
        <v>331</v>
      </c>
      <c r="L16" s="777"/>
      <c r="M16" s="777"/>
      <c r="N16" s="405" t="s">
        <v>328</v>
      </c>
    </row>
    <row r="17" spans="2:15" ht="17" thickBot="1">
      <c r="B17" s="403">
        <v>399488.70458128076</v>
      </c>
      <c r="C17" s="403">
        <v>54587.651663405093</v>
      </c>
      <c r="D17" s="403">
        <v>310390.7619704433</v>
      </c>
      <c r="E17" s="403">
        <v>244677.41051020406</v>
      </c>
      <c r="F17" s="403">
        <v>224858.47102040818</v>
      </c>
      <c r="G17" s="403">
        <v>235314.65540540541</v>
      </c>
      <c r="H17" s="403">
        <v>170054.97918918921</v>
      </c>
      <c r="I17" s="403">
        <v>225729.70729729728</v>
      </c>
      <c r="J17" s="403">
        <v>296959.82972972974</v>
      </c>
      <c r="K17" s="432">
        <f>+J17</f>
        <v>296959.82972972974</v>
      </c>
      <c r="L17" s="432">
        <f>+K17</f>
        <v>296959.82972972974</v>
      </c>
      <c r="M17" s="432">
        <f>+L17</f>
        <v>296959.82972972974</v>
      </c>
      <c r="N17" s="406">
        <f>+SUM(B17:M17)</f>
        <v>3052941.660556552</v>
      </c>
    </row>
    <row r="18" spans="2:15">
      <c r="B18" s="407" t="s">
        <v>332</v>
      </c>
      <c r="C18" s="407">
        <f t="shared" ref="C18:M18" si="2">(C17 - B17) / B17</f>
        <v>-0.86335620747870589</v>
      </c>
      <c r="D18" s="407">
        <f t="shared" si="2"/>
        <v>4.6860984583904628</v>
      </c>
      <c r="E18" s="407">
        <f t="shared" si="2"/>
        <v>-0.21171168575724794</v>
      </c>
      <c r="F18" s="407">
        <f t="shared" si="2"/>
        <v>-8.1000282978592963E-2</v>
      </c>
      <c r="G18" s="407">
        <f t="shared" si="2"/>
        <v>4.6501180665095919E-2</v>
      </c>
      <c r="H18" s="407">
        <f t="shared" si="2"/>
        <v>-0.27732941708957887</v>
      </c>
      <c r="I18" s="407">
        <f t="shared" si="2"/>
        <v>0.32739251960490345</v>
      </c>
      <c r="J18" s="407">
        <f t="shared" si="2"/>
        <v>0.31555493198163248</v>
      </c>
      <c r="K18" s="407">
        <f t="shared" si="2"/>
        <v>0</v>
      </c>
      <c r="L18" s="407">
        <f t="shared" si="2"/>
        <v>0</v>
      </c>
      <c r="M18" s="407">
        <f t="shared" si="2"/>
        <v>0</v>
      </c>
      <c r="N18" s="455"/>
      <c r="O18" s="45">
        <f>+AVERAGE(C18:M18)</f>
        <v>0.35837722703072444</v>
      </c>
    </row>
    <row r="19" spans="2:15" s="295" customFormat="1">
      <c r="B19" s="408" t="s">
        <v>333</v>
      </c>
      <c r="E19" s="409"/>
      <c r="G19" s="408">
        <f>+(SUM(E17:G17)-SUM(B17:D17))/SUM(B17:D17)</f>
        <v>-7.7984493850178541E-2</v>
      </c>
      <c r="J19" s="408">
        <f>+(SUM(H17:J17)-SUM(E17:G17))/SUM(E17:G17)</f>
        <v>-1.7175301834097143E-2</v>
      </c>
      <c r="M19" s="408">
        <f>+(SUM(K17:M17)-SUM(H17:J17))/SUM(H17:J17)</f>
        <v>0.28601449500486853</v>
      </c>
      <c r="N19" s="456"/>
      <c r="O19" s="45">
        <f>+AVERAGE(C19:M19)</f>
        <v>6.3618233106864278E-2</v>
      </c>
    </row>
    <row r="20" spans="2:15" ht="17" thickBot="1">
      <c r="B20" s="407" t="s">
        <v>326</v>
      </c>
      <c r="N20" s="458">
        <f>+(N17-N5)/N5</f>
        <v>0.35037097675599221</v>
      </c>
      <c r="O20" s="407"/>
    </row>
    <row r="21" spans="2:15" ht="17" thickBot="1">
      <c r="N21" s="407"/>
    </row>
    <row r="22" spans="2:15" ht="17" thickBot="1">
      <c r="B22" s="433" t="s">
        <v>336</v>
      </c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5"/>
      <c r="O22" s="436"/>
    </row>
    <row r="23" spans="2:15" ht="17" thickBot="1">
      <c r="B23" s="437">
        <v>2023</v>
      </c>
      <c r="C23" s="427"/>
      <c r="D23" s="427"/>
      <c r="E23" s="427"/>
      <c r="F23" s="427"/>
      <c r="G23" s="427"/>
      <c r="H23" s="427"/>
      <c r="I23" s="427"/>
      <c r="J23" s="427"/>
      <c r="K23" s="777" t="s">
        <v>331</v>
      </c>
      <c r="L23" s="777"/>
      <c r="M23" s="778"/>
      <c r="N23" s="428" t="s">
        <v>328</v>
      </c>
      <c r="O23" s="438"/>
    </row>
    <row r="24" spans="2:15" ht="17" thickBot="1">
      <c r="B24" s="439">
        <v>123104.37000100003</v>
      </c>
      <c r="C24" s="429">
        <v>83592.220003000009</v>
      </c>
      <c r="D24" s="429">
        <v>87131.350002000006</v>
      </c>
      <c r="E24" s="429">
        <v>109370.68999700001</v>
      </c>
      <c r="F24" s="429">
        <v>108470.190001</v>
      </c>
      <c r="G24" s="429">
        <v>111047.25000100001</v>
      </c>
      <c r="H24" s="429">
        <v>119011.68999900001</v>
      </c>
      <c r="I24" s="429">
        <v>109113.69999899999</v>
      </c>
      <c r="J24" s="429">
        <v>107548.22999999998</v>
      </c>
      <c r="K24" s="429">
        <v>91796.64999999998</v>
      </c>
      <c r="L24" s="429">
        <v>105627.11999999998</v>
      </c>
      <c r="M24" s="429">
        <v>112885.134666</v>
      </c>
      <c r="N24" s="406">
        <f>+SUM(B24:M24)</f>
        <v>1268698.594669</v>
      </c>
      <c r="O24" s="438"/>
    </row>
    <row r="25" spans="2:15">
      <c r="B25" s="440" t="s">
        <v>332</v>
      </c>
      <c r="C25" s="441">
        <f t="shared" ref="C25" si="3">(C24 - B24) / B24</f>
        <v>-0.32096464161003424</v>
      </c>
      <c r="D25" s="441">
        <f t="shared" ref="D25" si="4">(D24 - C24) / C24</f>
        <v>4.2338030965955717E-2</v>
      </c>
      <c r="E25" s="441">
        <f t="shared" ref="E25" si="5">(E24 - D24) / D24</f>
        <v>0.2552392450534684</v>
      </c>
      <c r="F25" s="441">
        <f t="shared" ref="F25" si="6">(F24 - E24) / E24</f>
        <v>-8.2334672664560633E-3</v>
      </c>
      <c r="G25" s="441">
        <f t="shared" ref="G25" si="7">(G24 - F24) / F24</f>
        <v>2.3758232561188048E-2</v>
      </c>
      <c r="H25" s="441">
        <f t="shared" ref="H25" si="8">(H24 - G24) / G24</f>
        <v>7.1721181730554154E-2</v>
      </c>
      <c r="I25" s="441">
        <f t="shared" ref="I25" si="9">(I24 - H24) / H24</f>
        <v>-8.3168216501111669E-2</v>
      </c>
      <c r="J25" s="441">
        <f t="shared" ref="J25" si="10">(J24 - I24) / I24</f>
        <v>-1.4347144300068235E-2</v>
      </c>
      <c r="K25" s="441">
        <f t="shared" ref="K25" si="11">(K24 - J24) / J24</f>
        <v>-0.14646061585578865</v>
      </c>
      <c r="L25" s="441">
        <f t="shared" ref="L25" si="12">(L24 - K24) / K24</f>
        <v>0.15066421269185754</v>
      </c>
      <c r="M25" s="441">
        <f t="shared" ref="M25" si="13">(M24 - L24) / L24</f>
        <v>6.8713552598991798E-2</v>
      </c>
      <c r="O25" s="442">
        <f>+AVERAGE(C25:M25)</f>
        <v>3.569124551686982E-3</v>
      </c>
    </row>
    <row r="26" spans="2:15">
      <c r="B26" s="443" t="s">
        <v>333</v>
      </c>
      <c r="C26" s="295"/>
      <c r="D26" s="295"/>
      <c r="E26" s="409"/>
      <c r="F26" s="295"/>
      <c r="G26" s="444">
        <f>+(SUM(E24:G24)-SUM(B24:D24))/SUM(B24:D24)</f>
        <v>0.11932217879716957</v>
      </c>
      <c r="H26" s="295"/>
      <c r="I26" s="295"/>
      <c r="J26" s="444">
        <f>+(SUM(H24:J24)-SUM(E24:G24))/SUM(E24:G24)</f>
        <v>2.0631605035489164E-2</v>
      </c>
      <c r="K26" s="295"/>
      <c r="L26" s="295"/>
      <c r="M26" s="444">
        <f>+(SUM(K24:M24)-SUM(H24:J24))/SUM(H24:J24)</f>
        <v>-7.5563624368668522E-2</v>
      </c>
      <c r="N26" s="295"/>
      <c r="O26" s="442">
        <f>+AVERAGE(C26:M26)</f>
        <v>2.1463386487996731E-2</v>
      </c>
    </row>
    <row r="27" spans="2:15">
      <c r="B27" s="440" t="s">
        <v>326</v>
      </c>
      <c r="N27" s="444"/>
      <c r="O27" s="438"/>
    </row>
    <row r="28" spans="2:15" ht="17" thickBot="1">
      <c r="B28" s="445"/>
      <c r="O28" s="438"/>
    </row>
    <row r="29" spans="2:15" ht="17" thickBot="1">
      <c r="B29" s="437">
        <v>2024</v>
      </c>
      <c r="C29" s="427"/>
      <c r="D29" s="427"/>
      <c r="E29" s="427"/>
      <c r="F29" s="427"/>
      <c r="G29" s="427"/>
      <c r="H29" s="427"/>
      <c r="I29" s="427"/>
      <c r="J29" s="427"/>
      <c r="K29" s="777" t="s">
        <v>331</v>
      </c>
      <c r="L29" s="777"/>
      <c r="M29" s="778"/>
      <c r="N29" s="428" t="s">
        <v>328</v>
      </c>
      <c r="O29" s="438"/>
    </row>
    <row r="30" spans="2:15" ht="17" thickBot="1">
      <c r="B30" s="439">
        <v>152191.41</v>
      </c>
      <c r="C30" s="429">
        <v>147310.82000100001</v>
      </c>
      <c r="D30" s="429">
        <v>158959.62999999998</v>
      </c>
      <c r="E30" s="429">
        <v>152691.63</v>
      </c>
      <c r="F30" s="429">
        <v>146723.98000500002</v>
      </c>
      <c r="G30" s="429">
        <v>160311.909999</v>
      </c>
      <c r="H30" s="429">
        <v>173453.84999900003</v>
      </c>
      <c r="I30" s="429">
        <v>170707.86000399999</v>
      </c>
      <c r="J30" s="429">
        <v>157917.01834800001</v>
      </c>
      <c r="K30" s="429">
        <v>148738.50998099998</v>
      </c>
      <c r="L30" s="429">
        <v>153961.420013</v>
      </c>
      <c r="M30" s="429">
        <v>143721.45001100001</v>
      </c>
      <c r="N30" s="406">
        <f>+SUM(B30:M30)</f>
        <v>1866689.4883609999</v>
      </c>
      <c r="O30" s="438"/>
    </row>
    <row r="31" spans="2:15">
      <c r="B31" s="440" t="s">
        <v>332</v>
      </c>
      <c r="C31" s="441">
        <f t="shared" ref="C31" si="14">(C30 - B30) / B30</f>
        <v>-3.2068761298682948E-2</v>
      </c>
      <c r="D31" s="441">
        <f t="shared" ref="D31" si="15">(D30 - C30) / C30</f>
        <v>7.9076404563635475E-2</v>
      </c>
      <c r="E31" s="441">
        <f t="shared" ref="E31" si="16">(E30 - D30) / D30</f>
        <v>-3.9431395254254001E-2</v>
      </c>
      <c r="F31" s="441">
        <f t="shared" ref="F31" si="17">(F30 - E30) / E30</f>
        <v>-3.9083019776525965E-2</v>
      </c>
      <c r="G31" s="441">
        <f t="shared" ref="G31" si="18">(G30 - F30) / F30</f>
        <v>9.2608788239910964E-2</v>
      </c>
      <c r="H31" s="441">
        <f t="shared" ref="H31" si="19">(H30 - G30) / G30</f>
        <v>8.1977315347824181E-2</v>
      </c>
      <c r="I31" s="441">
        <f t="shared" ref="I31" si="20">(I30 - H30) / H30</f>
        <v>-1.583124269087063E-2</v>
      </c>
      <c r="J31" s="441">
        <f t="shared" ref="J31" si="21">(J30 - I30) / I30</f>
        <v>-7.4928252604773218E-2</v>
      </c>
      <c r="K31" s="441">
        <f t="shared" ref="K31" si="22">(K30 - J30) / J30</f>
        <v>-5.812235098546157E-2</v>
      </c>
      <c r="L31" s="441">
        <f t="shared" ref="L31" si="23">(L30 - K30) / K30</f>
        <v>3.5114712609849288E-2</v>
      </c>
      <c r="M31" s="441">
        <f t="shared" ref="M31" si="24">(M30 - L30) / L30</f>
        <v>-6.6509973739754785E-2</v>
      </c>
      <c r="O31" s="442">
        <f>+AVERAGE(C31:M31)</f>
        <v>-3.3816159626457458E-3</v>
      </c>
    </row>
    <row r="32" spans="2:15">
      <c r="B32" s="443" t="s">
        <v>333</v>
      </c>
      <c r="C32" s="295"/>
      <c r="D32" s="295"/>
      <c r="E32" s="409"/>
      <c r="F32" s="295"/>
      <c r="G32" s="444">
        <f>+(SUM(E30:G30)-SUM(B30:D30))/SUM(B30:D30)</f>
        <v>2.7606658556009324E-3</v>
      </c>
      <c r="H32" s="295"/>
      <c r="I32" s="295"/>
      <c r="J32" s="444">
        <f>+(SUM(H30:J30)-SUM(E30:G30))/SUM(E30:G30)</f>
        <v>9.2122412742729545E-2</v>
      </c>
      <c r="K32" s="295"/>
      <c r="L32" s="295"/>
      <c r="M32" s="444">
        <f>+(SUM(K30:M30)-SUM(H30:J30))/SUM(H30:J30)</f>
        <v>-0.11085382670721367</v>
      </c>
      <c r="N32" s="295"/>
      <c r="O32" s="442">
        <f>+AVERAGE(C32:M32)</f>
        <v>-5.3235827029610621E-3</v>
      </c>
    </row>
    <row r="33" spans="2:15">
      <c r="B33" s="440" t="s">
        <v>326</v>
      </c>
      <c r="N33" s="444">
        <f>+(N30-N24)/N24</f>
        <v>0.47134196901038899</v>
      </c>
      <c r="O33" s="438"/>
    </row>
    <row r="34" spans="2:15" ht="17" thickBot="1">
      <c r="B34" s="445"/>
      <c r="O34" s="438"/>
    </row>
    <row r="35" spans="2:15" ht="17" thickBot="1">
      <c r="B35" s="437">
        <v>2025</v>
      </c>
      <c r="C35" s="427"/>
      <c r="D35" s="427"/>
      <c r="E35" s="427"/>
      <c r="F35" s="427"/>
      <c r="G35" s="427"/>
      <c r="H35" s="427"/>
      <c r="I35" s="427"/>
      <c r="J35" s="427"/>
      <c r="K35" s="777" t="s">
        <v>331</v>
      </c>
      <c r="L35" s="777"/>
      <c r="M35" s="778"/>
      <c r="N35" s="428" t="s">
        <v>328</v>
      </c>
      <c r="O35" s="438"/>
    </row>
    <row r="36" spans="2:15" ht="17" thickBot="1">
      <c r="B36" s="439">
        <v>190694.83001199999</v>
      </c>
      <c r="C36" s="429">
        <v>145796.040006</v>
      </c>
      <c r="D36" s="429">
        <v>141133.89000000001</v>
      </c>
      <c r="E36" s="429">
        <v>132684.03000500001</v>
      </c>
      <c r="F36" s="429">
        <v>109575.21001100002</v>
      </c>
      <c r="G36" s="429">
        <v>142114.84001700004</v>
      </c>
      <c r="H36" s="429">
        <v>159674.05998700004</v>
      </c>
      <c r="I36" s="429">
        <v>161528.49999900014</v>
      </c>
      <c r="J36" s="429">
        <v>196720.19006200001</v>
      </c>
      <c r="K36" s="429">
        <v>203383.43710200003</v>
      </c>
      <c r="L36" s="446">
        <v>200000</v>
      </c>
      <c r="M36" s="446">
        <v>200000</v>
      </c>
      <c r="N36" s="406">
        <f>+SUM(B36:M36)</f>
        <v>1983305.0272010001</v>
      </c>
      <c r="O36" s="438"/>
    </row>
    <row r="37" spans="2:15">
      <c r="B37" s="440" t="s">
        <v>332</v>
      </c>
      <c r="C37" s="441">
        <f t="shared" ref="C37" si="25">(C36 - B36) / B36</f>
        <v>-0.23544838632056578</v>
      </c>
      <c r="D37" s="441">
        <f t="shared" ref="D37" si="26">(D36 - C36) / C36</f>
        <v>-3.1977206005102184E-2</v>
      </c>
      <c r="E37" s="441">
        <f t="shared" ref="E37" si="27">(E36 - D36) / D36</f>
        <v>-5.9871232876809427E-2</v>
      </c>
      <c r="F37" s="441">
        <f t="shared" ref="F37" si="28">(F36 - E36) / E36</f>
        <v>-0.17416429085798169</v>
      </c>
      <c r="G37" s="441">
        <f t="shared" ref="G37" si="29">(G36 - F36) / F36</f>
        <v>0.29696160292764612</v>
      </c>
      <c r="H37" s="441">
        <f t="shared" ref="H37" si="30">(H36 - G36) / G36</f>
        <v>0.12355655445905254</v>
      </c>
      <c r="I37" s="441">
        <f t="shared" ref="I37" si="31">(I36 - H36) / H36</f>
        <v>1.161390906043896E-2</v>
      </c>
      <c r="J37" s="441">
        <f t="shared" ref="J37" si="32">(J36 - I36) / I36</f>
        <v>0.21786675455549767</v>
      </c>
      <c r="K37" s="441">
        <f t="shared" ref="K37" si="33">(K36 - J36) / J36</f>
        <v>3.3871698872901514E-2</v>
      </c>
      <c r="L37" s="441">
        <f t="shared" ref="L37" si="34">(L36 - K36) / K36</f>
        <v>-1.6635755350634465E-2</v>
      </c>
      <c r="M37" s="441">
        <f t="shared" ref="M37" si="35">(M36 - L36) / L36</f>
        <v>0</v>
      </c>
      <c r="O37" s="442">
        <f>+AVERAGE(C37:M37)</f>
        <v>1.5070331678585751E-2</v>
      </c>
    </row>
    <row r="38" spans="2:15">
      <c r="B38" s="443" t="s">
        <v>333</v>
      </c>
      <c r="C38" s="295"/>
      <c r="D38" s="295"/>
      <c r="E38" s="409"/>
      <c r="F38" s="295"/>
      <c r="G38" s="444">
        <f>+(SUM(E36:G36)-SUM(B36:D36))/SUM(B36:D36)</f>
        <v>-0.19523837076931616</v>
      </c>
      <c r="H38" s="295"/>
      <c r="I38" s="295"/>
      <c r="J38" s="444">
        <f>+(SUM(H36:J36)-SUM(E36:G36))/SUM(E36:G36)</f>
        <v>0.3474445259251987</v>
      </c>
      <c r="K38" s="295"/>
      <c r="L38" s="295"/>
      <c r="M38" s="444">
        <f>+(SUM(K36:M36)-SUM(H36:J36))/SUM(H36:J36)</f>
        <v>0.1650066289732966</v>
      </c>
      <c r="N38" s="295"/>
      <c r="O38" s="442">
        <f>+AVERAGE(C38:M38)</f>
        <v>0.10573759470972638</v>
      </c>
    </row>
    <row r="39" spans="2:15">
      <c r="B39" s="440" t="s">
        <v>326</v>
      </c>
      <c r="N39" s="444">
        <f>+(N36-N30)/N30</f>
        <v>6.247184631783171E-2</v>
      </c>
      <c r="O39" s="438"/>
    </row>
    <row r="40" spans="2:15" ht="17" thickBot="1">
      <c r="B40" s="447"/>
      <c r="C40" s="448"/>
      <c r="D40" s="448"/>
      <c r="E40" s="448"/>
      <c r="F40" s="448"/>
      <c r="G40" s="448"/>
      <c r="H40" s="448"/>
      <c r="I40" s="448"/>
      <c r="J40" s="448"/>
      <c r="K40" s="448"/>
      <c r="L40" s="448"/>
      <c r="M40" s="448"/>
      <c r="N40" s="448"/>
      <c r="O40" s="449"/>
    </row>
    <row r="41" spans="2:15" ht="17" thickBot="1">
      <c r="B41" s="295" t="s">
        <v>338</v>
      </c>
    </row>
    <row r="42" spans="2:15" ht="17" thickBot="1">
      <c r="B42" s="426">
        <v>2025</v>
      </c>
      <c r="C42" s="427"/>
      <c r="D42" s="427"/>
      <c r="E42" s="427"/>
      <c r="F42" s="427"/>
      <c r="G42" s="427"/>
      <c r="H42" s="427"/>
      <c r="I42" s="427"/>
      <c r="J42" s="427"/>
      <c r="N42" s="428" t="s">
        <v>328</v>
      </c>
    </row>
    <row r="43" spans="2:15" ht="17" thickBot="1">
      <c r="B43" s="429">
        <v>169292.97827586206</v>
      </c>
      <c r="C43" s="429">
        <v>-65445.99093596061</v>
      </c>
      <c r="D43" s="429">
        <v>41916.221334975271</v>
      </c>
      <c r="E43" s="429">
        <v>47607.063979591912</v>
      </c>
      <c r="F43" s="429">
        <v>34916.059387755144</v>
      </c>
      <c r="G43" s="429">
        <v>71040.07432432432</v>
      </c>
      <c r="H43" s="429">
        <v>36118.214324324363</v>
      </c>
      <c r="I43" s="429">
        <v>18063.598918918869</v>
      </c>
      <c r="J43" s="429">
        <v>94626.544324324408</v>
      </c>
      <c r="K43" s="429"/>
      <c r="N43" s="406">
        <f>+SUM(B43:M43)</f>
        <v>448134.7639341157</v>
      </c>
    </row>
    <row r="44" spans="2:15">
      <c r="B44" s="430" t="s">
        <v>332</v>
      </c>
      <c r="C44" s="407">
        <f t="shared" ref="C44" si="36">(C43 - B43) / B43</f>
        <v>-1.3865842021475734</v>
      </c>
      <c r="D44" s="407">
        <f t="shared" ref="D44" si="37">(D43 - C43) / C43</f>
        <v>-1.6404704205027716</v>
      </c>
      <c r="E44" s="407">
        <f t="shared" ref="E44" si="38">(E43 - D43) / D43</f>
        <v>0.13576707211124853</v>
      </c>
      <c r="F44" s="407">
        <f t="shared" ref="F44" si="39">(F43 - E43) / E43</f>
        <v>-0.26657818254192528</v>
      </c>
      <c r="G44" s="407">
        <f t="shared" ref="G44" si="40">(G43 - F43) / F43</f>
        <v>1.0345959873478063</v>
      </c>
      <c r="H44" s="407">
        <f t="shared" ref="H44" si="41">(H43 - G43) / G43</f>
        <v>-0.49157972218002893</v>
      </c>
      <c r="I44" s="407">
        <f t="shared" ref="I44" si="42">(I43 - H43) / H43</f>
        <v>-0.49987563735249052</v>
      </c>
      <c r="J44" s="407">
        <f t="shared" ref="J44" si="43">(J43 - I43) / I43</f>
        <v>4.2385211135981056</v>
      </c>
      <c r="K44" s="407"/>
      <c r="L44" s="407"/>
      <c r="M44" s="407"/>
      <c r="O44" s="45">
        <f>+AVERAGE(C44:M44)</f>
        <v>0.14047450104154635</v>
      </c>
    </row>
    <row r="45" spans="2:15">
      <c r="B45" s="431" t="s">
        <v>333</v>
      </c>
      <c r="C45" s="295"/>
      <c r="D45" s="295"/>
      <c r="E45" s="409"/>
      <c r="F45" s="295"/>
      <c r="G45" s="408">
        <f>+(SUM(E43:G43)-SUM(B43:D43))/SUM(B43:D43)</f>
        <v>5.3511370171553031E-2</v>
      </c>
      <c r="H45" s="295"/>
      <c r="I45" s="295"/>
      <c r="J45" s="408">
        <f>+(SUM(H43:J43)-SUM(E43:G43))/SUM(E43:G43)</f>
        <v>-3.0963409173405211E-2</v>
      </c>
      <c r="K45" s="295"/>
      <c r="L45" s="295"/>
      <c r="M45" s="408"/>
      <c r="N45" s="295"/>
      <c r="O45" s="45">
        <f>+AVERAGE(C45:M45)</f>
        <v>1.127398049907391E-2</v>
      </c>
    </row>
    <row r="46" spans="2:15" ht="17" thickBot="1">
      <c r="B46" s="430"/>
      <c r="N46" s="408"/>
    </row>
    <row r="47" spans="2:15" ht="17" thickBot="1">
      <c r="B47" s="433" t="s">
        <v>339</v>
      </c>
      <c r="C47" s="434"/>
      <c r="D47" s="434"/>
      <c r="E47" s="434"/>
      <c r="F47" s="434"/>
      <c r="G47" s="434"/>
      <c r="H47" s="434"/>
      <c r="I47" s="434"/>
      <c r="J47" s="434"/>
      <c r="K47" s="434"/>
      <c r="L47" s="434"/>
      <c r="M47" s="434"/>
      <c r="N47" s="434"/>
      <c r="O47" s="436"/>
    </row>
    <row r="48" spans="2:15" ht="17" thickBot="1">
      <c r="B48" s="437">
        <v>2025</v>
      </c>
      <c r="C48" s="427"/>
      <c r="D48" s="427"/>
      <c r="E48" s="427"/>
      <c r="F48" s="427"/>
      <c r="G48" s="427"/>
      <c r="H48" s="427"/>
      <c r="I48" s="427"/>
      <c r="J48" s="427"/>
      <c r="N48" s="428" t="s">
        <v>328</v>
      </c>
      <c r="O48" s="438"/>
    </row>
    <row r="49" spans="2:16" ht="17" thickBot="1">
      <c r="B49" s="439">
        <v>63232.758105054178</v>
      </c>
      <c r="C49" s="429">
        <v>67677.001395888772</v>
      </c>
      <c r="D49" s="429">
        <v>53588.476153872383</v>
      </c>
      <c r="E49" s="429">
        <v>47139.971829928807</v>
      </c>
      <c r="F49" s="429">
        <v>45343.398238414709</v>
      </c>
      <c r="G49" s="429">
        <v>55244.896621550201</v>
      </c>
      <c r="H49" s="429">
        <v>76558.272795796423</v>
      </c>
      <c r="I49" s="429">
        <v>99195.502208053425</v>
      </c>
      <c r="J49" s="429">
        <v>103535.92934234836</v>
      </c>
      <c r="K49" s="429"/>
      <c r="N49" s="406">
        <f>+SUM(B49:M49)</f>
        <v>611516.20669090725</v>
      </c>
      <c r="O49" s="438"/>
    </row>
    <row r="50" spans="2:16">
      <c r="B50" s="440" t="s">
        <v>332</v>
      </c>
      <c r="C50" s="441">
        <f t="shared" ref="C50" si="44">(C49 - B49) / B49</f>
        <v>7.0283875383879035E-2</v>
      </c>
      <c r="D50" s="441">
        <f t="shared" ref="D50" si="45">(D49 - C49) / C49</f>
        <v>-0.20817301227049098</v>
      </c>
      <c r="E50" s="441">
        <f t="shared" ref="E50" si="46">(E49 - D49) / D49</f>
        <v>-0.12033378791043674</v>
      </c>
      <c r="F50" s="441">
        <f t="shared" ref="F50" si="47">(F49 - E49) / E49</f>
        <v>-3.8111469349106968E-2</v>
      </c>
      <c r="G50" s="441">
        <f t="shared" ref="G50" si="48">(G49 - F49) / F49</f>
        <v>0.21836692369357949</v>
      </c>
      <c r="H50" s="441">
        <f t="shared" ref="H50" si="49">(H49 - G49) / G49</f>
        <v>0.38579810041552681</v>
      </c>
      <c r="I50" s="441">
        <f t="shared" ref="I50" si="50">(I49 - H49) / H49</f>
        <v>0.29568626074725057</v>
      </c>
      <c r="J50" s="441">
        <f t="shared" ref="J50" si="51">(J49 - I49) / I49</f>
        <v>4.3756289727646017E-2</v>
      </c>
      <c r="K50" s="441"/>
      <c r="O50" s="442">
        <f>+AVERAGE(C50:M50)</f>
        <v>8.0909147554730901E-2</v>
      </c>
    </row>
    <row r="51" spans="2:16" ht="17" thickBot="1">
      <c r="B51" s="450" t="s">
        <v>333</v>
      </c>
      <c r="C51" s="451"/>
      <c r="D51" s="451"/>
      <c r="E51" s="452"/>
      <c r="F51" s="451"/>
      <c r="G51" s="453">
        <f>+(SUM(E49:G49)-SUM(B49:D49))/SUM(B49:D49)</f>
        <v>-0.19929713058999607</v>
      </c>
      <c r="H51" s="451"/>
      <c r="I51" s="451"/>
      <c r="J51" s="453">
        <f>+(SUM(H49:J49)-SUM(E49:G49))/SUM(E49:G49)</f>
        <v>0.89056373979174819</v>
      </c>
      <c r="K51" s="451"/>
      <c r="L51" s="448"/>
      <c r="M51" s="448"/>
      <c r="N51" s="451"/>
      <c r="O51" s="454">
        <f>+AVERAGE(C51:M51)</f>
        <v>0.34563330460087605</v>
      </c>
      <c r="P51" s="463">
        <f>+O51/4</f>
        <v>8.6408326150219011E-2</v>
      </c>
    </row>
    <row r="53" spans="2:16">
      <c r="B53" s="295" t="s">
        <v>340</v>
      </c>
    </row>
    <row r="54" spans="2:16">
      <c r="B54" s="426">
        <v>2025</v>
      </c>
      <c r="C54" s="427"/>
      <c r="D54" s="427"/>
      <c r="E54" s="427"/>
      <c r="F54" s="427"/>
      <c r="G54" s="427"/>
      <c r="H54" s="427"/>
      <c r="I54" s="427"/>
      <c r="J54" s="427"/>
    </row>
    <row r="55" spans="2:16">
      <c r="B55" s="429">
        <v>-9195.1076847290678</v>
      </c>
      <c r="C55" s="429">
        <v>-171917.29270935961</v>
      </c>
      <c r="D55" s="429">
        <v>-99689.442950739001</v>
      </c>
      <c r="E55" s="429">
        <v>-59087.846428571371</v>
      </c>
      <c r="F55" s="429">
        <v>-81223.571836734642</v>
      </c>
      <c r="G55" s="429">
        <v>-53021.83</v>
      </c>
      <c r="H55" s="429">
        <v>-94273.651891891859</v>
      </c>
      <c r="I55" s="429">
        <v>-104338.11891891899</v>
      </c>
      <c r="J55" s="429">
        <v>-55749.801081080979</v>
      </c>
      <c r="K55" s="429"/>
    </row>
    <row r="56" spans="2:16">
      <c r="B56" s="430" t="s">
        <v>332</v>
      </c>
      <c r="C56" s="407">
        <f>((ABS(B55) - ABS(C55)) / ABS(B55))</f>
        <v>-17.696604607999774</v>
      </c>
      <c r="D56" s="407">
        <f t="shared" ref="D56:J56" si="52">((ABS(C55) - ABS(D55)) / ABS(C55))</f>
        <v>0.42013138190075944</v>
      </c>
      <c r="E56" s="407">
        <f t="shared" si="52"/>
        <v>0.40728080447024556</v>
      </c>
      <c r="F56" s="407">
        <f t="shared" si="52"/>
        <v>-0.3746240004688976</v>
      </c>
      <c r="G56" s="407">
        <f t="shared" si="52"/>
        <v>0.34721129838296472</v>
      </c>
      <c r="H56" s="407">
        <f t="shared" si="52"/>
        <v>-0.77801580767566592</v>
      </c>
      <c r="I56" s="407">
        <f t="shared" si="52"/>
        <v>-0.10675800528623353</v>
      </c>
      <c r="J56" s="407">
        <f t="shared" si="52"/>
        <v>0.46568136689905176</v>
      </c>
      <c r="K56" s="407"/>
      <c r="O56" s="45">
        <f>+AVERAGE(C56:M56)</f>
        <v>-2.1644621962221935</v>
      </c>
    </row>
    <row r="57" spans="2:16">
      <c r="B57" s="431" t="s">
        <v>333</v>
      </c>
      <c r="C57" s="295"/>
      <c r="D57" s="295"/>
      <c r="E57" s="409"/>
      <c r="F57" s="295"/>
      <c r="G57" s="408">
        <f>+(SUM(E55:G55)-SUM(B55:D55))/SUM(B55:D55)</f>
        <v>-0.3114958008737474</v>
      </c>
      <c r="H57" s="295"/>
      <c r="I57" s="295"/>
      <c r="J57" s="408">
        <f>+(SUM(H55:J55)-SUM(E55:G55))/SUM(E55:G55)</f>
        <v>0.31566388179046323</v>
      </c>
      <c r="K57" s="295"/>
      <c r="O57" s="45">
        <f>+AVERAGE(C57:M57)</f>
        <v>2.0840404583579164E-3</v>
      </c>
    </row>
    <row r="58" spans="2:16">
      <c r="B58" s="430"/>
    </row>
    <row r="59" spans="2:16">
      <c r="B59" s="295" t="s">
        <v>341</v>
      </c>
    </row>
    <row r="60" spans="2:16">
      <c r="B60" s="426">
        <v>2025</v>
      </c>
      <c r="C60" s="427"/>
      <c r="D60" s="427"/>
      <c r="E60" s="427"/>
      <c r="F60" s="427"/>
      <c r="G60" s="427"/>
      <c r="H60" s="427"/>
      <c r="I60" s="427"/>
      <c r="J60" s="427"/>
    </row>
    <row r="61" spans="2:16">
      <c r="B61" s="429">
        <v>-60316.670678458089</v>
      </c>
      <c r="C61" s="429">
        <v>-50782.994226090523</v>
      </c>
      <c r="D61" s="429">
        <v>-77537.633501166129</v>
      </c>
      <c r="E61" s="429">
        <v>-75422.230547087558</v>
      </c>
      <c r="F61" s="429">
        <v>-90637.501172322998</v>
      </c>
      <c r="G61" s="429">
        <v>-74121.713762180399</v>
      </c>
      <c r="H61" s="429">
        <v>-55345.282100938988</v>
      </c>
      <c r="I61" s="429">
        <v>-33934.373230135505</v>
      </c>
      <c r="J61" s="429">
        <v>-41105.468240893621</v>
      </c>
      <c r="K61" s="429"/>
    </row>
    <row r="62" spans="2:16">
      <c r="B62" s="430" t="s">
        <v>332</v>
      </c>
      <c r="C62" s="407">
        <f>((ABS(B61) - ABS(C61)) / ABS(B61))</f>
        <v>0.15806038936052366</v>
      </c>
      <c r="D62" s="407">
        <f t="shared" ref="D62" si="53">((ABS(C61) - ABS(D61)) / ABS(C61))</f>
        <v>-0.52684249290149199</v>
      </c>
      <c r="E62" s="407">
        <f t="shared" ref="E62" si="54">((ABS(D61) - ABS(E61)) / ABS(D61))</f>
        <v>2.7282273891513026E-2</v>
      </c>
      <c r="F62" s="407">
        <f t="shared" ref="F62" si="55">((ABS(E61) - ABS(F61)) / ABS(E61))</f>
        <v>-0.20173456174484594</v>
      </c>
      <c r="G62" s="407">
        <f t="shared" ref="G62" si="56">((ABS(F61) - ABS(G61)) / ABS(F61))</f>
        <v>0.18221803554295082</v>
      </c>
      <c r="H62" s="407">
        <f t="shared" ref="H62" si="57">((ABS(G61) - ABS(H61)) / ABS(G61))</f>
        <v>0.25331890897025955</v>
      </c>
      <c r="I62" s="407">
        <f t="shared" ref="I62" si="58">((ABS(H61) - ABS(I61)) / ABS(H61))</f>
        <v>0.38686059692954794</v>
      </c>
      <c r="J62" s="407">
        <f t="shared" ref="J62" si="59">((ABS(I61) - ABS(J61)) / ABS(I61))</f>
        <v>-0.21132245355248838</v>
      </c>
      <c r="K62" s="407"/>
      <c r="O62" s="45">
        <f>+AVERAGE(C62:M62)</f>
        <v>8.4800870619960896E-3</v>
      </c>
    </row>
    <row r="63" spans="2:16">
      <c r="B63" s="431" t="s">
        <v>333</v>
      </c>
      <c r="C63" s="295"/>
      <c r="D63" s="295"/>
      <c r="E63" s="409"/>
      <c r="F63" s="295"/>
      <c r="G63" s="408">
        <f>+(SUM(E61:G61)-SUM(B61:D61))/SUM(B61:D61)</f>
        <v>0.27324472684620849</v>
      </c>
      <c r="H63" s="295"/>
      <c r="I63" s="295"/>
      <c r="J63" s="408">
        <f>+(SUM(H61:J61)-SUM(E61:G61))/SUM(E61:G61)</f>
        <v>-0.45713906704770146</v>
      </c>
      <c r="K63" s="295"/>
      <c r="O63" s="45">
        <f>+AVERAGE(C63:M63)</f>
        <v>-9.1947170100746489E-2</v>
      </c>
    </row>
  </sheetData>
  <mergeCells count="4">
    <mergeCell ref="K29:M29"/>
    <mergeCell ref="K35:M35"/>
    <mergeCell ref="K16:M16"/>
    <mergeCell ref="K23:M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C545-E18B-9F47-A12C-02DF746250D4}">
  <sheetPr codeName="Sheet3"/>
  <dimension ref="C1:O21"/>
  <sheetViews>
    <sheetView showGridLines="0" topLeftCell="D1" zoomScale="162" workbookViewId="0">
      <selection activeCell="N13" sqref="N13"/>
    </sheetView>
  </sheetViews>
  <sheetFormatPr baseColWidth="10" defaultColWidth="11" defaultRowHeight="16"/>
  <cols>
    <col min="1" max="1" width="1.5" customWidth="1"/>
    <col min="2" max="2" width="3.33203125" customWidth="1"/>
    <col min="3" max="3" width="26.33203125" bestFit="1" customWidth="1"/>
    <col min="4" max="4" width="12.33203125" bestFit="1" customWidth="1"/>
    <col min="5" max="5" width="13" customWidth="1"/>
    <col min="6" max="6" width="13" bestFit="1" customWidth="1"/>
    <col min="7" max="11" width="13.33203125" customWidth="1"/>
    <col min="12" max="12" width="18.6640625" bestFit="1" customWidth="1"/>
  </cols>
  <sheetData>
    <row r="1" spans="3:15" s="1" customFormat="1"/>
    <row r="2" spans="3:15" s="3" customFormat="1" ht="17">
      <c r="C2" s="2" t="s">
        <v>288</v>
      </c>
      <c r="D2" s="2"/>
      <c r="E2" s="2"/>
      <c r="F2" s="2"/>
    </row>
    <row r="3" spans="3:15" s="4" customFormat="1"/>
    <row r="4" spans="3:15" ht="17">
      <c r="C4" s="411" t="str">
        <f>+N6</f>
        <v>Conservador</v>
      </c>
      <c r="D4" s="411"/>
      <c r="E4" s="411"/>
      <c r="F4" s="411"/>
      <c r="G4" s="411"/>
      <c r="H4" s="411"/>
      <c r="I4" s="411"/>
      <c r="J4" s="411"/>
    </row>
    <row r="5" spans="3:15" ht="17" customHeight="1" thickBot="1">
      <c r="D5" s="779"/>
      <c r="E5" s="779"/>
      <c r="F5" s="779"/>
    </row>
    <row r="6" spans="3:15" ht="17" thickBot="1">
      <c r="C6" s="203"/>
      <c r="D6" s="323" t="s">
        <v>300</v>
      </c>
      <c r="E6" s="460">
        <v>45931</v>
      </c>
      <c r="F6" s="323" t="s">
        <v>301</v>
      </c>
      <c r="G6" s="200">
        <v>3</v>
      </c>
      <c r="H6" s="200" t="s">
        <v>1</v>
      </c>
      <c r="I6" s="200" t="s">
        <v>2</v>
      </c>
      <c r="J6" s="200" t="s">
        <v>3</v>
      </c>
      <c r="L6" s="115" t="s">
        <v>75</v>
      </c>
      <c r="M6" s="116">
        <v>2</v>
      </c>
      <c r="N6" t="str">
        <f>+IF(M6=1,"Objetivo",IF(M6=2,"Conservador","Pesimista"))</f>
        <v>Conservador</v>
      </c>
    </row>
    <row r="7" spans="3:15">
      <c r="C7" s="204" t="s">
        <v>316</v>
      </c>
      <c r="D7" s="459">
        <v>109575.21001100002</v>
      </c>
      <c r="E7" s="399">
        <f>+F7</f>
        <v>203383.43710200003</v>
      </c>
      <c r="F7" s="459">
        <v>203383.43710200003</v>
      </c>
      <c r="G7" s="201">
        <v>200000</v>
      </c>
      <c r="H7" s="201">
        <v>230000</v>
      </c>
      <c r="I7" s="201">
        <v>250000</v>
      </c>
      <c r="J7" s="201">
        <v>270000</v>
      </c>
      <c r="M7" s="649"/>
    </row>
    <row r="8" spans="3:15" ht="17" thickBot="1">
      <c r="C8" s="205"/>
      <c r="D8" s="205"/>
      <c r="E8" s="202"/>
      <c r="F8" s="202"/>
      <c r="G8" s="202">
        <v>0.9</v>
      </c>
      <c r="H8" s="202">
        <v>0.9</v>
      </c>
      <c r="I8" s="202">
        <v>0.9</v>
      </c>
      <c r="J8" s="202">
        <v>0.9</v>
      </c>
      <c r="L8" s="5" t="s">
        <v>4</v>
      </c>
      <c r="O8" s="59"/>
    </row>
    <row r="9" spans="3:15" ht="17" thickBot="1">
      <c r="L9" s="8" t="s">
        <v>18</v>
      </c>
      <c r="M9" s="18">
        <v>18.5</v>
      </c>
      <c r="O9" s="59"/>
    </row>
    <row r="10" spans="3:15">
      <c r="C10" s="525" t="s">
        <v>5</v>
      </c>
      <c r="D10" s="533">
        <v>92085</v>
      </c>
      <c r="E10" s="539">
        <f>+F10</f>
        <v>185186</v>
      </c>
      <c r="F10" s="542">
        <v>185186</v>
      </c>
      <c r="G10" s="548">
        <v>0.86</v>
      </c>
      <c r="H10" s="548">
        <v>0.86</v>
      </c>
      <c r="I10" s="548">
        <v>0.86</v>
      </c>
      <c r="J10" s="548">
        <v>0.86</v>
      </c>
      <c r="L10" s="16" t="s">
        <v>19</v>
      </c>
      <c r="M10" s="19">
        <v>5.5</v>
      </c>
      <c r="O10" s="59"/>
    </row>
    <row r="11" spans="3:15">
      <c r="C11" s="526" t="s">
        <v>7</v>
      </c>
      <c r="D11" s="534">
        <v>1.58</v>
      </c>
      <c r="E11" s="540">
        <v>2.13</v>
      </c>
      <c r="F11" s="543">
        <v>2.42</v>
      </c>
      <c r="G11" s="534">
        <v>2</v>
      </c>
      <c r="H11" s="534">
        <v>2</v>
      </c>
      <c r="I11" s="534">
        <v>2</v>
      </c>
      <c r="J11" s="534">
        <v>2</v>
      </c>
    </row>
    <row r="12" spans="3:15">
      <c r="C12" s="527" t="s">
        <v>345</v>
      </c>
      <c r="D12" s="555">
        <v>6.0999999999999999E-2</v>
      </c>
      <c r="E12" s="555">
        <v>8.6800000000000002E-2</v>
      </c>
      <c r="F12" s="555">
        <v>8.6800000000000002E-2</v>
      </c>
      <c r="G12" s="555">
        <v>8.5000000000000006E-2</v>
      </c>
      <c r="H12" s="555">
        <v>8.5000000000000006E-2</v>
      </c>
      <c r="I12" s="555">
        <v>8.5999999999999993E-2</v>
      </c>
      <c r="J12" s="555">
        <v>8.5999999999999993E-2</v>
      </c>
      <c r="L12" s="5" t="s">
        <v>9</v>
      </c>
    </row>
    <row r="13" spans="3:15">
      <c r="C13" s="526" t="s">
        <v>13</v>
      </c>
      <c r="D13" s="534">
        <v>54</v>
      </c>
      <c r="E13" s="540">
        <v>54</v>
      </c>
      <c r="F13" s="543">
        <v>55.7</v>
      </c>
      <c r="G13" s="534">
        <v>54</v>
      </c>
      <c r="H13" s="534">
        <v>54</v>
      </c>
      <c r="I13" s="534">
        <v>55</v>
      </c>
      <c r="J13" s="534">
        <v>55</v>
      </c>
      <c r="L13" s="8" t="s">
        <v>10</v>
      </c>
      <c r="M13" s="12">
        <v>71</v>
      </c>
    </row>
    <row r="14" spans="3:15" ht="17" thickBot="1">
      <c r="C14" s="528" t="s">
        <v>16</v>
      </c>
      <c r="D14" s="535">
        <v>7.8100000000000003E-2</v>
      </c>
      <c r="E14" s="541">
        <f>+D14</f>
        <v>7.8100000000000003E-2</v>
      </c>
      <c r="F14" s="544">
        <v>0.1011</v>
      </c>
      <c r="G14" s="556">
        <v>0.08</v>
      </c>
      <c r="H14" s="556">
        <v>0.08</v>
      </c>
      <c r="I14" s="556">
        <v>0.08</v>
      </c>
      <c r="J14" s="556">
        <v>0.08</v>
      </c>
      <c r="L14" s="9" t="s">
        <v>11</v>
      </c>
      <c r="M14" s="13">
        <v>11.85</v>
      </c>
    </row>
    <row r="15" spans="3:15">
      <c r="L15" s="14" t="s">
        <v>12</v>
      </c>
      <c r="M15" s="15">
        <v>55</v>
      </c>
    </row>
    <row r="16" spans="3:15" ht="17" thickBot="1">
      <c r="L16" s="16" t="s">
        <v>14</v>
      </c>
      <c r="M16" s="17">
        <v>11</v>
      </c>
    </row>
    <row r="17" spans="3:11">
      <c r="C17" s="529" t="s">
        <v>6</v>
      </c>
      <c r="D17" s="536">
        <v>16306</v>
      </c>
      <c r="E17" s="536">
        <v>17289</v>
      </c>
      <c r="F17" s="545">
        <v>33017</v>
      </c>
      <c r="G17" s="549">
        <v>0.14000000000000001</v>
      </c>
      <c r="H17" s="549">
        <v>0.14000000000000001</v>
      </c>
      <c r="I17" s="549">
        <v>0.14000000000000001</v>
      </c>
      <c r="J17" s="549">
        <v>0.14000000000000001</v>
      </c>
      <c r="K17" s="6"/>
    </row>
    <row r="18" spans="3:11">
      <c r="C18" s="530" t="s">
        <v>8</v>
      </c>
      <c r="D18" s="537">
        <v>0.44</v>
      </c>
      <c r="E18" s="537">
        <v>0.69</v>
      </c>
      <c r="F18" s="546">
        <v>0.79</v>
      </c>
      <c r="G18" s="537">
        <v>0.6</v>
      </c>
      <c r="H18" s="537">
        <v>0.6</v>
      </c>
      <c r="I18" s="537">
        <v>0.6</v>
      </c>
      <c r="J18" s="537">
        <v>0.6</v>
      </c>
    </row>
    <row r="19" spans="3:11">
      <c r="C19" s="531" t="s">
        <v>346</v>
      </c>
      <c r="D19" s="557">
        <v>1.44E-2</v>
      </c>
      <c r="E19" s="621">
        <v>3.27E-2</v>
      </c>
      <c r="F19" s="621">
        <v>3.27E-2</v>
      </c>
      <c r="G19" s="557">
        <v>3.2000000000000001E-2</v>
      </c>
      <c r="H19" s="557">
        <v>3.2000000000000001E-2</v>
      </c>
      <c r="I19" s="557">
        <v>3.3000000000000002E-2</v>
      </c>
      <c r="J19" s="557">
        <v>3.3000000000000002E-2</v>
      </c>
    </row>
    <row r="20" spans="3:11">
      <c r="C20" s="530" t="s">
        <v>15</v>
      </c>
      <c r="D20" s="537">
        <v>40</v>
      </c>
      <c r="E20" s="537">
        <v>40</v>
      </c>
      <c r="F20" s="546">
        <v>46</v>
      </c>
      <c r="G20" s="537">
        <v>37</v>
      </c>
      <c r="H20" s="537">
        <v>38</v>
      </c>
      <c r="I20" s="537">
        <v>39</v>
      </c>
      <c r="J20" s="537">
        <v>40</v>
      </c>
    </row>
    <row r="21" spans="3:11" ht="17" thickBot="1">
      <c r="C21" s="532" t="s">
        <v>17</v>
      </c>
      <c r="D21" s="538">
        <v>0.1079</v>
      </c>
      <c r="E21" s="538">
        <f>+F21</f>
        <v>0.1275</v>
      </c>
      <c r="F21" s="547">
        <v>0.1275</v>
      </c>
      <c r="G21" s="558">
        <v>0.11</v>
      </c>
      <c r="H21" s="558">
        <v>0.11</v>
      </c>
      <c r="I21" s="558">
        <v>0.11</v>
      </c>
      <c r="J21" s="558">
        <v>0.11</v>
      </c>
    </row>
  </sheetData>
  <mergeCells count="1">
    <mergeCell ref="D5:F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4CF99-2585-F54D-AA08-84D5EAF09372}">
  <sheetPr codeName="Sheet2"/>
  <dimension ref="B3:I61"/>
  <sheetViews>
    <sheetView showGridLines="0" zoomScale="196" zoomScaleNormal="200" workbookViewId="0">
      <selection activeCell="B8" sqref="B8"/>
    </sheetView>
  </sheetViews>
  <sheetFormatPr baseColWidth="10" defaultRowHeight="16"/>
  <cols>
    <col min="2" max="2" width="33.5" customWidth="1"/>
    <col min="3" max="3" width="13.1640625" customWidth="1"/>
    <col min="4" max="4" width="12" customWidth="1"/>
    <col min="5" max="5" width="13.1640625" customWidth="1"/>
    <col min="6" max="9" width="10.83203125" bestFit="1" customWidth="1"/>
  </cols>
  <sheetData>
    <row r="3" spans="2:9" ht="19" customHeight="1">
      <c r="B3" s="722" t="s">
        <v>831</v>
      </c>
      <c r="C3" s="723" t="s">
        <v>828</v>
      </c>
      <c r="D3" s="723"/>
      <c r="E3" s="723"/>
      <c r="F3" s="723"/>
      <c r="G3" s="723"/>
      <c r="H3" s="723"/>
      <c r="I3" s="723"/>
    </row>
    <row r="4" spans="2:9" ht="17" thickBot="1">
      <c r="C4" s="780"/>
      <c r="D4" s="781"/>
      <c r="E4" s="781"/>
    </row>
    <row r="5" spans="2:9">
      <c r="B5" s="724"/>
      <c r="C5" s="725" t="s">
        <v>300</v>
      </c>
      <c r="D5" s="726">
        <v>45931</v>
      </c>
      <c r="E5" s="725" t="s">
        <v>301</v>
      </c>
      <c r="F5" s="727" t="s">
        <v>0</v>
      </c>
      <c r="G5" s="727" t="s">
        <v>1</v>
      </c>
      <c r="H5" s="727" t="s">
        <v>2</v>
      </c>
      <c r="I5" s="727" t="s">
        <v>3</v>
      </c>
    </row>
    <row r="6" spans="2:9">
      <c r="B6" s="728" t="s">
        <v>316</v>
      </c>
      <c r="C6" s="729">
        <v>109575.21001100002</v>
      </c>
      <c r="D6" s="730">
        <f>+E6</f>
        <v>203383.43710200003</v>
      </c>
      <c r="E6" s="729">
        <v>203383.43710200003</v>
      </c>
      <c r="F6" s="731">
        <v>200000</v>
      </c>
      <c r="G6" s="731">
        <v>230000</v>
      </c>
      <c r="H6" s="731">
        <v>250000</v>
      </c>
      <c r="I6" s="731">
        <v>270000</v>
      </c>
    </row>
    <row r="7" spans="2:9" ht="17" thickBot="1">
      <c r="B7" s="732"/>
      <c r="C7" s="732"/>
      <c r="D7" s="733"/>
      <c r="E7" s="733"/>
      <c r="F7" s="733">
        <v>1</v>
      </c>
      <c r="G7" s="733">
        <v>1</v>
      </c>
      <c r="H7" s="733">
        <v>1</v>
      </c>
      <c r="I7" s="733">
        <v>1</v>
      </c>
    </row>
    <row r="8" spans="2:9" ht="17" thickBot="1"/>
    <row r="9" spans="2:9">
      <c r="B9" s="734" t="s">
        <v>5</v>
      </c>
      <c r="C9" s="735">
        <v>92085</v>
      </c>
      <c r="D9" s="735">
        <f>+E9</f>
        <v>185186</v>
      </c>
      <c r="E9" s="736">
        <v>185186</v>
      </c>
      <c r="F9" s="737">
        <v>0.86</v>
      </c>
      <c r="G9" s="737">
        <v>0.86</v>
      </c>
      <c r="H9" s="737">
        <v>0.86</v>
      </c>
      <c r="I9" s="737">
        <v>0.86</v>
      </c>
    </row>
    <row r="10" spans="2:9">
      <c r="B10" s="738" t="s">
        <v>7</v>
      </c>
      <c r="C10" s="739">
        <v>1.58</v>
      </c>
      <c r="D10" s="740">
        <v>2.13</v>
      </c>
      <c r="E10" s="741">
        <v>2.42</v>
      </c>
      <c r="F10" s="739">
        <v>1.9</v>
      </c>
      <c r="G10" s="739">
        <v>1.8</v>
      </c>
      <c r="H10" s="739">
        <v>1.75</v>
      </c>
      <c r="I10" s="739">
        <v>1.7</v>
      </c>
    </row>
    <row r="11" spans="2:9">
      <c r="B11" s="742" t="s">
        <v>345</v>
      </c>
      <c r="C11" s="743">
        <v>6.0999999999999999E-2</v>
      </c>
      <c r="D11" s="743">
        <v>8.6800000000000002E-2</v>
      </c>
      <c r="E11" s="743">
        <v>8.6800000000000002E-2</v>
      </c>
      <c r="F11" s="743">
        <v>8.8499999999999995E-2</v>
      </c>
      <c r="G11" s="743">
        <v>8.8999999999999996E-2</v>
      </c>
      <c r="H11" s="743">
        <v>8.9499999999999996E-2</v>
      </c>
      <c r="I11" s="743">
        <v>0.09</v>
      </c>
    </row>
    <row r="12" spans="2:9">
      <c r="B12" s="738" t="s">
        <v>13</v>
      </c>
      <c r="C12" s="739">
        <v>54</v>
      </c>
      <c r="D12" s="740">
        <v>54</v>
      </c>
      <c r="E12" s="741">
        <v>55.7</v>
      </c>
      <c r="F12" s="739">
        <v>57</v>
      </c>
      <c r="G12" s="739">
        <v>57</v>
      </c>
      <c r="H12" s="739">
        <v>57</v>
      </c>
      <c r="I12" s="739">
        <v>57</v>
      </c>
    </row>
    <row r="13" spans="2:9" ht="17" thickBot="1">
      <c r="B13" s="744" t="s">
        <v>16</v>
      </c>
      <c r="C13" s="745">
        <v>7.8100000000000003E-2</v>
      </c>
      <c r="D13" s="745">
        <f>+C13</f>
        <v>7.8100000000000003E-2</v>
      </c>
      <c r="E13" s="746">
        <v>0.1011</v>
      </c>
      <c r="F13" s="745">
        <v>0.08</v>
      </c>
      <c r="G13" s="745">
        <v>0.08</v>
      </c>
      <c r="H13" s="745">
        <v>0.08</v>
      </c>
      <c r="I13" s="745">
        <v>0.08</v>
      </c>
    </row>
    <row r="15" spans="2:9" ht="17" thickBot="1"/>
    <row r="16" spans="2:9">
      <c r="B16" s="747" t="s">
        <v>6</v>
      </c>
      <c r="C16" s="748">
        <v>16306</v>
      </c>
      <c r="D16" s="748">
        <v>17289</v>
      </c>
      <c r="E16" s="749">
        <v>33017</v>
      </c>
      <c r="F16" s="750">
        <f t="shared" ref="F16:I16" si="0">1-F9</f>
        <v>0.14000000000000001</v>
      </c>
      <c r="G16" s="750">
        <f t="shared" si="0"/>
        <v>0.14000000000000001</v>
      </c>
      <c r="H16" s="750">
        <f t="shared" si="0"/>
        <v>0.14000000000000001</v>
      </c>
      <c r="I16" s="750">
        <f t="shared" si="0"/>
        <v>0.14000000000000001</v>
      </c>
    </row>
    <row r="17" spans="2:9">
      <c r="B17" s="751" t="s">
        <v>8</v>
      </c>
      <c r="C17" s="752">
        <v>0.44</v>
      </c>
      <c r="D17" s="752">
        <v>0.69</v>
      </c>
      <c r="E17" s="753">
        <v>0.79</v>
      </c>
      <c r="F17" s="752">
        <v>0.6</v>
      </c>
      <c r="G17" s="752">
        <v>0.55000000000000004</v>
      </c>
      <c r="H17" s="752">
        <v>0.5</v>
      </c>
      <c r="I17" s="752">
        <v>0.5</v>
      </c>
    </row>
    <row r="18" spans="2:9">
      <c r="B18" s="754" t="s">
        <v>346</v>
      </c>
      <c r="C18" s="755">
        <v>1.44E-2</v>
      </c>
      <c r="D18" s="756">
        <v>3.27E-2</v>
      </c>
      <c r="E18" s="756">
        <v>3.27E-2</v>
      </c>
      <c r="F18" s="755">
        <v>3.3000000000000002E-2</v>
      </c>
      <c r="G18" s="755">
        <v>3.4000000000000002E-2</v>
      </c>
      <c r="H18" s="755">
        <v>3.5000000000000003E-2</v>
      </c>
      <c r="I18" s="755">
        <v>3.5999999999999997E-2</v>
      </c>
    </row>
    <row r="19" spans="2:9">
      <c r="B19" s="751" t="s">
        <v>15</v>
      </c>
      <c r="C19" s="752">
        <v>40</v>
      </c>
      <c r="D19" s="752">
        <v>40</v>
      </c>
      <c r="E19" s="753">
        <v>46</v>
      </c>
      <c r="F19" s="752">
        <v>45</v>
      </c>
      <c r="G19" s="752">
        <v>45</v>
      </c>
      <c r="H19" s="752">
        <v>46</v>
      </c>
      <c r="I19" s="752">
        <v>46</v>
      </c>
    </row>
    <row r="20" spans="2:9" ht="17" thickBot="1">
      <c r="B20" s="757" t="s">
        <v>17</v>
      </c>
      <c r="C20" s="758">
        <v>0.1079</v>
      </c>
      <c r="D20" s="758">
        <f>+E20</f>
        <v>0.1275</v>
      </c>
      <c r="E20" s="759">
        <v>0.1275</v>
      </c>
      <c r="F20" s="758">
        <v>0.11</v>
      </c>
      <c r="G20" s="758">
        <v>0.11</v>
      </c>
      <c r="H20" s="758">
        <v>0.11</v>
      </c>
      <c r="I20" s="758">
        <v>0.11</v>
      </c>
    </row>
    <row r="23" spans="2:9" ht="17">
      <c r="B23" s="760" t="s">
        <v>342</v>
      </c>
      <c r="C23" s="723" t="s">
        <v>829</v>
      </c>
      <c r="D23" s="723"/>
      <c r="E23" s="723"/>
      <c r="F23" s="723"/>
      <c r="G23" s="723"/>
      <c r="H23" s="723"/>
      <c r="I23" s="723"/>
    </row>
    <row r="24" spans="2:9" ht="17" thickBot="1">
      <c r="C24" s="780"/>
      <c r="D24" s="781"/>
      <c r="E24" s="781"/>
    </row>
    <row r="25" spans="2:9">
      <c r="B25" s="724"/>
      <c r="C25" s="725" t="s">
        <v>300</v>
      </c>
      <c r="D25" s="726">
        <v>45931</v>
      </c>
      <c r="E25" s="725" t="s">
        <v>301</v>
      </c>
      <c r="F25" s="727" t="s">
        <v>0</v>
      </c>
      <c r="G25" s="727" t="s">
        <v>1</v>
      </c>
      <c r="H25" s="727" t="s">
        <v>2</v>
      </c>
      <c r="I25" s="727" t="s">
        <v>3</v>
      </c>
    </row>
    <row r="26" spans="2:9">
      <c r="B26" s="728" t="s">
        <v>316</v>
      </c>
      <c r="C26" s="729">
        <v>109575.21001100002</v>
      </c>
      <c r="D26" s="730">
        <f>+E26</f>
        <v>203383.43710200003</v>
      </c>
      <c r="E26" s="729">
        <v>203383.43710200003</v>
      </c>
      <c r="F26" s="731">
        <v>200000</v>
      </c>
      <c r="G26" s="731">
        <v>230000</v>
      </c>
      <c r="H26" s="731">
        <v>250000</v>
      </c>
      <c r="I26" s="731">
        <v>270000</v>
      </c>
    </row>
    <row r="27" spans="2:9" ht="17" thickBot="1">
      <c r="B27" s="732"/>
      <c r="C27" s="732"/>
      <c r="D27" s="733"/>
      <c r="E27" s="733"/>
      <c r="F27" s="733">
        <v>0.9</v>
      </c>
      <c r="G27" s="733">
        <v>0.9</v>
      </c>
      <c r="H27" s="733">
        <v>0.9</v>
      </c>
      <c r="I27" s="733">
        <v>0.9</v>
      </c>
    </row>
    <row r="28" spans="2:9" ht="17" thickBot="1"/>
    <row r="29" spans="2:9">
      <c r="B29" s="734" t="s">
        <v>5</v>
      </c>
      <c r="C29" s="735">
        <v>92085</v>
      </c>
      <c r="D29" s="735">
        <f>+E29</f>
        <v>185186</v>
      </c>
      <c r="E29" s="736">
        <v>185186</v>
      </c>
      <c r="F29" s="737">
        <v>0.86</v>
      </c>
      <c r="G29" s="737">
        <v>0.86</v>
      </c>
      <c r="H29" s="737">
        <v>0.86</v>
      </c>
      <c r="I29" s="737">
        <v>0.86</v>
      </c>
    </row>
    <row r="30" spans="2:9">
      <c r="B30" s="738" t="s">
        <v>7</v>
      </c>
      <c r="C30" s="739">
        <v>1.58</v>
      </c>
      <c r="D30" s="740">
        <v>2.13</v>
      </c>
      <c r="E30" s="741">
        <v>2.42</v>
      </c>
      <c r="F30" s="761">
        <v>2</v>
      </c>
      <c r="G30" s="761">
        <v>2</v>
      </c>
      <c r="H30" s="761">
        <v>2</v>
      </c>
      <c r="I30" s="761">
        <v>2</v>
      </c>
    </row>
    <row r="31" spans="2:9">
      <c r="B31" s="742" t="s">
        <v>345</v>
      </c>
      <c r="C31" s="743">
        <v>6.0999999999999999E-2</v>
      </c>
      <c r="D31" s="743">
        <v>8.6800000000000002E-2</v>
      </c>
      <c r="E31" s="743">
        <v>8.6800000000000002E-2</v>
      </c>
      <c r="F31" s="743">
        <v>8.5000000000000006E-2</v>
      </c>
      <c r="G31" s="743">
        <v>8.5000000000000006E-2</v>
      </c>
      <c r="H31" s="743">
        <v>8.5999999999999993E-2</v>
      </c>
      <c r="I31" s="743">
        <v>8.5999999999999993E-2</v>
      </c>
    </row>
    <row r="32" spans="2:9">
      <c r="B32" s="738" t="s">
        <v>13</v>
      </c>
      <c r="C32" s="739">
        <v>54</v>
      </c>
      <c r="D32" s="740">
        <v>54</v>
      </c>
      <c r="E32" s="741">
        <v>55.7</v>
      </c>
      <c r="F32" s="739">
        <v>54</v>
      </c>
      <c r="G32" s="739">
        <v>54</v>
      </c>
      <c r="H32" s="739">
        <v>55</v>
      </c>
      <c r="I32" s="739">
        <v>55</v>
      </c>
    </row>
    <row r="33" spans="2:9" ht="17" thickBot="1">
      <c r="B33" s="744" t="s">
        <v>16</v>
      </c>
      <c r="C33" s="745">
        <v>7.8100000000000003E-2</v>
      </c>
      <c r="D33" s="745">
        <f>+C33</f>
        <v>7.8100000000000003E-2</v>
      </c>
      <c r="E33" s="746">
        <v>0.1011</v>
      </c>
      <c r="F33" s="745">
        <v>0.08</v>
      </c>
      <c r="G33" s="745">
        <v>0.08</v>
      </c>
      <c r="H33" s="745">
        <v>0.08</v>
      </c>
      <c r="I33" s="745">
        <v>0.08</v>
      </c>
    </row>
    <row r="35" spans="2:9" ht="17" thickBot="1"/>
    <row r="36" spans="2:9">
      <c r="B36" s="747" t="s">
        <v>6</v>
      </c>
      <c r="C36" s="748">
        <v>16306</v>
      </c>
      <c r="D36" s="748">
        <v>17289</v>
      </c>
      <c r="E36" s="749">
        <v>33017</v>
      </c>
      <c r="F36" s="750">
        <f t="shared" ref="F36:I36" si="1">1-F29</f>
        <v>0.14000000000000001</v>
      </c>
      <c r="G36" s="750">
        <f t="shared" si="1"/>
        <v>0.14000000000000001</v>
      </c>
      <c r="H36" s="750">
        <f t="shared" si="1"/>
        <v>0.14000000000000001</v>
      </c>
      <c r="I36" s="750">
        <f t="shared" si="1"/>
        <v>0.14000000000000001</v>
      </c>
    </row>
    <row r="37" spans="2:9">
      <c r="B37" s="751" t="s">
        <v>8</v>
      </c>
      <c r="C37" s="752">
        <v>0.44</v>
      </c>
      <c r="D37" s="752">
        <v>0.69</v>
      </c>
      <c r="E37" s="753">
        <v>0.79</v>
      </c>
      <c r="F37" s="762">
        <v>0.6</v>
      </c>
      <c r="G37" s="762">
        <v>0.6</v>
      </c>
      <c r="H37" s="762">
        <v>0.6</v>
      </c>
      <c r="I37" s="762">
        <v>0.6</v>
      </c>
    </row>
    <row r="38" spans="2:9">
      <c r="B38" s="754" t="s">
        <v>346</v>
      </c>
      <c r="C38" s="755">
        <v>1.44E-2</v>
      </c>
      <c r="D38" s="756">
        <v>3.27E-2</v>
      </c>
      <c r="E38" s="756">
        <v>3.27E-2</v>
      </c>
      <c r="F38" s="755">
        <v>3.2000000000000001E-2</v>
      </c>
      <c r="G38" s="755">
        <v>3.2000000000000001E-2</v>
      </c>
      <c r="H38" s="755">
        <v>3.3000000000000002E-2</v>
      </c>
      <c r="I38" s="755">
        <v>3.3000000000000002E-2</v>
      </c>
    </row>
    <row r="39" spans="2:9">
      <c r="B39" s="751" t="s">
        <v>15</v>
      </c>
      <c r="C39" s="752">
        <v>40</v>
      </c>
      <c r="D39" s="752">
        <v>40</v>
      </c>
      <c r="E39" s="753">
        <v>46</v>
      </c>
      <c r="F39" s="762">
        <v>37</v>
      </c>
      <c r="G39" s="762">
        <v>38</v>
      </c>
      <c r="H39" s="762">
        <v>39</v>
      </c>
      <c r="I39" s="762">
        <v>40</v>
      </c>
    </row>
    <row r="40" spans="2:9" ht="17" thickBot="1">
      <c r="B40" s="757" t="s">
        <v>17</v>
      </c>
      <c r="C40" s="758">
        <v>0.1079</v>
      </c>
      <c r="D40" s="758">
        <f>+E40</f>
        <v>0.1275</v>
      </c>
      <c r="E40" s="759">
        <v>0.1275</v>
      </c>
      <c r="F40" s="758">
        <v>0.11</v>
      </c>
      <c r="G40" s="758">
        <v>0.11</v>
      </c>
      <c r="H40" s="758">
        <v>0.11</v>
      </c>
      <c r="I40" s="758">
        <v>0.11</v>
      </c>
    </row>
    <row r="44" spans="2:9" ht="17">
      <c r="B44" s="763" t="s">
        <v>832</v>
      </c>
      <c r="C44" s="723" t="s">
        <v>830</v>
      </c>
      <c r="D44" s="723"/>
      <c r="E44" s="723"/>
      <c r="F44" s="723"/>
      <c r="G44" s="723"/>
      <c r="H44" s="723"/>
      <c r="I44" s="723"/>
    </row>
    <row r="45" spans="2:9" ht="17" thickBot="1">
      <c r="C45" s="780"/>
      <c r="D45" s="781"/>
      <c r="E45" s="781"/>
    </row>
    <row r="46" spans="2:9">
      <c r="B46" s="724"/>
      <c r="C46" s="725" t="s">
        <v>300</v>
      </c>
      <c r="D46" s="726">
        <v>45931</v>
      </c>
      <c r="E46" s="725" t="s">
        <v>301</v>
      </c>
      <c r="F46" s="727" t="s">
        <v>0</v>
      </c>
      <c r="G46" s="727" t="s">
        <v>1</v>
      </c>
      <c r="H46" s="727" t="s">
        <v>2</v>
      </c>
      <c r="I46" s="727" t="s">
        <v>3</v>
      </c>
    </row>
    <row r="47" spans="2:9">
      <c r="B47" s="728" t="s">
        <v>316</v>
      </c>
      <c r="C47" s="729">
        <v>109575.21001100002</v>
      </c>
      <c r="D47" s="730">
        <f>+E47</f>
        <v>203383.43710200003</v>
      </c>
      <c r="E47" s="729">
        <v>203383.43710200003</v>
      </c>
      <c r="F47" s="731">
        <f t="shared" ref="F47:I47" si="2">+F26</f>
        <v>200000</v>
      </c>
      <c r="G47" s="731">
        <f t="shared" si="2"/>
        <v>230000</v>
      </c>
      <c r="H47" s="731">
        <f t="shared" si="2"/>
        <v>250000</v>
      </c>
      <c r="I47" s="731">
        <f t="shared" si="2"/>
        <v>270000</v>
      </c>
    </row>
    <row r="48" spans="2:9" ht="17" thickBot="1">
      <c r="B48" s="732"/>
      <c r="C48" s="732"/>
      <c r="D48" s="733"/>
      <c r="E48" s="733"/>
      <c r="F48" s="733">
        <v>0.75</v>
      </c>
      <c r="G48" s="733">
        <v>0.75</v>
      </c>
      <c r="H48" s="733">
        <v>0.75</v>
      </c>
      <c r="I48" s="733">
        <v>0.75</v>
      </c>
    </row>
    <row r="49" spans="2:9" ht="17" thickBot="1"/>
    <row r="50" spans="2:9">
      <c r="B50" s="734" t="s">
        <v>5</v>
      </c>
      <c r="C50" s="735">
        <v>92085</v>
      </c>
      <c r="D50" s="735">
        <f>+E50</f>
        <v>185186</v>
      </c>
      <c r="E50" s="736">
        <v>185186</v>
      </c>
      <c r="F50" s="737">
        <v>0.86</v>
      </c>
      <c r="G50" s="737">
        <v>0.86</v>
      </c>
      <c r="H50" s="737">
        <v>0.86</v>
      </c>
      <c r="I50" s="737">
        <v>0.86</v>
      </c>
    </row>
    <row r="51" spans="2:9">
      <c r="B51" s="738" t="s">
        <v>7</v>
      </c>
      <c r="C51" s="739">
        <v>1.58</v>
      </c>
      <c r="D51" s="740">
        <v>2.13</v>
      </c>
      <c r="E51" s="741">
        <v>2.42</v>
      </c>
      <c r="F51" s="739">
        <v>2.25</v>
      </c>
      <c r="G51" s="739">
        <v>2.25</v>
      </c>
      <c r="H51" s="739">
        <v>2.25</v>
      </c>
      <c r="I51" s="739">
        <v>2.25</v>
      </c>
    </row>
    <row r="52" spans="2:9">
      <c r="B52" s="742" t="s">
        <v>345</v>
      </c>
      <c r="C52" s="743">
        <v>6.0999999999999999E-2</v>
      </c>
      <c r="D52" s="743">
        <v>8.6800000000000002E-2</v>
      </c>
      <c r="E52" s="743">
        <v>8.6800000000000002E-2</v>
      </c>
      <c r="F52" s="743">
        <v>0.08</v>
      </c>
      <c r="G52" s="743">
        <v>0.08</v>
      </c>
      <c r="H52" s="743">
        <v>0.08</v>
      </c>
      <c r="I52" s="743">
        <v>0.08</v>
      </c>
    </row>
    <row r="53" spans="2:9">
      <c r="B53" s="738" t="s">
        <v>13</v>
      </c>
      <c r="C53" s="739">
        <v>54</v>
      </c>
      <c r="D53" s="740">
        <v>54</v>
      </c>
      <c r="E53" s="741">
        <v>55.7</v>
      </c>
      <c r="F53" s="739">
        <v>50</v>
      </c>
      <c r="G53" s="739">
        <v>50</v>
      </c>
      <c r="H53" s="739">
        <v>50</v>
      </c>
      <c r="I53" s="739">
        <v>50</v>
      </c>
    </row>
    <row r="54" spans="2:9" ht="17" thickBot="1">
      <c r="B54" s="744" t="s">
        <v>16</v>
      </c>
      <c r="C54" s="764">
        <v>7.8100000000000003E-2</v>
      </c>
      <c r="D54" s="764">
        <f>+C54</f>
        <v>7.8100000000000003E-2</v>
      </c>
      <c r="E54" s="765">
        <v>0.1011</v>
      </c>
      <c r="F54" s="745">
        <v>0.1</v>
      </c>
      <c r="G54" s="745">
        <v>0.1</v>
      </c>
      <c r="H54" s="745">
        <v>0.1</v>
      </c>
      <c r="I54" s="745">
        <v>0.1</v>
      </c>
    </row>
    <row r="56" spans="2:9" ht="17" thickBot="1"/>
    <row r="57" spans="2:9">
      <c r="B57" s="747" t="s">
        <v>6</v>
      </c>
      <c r="C57" s="748">
        <v>16306</v>
      </c>
      <c r="D57" s="748">
        <v>17289</v>
      </c>
      <c r="E57" s="749">
        <v>33017</v>
      </c>
      <c r="F57" s="750">
        <f t="shared" ref="F57:I57" si="3">1-F50</f>
        <v>0.14000000000000001</v>
      </c>
      <c r="G57" s="750">
        <f t="shared" si="3"/>
        <v>0.14000000000000001</v>
      </c>
      <c r="H57" s="750">
        <f t="shared" si="3"/>
        <v>0.14000000000000001</v>
      </c>
      <c r="I57" s="750">
        <f t="shared" si="3"/>
        <v>0.14000000000000001</v>
      </c>
    </row>
    <row r="58" spans="2:9">
      <c r="B58" s="751" t="s">
        <v>8</v>
      </c>
      <c r="C58" s="752">
        <v>0.44</v>
      </c>
      <c r="D58" s="752">
        <v>0.69</v>
      </c>
      <c r="E58" s="753">
        <v>0.79</v>
      </c>
      <c r="F58" s="752">
        <v>0.8</v>
      </c>
      <c r="G58" s="752">
        <v>0.8</v>
      </c>
      <c r="H58" s="752">
        <v>0.79</v>
      </c>
      <c r="I58" s="752">
        <v>0.79</v>
      </c>
    </row>
    <row r="59" spans="2:9">
      <c r="B59" s="754" t="s">
        <v>346</v>
      </c>
      <c r="C59" s="755">
        <v>1.44E-2</v>
      </c>
      <c r="D59" s="756">
        <v>3.27E-2</v>
      </c>
      <c r="E59" s="756">
        <v>3.27E-2</v>
      </c>
      <c r="F59" s="755">
        <v>0.03</v>
      </c>
      <c r="G59" s="755">
        <v>0.03</v>
      </c>
      <c r="H59" s="755">
        <v>0.03</v>
      </c>
      <c r="I59" s="755">
        <v>0.03</v>
      </c>
    </row>
    <row r="60" spans="2:9">
      <c r="B60" s="751" t="s">
        <v>15</v>
      </c>
      <c r="C60" s="752">
        <v>40</v>
      </c>
      <c r="D60" s="752">
        <v>40</v>
      </c>
      <c r="E60" s="753">
        <v>46</v>
      </c>
      <c r="F60" s="752">
        <v>40</v>
      </c>
      <c r="G60" s="752">
        <v>40</v>
      </c>
      <c r="H60" s="752">
        <v>41</v>
      </c>
      <c r="I60" s="752">
        <v>41</v>
      </c>
    </row>
    <row r="61" spans="2:9" ht="17" thickBot="1">
      <c r="B61" s="757" t="s">
        <v>17</v>
      </c>
      <c r="C61" s="758">
        <v>0.1079</v>
      </c>
      <c r="D61" s="758">
        <f>+E61</f>
        <v>0.1275</v>
      </c>
      <c r="E61" s="759">
        <v>0.1275</v>
      </c>
      <c r="F61" s="758">
        <v>0.12</v>
      </c>
      <c r="G61" s="758">
        <v>0.12</v>
      </c>
      <c r="H61" s="758">
        <v>0.12</v>
      </c>
      <c r="I61" s="758">
        <v>0.12</v>
      </c>
    </row>
  </sheetData>
  <mergeCells count="3">
    <mergeCell ref="C4:E4"/>
    <mergeCell ref="C24:E24"/>
    <mergeCell ref="C45:E4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3B8EC-53E7-844E-9CF9-430B7FBF0D15}">
  <sheetPr codeName="Sheet4"/>
  <dimension ref="A3:AR162"/>
  <sheetViews>
    <sheetView showGridLines="0" zoomScale="85" zoomScaleNormal="100" workbookViewId="0">
      <pane xSplit="1" ySplit="4" topLeftCell="U59" activePane="bottomRight" state="frozen"/>
      <selection activeCell="J7" sqref="J7"/>
      <selection pane="topRight" activeCell="J7" sqref="J7"/>
      <selection pane="bottomLeft" activeCell="J7" sqref="J7"/>
      <selection pane="bottomRight" activeCell="U80" sqref="U80"/>
    </sheetView>
  </sheetViews>
  <sheetFormatPr baseColWidth="10" defaultColWidth="10.1640625" defaultRowHeight="16" outlineLevelCol="1"/>
  <cols>
    <col min="1" max="1" width="30.6640625" bestFit="1" customWidth="1"/>
    <col min="2" max="2" width="13.33203125" customWidth="1" outlineLevel="1"/>
    <col min="3" max="3" width="12.33203125" customWidth="1" outlineLevel="1"/>
    <col min="4" max="4" width="11.5" customWidth="1" outlineLevel="1"/>
    <col min="5" max="5" width="12.33203125" customWidth="1" outlineLevel="1"/>
    <col min="6" max="6" width="11.5" customWidth="1" outlineLevel="1"/>
    <col min="7" max="11" width="12.33203125" customWidth="1" outlineLevel="1"/>
    <col min="12" max="12" width="13.6640625" customWidth="1" outlineLevel="1"/>
    <col min="13" max="13" width="0.1640625" style="20" customWidth="1"/>
    <col min="14" max="24" width="13.83203125" bestFit="1" customWidth="1"/>
    <col min="25" max="25" width="13.33203125" bestFit="1" customWidth="1"/>
    <col min="26" max="26" width="3.1640625" style="690" customWidth="1"/>
    <col min="27" max="37" width="13.83203125" bestFit="1" customWidth="1"/>
    <col min="38" max="38" width="13.83203125" style="20" bestFit="1" customWidth="1"/>
    <col min="40" max="40" width="15.33203125" bestFit="1" customWidth="1"/>
    <col min="41" max="44" width="14.83203125" bestFit="1" customWidth="1"/>
  </cols>
  <sheetData>
    <row r="3" spans="1:39" s="368" customFormat="1" ht="22">
      <c r="A3"/>
      <c r="B3" s="783">
        <v>2024</v>
      </c>
      <c r="C3" s="784"/>
      <c r="D3" s="784"/>
      <c r="E3" s="784"/>
      <c r="F3" s="784"/>
      <c r="G3" s="784"/>
      <c r="H3" s="784"/>
      <c r="I3" s="784"/>
      <c r="J3" s="784"/>
      <c r="K3" s="784"/>
      <c r="L3" s="784"/>
      <c r="M3" s="785"/>
      <c r="N3" s="783">
        <v>2025</v>
      </c>
      <c r="O3" s="784"/>
      <c r="P3" s="784"/>
      <c r="Q3" s="784"/>
      <c r="R3" s="784"/>
      <c r="S3" s="784"/>
      <c r="T3" s="784"/>
      <c r="U3" s="784"/>
      <c r="V3" s="784"/>
      <c r="W3" s="784"/>
      <c r="X3" s="784"/>
      <c r="Y3" s="785"/>
      <c r="Z3" s="691"/>
      <c r="AA3" s="783">
        <v>2026</v>
      </c>
      <c r="AB3" s="784"/>
      <c r="AC3" s="784"/>
      <c r="AD3" s="784"/>
      <c r="AE3" s="784"/>
      <c r="AF3" s="784"/>
      <c r="AG3" s="784"/>
      <c r="AH3" s="784"/>
      <c r="AI3" s="784"/>
      <c r="AJ3" s="784"/>
      <c r="AK3" s="784"/>
      <c r="AL3" s="785"/>
      <c r="AM3" s="21"/>
    </row>
    <row r="4" spans="1:39">
      <c r="B4" s="22" t="s">
        <v>20</v>
      </c>
      <c r="C4" s="22" t="s">
        <v>21</v>
      </c>
      <c r="D4" s="22" t="s">
        <v>22</v>
      </c>
      <c r="E4" s="22" t="s">
        <v>23</v>
      </c>
      <c r="F4" s="22" t="s">
        <v>24</v>
      </c>
      <c r="G4" s="22" t="s">
        <v>25</v>
      </c>
      <c r="H4" s="22" t="s">
        <v>26</v>
      </c>
      <c r="I4" s="22" t="s">
        <v>27</v>
      </c>
      <c r="J4" s="22" t="s">
        <v>28</v>
      </c>
      <c r="K4" s="22" t="s">
        <v>29</v>
      </c>
      <c r="L4" s="22" t="s">
        <v>30</v>
      </c>
      <c r="M4" s="23" t="s">
        <v>31</v>
      </c>
      <c r="N4" s="22" t="s">
        <v>20</v>
      </c>
      <c r="O4" s="22" t="s">
        <v>21</v>
      </c>
      <c r="P4" s="22" t="s">
        <v>22</v>
      </c>
      <c r="Q4" s="22" t="s">
        <v>23</v>
      </c>
      <c r="R4" s="22" t="s">
        <v>24</v>
      </c>
      <c r="S4" s="22" t="s">
        <v>25</v>
      </c>
      <c r="T4" s="22" t="s">
        <v>26</v>
      </c>
      <c r="U4" s="22" t="s">
        <v>27</v>
      </c>
      <c r="V4" s="22" t="s">
        <v>28</v>
      </c>
      <c r="W4" s="22" t="s">
        <v>29</v>
      </c>
      <c r="X4" s="22" t="s">
        <v>30</v>
      </c>
      <c r="Y4" s="398" t="s">
        <v>31</v>
      </c>
      <c r="Z4" s="692"/>
      <c r="AA4" s="22" t="s">
        <v>20</v>
      </c>
      <c r="AB4" s="22" t="s">
        <v>21</v>
      </c>
      <c r="AC4" s="22" t="s">
        <v>22</v>
      </c>
      <c r="AD4" s="22" t="s">
        <v>23</v>
      </c>
      <c r="AE4" s="22" t="s">
        <v>24</v>
      </c>
      <c r="AF4" s="22" t="s">
        <v>25</v>
      </c>
      <c r="AG4" s="22" t="s">
        <v>26</v>
      </c>
      <c r="AH4" s="22" t="s">
        <v>27</v>
      </c>
      <c r="AI4" s="22" t="s">
        <v>28</v>
      </c>
      <c r="AJ4" s="22" t="s">
        <v>29</v>
      </c>
      <c r="AK4" s="22" t="s">
        <v>30</v>
      </c>
      <c r="AL4" s="24" t="s">
        <v>31</v>
      </c>
    </row>
    <row r="5" spans="1:39" s="25" customFormat="1">
      <c r="A5" s="786" t="s">
        <v>32</v>
      </c>
      <c r="M5" s="26"/>
      <c r="Z5" s="690"/>
      <c r="AL5" s="26"/>
    </row>
    <row r="6" spans="1:39" s="25" customFormat="1">
      <c r="A6" s="786"/>
      <c r="M6" s="26"/>
      <c r="Z6" s="690"/>
      <c r="AL6" s="26"/>
    </row>
    <row r="7" spans="1:39">
      <c r="A7" s="27" t="s">
        <v>33</v>
      </c>
      <c r="D7">
        <v>0</v>
      </c>
      <c r="F7">
        <v>0</v>
      </c>
      <c r="AA7" s="28"/>
      <c r="AK7" s="28"/>
    </row>
    <row r="8" spans="1:39">
      <c r="A8" s="29" t="s">
        <v>34</v>
      </c>
      <c r="B8" s="30">
        <v>132217.42000000001</v>
      </c>
      <c r="C8" s="30">
        <v>128554.14</v>
      </c>
      <c r="D8" s="30">
        <v>140847.47999999998</v>
      </c>
      <c r="E8" s="30">
        <v>134397.11000000002</v>
      </c>
      <c r="F8" s="30">
        <v>132917.930005</v>
      </c>
      <c r="G8" s="30">
        <v>143607.28999899997</v>
      </c>
      <c r="H8" s="30">
        <v>155557.66999900001</v>
      </c>
      <c r="I8" s="30">
        <v>144227.56000300002</v>
      </c>
      <c r="J8" s="30">
        <v>126653.89051099999</v>
      </c>
      <c r="K8" s="30">
        <v>118788</v>
      </c>
      <c r="L8" s="11">
        <f>+AVERAGE(I8:K8)</f>
        <v>129889.81683800001</v>
      </c>
      <c r="M8" s="31">
        <f>+AVERAGE(J8:L8)</f>
        <v>125110.56911633334</v>
      </c>
      <c r="N8" s="30">
        <v>155721.08000899997</v>
      </c>
      <c r="O8" s="30">
        <v>121857.68999900001</v>
      </c>
      <c r="P8" s="30">
        <v>114075.72000100001</v>
      </c>
      <c r="Q8" s="30">
        <v>109039.42000299999</v>
      </c>
      <c r="R8" s="30">
        <v>92084.54000399998</v>
      </c>
      <c r="S8" s="30">
        <v>119330.37000399998</v>
      </c>
      <c r="T8" s="30">
        <v>143368.30998200001</v>
      </c>
      <c r="U8" s="30">
        <v>141602.63999500009</v>
      </c>
      <c r="V8" s="30">
        <v>178638.38004099997</v>
      </c>
      <c r="W8" s="417">
        <f t="shared" ref="W8:Y9" si="0">+AVERAGE(T8:V8)</f>
        <v>154536.44333933337</v>
      </c>
      <c r="X8" s="417">
        <f t="shared" si="0"/>
        <v>158259.15445844448</v>
      </c>
      <c r="Y8" s="417">
        <f t="shared" si="0"/>
        <v>163811.32594625928</v>
      </c>
      <c r="Z8" s="693"/>
      <c r="AA8" s="559">
        <f>+Supuestos!$G$7*Supuestos!$G$8*Supuestos!$G$10</f>
        <v>154800</v>
      </c>
      <c r="AB8" s="560">
        <f>+Supuestos!$G$7*Supuestos!$G$8*Supuestos!$G$10</f>
        <v>154800</v>
      </c>
      <c r="AC8" s="560">
        <f>+Supuestos!$G$7*Supuestos!$G$8*Supuestos!$G$10</f>
        <v>154800</v>
      </c>
      <c r="AD8" s="560">
        <f>+Supuestos!$H$7*Supuestos!$H$10*Supuestos!$H$8</f>
        <v>178020</v>
      </c>
      <c r="AE8" s="560">
        <f>+Supuestos!$H$7*Supuestos!$H$10*Supuestos!$H$8</f>
        <v>178020</v>
      </c>
      <c r="AF8" s="560">
        <f>+Supuestos!$H$7*Supuestos!$H$10*Supuestos!$H$8</f>
        <v>178020</v>
      </c>
      <c r="AG8" s="560">
        <f>+Supuestos!$I$7*Supuestos!$I$10*Supuestos!$I$8</f>
        <v>193500</v>
      </c>
      <c r="AH8" s="560">
        <f>+Supuestos!$I$7*Supuestos!$I$10*Supuestos!$I$8</f>
        <v>193500</v>
      </c>
      <c r="AI8" s="560">
        <f>+Supuestos!$I$7*Supuestos!$I$10*Supuestos!$I$8</f>
        <v>193500</v>
      </c>
      <c r="AJ8" s="560">
        <f>+Supuestos!$J$7*Supuestos!$J$10*Supuestos!$J$8</f>
        <v>208980</v>
      </c>
      <c r="AK8" s="560">
        <f>+Supuestos!$J$7*Supuestos!$J$10*Supuestos!$J$8</f>
        <v>208980</v>
      </c>
      <c r="AL8" s="464">
        <f>+Supuestos!$J$7*Supuestos!$J$10*Supuestos!$J$8</f>
        <v>208980</v>
      </c>
    </row>
    <row r="9" spans="1:39">
      <c r="A9" s="29" t="s">
        <v>35</v>
      </c>
      <c r="B9" s="32">
        <v>2.2098850075213106</v>
      </c>
      <c r="C9" s="32">
        <v>2.4688241055481939</v>
      </c>
      <c r="D9" s="32">
        <v>2.8129552036108723</v>
      </c>
      <c r="E9" s="32">
        <v>2.9471757817639581</v>
      </c>
      <c r="F9" s="32">
        <v>2.7825726428780775</v>
      </c>
      <c r="G9" s="32">
        <v>2.7018737182555355</v>
      </c>
      <c r="H9" s="32">
        <v>2.4913941830135493</v>
      </c>
      <c r="I9" s="32">
        <v>2.3816040555986726</v>
      </c>
      <c r="J9" s="32">
        <v>2.3620643511935842</v>
      </c>
      <c r="K9" s="32">
        <v>1.8</v>
      </c>
      <c r="L9" s="7">
        <v>1.94</v>
      </c>
      <c r="M9" s="33">
        <f>L9</f>
        <v>1.94</v>
      </c>
      <c r="N9" s="32">
        <v>2.1757566613432813</v>
      </c>
      <c r="O9" s="32">
        <v>2.3545104820597045</v>
      </c>
      <c r="P9" s="32">
        <v>2.6341173482577878</v>
      </c>
      <c r="Q9" s="32">
        <v>2.6987283438025935</v>
      </c>
      <c r="R9" s="32">
        <v>2.3842509451607885</v>
      </c>
      <c r="S9" s="32">
        <v>2.3474057244811641</v>
      </c>
      <c r="T9" s="32">
        <v>2.4947937073798876</v>
      </c>
      <c r="U9" s="32">
        <v>1.9208692584579083</v>
      </c>
      <c r="V9" s="32">
        <v>2.0076013985120413</v>
      </c>
      <c r="W9" s="418">
        <f t="shared" si="0"/>
        <v>2.1410881214499455</v>
      </c>
      <c r="X9" s="418">
        <f t="shared" si="0"/>
        <v>2.0231862594732983</v>
      </c>
      <c r="Y9" s="418">
        <f t="shared" si="0"/>
        <v>2.0572919264784288</v>
      </c>
      <c r="Z9" s="694"/>
      <c r="AA9" s="561">
        <f>+Supuestos!$G11</f>
        <v>2</v>
      </c>
      <c r="AB9" s="562">
        <f>+Supuestos!$G11</f>
        <v>2</v>
      </c>
      <c r="AC9" s="562">
        <f>+Supuestos!$G11</f>
        <v>2</v>
      </c>
      <c r="AD9" s="562">
        <f>+Supuestos!$H11</f>
        <v>2</v>
      </c>
      <c r="AE9" s="562">
        <f>+Supuestos!$H11</f>
        <v>2</v>
      </c>
      <c r="AF9" s="562">
        <f>+Supuestos!$H11</f>
        <v>2</v>
      </c>
      <c r="AG9" s="562">
        <f>+Supuestos!$I11</f>
        <v>2</v>
      </c>
      <c r="AH9" s="562">
        <f>+Supuestos!$I11</f>
        <v>2</v>
      </c>
      <c r="AI9" s="562">
        <f>+Supuestos!$I11</f>
        <v>2</v>
      </c>
      <c r="AJ9" s="562">
        <f>+Supuestos!$J11</f>
        <v>2</v>
      </c>
      <c r="AK9" s="562">
        <f>+Supuestos!$J11</f>
        <v>2</v>
      </c>
      <c r="AL9" s="206">
        <f>+Supuestos!$J11</f>
        <v>2</v>
      </c>
    </row>
    <row r="10" spans="1:39"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390"/>
      <c r="M10" s="23"/>
      <c r="N10" s="22"/>
      <c r="O10" s="22"/>
      <c r="P10" s="22"/>
      <c r="Q10" s="22"/>
      <c r="R10" s="22"/>
      <c r="S10" s="22"/>
      <c r="T10" s="22"/>
      <c r="U10" s="22"/>
      <c r="V10" s="22"/>
      <c r="W10" s="419"/>
      <c r="X10" s="420"/>
      <c r="Y10" s="421"/>
      <c r="AA10" s="197"/>
    </row>
    <row r="11" spans="1:39">
      <c r="A11" s="27" t="s">
        <v>36</v>
      </c>
      <c r="B11" s="35">
        <v>6.964733411332108E-2</v>
      </c>
      <c r="C11" s="35">
        <v>7.6299667761325879E-2</v>
      </c>
      <c r="D11" s="35">
        <v>8.8015018673483658E-2</v>
      </c>
      <c r="E11" s="35">
        <v>7.977720275426517E-2</v>
      </c>
      <c r="F11" s="35">
        <v>7.1763523697873047E-2</v>
      </c>
      <c r="G11" s="35">
        <v>6.8841602227615664E-2</v>
      </c>
      <c r="H11" s="35">
        <v>6.8708158493225285E-2</v>
      </c>
      <c r="I11" s="35">
        <v>7.2227084330983002E-2</v>
      </c>
      <c r="J11" s="35">
        <v>6.49011562849683E-2</v>
      </c>
      <c r="K11" s="35">
        <v>5.57E-2</v>
      </c>
      <c r="L11" s="36">
        <v>5.8799999999999998E-2</v>
      </c>
      <c r="M11" s="37">
        <f>L11</f>
        <v>5.8799999999999998E-2</v>
      </c>
      <c r="N11" s="35">
        <v>6.1617135431948696E-2</v>
      </c>
      <c r="O11" s="35">
        <v>6.9597140372910829E-2</v>
      </c>
      <c r="P11" s="35">
        <v>8.1464890202507675E-2</v>
      </c>
      <c r="Q11" s="35">
        <v>7.3854073854073859E-2</v>
      </c>
      <c r="R11" s="35">
        <v>7.0374398011496045E-2</v>
      </c>
      <c r="S11" s="35">
        <v>7.258778400708174E-2</v>
      </c>
      <c r="T11" s="35">
        <v>7.8880052899925168E-2</v>
      </c>
      <c r="U11" s="35">
        <v>8.3426028921023354E-2</v>
      </c>
      <c r="V11" s="35">
        <v>8.2152369606994749E-2</v>
      </c>
      <c r="W11" s="422">
        <f t="shared" ref="W11:Y14" si="1">+AVERAGE(T11:V11)</f>
        <v>8.1486150475981081E-2</v>
      </c>
      <c r="X11" s="422">
        <f t="shared" si="1"/>
        <v>8.2354849667999719E-2</v>
      </c>
      <c r="Y11" s="422">
        <f t="shared" si="1"/>
        <v>8.1997789916991845E-2</v>
      </c>
      <c r="Z11" s="695"/>
      <c r="AA11" s="563">
        <f>+Supuestos!$G12</f>
        <v>8.5000000000000006E-2</v>
      </c>
      <c r="AB11" s="564">
        <f>+Supuestos!$G12</f>
        <v>8.5000000000000006E-2</v>
      </c>
      <c r="AC11" s="564">
        <f>+Supuestos!$G12</f>
        <v>8.5000000000000006E-2</v>
      </c>
      <c r="AD11" s="564">
        <f>+Supuestos!$H12</f>
        <v>8.5000000000000006E-2</v>
      </c>
      <c r="AE11" s="564">
        <f>+Supuestos!$H12</f>
        <v>8.5000000000000006E-2</v>
      </c>
      <c r="AF11" s="564">
        <f>+Supuestos!$H12</f>
        <v>8.5000000000000006E-2</v>
      </c>
      <c r="AG11" s="564">
        <f>+Supuestos!$I12</f>
        <v>8.5999999999999993E-2</v>
      </c>
      <c r="AH11" s="564">
        <f>+Supuestos!$I12</f>
        <v>8.5999999999999993E-2</v>
      </c>
      <c r="AI11" s="564">
        <f>+Supuestos!$I12</f>
        <v>8.5999999999999993E-2</v>
      </c>
      <c r="AJ11" s="564">
        <f>+Supuestos!$J12</f>
        <v>8.5999999999999993E-2</v>
      </c>
      <c r="AK11" s="564">
        <f>+Supuestos!$J12</f>
        <v>8.5999999999999993E-2</v>
      </c>
      <c r="AL11" s="466">
        <f>+Supuestos!$J12</f>
        <v>8.5999999999999993E-2</v>
      </c>
      <c r="AM11" s="295"/>
    </row>
    <row r="12" spans="1:39">
      <c r="A12" t="s">
        <v>37</v>
      </c>
      <c r="B12" s="30">
        <v>62.603796496280282</v>
      </c>
      <c r="C12" s="30">
        <v>60.937065190032712</v>
      </c>
      <c r="D12" s="30">
        <v>60.650642160199673</v>
      </c>
      <c r="E12" s="30">
        <v>60.558441451346887</v>
      </c>
      <c r="F12" s="30">
        <v>59.557456242707104</v>
      </c>
      <c r="G12" s="30">
        <v>59.562456955452291</v>
      </c>
      <c r="H12" s="30">
        <v>58.551766899766889</v>
      </c>
      <c r="I12" s="30">
        <v>58.355317786922726</v>
      </c>
      <c r="J12" s="30">
        <v>59.97645977011495</v>
      </c>
      <c r="K12" s="30">
        <v>60</v>
      </c>
      <c r="L12" s="11">
        <f t="shared" ref="L12:M14" si="2">+AVERAGE(I12:K12)</f>
        <v>59.443925852345892</v>
      </c>
      <c r="M12" s="31">
        <f t="shared" si="2"/>
        <v>59.80679520748695</v>
      </c>
      <c r="N12" s="30">
        <v>54.466482993197268</v>
      </c>
      <c r="O12" s="30">
        <v>55.610402554136591</v>
      </c>
      <c r="P12" s="30">
        <v>58.125683106575941</v>
      </c>
      <c r="Q12" s="30">
        <v>57.357255361930278</v>
      </c>
      <c r="R12" s="30">
        <v>54.388428991905791</v>
      </c>
      <c r="S12" s="30">
        <v>55.968284552845518</v>
      </c>
      <c r="T12" s="30">
        <v>58.596671078755783</v>
      </c>
      <c r="U12" s="30">
        <v>53.905531707317088</v>
      </c>
      <c r="V12" s="30">
        <v>55.3780191518468</v>
      </c>
      <c r="W12" s="418">
        <f t="shared" si="1"/>
        <v>55.96007397930655</v>
      </c>
      <c r="X12" s="418">
        <f t="shared" si="1"/>
        <v>55.081208279490141</v>
      </c>
      <c r="Y12" s="418">
        <f t="shared" si="1"/>
        <v>55.473100470214497</v>
      </c>
      <c r="Z12" s="694"/>
      <c r="AA12" s="561">
        <f>+Supuestos!$G$13</f>
        <v>54</v>
      </c>
      <c r="AB12" s="562">
        <f>+Supuestos!$G$13</f>
        <v>54</v>
      </c>
      <c r="AC12" s="562">
        <f>+Supuestos!$G$13</f>
        <v>54</v>
      </c>
      <c r="AD12" s="562">
        <f>+Supuestos!$H$13</f>
        <v>54</v>
      </c>
      <c r="AE12" s="562">
        <f>+Supuestos!$H$13</f>
        <v>54</v>
      </c>
      <c r="AF12" s="562">
        <f>+Supuestos!$H$13</f>
        <v>54</v>
      </c>
      <c r="AG12" s="562">
        <f>+Supuestos!$I$13</f>
        <v>55</v>
      </c>
      <c r="AH12" s="562">
        <f>+Supuestos!$I$13</f>
        <v>55</v>
      </c>
      <c r="AI12" s="562">
        <f>+Supuestos!$I$13</f>
        <v>55</v>
      </c>
      <c r="AJ12" s="562">
        <f>+Supuestos!$J$13</f>
        <v>55</v>
      </c>
      <c r="AK12" s="562">
        <f>+Supuestos!$J$13</f>
        <v>55</v>
      </c>
      <c r="AL12" s="206">
        <f>+Supuestos!$J$13</f>
        <v>55</v>
      </c>
    </row>
    <row r="13" spans="1:39">
      <c r="A13" s="324" t="s">
        <v>302</v>
      </c>
      <c r="B13" s="30">
        <v>74</v>
      </c>
      <c r="C13" s="30">
        <v>72.805659298780384</v>
      </c>
      <c r="D13" s="30">
        <v>72.746155454862205</v>
      </c>
      <c r="E13" s="30">
        <v>72.861952259164426</v>
      </c>
      <c r="F13" s="30">
        <v>71.703877176901855</v>
      </c>
      <c r="G13" s="30">
        <v>71.800644481887019</v>
      </c>
      <c r="H13" s="30">
        <v>70.628594154642897</v>
      </c>
      <c r="I13" s="30">
        <v>70.352617594254852</v>
      </c>
      <c r="J13" s="30">
        <v>71.213159982371025</v>
      </c>
      <c r="K13" s="90">
        <v>72.228694410444646</v>
      </c>
      <c r="L13" s="11">
        <f t="shared" si="2"/>
        <v>71.264823995690165</v>
      </c>
      <c r="M13" s="31">
        <f t="shared" si="2"/>
        <v>71.568892796168612</v>
      </c>
      <c r="N13" s="30">
        <v>66</v>
      </c>
      <c r="O13" s="30">
        <v>67</v>
      </c>
      <c r="P13" s="30">
        <v>69</v>
      </c>
      <c r="Q13" s="30">
        <v>69</v>
      </c>
      <c r="R13" s="30">
        <v>65</v>
      </c>
      <c r="S13" s="30">
        <v>66</v>
      </c>
      <c r="T13" s="30">
        <v>66</v>
      </c>
      <c r="U13" s="30">
        <v>57</v>
      </c>
      <c r="V13" s="30">
        <v>59</v>
      </c>
      <c r="W13" s="418">
        <f t="shared" si="1"/>
        <v>60.666666666666664</v>
      </c>
      <c r="X13" s="418">
        <f t="shared" si="1"/>
        <v>58.888888888888886</v>
      </c>
      <c r="Y13" s="418">
        <f t="shared" si="1"/>
        <v>59.518518518518512</v>
      </c>
      <c r="Z13" s="694"/>
      <c r="AA13" s="565">
        <f t="shared" ref="AA13:AL13" si="3">+(AA12-(AA28*AA14))/AA27</f>
        <v>58.556666666666665</v>
      </c>
      <c r="AB13" s="566">
        <f t="shared" si="3"/>
        <v>58.556666666666665</v>
      </c>
      <c r="AC13" s="566">
        <f t="shared" si="3"/>
        <v>58.556666666666665</v>
      </c>
      <c r="AD13" s="566">
        <f t="shared" si="3"/>
        <v>58.556666666666665</v>
      </c>
      <c r="AE13" s="566">
        <f t="shared" si="3"/>
        <v>58.556666666666665</v>
      </c>
      <c r="AF13" s="566">
        <f t="shared" si="3"/>
        <v>58.556666666666665</v>
      </c>
      <c r="AG13" s="566">
        <f t="shared" si="3"/>
        <v>59.667777777777779</v>
      </c>
      <c r="AH13" s="566">
        <f t="shared" si="3"/>
        <v>59.667777777777779</v>
      </c>
      <c r="AI13" s="566">
        <f t="shared" si="3"/>
        <v>59.667777777777779</v>
      </c>
      <c r="AJ13" s="566">
        <f t="shared" si="3"/>
        <v>59.667777777777779</v>
      </c>
      <c r="AK13" s="566">
        <f t="shared" si="3"/>
        <v>59.667777777777779</v>
      </c>
      <c r="AL13" s="38">
        <f t="shared" si="3"/>
        <v>59.667777777777779</v>
      </c>
      <c r="AM13" t="s">
        <v>351</v>
      </c>
    </row>
    <row r="14" spans="1:39">
      <c r="A14" s="324" t="s">
        <v>303</v>
      </c>
      <c r="B14" s="30">
        <v>11.999065040650406</v>
      </c>
      <c r="C14" s="30">
        <v>11.801579617834397</v>
      </c>
      <c r="D14" s="30">
        <v>11.889049217002235</v>
      </c>
      <c r="E14" s="30">
        <v>11.831211717709717</v>
      </c>
      <c r="F14" s="30">
        <v>11.438174037089871</v>
      </c>
      <c r="G14" s="30">
        <v>11.299947089947091</v>
      </c>
      <c r="H14" s="30">
        <v>11.245593607305935</v>
      </c>
      <c r="I14" s="30">
        <v>11.414972796517956</v>
      </c>
      <c r="J14" s="30">
        <v>12.555669642857145</v>
      </c>
      <c r="K14" s="325">
        <v>12.111391184573003</v>
      </c>
      <c r="L14" s="11">
        <f t="shared" si="2"/>
        <v>12.027344541316035</v>
      </c>
      <c r="M14" s="31">
        <f t="shared" si="2"/>
        <v>12.231468456248727</v>
      </c>
      <c r="N14" s="30">
        <v>11</v>
      </c>
      <c r="O14" s="30">
        <v>11</v>
      </c>
      <c r="P14" s="30">
        <v>11</v>
      </c>
      <c r="Q14" s="30">
        <v>10</v>
      </c>
      <c r="R14" s="30">
        <v>10</v>
      </c>
      <c r="S14" s="30">
        <v>10</v>
      </c>
      <c r="T14" s="30">
        <v>9</v>
      </c>
      <c r="U14" s="30">
        <v>12</v>
      </c>
      <c r="V14" s="30">
        <v>12</v>
      </c>
      <c r="W14" s="418">
        <f t="shared" si="1"/>
        <v>11</v>
      </c>
      <c r="X14" s="418">
        <f t="shared" si="1"/>
        <v>11.666666666666666</v>
      </c>
      <c r="Y14" s="418">
        <f t="shared" si="1"/>
        <v>11.555555555555555</v>
      </c>
      <c r="Z14" s="694"/>
      <c r="AA14" s="567">
        <v>12.99</v>
      </c>
      <c r="AB14" s="568">
        <v>12.99</v>
      </c>
      <c r="AC14" s="568">
        <v>12.99</v>
      </c>
      <c r="AD14" s="568">
        <v>12.99</v>
      </c>
      <c r="AE14" s="568">
        <v>12.99</v>
      </c>
      <c r="AF14" s="568">
        <v>12.99</v>
      </c>
      <c r="AG14" s="568">
        <v>12.99</v>
      </c>
      <c r="AH14" s="568">
        <v>12.99</v>
      </c>
      <c r="AI14" s="568">
        <v>12.99</v>
      </c>
      <c r="AJ14" s="568">
        <v>12.99</v>
      </c>
      <c r="AK14" s="568">
        <v>12.99</v>
      </c>
      <c r="AL14" s="550">
        <v>12.99</v>
      </c>
      <c r="AM14" t="s">
        <v>350</v>
      </c>
    </row>
    <row r="15" spans="1:39">
      <c r="AA15" s="197"/>
    </row>
    <row r="16" spans="1:39">
      <c r="A16" s="5" t="s">
        <v>38</v>
      </c>
      <c r="AA16" s="197"/>
    </row>
    <row r="17" spans="1:39">
      <c r="A17" t="s">
        <v>39</v>
      </c>
      <c r="B17" s="39">
        <v>0.3</v>
      </c>
      <c r="C17" s="39">
        <v>0.3</v>
      </c>
      <c r="D17" s="39">
        <v>0.3</v>
      </c>
      <c r="E17" s="39">
        <v>0.3</v>
      </c>
      <c r="F17" s="39">
        <v>0.3</v>
      </c>
      <c r="G17" s="39">
        <v>0.3</v>
      </c>
      <c r="H17" s="39">
        <v>0.3</v>
      </c>
      <c r="I17" s="39">
        <v>0.3</v>
      </c>
      <c r="J17" s="39">
        <v>0.3</v>
      </c>
      <c r="K17" s="39">
        <v>0.3</v>
      </c>
      <c r="L17" s="39">
        <v>0.3</v>
      </c>
      <c r="M17" s="40">
        <v>0.3</v>
      </c>
      <c r="N17" s="39">
        <v>0.35</v>
      </c>
      <c r="O17" s="39">
        <v>0.35</v>
      </c>
      <c r="P17" s="39">
        <v>0.35</v>
      </c>
      <c r="Q17" s="39">
        <v>0.35</v>
      </c>
      <c r="R17" s="39">
        <v>0.35</v>
      </c>
      <c r="S17" s="39">
        <v>0.35</v>
      </c>
      <c r="T17" s="39">
        <v>0.35</v>
      </c>
      <c r="U17" s="39">
        <v>0.35</v>
      </c>
      <c r="V17" s="39">
        <v>0.35</v>
      </c>
      <c r="W17" s="39">
        <v>0.35</v>
      </c>
      <c r="X17" s="39">
        <v>0.35</v>
      </c>
      <c r="Y17" s="39">
        <v>0.35</v>
      </c>
      <c r="Z17" s="696"/>
      <c r="AA17" s="569">
        <v>0.3</v>
      </c>
      <c r="AB17" s="570">
        <v>0.3</v>
      </c>
      <c r="AC17" s="570">
        <v>0.3</v>
      </c>
      <c r="AD17" s="570">
        <v>0.3</v>
      </c>
      <c r="AE17" s="570">
        <v>0.3</v>
      </c>
      <c r="AF17" s="570">
        <v>0.3</v>
      </c>
      <c r="AG17" s="570">
        <v>0.3</v>
      </c>
      <c r="AH17" s="570">
        <v>0.3</v>
      </c>
      <c r="AI17" s="570">
        <v>0.3</v>
      </c>
      <c r="AJ17" s="570">
        <v>0.3</v>
      </c>
      <c r="AK17" s="570">
        <v>0.3</v>
      </c>
      <c r="AL17" s="551">
        <v>0.3</v>
      </c>
    </row>
    <row r="18" spans="1:39">
      <c r="A18" t="s">
        <v>40</v>
      </c>
      <c r="B18" s="39">
        <v>0.15</v>
      </c>
      <c r="C18" s="39">
        <v>0.15</v>
      </c>
      <c r="D18" s="39">
        <v>0.15</v>
      </c>
      <c r="E18" s="39">
        <v>0.15</v>
      </c>
      <c r="F18" s="39">
        <v>0.15</v>
      </c>
      <c r="G18" s="39">
        <v>0.15</v>
      </c>
      <c r="H18" s="39">
        <v>0.15</v>
      </c>
      <c r="I18" s="39">
        <v>0.15</v>
      </c>
      <c r="J18" s="39">
        <v>0.15</v>
      </c>
      <c r="K18" s="39">
        <v>0.15</v>
      </c>
      <c r="L18" s="39">
        <v>0.15</v>
      </c>
      <c r="M18" s="40">
        <v>0.15</v>
      </c>
      <c r="N18" s="39">
        <v>0.2</v>
      </c>
      <c r="O18" s="39">
        <v>0.2</v>
      </c>
      <c r="P18" s="39">
        <v>0.2</v>
      </c>
      <c r="Q18" s="39">
        <v>0.2</v>
      </c>
      <c r="R18" s="39">
        <v>0.2</v>
      </c>
      <c r="S18" s="39">
        <v>0.2</v>
      </c>
      <c r="T18" s="39">
        <v>0.2</v>
      </c>
      <c r="U18" s="39">
        <v>0.2</v>
      </c>
      <c r="V18" s="39">
        <v>0.2</v>
      </c>
      <c r="W18" s="39">
        <v>0.2</v>
      </c>
      <c r="X18" s="39">
        <v>0.2</v>
      </c>
      <c r="Y18" s="39">
        <v>0.2</v>
      </c>
      <c r="Z18" s="696"/>
      <c r="AA18" s="569">
        <v>0.2</v>
      </c>
      <c r="AB18" s="570">
        <v>0.2</v>
      </c>
      <c r="AC18" s="570">
        <v>0.2</v>
      </c>
      <c r="AD18" s="570">
        <v>0.2</v>
      </c>
      <c r="AE18" s="570">
        <v>0.2</v>
      </c>
      <c r="AF18" s="570">
        <v>0.2</v>
      </c>
      <c r="AG18" s="570">
        <v>0.2</v>
      </c>
      <c r="AH18" s="570">
        <v>0.2</v>
      </c>
      <c r="AI18" s="570">
        <v>0.2</v>
      </c>
      <c r="AJ18" s="570">
        <v>0.2</v>
      </c>
      <c r="AK18" s="570">
        <v>0.2</v>
      </c>
      <c r="AL18" s="551">
        <v>0.2</v>
      </c>
    </row>
    <row r="19" spans="1:39">
      <c r="AA19" s="197"/>
    </row>
    <row r="20" spans="1:39">
      <c r="A20" t="s">
        <v>41</v>
      </c>
      <c r="B20" s="35">
        <v>9.2232400000000006E-2</v>
      </c>
      <c r="C20" s="35">
        <v>9.2596300000000006E-2</v>
      </c>
      <c r="D20" s="35">
        <v>9.8093399999999997E-2</v>
      </c>
      <c r="E20" s="35">
        <v>9.6376900000000001E-2</v>
      </c>
      <c r="F20" s="35">
        <v>9.8910600000000001E-2</v>
      </c>
      <c r="G20" s="35">
        <v>9.80124E-2</v>
      </c>
      <c r="H20" s="35">
        <v>9.7507700000000003E-2</v>
      </c>
      <c r="I20" s="35">
        <v>0.1008405</v>
      </c>
      <c r="J20" s="35">
        <v>9.9122399999999999E-2</v>
      </c>
      <c r="K20" s="35">
        <v>9.5179100000000003E-2</v>
      </c>
      <c r="L20" s="36">
        <f>+AVERAGE(I20:K20)</f>
        <v>9.8380666666666672E-2</v>
      </c>
      <c r="M20" s="37">
        <f>+AVERAGE(J20:L20)</f>
        <v>9.7560722222222229E-2</v>
      </c>
      <c r="N20" s="35">
        <v>9.5000000000000001E-2</v>
      </c>
      <c r="O20" s="35">
        <v>9.5000000000000001E-2</v>
      </c>
      <c r="P20" s="35">
        <v>9.5000000000000001E-2</v>
      </c>
      <c r="Q20" s="35">
        <v>9.5000000000000001E-2</v>
      </c>
      <c r="R20" s="35">
        <v>9.5000000000000001E-2</v>
      </c>
      <c r="S20" s="35">
        <v>9.5000000000000001E-2</v>
      </c>
      <c r="T20" s="35">
        <v>9.5000000000000001E-2</v>
      </c>
      <c r="U20" s="35">
        <v>9.5000000000000001E-2</v>
      </c>
      <c r="V20" s="35">
        <v>9.5000000000000001E-2</v>
      </c>
      <c r="W20" s="35">
        <v>9.5000000000000001E-2</v>
      </c>
      <c r="X20" s="36">
        <v>9.5000000000000001E-2</v>
      </c>
      <c r="Y20" s="395">
        <v>9.5000000000000001E-2</v>
      </c>
      <c r="Z20" s="697"/>
      <c r="AA20" s="571">
        <f>+Supuestos!$G$14</f>
        <v>0.08</v>
      </c>
      <c r="AB20" s="395">
        <f>+Supuestos!$G$14</f>
        <v>0.08</v>
      </c>
      <c r="AC20" s="395">
        <f>+Supuestos!$G$14</f>
        <v>0.08</v>
      </c>
      <c r="AD20" s="395">
        <f>+Supuestos!$H$14</f>
        <v>0.08</v>
      </c>
      <c r="AE20" s="395">
        <f>+Supuestos!$H$14</f>
        <v>0.08</v>
      </c>
      <c r="AF20" s="395">
        <f>+Supuestos!$H$14</f>
        <v>0.08</v>
      </c>
      <c r="AG20" s="395">
        <f>+Supuestos!$I$14</f>
        <v>0.08</v>
      </c>
      <c r="AH20" s="395">
        <f>+Supuestos!$I$14</f>
        <v>0.08</v>
      </c>
      <c r="AI20" s="395">
        <f>+Supuestos!$I$14</f>
        <v>0.08</v>
      </c>
      <c r="AJ20" s="395">
        <f>+Supuestos!$J$14</f>
        <v>0.08</v>
      </c>
      <c r="AK20" s="395">
        <f>+Supuestos!$J$14</f>
        <v>0.08</v>
      </c>
      <c r="AL20" s="465">
        <f>+Supuestos!$J$14</f>
        <v>0.08</v>
      </c>
    </row>
    <row r="21" spans="1:39">
      <c r="A21" t="s">
        <v>42</v>
      </c>
      <c r="B21" s="41">
        <v>0.8</v>
      </c>
      <c r="C21" s="41">
        <v>0.77</v>
      </c>
      <c r="D21" s="41">
        <v>0.81</v>
      </c>
      <c r="E21" s="41">
        <v>0.79</v>
      </c>
      <c r="F21" s="41">
        <v>0.82</v>
      </c>
      <c r="G21" s="41">
        <v>0.82</v>
      </c>
      <c r="H21" s="41">
        <v>0.81</v>
      </c>
      <c r="I21" s="41">
        <v>0.82</v>
      </c>
      <c r="J21" s="41">
        <v>0.81</v>
      </c>
      <c r="K21" s="41">
        <v>0.73</v>
      </c>
      <c r="L21" s="42">
        <f>1-(1-L20)^12</f>
        <v>0.71141178759045598</v>
      </c>
      <c r="M21" s="43">
        <f>1-(1-M20)^12</f>
        <v>0.70824663655142461</v>
      </c>
      <c r="N21" s="572">
        <v>0.83</v>
      </c>
      <c r="O21" s="573">
        <v>0.83</v>
      </c>
      <c r="P21" s="573">
        <v>0.83</v>
      </c>
      <c r="Q21" s="573">
        <v>0.83</v>
      </c>
      <c r="R21" s="573">
        <v>0.83</v>
      </c>
      <c r="S21" s="573">
        <v>0.83</v>
      </c>
      <c r="T21" s="573">
        <v>0.83</v>
      </c>
      <c r="U21" s="573">
        <v>0.83</v>
      </c>
      <c r="V21" s="573">
        <v>0.83</v>
      </c>
      <c r="W21" s="573">
        <v>0.83</v>
      </c>
      <c r="X21" s="573">
        <v>0.83</v>
      </c>
      <c r="Y21" s="552">
        <v>0.83</v>
      </c>
      <c r="Z21" s="698"/>
      <c r="AA21" s="572">
        <v>0.83</v>
      </c>
      <c r="AB21" s="573">
        <v>0.83</v>
      </c>
      <c r="AC21" s="573">
        <v>0.83</v>
      </c>
      <c r="AD21" s="573">
        <v>0.83</v>
      </c>
      <c r="AE21" s="573">
        <v>0.83</v>
      </c>
      <c r="AF21" s="573">
        <v>0.83</v>
      </c>
      <c r="AG21" s="573">
        <v>0.83</v>
      </c>
      <c r="AH21" s="573">
        <v>0.83</v>
      </c>
      <c r="AI21" s="573">
        <v>0.83</v>
      </c>
      <c r="AJ21" s="573">
        <v>0.83</v>
      </c>
      <c r="AK21" s="573">
        <v>0.83</v>
      </c>
      <c r="AL21" s="552">
        <v>0.83</v>
      </c>
      <c r="AM21" t="s">
        <v>352</v>
      </c>
    </row>
    <row r="22" spans="1:39">
      <c r="A22" t="s">
        <v>43</v>
      </c>
      <c r="B22" s="86">
        <v>0.38526912181303113</v>
      </c>
      <c r="C22" s="86">
        <v>0.38400000000000001</v>
      </c>
      <c r="D22" s="86">
        <v>0.43337195828505215</v>
      </c>
      <c r="E22" s="86">
        <v>0.4592696629213483</v>
      </c>
      <c r="F22" s="86">
        <v>0.41877794336810731</v>
      </c>
      <c r="G22" s="86">
        <v>0.46482758620689657</v>
      </c>
      <c r="H22" s="86">
        <v>0.51820388349514568</v>
      </c>
      <c r="I22" s="86">
        <v>0.53469852104664395</v>
      </c>
      <c r="J22" s="86">
        <v>0.51718750000000002</v>
      </c>
      <c r="K22" s="45">
        <f>+AVERAGE(H22:J22)</f>
        <v>0.52336330151392996</v>
      </c>
      <c r="L22" s="45">
        <f>+AVERAGE(I22:K22)</f>
        <v>0.52508310752019138</v>
      </c>
      <c r="M22" s="10">
        <f>+AVERAGE(J22:L22)</f>
        <v>0.52187796967804045</v>
      </c>
      <c r="N22" s="572">
        <v>0.49</v>
      </c>
      <c r="O22" s="573">
        <v>0.49</v>
      </c>
      <c r="P22" s="573">
        <v>0.49</v>
      </c>
      <c r="Q22" s="573">
        <v>0.49</v>
      </c>
      <c r="R22" s="573">
        <v>0.49</v>
      </c>
      <c r="S22" s="573">
        <v>0.49</v>
      </c>
      <c r="T22" s="573">
        <v>0.49</v>
      </c>
      <c r="U22" s="573">
        <v>0.49</v>
      </c>
      <c r="V22" s="573">
        <v>0.49</v>
      </c>
      <c r="W22" s="573">
        <v>0.49</v>
      </c>
      <c r="X22" s="573">
        <v>0.49</v>
      </c>
      <c r="Y22" s="552">
        <v>0.49</v>
      </c>
      <c r="Z22" s="698"/>
      <c r="AA22" s="572">
        <v>0.49</v>
      </c>
      <c r="AB22" s="573">
        <v>0.49</v>
      </c>
      <c r="AC22" s="573">
        <v>0.49</v>
      </c>
      <c r="AD22" s="573">
        <v>0.49</v>
      </c>
      <c r="AE22" s="573">
        <v>0.49</v>
      </c>
      <c r="AF22" s="573">
        <v>0.49</v>
      </c>
      <c r="AG22" s="573">
        <v>0.49</v>
      </c>
      <c r="AH22" s="573">
        <v>0.49</v>
      </c>
      <c r="AI22" s="573">
        <v>0.49</v>
      </c>
      <c r="AJ22" s="573">
        <v>0.49</v>
      </c>
      <c r="AK22" s="573">
        <v>0.49</v>
      </c>
      <c r="AL22" s="552">
        <v>0.49</v>
      </c>
      <c r="AM22" t="s">
        <v>352</v>
      </c>
    </row>
    <row r="23" spans="1:39">
      <c r="B23" s="44"/>
      <c r="C23" s="44"/>
      <c r="D23" s="44"/>
      <c r="E23" s="44"/>
      <c r="F23" s="44"/>
      <c r="G23" s="44"/>
      <c r="H23" s="44"/>
      <c r="I23" s="44"/>
      <c r="J23" s="44"/>
      <c r="N23" s="44"/>
      <c r="O23" s="44"/>
      <c r="P23" s="44"/>
      <c r="Q23" s="44"/>
      <c r="R23" s="44"/>
      <c r="S23" s="44"/>
      <c r="T23" s="44"/>
      <c r="U23" s="44"/>
      <c r="V23" s="44"/>
      <c r="AA23" s="197"/>
    </row>
    <row r="24" spans="1:39">
      <c r="A24" s="27" t="s">
        <v>44</v>
      </c>
      <c r="B24" s="46">
        <f t="shared" ref="B24:M24" si="4">+B8/B9</f>
        <v>59830</v>
      </c>
      <c r="C24" s="46">
        <f t="shared" si="4"/>
        <v>52071</v>
      </c>
      <c r="D24" s="46">
        <f t="shared" si="4"/>
        <v>50071</v>
      </c>
      <c r="E24" s="46">
        <f t="shared" si="4"/>
        <v>45602</v>
      </c>
      <c r="F24" s="46">
        <f t="shared" si="4"/>
        <v>47768</v>
      </c>
      <c r="G24" s="46">
        <f t="shared" si="4"/>
        <v>53151</v>
      </c>
      <c r="H24" s="46">
        <f t="shared" si="4"/>
        <v>62438.000000000007</v>
      </c>
      <c r="I24" s="46">
        <f t="shared" si="4"/>
        <v>60559</v>
      </c>
      <c r="J24" s="46">
        <f t="shared" si="4"/>
        <v>53620</v>
      </c>
      <c r="K24" s="47">
        <f t="shared" si="4"/>
        <v>65993.333333333328</v>
      </c>
      <c r="L24" s="47">
        <f t="shared" si="4"/>
        <v>66953.513834020632</v>
      </c>
      <c r="M24" s="48">
        <f t="shared" si="4"/>
        <v>64489.984080584196</v>
      </c>
      <c r="N24" s="326">
        <v>71571</v>
      </c>
      <c r="O24" s="326">
        <v>51755</v>
      </c>
      <c r="P24" s="326">
        <v>43307</v>
      </c>
      <c r="Q24" s="326">
        <v>40404</v>
      </c>
      <c r="R24" s="326">
        <v>38622</v>
      </c>
      <c r="S24" s="326">
        <v>50835</v>
      </c>
      <c r="T24" s="326">
        <v>57467</v>
      </c>
      <c r="U24" s="326">
        <v>73718</v>
      </c>
      <c r="V24" s="326">
        <v>88981</v>
      </c>
      <c r="W24" s="423">
        <f>+AVERAGE(T24:V24)</f>
        <v>73388.666666666672</v>
      </c>
      <c r="X24" s="423">
        <f>+AVERAGE(U24:W24)</f>
        <v>78695.888888888891</v>
      </c>
      <c r="Y24" s="423">
        <f>+AVERAGE(V24:X24)</f>
        <v>80355.185185185182</v>
      </c>
      <c r="Z24" s="693"/>
      <c r="AA24" s="574">
        <f t="shared" ref="AA24:AL24" si="5">+AA8/AA9</f>
        <v>77400</v>
      </c>
      <c r="AB24" s="575">
        <f t="shared" si="5"/>
        <v>77400</v>
      </c>
      <c r="AC24" s="575">
        <f t="shared" si="5"/>
        <v>77400</v>
      </c>
      <c r="AD24" s="575">
        <f t="shared" si="5"/>
        <v>89010</v>
      </c>
      <c r="AE24" s="575">
        <f t="shared" si="5"/>
        <v>89010</v>
      </c>
      <c r="AF24" s="575">
        <f t="shared" si="5"/>
        <v>89010</v>
      </c>
      <c r="AG24" s="575">
        <f t="shared" si="5"/>
        <v>96750</v>
      </c>
      <c r="AH24" s="575">
        <f t="shared" si="5"/>
        <v>96750</v>
      </c>
      <c r="AI24" s="575">
        <f t="shared" si="5"/>
        <v>96750</v>
      </c>
      <c r="AJ24" s="575">
        <f t="shared" si="5"/>
        <v>104490</v>
      </c>
      <c r="AK24" s="575">
        <f t="shared" si="5"/>
        <v>104490</v>
      </c>
      <c r="AL24" s="49">
        <f t="shared" si="5"/>
        <v>104490</v>
      </c>
    </row>
    <row r="25" spans="1:39">
      <c r="A25" s="50"/>
      <c r="B25" s="51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2"/>
      <c r="N25" s="51"/>
      <c r="O25" s="50"/>
      <c r="P25" s="50"/>
      <c r="Q25" s="50"/>
      <c r="R25" s="50"/>
      <c r="S25" s="50"/>
      <c r="T25" s="50"/>
      <c r="U25" s="50"/>
      <c r="V25" s="50"/>
      <c r="W25" s="424"/>
      <c r="X25" s="424"/>
      <c r="Y25" s="424"/>
      <c r="AA25" s="197"/>
    </row>
    <row r="26" spans="1:39">
      <c r="A26" s="53" t="s">
        <v>45</v>
      </c>
      <c r="B26" s="54">
        <f t="shared" ref="B26:M26" si="6">+B24*B11</f>
        <v>4167</v>
      </c>
      <c r="C26" s="54">
        <f t="shared" si="6"/>
        <v>3973</v>
      </c>
      <c r="D26" s="54">
        <f t="shared" si="6"/>
        <v>4407</v>
      </c>
      <c r="E26" s="54">
        <f t="shared" si="6"/>
        <v>3638.0000000000005</v>
      </c>
      <c r="F26" s="54">
        <f t="shared" si="6"/>
        <v>3427.9999999999995</v>
      </c>
      <c r="G26" s="54">
        <f t="shared" si="6"/>
        <v>3659</v>
      </c>
      <c r="H26" s="54">
        <f t="shared" si="6"/>
        <v>4290.0000000000009</v>
      </c>
      <c r="I26" s="54">
        <f t="shared" si="6"/>
        <v>4374</v>
      </c>
      <c r="J26" s="54">
        <f t="shared" si="6"/>
        <v>3480.0000000000005</v>
      </c>
      <c r="K26" s="55">
        <f t="shared" si="6"/>
        <v>3675.8286666666663</v>
      </c>
      <c r="L26" s="55">
        <f t="shared" si="6"/>
        <v>3936.8666134404129</v>
      </c>
      <c r="M26" s="56">
        <f t="shared" si="6"/>
        <v>3792.0110639383506</v>
      </c>
      <c r="N26" s="54">
        <v>4410</v>
      </c>
      <c r="O26" s="54">
        <v>3602</v>
      </c>
      <c r="P26" s="54">
        <v>3528</v>
      </c>
      <c r="Q26" s="54">
        <v>2984</v>
      </c>
      <c r="R26" s="54">
        <v>2718</v>
      </c>
      <c r="S26" s="54">
        <v>3690</v>
      </c>
      <c r="T26" s="54">
        <v>4533</v>
      </c>
      <c r="U26" s="54">
        <v>6150</v>
      </c>
      <c r="V26" s="54">
        <v>7310</v>
      </c>
      <c r="W26" s="423">
        <f>+AVERAGE(T26:V26)</f>
        <v>5997.666666666667</v>
      </c>
      <c r="X26" s="423">
        <f>+AVERAGE(U26:W26)</f>
        <v>6485.8888888888896</v>
      </c>
      <c r="Y26" s="423">
        <f>+AVERAGE(V26:X26)</f>
        <v>6597.8518518518531</v>
      </c>
      <c r="Z26" s="693"/>
      <c r="AA26" s="576">
        <f>+AA24*AA11</f>
        <v>6579.0000000000009</v>
      </c>
      <c r="AB26" s="57">
        <f t="shared" ref="AB26:AL26" si="7">+AB24*AB11</f>
        <v>6579.0000000000009</v>
      </c>
      <c r="AC26" s="57">
        <f t="shared" si="7"/>
        <v>6579.0000000000009</v>
      </c>
      <c r="AD26" s="57">
        <f t="shared" si="7"/>
        <v>7565.85</v>
      </c>
      <c r="AE26" s="57">
        <f t="shared" si="7"/>
        <v>7565.85</v>
      </c>
      <c r="AF26" s="57">
        <f t="shared" si="7"/>
        <v>7565.85</v>
      </c>
      <c r="AG26" s="57">
        <f t="shared" si="7"/>
        <v>8320.5</v>
      </c>
      <c r="AH26" s="57">
        <f t="shared" si="7"/>
        <v>8320.5</v>
      </c>
      <c r="AI26" s="57">
        <f t="shared" si="7"/>
        <v>8320.5</v>
      </c>
      <c r="AJ26" s="57">
        <f t="shared" si="7"/>
        <v>8986.14</v>
      </c>
      <c r="AK26" s="57">
        <f t="shared" si="7"/>
        <v>8986.14</v>
      </c>
      <c r="AL26" s="58">
        <f t="shared" si="7"/>
        <v>8986.14</v>
      </c>
    </row>
    <row r="27" spans="1:39">
      <c r="A27" s="59" t="s">
        <v>46</v>
      </c>
      <c r="B27" s="334">
        <f>B26-B28</f>
        <v>3410</v>
      </c>
      <c r="C27" s="334">
        <f t="shared" ref="C27:M27" si="8">C26-C28</f>
        <v>3170</v>
      </c>
      <c r="D27" s="334">
        <f t="shared" si="8"/>
        <v>3490</v>
      </c>
      <c r="E27" s="334">
        <f t="shared" si="8"/>
        <v>2866.0000000000005</v>
      </c>
      <c r="F27" s="334">
        <f t="shared" si="8"/>
        <v>2701.9999999999995</v>
      </c>
      <c r="G27" s="334">
        <f t="shared" si="8"/>
        <v>2883</v>
      </c>
      <c r="H27" s="334">
        <f t="shared" si="8"/>
        <v>3386.0000000000009</v>
      </c>
      <c r="I27" s="334">
        <f t="shared" si="8"/>
        <v>3428</v>
      </c>
      <c r="J27" s="334">
        <f t="shared" si="8"/>
        <v>2782.0000000000005</v>
      </c>
      <c r="K27" s="334">
        <f t="shared" si="8"/>
        <v>2932.8286666666663</v>
      </c>
      <c r="L27" s="334">
        <f t="shared" si="8"/>
        <v>3141.1999467737464</v>
      </c>
      <c r="M27" s="335">
        <f t="shared" si="8"/>
        <v>3046.455508382795</v>
      </c>
      <c r="N27" s="412">
        <v>0.8</v>
      </c>
      <c r="O27" s="412">
        <v>0.8</v>
      </c>
      <c r="P27" s="412">
        <v>0.8</v>
      </c>
      <c r="Q27" s="412">
        <v>0.8</v>
      </c>
      <c r="R27" s="412">
        <v>0.8</v>
      </c>
      <c r="S27" s="412">
        <v>0.8</v>
      </c>
      <c r="T27" s="412">
        <v>0.8</v>
      </c>
      <c r="U27" s="412">
        <v>0.8</v>
      </c>
      <c r="V27" s="412">
        <v>0.8</v>
      </c>
      <c r="W27" s="412">
        <v>0.8</v>
      </c>
      <c r="X27" s="412">
        <v>0.8</v>
      </c>
      <c r="Y27" s="79">
        <v>0.8</v>
      </c>
      <c r="Z27" s="699"/>
      <c r="AA27" s="577">
        <v>0.9</v>
      </c>
      <c r="AB27" s="553">
        <v>0.9</v>
      </c>
      <c r="AC27" s="553">
        <v>0.9</v>
      </c>
      <c r="AD27" s="553">
        <v>0.9</v>
      </c>
      <c r="AE27" s="553">
        <v>0.9</v>
      </c>
      <c r="AF27" s="553">
        <v>0.9</v>
      </c>
      <c r="AG27" s="553">
        <v>0.9</v>
      </c>
      <c r="AH27" s="553">
        <v>0.9</v>
      </c>
      <c r="AI27" s="553">
        <v>0.9</v>
      </c>
      <c r="AJ27" s="553">
        <v>0.9</v>
      </c>
      <c r="AK27" s="553">
        <v>0.9</v>
      </c>
      <c r="AL27" s="554">
        <v>0.9</v>
      </c>
      <c r="AM27" s="468" t="s">
        <v>348</v>
      </c>
    </row>
    <row r="28" spans="1:39">
      <c r="A28" s="59" t="s">
        <v>47</v>
      </c>
      <c r="B28" s="336">
        <v>757</v>
      </c>
      <c r="C28" s="331">
        <v>803</v>
      </c>
      <c r="D28" s="331">
        <v>917</v>
      </c>
      <c r="E28" s="331">
        <v>772</v>
      </c>
      <c r="F28" s="331">
        <v>726</v>
      </c>
      <c r="G28" s="331">
        <v>776</v>
      </c>
      <c r="H28" s="331">
        <v>904</v>
      </c>
      <c r="I28" s="331">
        <v>946</v>
      </c>
      <c r="J28" s="331">
        <v>698</v>
      </c>
      <c r="K28" s="332">
        <v>743</v>
      </c>
      <c r="L28" s="337">
        <f>+AVERAGE(I28:K28)</f>
        <v>795.66666666666663</v>
      </c>
      <c r="M28" s="333">
        <f>+AVERAGE(J28:L28)</f>
        <v>745.55555555555554</v>
      </c>
      <c r="N28" s="413">
        <v>0.2</v>
      </c>
      <c r="O28" s="414">
        <v>0.2</v>
      </c>
      <c r="P28" s="414">
        <v>0.2</v>
      </c>
      <c r="Q28" s="414">
        <v>0.2</v>
      </c>
      <c r="R28" s="414">
        <v>0.2</v>
      </c>
      <c r="S28" s="414">
        <v>0.2</v>
      </c>
      <c r="T28" s="414">
        <v>0.2</v>
      </c>
      <c r="U28" s="414">
        <v>0.2</v>
      </c>
      <c r="V28" s="414">
        <v>0.2</v>
      </c>
      <c r="W28" s="41">
        <v>0.2</v>
      </c>
      <c r="X28" s="415">
        <v>0.2</v>
      </c>
      <c r="Y28" s="79">
        <v>0.2</v>
      </c>
      <c r="Z28" s="699"/>
      <c r="AA28" s="577">
        <v>0.1</v>
      </c>
      <c r="AB28" s="553">
        <v>0.1</v>
      </c>
      <c r="AC28" s="553">
        <v>0.1</v>
      </c>
      <c r="AD28" s="553">
        <v>0.1</v>
      </c>
      <c r="AE28" s="553">
        <v>0.1</v>
      </c>
      <c r="AF28" s="553">
        <v>0.1</v>
      </c>
      <c r="AG28" s="553">
        <v>0.1</v>
      </c>
      <c r="AH28" s="553">
        <v>0.1</v>
      </c>
      <c r="AI28" s="553">
        <v>0.1</v>
      </c>
      <c r="AJ28" s="553">
        <v>0.1</v>
      </c>
      <c r="AK28" s="553">
        <v>0.1</v>
      </c>
      <c r="AL28" s="554">
        <v>0.1</v>
      </c>
      <c r="AM28" s="468" t="s">
        <v>348</v>
      </c>
    </row>
    <row r="29" spans="1:39">
      <c r="A29" s="60"/>
      <c r="B29" s="46"/>
      <c r="C29" s="61"/>
      <c r="D29" s="61"/>
      <c r="E29" s="61"/>
      <c r="F29" s="61"/>
      <c r="G29" s="61"/>
      <c r="H29" s="61"/>
      <c r="I29" s="61"/>
      <c r="J29" s="61"/>
      <c r="K29" s="62"/>
      <c r="L29" s="62"/>
      <c r="M29" s="63"/>
      <c r="N29" s="46"/>
      <c r="O29" s="61"/>
      <c r="P29" s="61"/>
      <c r="Q29" s="61"/>
      <c r="R29" s="61"/>
      <c r="S29" s="61"/>
      <c r="T29" s="61"/>
      <c r="U29" s="61"/>
      <c r="V29" s="61"/>
      <c r="W29" s="62"/>
      <c r="X29" s="62"/>
      <c r="AA29" s="578"/>
      <c r="AK29" s="28"/>
    </row>
    <row r="30" spans="1:39">
      <c r="A30" s="64" t="s">
        <v>48</v>
      </c>
      <c r="B30" s="65">
        <f t="shared" ref="B30:M30" si="9">+B8/B26</f>
        <v>31.729642428605715</v>
      </c>
      <c r="C30" s="65">
        <f t="shared" si="9"/>
        <v>32.356944374528062</v>
      </c>
      <c r="D30" s="65">
        <f t="shared" si="9"/>
        <v>31.959945541184474</v>
      </c>
      <c r="E30" s="65">
        <f t="shared" si="9"/>
        <v>36.942581088510167</v>
      </c>
      <c r="F30" s="65">
        <f t="shared" si="9"/>
        <v>38.774191950116695</v>
      </c>
      <c r="G30" s="65">
        <f t="shared" si="9"/>
        <v>39.247687892593596</v>
      </c>
      <c r="H30" s="65">
        <f t="shared" si="9"/>
        <v>36.260529137296032</v>
      </c>
      <c r="I30" s="65">
        <f t="shared" si="9"/>
        <v>32.973836306127119</v>
      </c>
      <c r="J30" s="65">
        <f t="shared" si="9"/>
        <v>36.394796123850568</v>
      </c>
      <c r="K30" s="65">
        <f t="shared" si="9"/>
        <v>32.315978456014363</v>
      </c>
      <c r="L30" s="65">
        <f t="shared" si="9"/>
        <v>32.993197278911566</v>
      </c>
      <c r="M30" s="66">
        <f t="shared" si="9"/>
        <v>32.993197278911566</v>
      </c>
      <c r="N30" s="30">
        <v>35.310902496371874</v>
      </c>
      <c r="O30" s="30">
        <v>33.830563575513608</v>
      </c>
      <c r="P30" s="30">
        <v>32.334387755385492</v>
      </c>
      <c r="Q30" s="30">
        <v>36.541360590817689</v>
      </c>
      <c r="R30" s="30">
        <v>33.879521708609268</v>
      </c>
      <c r="S30" s="30">
        <v>32.33885365962059</v>
      </c>
      <c r="T30" s="30">
        <v>31.62768806132804</v>
      </c>
      <c r="U30" s="30">
        <v>23.02481951138213</v>
      </c>
      <c r="V30" s="30">
        <v>24.43753488932968</v>
      </c>
      <c r="W30" s="423">
        <f>+AVERAGE(T30:V30)</f>
        <v>26.363347487346616</v>
      </c>
      <c r="X30" s="423">
        <f>+AVERAGE(U30:W30)</f>
        <v>24.608567296019476</v>
      </c>
      <c r="Y30" s="423">
        <f>+AVERAGE(V30:X30)</f>
        <v>25.136483224231924</v>
      </c>
      <c r="Z30" s="693"/>
      <c r="AA30" s="565">
        <f t="shared" ref="AA30:AL30" si="10">+AA8/AA26</f>
        <v>23.52941176470588</v>
      </c>
      <c r="AB30" s="566">
        <f t="shared" si="10"/>
        <v>23.52941176470588</v>
      </c>
      <c r="AC30" s="566">
        <f t="shared" si="10"/>
        <v>23.52941176470588</v>
      </c>
      <c r="AD30" s="566">
        <f t="shared" si="10"/>
        <v>23.52941176470588</v>
      </c>
      <c r="AE30" s="566">
        <f t="shared" si="10"/>
        <v>23.52941176470588</v>
      </c>
      <c r="AF30" s="566">
        <f t="shared" si="10"/>
        <v>23.52941176470588</v>
      </c>
      <c r="AG30" s="566">
        <f t="shared" si="10"/>
        <v>23.255813953488371</v>
      </c>
      <c r="AH30" s="566">
        <f t="shared" si="10"/>
        <v>23.255813953488371</v>
      </c>
      <c r="AI30" s="566">
        <f t="shared" si="10"/>
        <v>23.255813953488371</v>
      </c>
      <c r="AJ30" s="566">
        <f t="shared" si="10"/>
        <v>23.255813953488374</v>
      </c>
      <c r="AK30" s="566">
        <f t="shared" si="10"/>
        <v>23.255813953488374</v>
      </c>
      <c r="AL30" s="38">
        <f t="shared" si="10"/>
        <v>23.255813953488374</v>
      </c>
    </row>
    <row r="31" spans="1:39">
      <c r="A31" s="64" t="s">
        <v>49</v>
      </c>
      <c r="B31" s="65">
        <f t="shared" ref="B31:Y31" si="11">+B12/B30</f>
        <v>1.9730381972360367</v>
      </c>
      <c r="C31" s="65">
        <f t="shared" si="11"/>
        <v>1.8832762601033306</v>
      </c>
      <c r="D31" s="65">
        <f t="shared" si="11"/>
        <v>1.8977079320126991</v>
      </c>
      <c r="E31" s="65">
        <f t="shared" si="11"/>
        <v>1.6392585376277808</v>
      </c>
      <c r="F31" s="65">
        <f t="shared" si="11"/>
        <v>1.5360076702392211</v>
      </c>
      <c r="G31" s="65">
        <f t="shared" si="11"/>
        <v>1.5176042246986039</v>
      </c>
      <c r="H31" s="65">
        <f t="shared" si="11"/>
        <v>1.6147521366295519</v>
      </c>
      <c r="I31" s="65">
        <f t="shared" si="11"/>
        <v>1.7697460873267961</v>
      </c>
      <c r="J31" s="65">
        <f t="shared" si="11"/>
        <v>1.6479405343010187</v>
      </c>
      <c r="K31" s="65">
        <f t="shared" si="11"/>
        <v>1.8566666666666667</v>
      </c>
      <c r="L31" s="65">
        <f t="shared" si="11"/>
        <v>1.8017024949061538</v>
      </c>
      <c r="M31" s="66">
        <f t="shared" si="11"/>
        <v>1.8127008031959961</v>
      </c>
      <c r="N31" s="65">
        <f t="shared" si="11"/>
        <v>1.5424834581555538</v>
      </c>
      <c r="O31" s="65">
        <f t="shared" si="11"/>
        <v>1.6437917869741645</v>
      </c>
      <c r="P31" s="65">
        <f t="shared" si="11"/>
        <v>1.7976429164611212</v>
      </c>
      <c r="Q31" s="65">
        <f t="shared" si="11"/>
        <v>1.5696529750001516</v>
      </c>
      <c r="R31" s="65">
        <f t="shared" si="11"/>
        <v>1.6053481941005359</v>
      </c>
      <c r="S31" s="65">
        <f t="shared" si="11"/>
        <v>1.7306823903510671</v>
      </c>
      <c r="T31" s="65">
        <f t="shared" si="11"/>
        <v>1.852701688632227</v>
      </c>
      <c r="U31" s="65">
        <f t="shared" si="11"/>
        <v>2.3411923676825928</v>
      </c>
      <c r="V31" s="65">
        <f t="shared" si="11"/>
        <v>2.266104965277282</v>
      </c>
      <c r="W31" s="65">
        <f t="shared" si="11"/>
        <v>2.1226467544064809</v>
      </c>
      <c r="X31" s="65">
        <f t="shared" si="11"/>
        <v>2.2382939899308858</v>
      </c>
      <c r="Y31" s="65">
        <f t="shared" si="11"/>
        <v>2.2068759569651193</v>
      </c>
      <c r="Z31" s="700"/>
      <c r="AA31" s="579">
        <f t="shared" ref="AA31:AL31" si="12">+AA12/AA30</f>
        <v>2.2950000000000004</v>
      </c>
      <c r="AB31" s="580">
        <f t="shared" si="12"/>
        <v>2.2950000000000004</v>
      </c>
      <c r="AC31" s="580">
        <f t="shared" si="12"/>
        <v>2.2950000000000004</v>
      </c>
      <c r="AD31" s="580">
        <f t="shared" si="12"/>
        <v>2.2950000000000004</v>
      </c>
      <c r="AE31" s="580">
        <f t="shared" si="12"/>
        <v>2.2950000000000004</v>
      </c>
      <c r="AF31" s="580">
        <f t="shared" si="12"/>
        <v>2.2950000000000004</v>
      </c>
      <c r="AG31" s="580">
        <f t="shared" si="12"/>
        <v>2.3650000000000002</v>
      </c>
      <c r="AH31" s="580">
        <f t="shared" si="12"/>
        <v>2.3650000000000002</v>
      </c>
      <c r="AI31" s="580">
        <f t="shared" si="12"/>
        <v>2.3650000000000002</v>
      </c>
      <c r="AJ31" s="580">
        <f t="shared" si="12"/>
        <v>2.3649999999999998</v>
      </c>
      <c r="AK31" s="580">
        <f t="shared" si="12"/>
        <v>2.3649999999999998</v>
      </c>
      <c r="AL31" s="66">
        <f t="shared" si="12"/>
        <v>2.3649999999999998</v>
      </c>
    </row>
    <row r="32" spans="1:39">
      <c r="A32" s="64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6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700"/>
      <c r="AA32" s="579"/>
      <c r="AB32" s="580"/>
      <c r="AC32" s="580"/>
      <c r="AD32" s="580"/>
      <c r="AE32" s="580"/>
      <c r="AF32" s="580"/>
      <c r="AG32" s="580"/>
      <c r="AH32" s="580"/>
      <c r="AI32" s="580"/>
      <c r="AJ32" s="580"/>
      <c r="AK32" s="580"/>
      <c r="AL32" s="66"/>
    </row>
    <row r="33" spans="1:44">
      <c r="A33" s="53"/>
      <c r="B33" s="51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2"/>
      <c r="N33" s="51"/>
      <c r="O33" s="50"/>
      <c r="P33" s="50"/>
      <c r="Q33" s="50"/>
      <c r="R33" s="50"/>
      <c r="S33" s="50"/>
      <c r="T33" s="50"/>
      <c r="U33" s="50"/>
      <c r="V33" s="50"/>
      <c r="W33" s="50"/>
      <c r="X33" s="50"/>
      <c r="AA33" s="581"/>
    </row>
    <row r="34" spans="1:44">
      <c r="A34" s="53" t="s">
        <v>50</v>
      </c>
      <c r="B34" s="67">
        <f t="shared" ref="B34:M34" si="13">+(B27*B13)+(B14*B28)</f>
        <v>261423.29223577236</v>
      </c>
      <c r="C34" s="67">
        <f t="shared" si="13"/>
        <v>240270.60841025485</v>
      </c>
      <c r="D34" s="67">
        <f t="shared" si="13"/>
        <v>264786.34066946013</v>
      </c>
      <c r="E34" s="67">
        <f t="shared" si="13"/>
        <v>217956.0506208372</v>
      </c>
      <c r="F34" s="67">
        <f t="shared" si="13"/>
        <v>202047.99048291601</v>
      </c>
      <c r="G34" s="67">
        <f t="shared" si="13"/>
        <v>215770.0169830792</v>
      </c>
      <c r="H34" s="67">
        <f t="shared" si="13"/>
        <v>249314.43642862549</v>
      </c>
      <c r="I34" s="67">
        <f t="shared" si="13"/>
        <v>251967.33737861161</v>
      </c>
      <c r="J34" s="67">
        <f t="shared" si="13"/>
        <v>206878.86848167051</v>
      </c>
      <c r="K34" s="67">
        <f t="shared" si="13"/>
        <v>220833.14917299623</v>
      </c>
      <c r="L34" s="67">
        <f t="shared" si="13"/>
        <v>233426.81848214281</v>
      </c>
      <c r="M34" s="68">
        <f t="shared" si="13"/>
        <v>227150.68694790435</v>
      </c>
      <c r="N34" s="67">
        <v>240197.18999999994</v>
      </c>
      <c r="O34" s="67">
        <v>200308.67</v>
      </c>
      <c r="P34" s="67">
        <v>205067.40999999992</v>
      </c>
      <c r="Q34" s="67">
        <v>171154.04999999996</v>
      </c>
      <c r="R34" s="67">
        <v>147827.74999999994</v>
      </c>
      <c r="S34" s="67">
        <v>206522.96999999997</v>
      </c>
      <c r="T34" s="67">
        <v>265618.70999999996</v>
      </c>
      <c r="U34" s="67">
        <v>331519.02000000008</v>
      </c>
      <c r="V34" s="67">
        <v>404813.32000000012</v>
      </c>
      <c r="W34" s="423">
        <f>+AVERAGE(T34:V34)</f>
        <v>333983.68333333335</v>
      </c>
      <c r="X34" s="423">
        <f>+AVERAGE(U34:W34)</f>
        <v>356772.00777777779</v>
      </c>
      <c r="Y34" s="423">
        <f>+AVERAGE(V34:X34)</f>
        <v>365189.67037037038</v>
      </c>
      <c r="Z34" s="693"/>
      <c r="AA34" s="582">
        <f>+AA26*AA12</f>
        <v>355266.00000000006</v>
      </c>
      <c r="AB34" s="583">
        <f t="shared" ref="AB34:AL34" si="14">+AB26*AB12</f>
        <v>355266.00000000006</v>
      </c>
      <c r="AC34" s="583">
        <f t="shared" si="14"/>
        <v>355266.00000000006</v>
      </c>
      <c r="AD34" s="583">
        <f t="shared" si="14"/>
        <v>408555.9</v>
      </c>
      <c r="AE34" s="583">
        <f t="shared" si="14"/>
        <v>408555.9</v>
      </c>
      <c r="AF34" s="583">
        <f t="shared" si="14"/>
        <v>408555.9</v>
      </c>
      <c r="AG34" s="583">
        <f t="shared" si="14"/>
        <v>457627.5</v>
      </c>
      <c r="AH34" s="583">
        <f t="shared" si="14"/>
        <v>457627.5</v>
      </c>
      <c r="AI34" s="583">
        <f t="shared" si="14"/>
        <v>457627.5</v>
      </c>
      <c r="AJ34" s="583">
        <f t="shared" si="14"/>
        <v>494237.69999999995</v>
      </c>
      <c r="AK34" s="583">
        <f t="shared" si="14"/>
        <v>494237.69999999995</v>
      </c>
      <c r="AL34" s="467">
        <f t="shared" si="14"/>
        <v>494237.69999999995</v>
      </c>
    </row>
    <row r="35" spans="1:44">
      <c r="A35" s="69" t="s">
        <v>347</v>
      </c>
      <c r="B35" s="67">
        <f t="shared" ref="B35:M35" si="15">(B27*B13)/12</f>
        <v>21028.333333333332</v>
      </c>
      <c r="C35" s="67">
        <f t="shared" si="15"/>
        <v>19232.82833142782</v>
      </c>
      <c r="D35" s="67">
        <f t="shared" si="15"/>
        <v>21157.006878122425</v>
      </c>
      <c r="E35" s="67">
        <f t="shared" si="15"/>
        <v>17401.86293123044</v>
      </c>
      <c r="F35" s="67">
        <f t="shared" si="15"/>
        <v>16145.323010999064</v>
      </c>
      <c r="G35" s="67">
        <f t="shared" si="15"/>
        <v>17250.104836773357</v>
      </c>
      <c r="H35" s="67">
        <f t="shared" si="15"/>
        <v>19929.03498396841</v>
      </c>
      <c r="I35" s="67">
        <f t="shared" si="15"/>
        <v>20097.397759425468</v>
      </c>
      <c r="J35" s="67">
        <f t="shared" si="15"/>
        <v>16509.584255913018</v>
      </c>
      <c r="K35" s="67">
        <f t="shared" si="15"/>
        <v>17652.865460238205</v>
      </c>
      <c r="L35" s="67">
        <f t="shared" si="15"/>
        <v>18654.755111841863</v>
      </c>
      <c r="M35" s="68">
        <f t="shared" si="15"/>
        <v>18169.287307312134</v>
      </c>
      <c r="N35" s="67">
        <f t="shared" ref="N35:Y35" si="16">+(N26*N27*N13)/12</f>
        <v>19404</v>
      </c>
      <c r="O35" s="67">
        <f t="shared" si="16"/>
        <v>16088.933333333334</v>
      </c>
      <c r="P35" s="67">
        <f t="shared" si="16"/>
        <v>16228.800000000001</v>
      </c>
      <c r="Q35" s="67">
        <f t="shared" si="16"/>
        <v>13726.400000000001</v>
      </c>
      <c r="R35" s="67">
        <f t="shared" si="16"/>
        <v>11778</v>
      </c>
      <c r="S35" s="67">
        <f t="shared" si="16"/>
        <v>16236</v>
      </c>
      <c r="T35" s="67">
        <f t="shared" si="16"/>
        <v>19945.2</v>
      </c>
      <c r="U35" s="67">
        <f t="shared" si="16"/>
        <v>23370</v>
      </c>
      <c r="V35" s="67">
        <f t="shared" si="16"/>
        <v>28752.666666666668</v>
      </c>
      <c r="W35" s="67">
        <f t="shared" si="16"/>
        <v>24257.22962962963</v>
      </c>
      <c r="X35" s="67">
        <f t="shared" si="16"/>
        <v>25463.119341563786</v>
      </c>
      <c r="Y35" s="67">
        <f t="shared" si="16"/>
        <v>26179.624508459081</v>
      </c>
      <c r="Z35" s="701"/>
      <c r="AA35" s="584">
        <f t="shared" ref="AA35:AL35" si="17">+(AA26*AA27*AA13)/12</f>
        <v>28893.323250000005</v>
      </c>
      <c r="AB35" s="67">
        <f t="shared" si="17"/>
        <v>28893.323250000005</v>
      </c>
      <c r="AC35" s="67">
        <f t="shared" si="17"/>
        <v>28893.323250000005</v>
      </c>
      <c r="AD35" s="67">
        <f t="shared" si="17"/>
        <v>33227.321737500002</v>
      </c>
      <c r="AE35" s="67">
        <f t="shared" si="17"/>
        <v>33227.321737500002</v>
      </c>
      <c r="AF35" s="67">
        <f t="shared" si="17"/>
        <v>33227.321737500002</v>
      </c>
      <c r="AG35" s="67">
        <f t="shared" si="17"/>
        <v>37234.930874999998</v>
      </c>
      <c r="AH35" s="67">
        <f t="shared" si="17"/>
        <v>37234.930874999998</v>
      </c>
      <c r="AI35" s="67">
        <f t="shared" si="17"/>
        <v>37234.930874999998</v>
      </c>
      <c r="AJ35" s="67">
        <f t="shared" si="17"/>
        <v>40213.725344999999</v>
      </c>
      <c r="AK35" s="67">
        <f t="shared" si="17"/>
        <v>40213.725344999999</v>
      </c>
      <c r="AL35" s="68">
        <f t="shared" si="17"/>
        <v>40213.725344999999</v>
      </c>
    </row>
    <row r="36" spans="1:44">
      <c r="A36" s="69" t="s">
        <v>47</v>
      </c>
      <c r="B36" s="67">
        <f t="shared" ref="B36:M36" si="18">B28*B14</f>
        <v>9083.2922357723564</v>
      </c>
      <c r="C36" s="67">
        <f t="shared" si="18"/>
        <v>9476.6684331210217</v>
      </c>
      <c r="D36" s="67">
        <f t="shared" si="18"/>
        <v>10902.25813199105</v>
      </c>
      <c r="E36" s="67">
        <f t="shared" si="18"/>
        <v>9133.6954460719007</v>
      </c>
      <c r="F36" s="67">
        <f t="shared" si="18"/>
        <v>8304.1143509272461</v>
      </c>
      <c r="G36" s="67">
        <f t="shared" si="18"/>
        <v>8768.758941798942</v>
      </c>
      <c r="H36" s="67">
        <f t="shared" si="18"/>
        <v>10166.016621004565</v>
      </c>
      <c r="I36" s="67">
        <f t="shared" si="18"/>
        <v>10798.564265505987</v>
      </c>
      <c r="J36" s="67">
        <f t="shared" si="18"/>
        <v>8763.8574107142867</v>
      </c>
      <c r="K36" s="67">
        <f t="shared" si="18"/>
        <v>8998.7636501377419</v>
      </c>
      <c r="L36" s="67">
        <f t="shared" si="18"/>
        <v>9569.7571400404577</v>
      </c>
      <c r="M36" s="68">
        <f t="shared" si="18"/>
        <v>9119.2392601587726</v>
      </c>
      <c r="N36" s="67">
        <f t="shared" ref="N36:Y36" si="19">N26*N28*N14</f>
        <v>9702</v>
      </c>
      <c r="O36" s="67">
        <f t="shared" si="19"/>
        <v>7924.4000000000015</v>
      </c>
      <c r="P36" s="67">
        <f t="shared" si="19"/>
        <v>7761.6</v>
      </c>
      <c r="Q36" s="67">
        <f t="shared" si="19"/>
        <v>5968.0000000000009</v>
      </c>
      <c r="R36" s="67">
        <f t="shared" si="19"/>
        <v>5436</v>
      </c>
      <c r="S36" s="67">
        <f t="shared" si="19"/>
        <v>7380</v>
      </c>
      <c r="T36" s="67">
        <f t="shared" si="19"/>
        <v>8159.4000000000005</v>
      </c>
      <c r="U36" s="67">
        <f t="shared" si="19"/>
        <v>14760</v>
      </c>
      <c r="V36" s="67">
        <f t="shared" si="19"/>
        <v>17544</v>
      </c>
      <c r="W36" s="67">
        <f t="shared" si="19"/>
        <v>13194.866666666669</v>
      </c>
      <c r="X36" s="67">
        <f t="shared" si="19"/>
        <v>15133.740740740741</v>
      </c>
      <c r="Y36" s="67">
        <f t="shared" si="19"/>
        <v>15248.368724279839</v>
      </c>
      <c r="Z36" s="701"/>
      <c r="AA36" s="584">
        <f>AA26*AA28*AA14</f>
        <v>8546.121000000001</v>
      </c>
      <c r="AB36" s="67">
        <f t="shared" ref="AB36:AL36" si="20">AB26*AB28*AB14</f>
        <v>8546.121000000001</v>
      </c>
      <c r="AC36" s="67">
        <f t="shared" si="20"/>
        <v>8546.121000000001</v>
      </c>
      <c r="AD36" s="67">
        <f t="shared" si="20"/>
        <v>9828.0391500000005</v>
      </c>
      <c r="AE36" s="67">
        <f t="shared" si="20"/>
        <v>9828.0391500000005</v>
      </c>
      <c r="AF36" s="67">
        <f t="shared" si="20"/>
        <v>9828.0391500000005</v>
      </c>
      <c r="AG36" s="67">
        <f t="shared" si="20"/>
        <v>10808.329500000002</v>
      </c>
      <c r="AH36" s="67">
        <f t="shared" si="20"/>
        <v>10808.329500000002</v>
      </c>
      <c r="AI36" s="67">
        <f t="shared" si="20"/>
        <v>10808.329500000002</v>
      </c>
      <c r="AJ36" s="67">
        <f t="shared" si="20"/>
        <v>11672.995860000001</v>
      </c>
      <c r="AK36" s="67">
        <f t="shared" si="20"/>
        <v>11672.995860000001</v>
      </c>
      <c r="AL36" s="68">
        <f t="shared" si="20"/>
        <v>11672.995860000001</v>
      </c>
    </row>
    <row r="37" spans="1:44">
      <c r="A37" s="70" t="s">
        <v>51</v>
      </c>
      <c r="B37" s="71">
        <f>+B35+B36</f>
        <v>30111.625569105687</v>
      </c>
      <c r="C37" s="71">
        <f>+C35+C36</f>
        <v>28709.496764548843</v>
      </c>
      <c r="D37" s="71">
        <f t="shared" ref="D37:M37" si="21">+D35+D36</f>
        <v>32059.265010113475</v>
      </c>
      <c r="E37" s="71">
        <f t="shared" si="21"/>
        <v>26535.558377302339</v>
      </c>
      <c r="F37" s="71">
        <f t="shared" si="21"/>
        <v>24449.43736192631</v>
      </c>
      <c r="G37" s="71">
        <f t="shared" si="21"/>
        <v>26018.863778572297</v>
      </c>
      <c r="H37" s="71">
        <f t="shared" si="21"/>
        <v>30095.051604972974</v>
      </c>
      <c r="I37" s="71">
        <f t="shared" si="21"/>
        <v>30895.962024931454</v>
      </c>
      <c r="J37" s="71">
        <f t="shared" si="21"/>
        <v>25273.441666627303</v>
      </c>
      <c r="K37" s="71">
        <f t="shared" si="21"/>
        <v>26651.629110375947</v>
      </c>
      <c r="L37" s="71">
        <f t="shared" si="21"/>
        <v>28224.512251882319</v>
      </c>
      <c r="M37" s="72">
        <f t="shared" si="21"/>
        <v>27288.526567470908</v>
      </c>
      <c r="N37" s="71">
        <f>+N35+N36</f>
        <v>29106</v>
      </c>
      <c r="O37" s="71">
        <f t="shared" ref="O37:Y37" si="22">+O35+O36</f>
        <v>24013.333333333336</v>
      </c>
      <c r="P37" s="71">
        <f t="shared" si="22"/>
        <v>23990.400000000001</v>
      </c>
      <c r="Q37" s="71">
        <f t="shared" si="22"/>
        <v>19694.400000000001</v>
      </c>
      <c r="R37" s="71">
        <f t="shared" si="22"/>
        <v>17214</v>
      </c>
      <c r="S37" s="71">
        <f t="shared" si="22"/>
        <v>23616</v>
      </c>
      <c r="T37" s="71">
        <f t="shared" si="22"/>
        <v>28104.600000000002</v>
      </c>
      <c r="U37" s="71">
        <f t="shared" si="22"/>
        <v>38130</v>
      </c>
      <c r="V37" s="71">
        <f t="shared" si="22"/>
        <v>46296.666666666672</v>
      </c>
      <c r="W37" s="71">
        <f t="shared" si="22"/>
        <v>37452.096296296295</v>
      </c>
      <c r="X37" s="71">
        <f t="shared" si="22"/>
        <v>40596.860082304527</v>
      </c>
      <c r="Y37" s="71">
        <f t="shared" si="22"/>
        <v>41427.993232738918</v>
      </c>
      <c r="Z37" s="702"/>
      <c r="AA37" s="585">
        <f>+AA35+AA36</f>
        <v>37439.444250000008</v>
      </c>
      <c r="AB37" s="71">
        <f t="shared" ref="AB37:AL37" si="23">+AB35+AB36</f>
        <v>37439.444250000008</v>
      </c>
      <c r="AC37" s="71">
        <f t="shared" si="23"/>
        <v>37439.444250000008</v>
      </c>
      <c r="AD37" s="71">
        <f t="shared" si="23"/>
        <v>43055.360887500006</v>
      </c>
      <c r="AE37" s="71">
        <f t="shared" si="23"/>
        <v>43055.360887500006</v>
      </c>
      <c r="AF37" s="71">
        <f t="shared" si="23"/>
        <v>43055.360887500006</v>
      </c>
      <c r="AG37" s="71">
        <f t="shared" si="23"/>
        <v>48043.260374999998</v>
      </c>
      <c r="AH37" s="71">
        <f t="shared" si="23"/>
        <v>48043.260374999998</v>
      </c>
      <c r="AI37" s="71">
        <f t="shared" si="23"/>
        <v>48043.260374999998</v>
      </c>
      <c r="AJ37" s="71">
        <f t="shared" si="23"/>
        <v>51886.721205000002</v>
      </c>
      <c r="AK37" s="71">
        <f t="shared" si="23"/>
        <v>51886.721205000002</v>
      </c>
      <c r="AL37" s="72">
        <f t="shared" si="23"/>
        <v>51886.721205000002</v>
      </c>
    </row>
    <row r="38" spans="1:44">
      <c r="A38" s="50"/>
      <c r="B38" s="51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2"/>
      <c r="N38" s="51"/>
      <c r="O38" s="50"/>
      <c r="P38" s="50"/>
      <c r="Q38" s="50"/>
      <c r="R38" s="50"/>
      <c r="S38" s="50"/>
      <c r="T38" s="50"/>
      <c r="U38" s="50"/>
      <c r="V38" s="50"/>
      <c r="W38" s="50"/>
      <c r="X38" s="50"/>
      <c r="AA38" s="197"/>
    </row>
    <row r="39" spans="1:44">
      <c r="A39" s="53" t="s">
        <v>52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4"/>
      <c r="U39" s="34"/>
      <c r="V39" s="34"/>
      <c r="W39" s="34"/>
      <c r="AA39" s="630">
        <f xml:space="preserve"> (Y26 * Y28) * (1 - AA22) + (Y42 * Y43) * (1 - AA20)</f>
        <v>2332.6608888888891</v>
      </c>
      <c r="AB39" s="73">
        <f xml:space="preserve"> (AA26 * AA28) * (1 - AB22) + (AA42 * AA43) * (1 - AB20)</f>
        <v>2264.0887796000002</v>
      </c>
      <c r="AC39" s="73">
        <f t="shared" ref="AC39:AL39" si="24" xml:space="preserve"> (AB26 * AB28) * (1 - AC22) + (AB42 * AB43) * (1 - AC20)</f>
        <v>2193.7867436280967</v>
      </c>
      <c r="AD39" s="73">
        <f t="shared" si="24"/>
        <v>2142.6639676261393</v>
      </c>
      <c r="AE39" s="73">
        <f t="shared" si="24"/>
        <v>2139.0755606988882</v>
      </c>
      <c r="AF39" s="73">
        <f t="shared" si="24"/>
        <v>2130.8677586779854</v>
      </c>
      <c r="AG39" s="73">
        <f t="shared" si="24"/>
        <v>2139.7577811705423</v>
      </c>
      <c r="AH39" s="73">
        <f t="shared" si="24"/>
        <v>2202.8618437044724</v>
      </c>
      <c r="AI39" s="73">
        <f t="shared" si="24"/>
        <v>2278.4218593403193</v>
      </c>
      <c r="AJ39" s="73">
        <f t="shared" si="24"/>
        <v>2355.7918638110818</v>
      </c>
      <c r="AK39" s="73">
        <f t="shared" si="24"/>
        <v>2425.10854013673</v>
      </c>
      <c r="AL39" s="74">
        <f t="shared" si="24"/>
        <v>2487.257425254556</v>
      </c>
    </row>
    <row r="40" spans="1:44">
      <c r="A40" s="53" t="s">
        <v>53</v>
      </c>
      <c r="B40" s="75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4"/>
      <c r="AA40" s="630">
        <f t="shared" ref="AA40:AL40" si="25" xml:space="preserve"> (N26 * N27) * (1 - N21) + (N42 * N44) * (1 - N20)</f>
        <v>1077.2380000000001</v>
      </c>
      <c r="AB40" s="73">
        <f t="shared" si="25"/>
        <v>948.88800000000026</v>
      </c>
      <c r="AC40" s="73">
        <f t="shared" si="25"/>
        <v>966.15500000000009</v>
      </c>
      <c r="AD40" s="73">
        <f t="shared" si="25"/>
        <v>859.77200000000016</v>
      </c>
      <c r="AE40" s="73">
        <f t="shared" si="25"/>
        <v>820.88100000000009</v>
      </c>
      <c r="AF40" s="73">
        <f t="shared" si="25"/>
        <v>928.45700000000011</v>
      </c>
      <c r="AG40" s="73">
        <f t="shared" si="25"/>
        <v>1055.2320000000002</v>
      </c>
      <c r="AH40" s="73">
        <f t="shared" si="25"/>
        <v>1250.5280000000002</v>
      </c>
      <c r="AI40" s="73">
        <f t="shared" si="25"/>
        <v>1391.2740000000003</v>
      </c>
      <c r="AJ40" s="73">
        <f t="shared" si="25"/>
        <v>1223.837666666667</v>
      </c>
      <c r="AK40" s="73">
        <f t="shared" si="25"/>
        <v>1290.2358888888891</v>
      </c>
      <c r="AL40" s="74">
        <f t="shared" si="25"/>
        <v>1305.4628518518523</v>
      </c>
    </row>
    <row r="41" spans="1:44">
      <c r="A41" s="53"/>
      <c r="B41" s="51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7"/>
      <c r="N41" s="51"/>
      <c r="O41" s="76"/>
      <c r="P41" s="76"/>
      <c r="Q41" s="76"/>
      <c r="R41" s="76"/>
      <c r="S41" s="76"/>
      <c r="T41" s="76"/>
      <c r="U41" s="76"/>
      <c r="V41" s="76"/>
      <c r="W41" s="76"/>
      <c r="X41" s="76"/>
      <c r="AA41" s="197"/>
    </row>
    <row r="42" spans="1:44">
      <c r="A42" s="53" t="s">
        <v>54</v>
      </c>
      <c r="B42" s="78">
        <v>2303</v>
      </c>
      <c r="C42" s="78">
        <v>2314</v>
      </c>
      <c r="D42" s="78">
        <v>2428</v>
      </c>
      <c r="E42" s="78">
        <v>2666</v>
      </c>
      <c r="F42" s="78">
        <v>2747</v>
      </c>
      <c r="G42" s="78">
        <v>2736</v>
      </c>
      <c r="H42" s="78">
        <v>2808</v>
      </c>
      <c r="I42" s="78">
        <v>2844</v>
      </c>
      <c r="J42" s="78">
        <v>2772</v>
      </c>
      <c r="K42" s="62">
        <f t="shared" ref="K42:M44" si="26">+AVERAGE(H42:J42)</f>
        <v>2808</v>
      </c>
      <c r="L42" s="62">
        <f t="shared" si="26"/>
        <v>2808</v>
      </c>
      <c r="M42" s="470">
        <f t="shared" si="26"/>
        <v>2796</v>
      </c>
      <c r="N42" s="78">
        <v>2638</v>
      </c>
      <c r="O42" s="78">
        <v>2536</v>
      </c>
      <c r="P42" s="78">
        <v>2687</v>
      </c>
      <c r="Q42" s="78">
        <v>2508</v>
      </c>
      <c r="R42" s="78">
        <v>2493</v>
      </c>
      <c r="S42" s="78">
        <v>2357</v>
      </c>
      <c r="T42" s="78">
        <v>2424</v>
      </c>
      <c r="U42" s="78">
        <v>2288</v>
      </c>
      <c r="V42" s="78">
        <v>2194</v>
      </c>
      <c r="W42" s="78">
        <v>2255</v>
      </c>
      <c r="X42" s="423">
        <f>+W42</f>
        <v>2255</v>
      </c>
      <c r="Y42" s="423">
        <f>+X42</f>
        <v>2255</v>
      </c>
      <c r="Z42" s="693"/>
      <c r="AA42" s="631">
        <f xml:space="preserve"> AA39*(1 - AA20) + AA40*(1 - AA21)</f>
        <v>2329.178477777778</v>
      </c>
      <c r="AB42" s="632">
        <f t="shared" ref="AB42:AL42" si="27" xml:space="preserve"> AB39*(1 - AB20) + AB40*(1 - AB21)</f>
        <v>2244.2726372320003</v>
      </c>
      <c r="AC42" s="632">
        <f t="shared" si="27"/>
        <v>2182.530154137849</v>
      </c>
      <c r="AD42" s="632">
        <f t="shared" si="27"/>
        <v>2117.4120902160485</v>
      </c>
      <c r="AE42" s="632">
        <f t="shared" si="27"/>
        <v>2107.4992858429773</v>
      </c>
      <c r="AF42" s="632">
        <f t="shared" si="27"/>
        <v>2118.2360279837467</v>
      </c>
      <c r="AG42" s="632">
        <f t="shared" si="27"/>
        <v>2147.9665986768991</v>
      </c>
      <c r="AH42" s="632">
        <f t="shared" si="27"/>
        <v>2239.222656208115</v>
      </c>
      <c r="AI42" s="632">
        <f t="shared" si="27"/>
        <v>2332.6646905930938</v>
      </c>
      <c r="AJ42" s="632">
        <f t="shared" si="27"/>
        <v>2375.3809180395288</v>
      </c>
      <c r="AK42" s="632">
        <f t="shared" si="27"/>
        <v>2450.4399580369031</v>
      </c>
      <c r="AL42" s="633">
        <f t="shared" si="27"/>
        <v>2510.2055160490063</v>
      </c>
      <c r="AM42" s="425"/>
    </row>
    <row r="43" spans="1:44">
      <c r="A43" s="50" t="s">
        <v>55</v>
      </c>
      <c r="B43" s="79">
        <v>0.75249674337820238</v>
      </c>
      <c r="C43" s="79">
        <v>0.78565254969749354</v>
      </c>
      <c r="D43" s="79">
        <v>0.82413509060955514</v>
      </c>
      <c r="E43" s="79">
        <v>0.79744936234058517</v>
      </c>
      <c r="F43" s="79">
        <v>0.78012377138696765</v>
      </c>
      <c r="G43" s="79">
        <v>0.77850877192982459</v>
      </c>
      <c r="H43" s="79">
        <v>0.76958689458689455</v>
      </c>
      <c r="I43" s="79">
        <v>0.78938115330520398</v>
      </c>
      <c r="J43" s="79">
        <v>0.79220779220779225</v>
      </c>
      <c r="K43" s="327">
        <f t="shared" si="26"/>
        <v>0.78372528003329689</v>
      </c>
      <c r="L43" s="327">
        <f t="shared" si="26"/>
        <v>0.78843807518209774</v>
      </c>
      <c r="M43" s="469">
        <f t="shared" si="26"/>
        <v>0.78812371580772889</v>
      </c>
      <c r="N43" s="147">
        <f>+N27</f>
        <v>0.8</v>
      </c>
      <c r="O43" s="147">
        <f t="shared" ref="O43:Y44" si="28">+O27</f>
        <v>0.8</v>
      </c>
      <c r="P43" s="147">
        <f t="shared" si="28"/>
        <v>0.8</v>
      </c>
      <c r="Q43" s="147">
        <f t="shared" si="28"/>
        <v>0.8</v>
      </c>
      <c r="R43" s="147">
        <f t="shared" si="28"/>
        <v>0.8</v>
      </c>
      <c r="S43" s="147">
        <f t="shared" si="28"/>
        <v>0.8</v>
      </c>
      <c r="T43" s="147">
        <f t="shared" si="28"/>
        <v>0.8</v>
      </c>
      <c r="U43" s="147">
        <f t="shared" si="28"/>
        <v>0.8</v>
      </c>
      <c r="V43" s="147">
        <f t="shared" si="28"/>
        <v>0.8</v>
      </c>
      <c r="W43" s="147">
        <f t="shared" si="28"/>
        <v>0.8</v>
      </c>
      <c r="X43" s="147">
        <f t="shared" si="28"/>
        <v>0.8</v>
      </c>
      <c r="Y43" s="147">
        <f t="shared" si="28"/>
        <v>0.8</v>
      </c>
      <c r="Z43" s="699"/>
      <c r="AA43" s="634">
        <v>0.9</v>
      </c>
      <c r="AB43" s="147">
        <f t="shared" ref="AB43:AL43" si="29">+AB27</f>
        <v>0.9</v>
      </c>
      <c r="AC43" s="147">
        <f t="shared" si="29"/>
        <v>0.9</v>
      </c>
      <c r="AD43" s="147">
        <f t="shared" si="29"/>
        <v>0.9</v>
      </c>
      <c r="AE43" s="147">
        <f t="shared" si="29"/>
        <v>0.9</v>
      </c>
      <c r="AF43" s="147">
        <f t="shared" si="29"/>
        <v>0.9</v>
      </c>
      <c r="AG43" s="147">
        <f t="shared" si="29"/>
        <v>0.9</v>
      </c>
      <c r="AH43" s="147">
        <f t="shared" si="29"/>
        <v>0.9</v>
      </c>
      <c r="AI43" s="147">
        <f t="shared" si="29"/>
        <v>0.9</v>
      </c>
      <c r="AJ43" s="147">
        <f t="shared" si="29"/>
        <v>0.9</v>
      </c>
      <c r="AK43" s="147">
        <f t="shared" si="29"/>
        <v>0.9</v>
      </c>
      <c r="AL43" s="635">
        <f t="shared" si="29"/>
        <v>0.9</v>
      </c>
    </row>
    <row r="44" spans="1:44">
      <c r="A44" s="50" t="s">
        <v>56</v>
      </c>
      <c r="B44" s="79">
        <v>0.25010855405992183</v>
      </c>
      <c r="C44" s="79">
        <v>0.21650821089023337</v>
      </c>
      <c r="D44" s="79">
        <v>0.17627677100494232</v>
      </c>
      <c r="E44" s="79">
        <v>0.20330082520630155</v>
      </c>
      <c r="F44" s="79">
        <v>0.22096832908627595</v>
      </c>
      <c r="G44" s="79">
        <v>0.22331871345029239</v>
      </c>
      <c r="H44" s="79">
        <v>0.23148148148148148</v>
      </c>
      <c r="I44" s="79">
        <v>0.21237693389592124</v>
      </c>
      <c r="J44" s="79">
        <v>0.20923520923520925</v>
      </c>
      <c r="K44" s="327">
        <f t="shared" si="26"/>
        <v>0.21769787487087067</v>
      </c>
      <c r="L44" s="327">
        <f t="shared" si="26"/>
        <v>0.21310333933400039</v>
      </c>
      <c r="M44" s="469">
        <f t="shared" si="26"/>
        <v>0.21334547448002675</v>
      </c>
      <c r="N44" s="147">
        <f>+N28</f>
        <v>0.2</v>
      </c>
      <c r="O44" s="147">
        <f t="shared" si="28"/>
        <v>0.2</v>
      </c>
      <c r="P44" s="147">
        <f t="shared" si="28"/>
        <v>0.2</v>
      </c>
      <c r="Q44" s="147">
        <f t="shared" si="28"/>
        <v>0.2</v>
      </c>
      <c r="R44" s="147">
        <f t="shared" si="28"/>
        <v>0.2</v>
      </c>
      <c r="S44" s="147">
        <f t="shared" si="28"/>
        <v>0.2</v>
      </c>
      <c r="T44" s="147">
        <f t="shared" si="28"/>
        <v>0.2</v>
      </c>
      <c r="U44" s="147">
        <f t="shared" si="28"/>
        <v>0.2</v>
      </c>
      <c r="V44" s="147">
        <f t="shared" si="28"/>
        <v>0.2</v>
      </c>
      <c r="W44" s="147">
        <f t="shared" si="28"/>
        <v>0.2</v>
      </c>
      <c r="X44" s="147">
        <f t="shared" si="28"/>
        <v>0.2</v>
      </c>
      <c r="Y44" s="147">
        <f t="shared" si="28"/>
        <v>0.2</v>
      </c>
      <c r="Z44" s="699"/>
      <c r="AA44" s="634">
        <v>0.1</v>
      </c>
      <c r="AB44" s="147">
        <f t="shared" ref="AB44:AL44" si="30">+AB28</f>
        <v>0.1</v>
      </c>
      <c r="AC44" s="147">
        <f t="shared" si="30"/>
        <v>0.1</v>
      </c>
      <c r="AD44" s="147">
        <f t="shared" si="30"/>
        <v>0.1</v>
      </c>
      <c r="AE44" s="147">
        <f t="shared" si="30"/>
        <v>0.1</v>
      </c>
      <c r="AF44" s="147">
        <f t="shared" si="30"/>
        <v>0.1</v>
      </c>
      <c r="AG44" s="147">
        <f t="shared" si="30"/>
        <v>0.1</v>
      </c>
      <c r="AH44" s="147">
        <f t="shared" si="30"/>
        <v>0.1</v>
      </c>
      <c r="AI44" s="147">
        <f t="shared" si="30"/>
        <v>0.1</v>
      </c>
      <c r="AJ44" s="147">
        <f t="shared" si="30"/>
        <v>0.1</v>
      </c>
      <c r="AK44" s="147">
        <f t="shared" si="30"/>
        <v>0.1</v>
      </c>
      <c r="AL44" s="635">
        <f t="shared" si="30"/>
        <v>0.1</v>
      </c>
    </row>
    <row r="45" spans="1:44">
      <c r="A45" s="53"/>
      <c r="B45" s="51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7"/>
      <c r="N45" s="51"/>
      <c r="O45" s="76"/>
      <c r="P45" s="76"/>
      <c r="Q45" s="76"/>
      <c r="R45" s="76"/>
      <c r="S45" s="76"/>
      <c r="T45" s="76"/>
      <c r="U45" s="76"/>
      <c r="V45" s="76"/>
      <c r="W45" s="76"/>
      <c r="X45" s="76"/>
      <c r="AA45" s="585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2"/>
    </row>
    <row r="46" spans="1:44" s="685" customFormat="1" ht="17" thickBot="1">
      <c r="A46" s="681" t="s">
        <v>57</v>
      </c>
      <c r="B46" s="682">
        <v>30407.310000000005</v>
      </c>
      <c r="C46" s="682">
        <v>31167.150000000005</v>
      </c>
      <c r="D46" s="682">
        <v>33062.86</v>
      </c>
      <c r="E46" s="682">
        <v>34231.749999999993</v>
      </c>
      <c r="F46" s="682">
        <v>36286.82</v>
      </c>
      <c r="G46" s="682">
        <v>34611.620000000003</v>
      </c>
      <c r="H46" s="682">
        <v>31084.01</v>
      </c>
      <c r="I46" s="682">
        <v>33123.03</v>
      </c>
      <c r="J46" s="682">
        <v>31812.85</v>
      </c>
      <c r="K46" s="686">
        <f>+AVERAGE(H46:J46)</f>
        <v>32006.629999999994</v>
      </c>
      <c r="L46" s="686">
        <f>+AVERAGE(I46:K46)</f>
        <v>32314.17</v>
      </c>
      <c r="M46" s="687">
        <f>+AVERAGE(J46:L46)</f>
        <v>32044.55</v>
      </c>
      <c r="N46" s="688">
        <v>60000</v>
      </c>
      <c r="O46" s="688">
        <v>60000</v>
      </c>
      <c r="P46" s="688">
        <v>60000</v>
      </c>
      <c r="Q46" s="688">
        <v>60000</v>
      </c>
      <c r="R46" s="688">
        <v>60000</v>
      </c>
      <c r="S46" s="688">
        <v>60000</v>
      </c>
      <c r="T46" s="688">
        <v>64669</v>
      </c>
      <c r="U46" s="688">
        <v>72768</v>
      </c>
      <c r="V46" s="688">
        <v>99465</v>
      </c>
      <c r="W46" s="688">
        <v>84642</v>
      </c>
      <c r="X46" s="688">
        <v>111045</v>
      </c>
      <c r="Y46" s="688">
        <f>+X46</f>
        <v>111045</v>
      </c>
      <c r="Z46" s="703"/>
      <c r="AA46" s="688">
        <f>+(((Y26*Model!Y28)*(1-AA22))+((Y42*Y43)*(1-AA20)))*Supuestos!$M$14+(((N26*N27)*(1-AA21)))*Supuestos!$M$13</f>
        <v>70224.991533333348</v>
      </c>
      <c r="AB46" s="684">
        <f>+(((AA26*AA28)*(1-AB22))+((AA42*AA43)*(1-AB20)))*Supuestos!$M$14+(((O26*O27)*(1-AB21)))*Supuestos!$M$13</f>
        <v>61610.364038260013</v>
      </c>
      <c r="AC46" s="684">
        <f>+(((AB26*AB28)*(1-AC22))+((AB42*AB43)*(1-AC20)))*Supuestos!$M$14+(((P26*P27)*(1-AC21)))*Supuestos!$M$13</f>
        <v>60062.740911992951</v>
      </c>
      <c r="AD46" s="684">
        <f>+(((AC26*AC28)*(1-AD22))+((AC42*AC43)*(1-AD20)))*Supuestos!$M$14+(((Q26*Q27)*(1-AD21)))*Supuestos!$M$13</f>
        <v>54204.072016369755</v>
      </c>
      <c r="AE46" s="684">
        <f>+(((AD26*AD28)*(1-AE22))+((AD42*AD43)*(1-AE20)))*Supuestos!$M$14+(((R26*R27)*(1-AE21)))*Supuestos!$M$13</f>
        <v>51593.053394281829</v>
      </c>
      <c r="AF46" s="684">
        <f>+(((AE26*AE28)*(1-AF22))+((AE42*AE43)*(1-AF20)))*Supuestos!$M$14+(((S26*S27)*(1-AF21)))*Supuestos!$M$13</f>
        <v>60881.422940334145</v>
      </c>
      <c r="AG46" s="684">
        <f>+(((AF26*AF28)*(1-AG22))+((AF42*AF43)*(1-AG20)))*Supuestos!$M$14+(((T26*T27)*(1-AG21)))*Supuestos!$M$13</f>
        <v>69126.77770687094</v>
      </c>
      <c r="AH46" s="684">
        <f>+(((AG26*AG28)*(1-AH22))+((AG42*AG43)*(1-AH20)))*Supuestos!$M$14+(((U26*U27)*(1-AH21)))*Supuestos!$M$13</f>
        <v>85488.312847898022</v>
      </c>
      <c r="AI46" s="684">
        <f>+(((AH26*AH28)*(1-AI22))+((AH42*AH43)*(1-AI20)))*Supuestos!$M$14+(((V26*V27)*(1-AI21)))*Supuestos!$M$13</f>
        <v>97584.659033182805</v>
      </c>
      <c r="AJ46" s="684">
        <f>+(((AI26*AI28)*(1-AJ22))+((AI42*AI43)*(1-AJ20)))*Supuestos!$M$14+(((W26*W27)*(1-AJ21)))*Supuestos!$M$13</f>
        <v>85829.602919494675</v>
      </c>
      <c r="AK46" s="684">
        <f>+(((AJ26*AJ28)*(1-AK22))+((AJ42*AJ43)*(1-AK20)))*Supuestos!$M$14+(((X26*X27)*(1-AK21)))*Supuestos!$M$13</f>
        <v>91365.27931173137</v>
      </c>
      <c r="AL46" s="689">
        <f>+(((AK26*AK28)*(1-AL22))+((AK42*AK43)*(1-AL20)))*Supuestos!$M$14+(((Y26*Y27)*(1-AL21)))*Supuestos!$M$13</f>
        <v>93182.857970748009</v>
      </c>
    </row>
    <row r="47" spans="1:44" ht="22">
      <c r="W47" s="424"/>
      <c r="X47" s="424"/>
      <c r="Y47" s="424"/>
      <c r="AA47" s="586"/>
      <c r="AN47" s="643" t="s">
        <v>897</v>
      </c>
      <c r="AO47" s="644" t="s">
        <v>0</v>
      </c>
      <c r="AP47" s="644" t="s">
        <v>1</v>
      </c>
      <c r="AQ47" s="644" t="s">
        <v>2</v>
      </c>
      <c r="AR47" s="645" t="s">
        <v>3</v>
      </c>
    </row>
    <row r="48" spans="1:44" ht="23" thickBot="1">
      <c r="A48" t="s">
        <v>58</v>
      </c>
      <c r="B48" s="11">
        <f t="shared" ref="B48:M48" si="31">+B34+B46</f>
        <v>291830.60223577236</v>
      </c>
      <c r="C48" s="11">
        <f t="shared" si="31"/>
        <v>271437.75841025484</v>
      </c>
      <c r="D48" s="11">
        <f t="shared" si="31"/>
        <v>297849.20066946012</v>
      </c>
      <c r="E48" s="11">
        <f t="shared" si="31"/>
        <v>252187.8006208372</v>
      </c>
      <c r="F48" s="11">
        <f t="shared" si="31"/>
        <v>238334.81048291601</v>
      </c>
      <c r="G48" s="11">
        <f t="shared" si="31"/>
        <v>250381.6369830792</v>
      </c>
      <c r="H48" s="11">
        <f t="shared" si="31"/>
        <v>280398.4464286255</v>
      </c>
      <c r="I48" s="11">
        <f t="shared" si="31"/>
        <v>285090.36737861158</v>
      </c>
      <c r="J48" s="11">
        <f t="shared" si="31"/>
        <v>238691.71848167051</v>
      </c>
      <c r="K48" s="11">
        <f t="shared" si="31"/>
        <v>252839.77917299623</v>
      </c>
      <c r="L48" s="11">
        <f t="shared" si="31"/>
        <v>265740.9884821428</v>
      </c>
      <c r="M48" s="400">
        <f t="shared" si="31"/>
        <v>259195.23694790434</v>
      </c>
      <c r="N48" s="416">
        <v>230400.97999999998</v>
      </c>
      <c r="O48" s="416">
        <v>190233.89</v>
      </c>
      <c r="P48" s="416">
        <v>198709.53999999989</v>
      </c>
      <c r="Q48" s="416">
        <v>166136.81999999995</v>
      </c>
      <c r="R48" s="416">
        <v>145452.40999999995</v>
      </c>
      <c r="S48" s="416">
        <v>201142.36999999997</v>
      </c>
      <c r="T48" s="416">
        <v>258652.37999999998</v>
      </c>
      <c r="U48" s="416">
        <v>304098.0400000001</v>
      </c>
      <c r="V48" s="416">
        <v>358241.38000000018</v>
      </c>
      <c r="W48" s="423">
        <f t="shared" ref="W48:Y51" si="32">+AVERAGE(T48:V48)</f>
        <v>306997.26666666678</v>
      </c>
      <c r="X48" s="423">
        <f t="shared" si="32"/>
        <v>323112.22888888902</v>
      </c>
      <c r="Y48" s="423">
        <f t="shared" si="32"/>
        <v>329450.29185185203</v>
      </c>
      <c r="Z48" s="693"/>
      <c r="AA48" s="587">
        <f>+AA46+AA34</f>
        <v>425490.99153333344</v>
      </c>
      <c r="AB48" s="587">
        <f>+AB46+AB34</f>
        <v>416876.36403826007</v>
      </c>
      <c r="AC48" s="587">
        <f t="shared" ref="AC48:AL48" si="33">+AC46+AC34</f>
        <v>415328.74091199302</v>
      </c>
      <c r="AD48" s="587">
        <f t="shared" si="33"/>
        <v>462759.97201636981</v>
      </c>
      <c r="AE48" s="587">
        <f t="shared" si="33"/>
        <v>460148.95339428185</v>
      </c>
      <c r="AF48" s="587">
        <f t="shared" si="33"/>
        <v>469437.32294033415</v>
      </c>
      <c r="AG48" s="587">
        <f t="shared" si="33"/>
        <v>526754.27770687093</v>
      </c>
      <c r="AH48" s="587">
        <f t="shared" si="33"/>
        <v>543115.81284789799</v>
      </c>
      <c r="AI48" s="587">
        <f t="shared" si="33"/>
        <v>555212.15903318278</v>
      </c>
      <c r="AJ48" s="587">
        <f t="shared" si="33"/>
        <v>580067.30291949469</v>
      </c>
      <c r="AK48" s="587">
        <f t="shared" si="33"/>
        <v>585602.97931173129</v>
      </c>
      <c r="AL48" s="636">
        <f t="shared" si="33"/>
        <v>587420.55797074793</v>
      </c>
      <c r="AN48" s="646">
        <f>+SUM(W48:Y48)</f>
        <v>959559.78740740777</v>
      </c>
      <c r="AO48" s="647">
        <f>+SUM(AA48:AC48)</f>
        <v>1257696.0964835866</v>
      </c>
      <c r="AP48" s="647">
        <f>+SUM(AD48:AF48)</f>
        <v>1392346.2483509858</v>
      </c>
      <c r="AQ48" s="647">
        <f>+SUM(AG48:AI48)</f>
        <v>1625082.2495879517</v>
      </c>
      <c r="AR48" s="648">
        <f>+SUM(AJ48:AL48)</f>
        <v>1753090.8402019739</v>
      </c>
    </row>
    <row r="49" spans="1:38">
      <c r="A49" t="s">
        <v>59</v>
      </c>
      <c r="B49" s="82">
        <f>+-((B35*(B17))+(B36*(B17))+(B46*(B18)))</f>
        <v>-13594.584170731705</v>
      </c>
      <c r="C49" s="82">
        <f t="shared" ref="C49:M49" si="34">+-(C34*C17)+(C46*(C18))</f>
        <v>-67406.110023076457</v>
      </c>
      <c r="D49" s="82">
        <f t="shared" si="34"/>
        <v>-74476.473200838038</v>
      </c>
      <c r="E49" s="82">
        <f t="shared" si="34"/>
        <v>-60252.052686251162</v>
      </c>
      <c r="F49" s="82">
        <f t="shared" si="34"/>
        <v>-55171.374144874797</v>
      </c>
      <c r="G49" s="82">
        <f t="shared" si="34"/>
        <v>-59539.262094923753</v>
      </c>
      <c r="H49" s="82">
        <f t="shared" si="34"/>
        <v>-70131.729428587641</v>
      </c>
      <c r="I49" s="82">
        <f t="shared" si="34"/>
        <v>-70621.746713583474</v>
      </c>
      <c r="J49" s="82">
        <f t="shared" si="34"/>
        <v>-57291.733044501154</v>
      </c>
      <c r="K49" s="82">
        <f t="shared" si="34"/>
        <v>-61448.950251898859</v>
      </c>
      <c r="L49" s="82">
        <f t="shared" si="34"/>
        <v>-65180.920044642837</v>
      </c>
      <c r="M49" s="83">
        <f t="shared" si="34"/>
        <v>-63338.523584371294</v>
      </c>
      <c r="N49" s="82">
        <f>+N51-N48</f>
        <v>-83892.61440000002</v>
      </c>
      <c r="O49" s="82">
        <f t="shared" ref="O49:V49" si="35">+O51-O48</f>
        <v>-68602.78200000005</v>
      </c>
      <c r="P49" s="82">
        <f t="shared" si="35"/>
        <v>-71040.954399999959</v>
      </c>
      <c r="Q49" s="82">
        <f t="shared" si="35"/>
        <v>-59223.199999999997</v>
      </c>
      <c r="R49" s="82">
        <f t="shared" si="35"/>
        <v>-51318.169599999994</v>
      </c>
      <c r="S49" s="82">
        <f t="shared" si="35"/>
        <v>-72222.881200000018</v>
      </c>
      <c r="T49" s="82">
        <f t="shared" si="35"/>
        <v>-96076.871200000023</v>
      </c>
      <c r="U49" s="82">
        <f t="shared" si="35"/>
        <v>-110974.43400000012</v>
      </c>
      <c r="V49" s="82">
        <f t="shared" si="35"/>
        <v>-128336.53600000023</v>
      </c>
      <c r="W49" s="423">
        <f t="shared" si="32"/>
        <v>-111795.94706666679</v>
      </c>
      <c r="X49" s="423">
        <f t="shared" si="32"/>
        <v>-117035.63902222237</v>
      </c>
      <c r="Y49" s="423">
        <f t="shared" si="32"/>
        <v>-119056.04069629645</v>
      </c>
      <c r="Z49" s="693"/>
      <c r="AA49" s="637">
        <f>+-1*(AA34*AA17)+(AA46*AA18)</f>
        <v>-92534.801693333342</v>
      </c>
      <c r="AB49" s="150">
        <f>+-1*(AB34*AB17)+(AB46*AB18)</f>
        <v>-94257.727192348015</v>
      </c>
      <c r="AC49" s="150">
        <f t="shared" ref="AC49:AL49" si="36">+-1*(AC34*AC17)+(AC46*AC18)</f>
        <v>-94567.251817601427</v>
      </c>
      <c r="AD49" s="150">
        <f t="shared" si="36"/>
        <v>-111725.95559672605</v>
      </c>
      <c r="AE49" s="150">
        <f t="shared" si="36"/>
        <v>-112248.15932114364</v>
      </c>
      <c r="AF49" s="150">
        <f t="shared" si="36"/>
        <v>-110390.48541193317</v>
      </c>
      <c r="AG49" s="150">
        <f t="shared" si="36"/>
        <v>-123462.89445862581</v>
      </c>
      <c r="AH49" s="150">
        <f t="shared" si="36"/>
        <v>-120190.58743042039</v>
      </c>
      <c r="AI49" s="150">
        <f t="shared" si="36"/>
        <v>-117771.31819336343</v>
      </c>
      <c r="AJ49" s="150">
        <f t="shared" si="36"/>
        <v>-131105.38941610104</v>
      </c>
      <c r="AK49" s="150">
        <f t="shared" si="36"/>
        <v>-129998.2541376537</v>
      </c>
      <c r="AL49" s="83">
        <f t="shared" si="36"/>
        <v>-129634.73840585037</v>
      </c>
    </row>
    <row r="50" spans="1:38">
      <c r="A50" t="s">
        <v>353</v>
      </c>
      <c r="B50" s="82"/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3"/>
      <c r="N50" s="82"/>
      <c r="O50" s="82"/>
      <c r="P50" s="82"/>
      <c r="Q50" s="82"/>
      <c r="R50" s="82"/>
      <c r="S50" s="82"/>
      <c r="T50" s="82"/>
      <c r="U50" s="82"/>
      <c r="V50" s="82"/>
      <c r="W50" s="423"/>
      <c r="X50" s="423"/>
      <c r="Y50" s="423"/>
      <c r="Z50" s="693"/>
      <c r="AA50" s="588">
        <f>+AA49/AA48</f>
        <v>-0.21747769878715298</v>
      </c>
      <c r="AB50" s="589">
        <f t="shared" ref="AB50:AL50" si="37">+AB49/AB48</f>
        <v>-0.22610475268801095</v>
      </c>
      <c r="AC50" s="589">
        <f t="shared" si="37"/>
        <v>-0.2276925300424609</v>
      </c>
      <c r="AD50" s="589">
        <f t="shared" si="37"/>
        <v>-0.24143392331429614</v>
      </c>
      <c r="AE50" s="589">
        <f t="shared" si="37"/>
        <v>-0.2439387474276466</v>
      </c>
      <c r="AF50" s="589">
        <f t="shared" si="37"/>
        <v>-0.23515489718733737</v>
      </c>
      <c r="AG50" s="589">
        <f t="shared" si="37"/>
        <v>-0.23438422749236912</v>
      </c>
      <c r="AH50" s="589">
        <f t="shared" si="37"/>
        <v>-0.22129826565016678</v>
      </c>
      <c r="AI50" s="589">
        <f t="shared" si="37"/>
        <v>-0.21211948671737343</v>
      </c>
      <c r="AJ50" s="589">
        <f t="shared" si="37"/>
        <v>-0.22601754788839848</v>
      </c>
      <c r="AK50" s="589">
        <f t="shared" si="37"/>
        <v>-0.22199042479333483</v>
      </c>
      <c r="AL50" s="590">
        <f t="shared" si="37"/>
        <v>-0.22068471497435377</v>
      </c>
    </row>
    <row r="51" spans="1:38">
      <c r="A51" t="s">
        <v>60</v>
      </c>
      <c r="B51" s="11">
        <f>+SUM(B48:B49)</f>
        <v>278236.01806504064</v>
      </c>
      <c r="C51" s="11">
        <f t="shared" ref="C51:M51" si="38">+SUM(C48:C49)</f>
        <v>204031.64838717837</v>
      </c>
      <c r="D51" s="11">
        <f t="shared" si="38"/>
        <v>223372.72746862209</v>
      </c>
      <c r="E51" s="11">
        <f t="shared" si="38"/>
        <v>191935.74793458602</v>
      </c>
      <c r="F51" s="11">
        <f t="shared" si="38"/>
        <v>183163.43633804121</v>
      </c>
      <c r="G51" s="11">
        <f t="shared" si="38"/>
        <v>190842.37488815543</v>
      </c>
      <c r="H51" s="11">
        <f t="shared" si="38"/>
        <v>210266.71700003784</v>
      </c>
      <c r="I51" s="11">
        <f t="shared" si="38"/>
        <v>214468.62066502811</v>
      </c>
      <c r="J51" s="11">
        <f t="shared" si="38"/>
        <v>181399.98543716935</v>
      </c>
      <c r="K51" s="11">
        <f t="shared" si="38"/>
        <v>191390.82892109739</v>
      </c>
      <c r="L51" s="11">
        <f t="shared" si="38"/>
        <v>200560.06843749995</v>
      </c>
      <c r="M51" s="31">
        <f t="shared" si="38"/>
        <v>195856.71336353305</v>
      </c>
      <c r="N51" s="81">
        <v>146508.36559999996</v>
      </c>
      <c r="O51" s="81">
        <v>121631.10799999996</v>
      </c>
      <c r="P51" s="81">
        <v>127668.58559999993</v>
      </c>
      <c r="Q51" s="81">
        <v>106913.61999999995</v>
      </c>
      <c r="R51" s="81">
        <v>94134.240399999951</v>
      </c>
      <c r="S51" s="81">
        <v>128919.48879999995</v>
      </c>
      <c r="T51" s="81">
        <v>162575.50879999995</v>
      </c>
      <c r="U51" s="81">
        <v>193123.60599999997</v>
      </c>
      <c r="V51" s="81">
        <v>229904.84399999995</v>
      </c>
      <c r="W51" s="423">
        <f t="shared" si="32"/>
        <v>195201.31959999996</v>
      </c>
      <c r="X51" s="423">
        <f t="shared" si="32"/>
        <v>206076.58986666662</v>
      </c>
      <c r="Y51" s="423">
        <f t="shared" si="32"/>
        <v>210394.25115555551</v>
      </c>
      <c r="Z51" s="693"/>
      <c r="AA51" s="591">
        <f>+AA48+AA49</f>
        <v>332956.18984000012</v>
      </c>
      <c r="AB51" s="11">
        <f t="shared" ref="AB51:AL51" si="39">+AB48+AB49</f>
        <v>322618.63684591209</v>
      </c>
      <c r="AC51" s="11">
        <f t="shared" si="39"/>
        <v>320761.48909439158</v>
      </c>
      <c r="AD51" s="11">
        <f t="shared" si="39"/>
        <v>351034.01641964377</v>
      </c>
      <c r="AE51" s="11">
        <f t="shared" si="39"/>
        <v>347900.79407313821</v>
      </c>
      <c r="AF51" s="11">
        <f t="shared" si="39"/>
        <v>359046.837528401</v>
      </c>
      <c r="AG51" s="11">
        <f t="shared" si="39"/>
        <v>403291.38324824511</v>
      </c>
      <c r="AH51" s="11">
        <f t="shared" si="39"/>
        <v>422925.2254174776</v>
      </c>
      <c r="AI51" s="11">
        <f t="shared" si="39"/>
        <v>437440.84083981934</v>
      </c>
      <c r="AJ51" s="11">
        <f t="shared" si="39"/>
        <v>448961.91350339365</v>
      </c>
      <c r="AK51" s="11">
        <f t="shared" si="39"/>
        <v>455604.72517407761</v>
      </c>
      <c r="AL51" s="31">
        <f t="shared" si="39"/>
        <v>457785.81956489757</v>
      </c>
    </row>
    <row r="52" spans="1:38">
      <c r="AA52" s="592"/>
      <c r="AB52" s="50"/>
      <c r="AC52" s="50"/>
      <c r="AD52" s="50"/>
      <c r="AE52" s="50"/>
      <c r="AF52" s="50"/>
      <c r="AG52" s="50"/>
      <c r="AH52" s="50"/>
      <c r="AI52" s="50"/>
      <c r="AJ52" s="50"/>
      <c r="AK52" s="593"/>
      <c r="AL52" s="52"/>
    </row>
    <row r="53" spans="1:38" s="295" customFormat="1">
      <c r="A53" s="295" t="s">
        <v>290</v>
      </c>
      <c r="B53" s="595">
        <f t="shared" ref="B53:M53" si="40">B51-B8</f>
        <v>146018.59806504063</v>
      </c>
      <c r="C53" s="595">
        <f t="shared" si="40"/>
        <v>75477.508387178372</v>
      </c>
      <c r="D53" s="595">
        <f t="shared" si="40"/>
        <v>82525.24746862211</v>
      </c>
      <c r="E53" s="595">
        <f t="shared" si="40"/>
        <v>57538.637934586004</v>
      </c>
      <c r="F53" s="595">
        <f t="shared" si="40"/>
        <v>50245.506333041209</v>
      </c>
      <c r="G53" s="595">
        <f t="shared" si="40"/>
        <v>47235.084889155463</v>
      </c>
      <c r="H53" s="595">
        <f t="shared" si="40"/>
        <v>54709.047001037834</v>
      </c>
      <c r="I53" s="595">
        <f t="shared" si="40"/>
        <v>70241.060662028089</v>
      </c>
      <c r="J53" s="595">
        <f t="shared" si="40"/>
        <v>54746.09492616936</v>
      </c>
      <c r="K53" s="595">
        <f t="shared" si="40"/>
        <v>72602.828921097389</v>
      </c>
      <c r="L53" s="595">
        <f t="shared" si="40"/>
        <v>70670.251599499941</v>
      </c>
      <c r="M53" s="596">
        <f t="shared" si="40"/>
        <v>70746.144247199714</v>
      </c>
      <c r="N53" s="595">
        <f t="shared" ref="N53:Y53" si="41">+N51-N8</f>
        <v>-9212.7144090000074</v>
      </c>
      <c r="O53" s="595">
        <f t="shared" si="41"/>
        <v>-226.58199900004547</v>
      </c>
      <c r="P53" s="595">
        <f t="shared" si="41"/>
        <v>13592.865598999924</v>
      </c>
      <c r="Q53" s="595">
        <f t="shared" si="41"/>
        <v>-2125.8000030000403</v>
      </c>
      <c r="R53" s="595">
        <f t="shared" si="41"/>
        <v>2049.7003959999711</v>
      </c>
      <c r="S53" s="595">
        <f t="shared" si="41"/>
        <v>9589.1187959999661</v>
      </c>
      <c r="T53" s="595">
        <f t="shared" si="41"/>
        <v>19207.198817999946</v>
      </c>
      <c r="U53" s="595">
        <f t="shared" si="41"/>
        <v>51520.966004999878</v>
      </c>
      <c r="V53" s="595">
        <f t="shared" si="41"/>
        <v>51266.463958999986</v>
      </c>
      <c r="W53" s="595">
        <f t="shared" si="41"/>
        <v>40664.876260666584</v>
      </c>
      <c r="X53" s="595">
        <f t="shared" si="41"/>
        <v>47817.43540822214</v>
      </c>
      <c r="Y53" s="595">
        <f t="shared" si="41"/>
        <v>46582.925209296227</v>
      </c>
      <c r="Z53" s="704"/>
      <c r="AA53" s="597">
        <f>+AA51-AA8</f>
        <v>178156.18984000012</v>
      </c>
      <c r="AB53" s="598">
        <f t="shared" ref="AB53:AL53" si="42">+AB51-AB8</f>
        <v>167818.63684591209</v>
      </c>
      <c r="AC53" s="598">
        <f t="shared" si="42"/>
        <v>165961.48909439158</v>
      </c>
      <c r="AD53" s="598">
        <f t="shared" si="42"/>
        <v>173014.01641964377</v>
      </c>
      <c r="AE53" s="598">
        <f t="shared" si="42"/>
        <v>169880.79407313821</v>
      </c>
      <c r="AF53" s="598">
        <f t="shared" si="42"/>
        <v>181026.837528401</v>
      </c>
      <c r="AG53" s="598">
        <f t="shared" si="42"/>
        <v>209791.38324824511</v>
      </c>
      <c r="AH53" s="598">
        <f t="shared" si="42"/>
        <v>229425.2254174776</v>
      </c>
      <c r="AI53" s="598">
        <f t="shared" si="42"/>
        <v>243940.84083981934</v>
      </c>
      <c r="AJ53" s="598">
        <f t="shared" si="42"/>
        <v>239981.91350339365</v>
      </c>
      <c r="AK53" s="598">
        <f t="shared" si="42"/>
        <v>246624.72517407761</v>
      </c>
      <c r="AL53" s="599">
        <f t="shared" si="42"/>
        <v>248805.81956489757</v>
      </c>
    </row>
    <row r="54" spans="1:38">
      <c r="AA54" s="50"/>
      <c r="AB54" s="594"/>
      <c r="AC54" s="594"/>
      <c r="AD54" s="50"/>
      <c r="AE54" s="50"/>
      <c r="AF54" s="50"/>
      <c r="AG54" s="50"/>
      <c r="AH54" s="50"/>
      <c r="AI54" s="50"/>
      <c r="AJ54" s="50"/>
      <c r="AK54" s="50"/>
      <c r="AL54" s="52"/>
    </row>
    <row r="56" spans="1:38" s="84" customFormat="1">
      <c r="A56" s="787" t="s">
        <v>61</v>
      </c>
      <c r="M56" s="85"/>
      <c r="Z56" s="690"/>
      <c r="AL56" s="85"/>
    </row>
    <row r="57" spans="1:38" s="84" customFormat="1">
      <c r="A57" s="787"/>
      <c r="M57" s="85"/>
      <c r="Z57" s="690"/>
      <c r="AL57" s="85"/>
    </row>
    <row r="58" spans="1:38">
      <c r="A58" s="27" t="s">
        <v>33</v>
      </c>
    </row>
    <row r="59" spans="1:38">
      <c r="A59" s="29" t="s">
        <v>34</v>
      </c>
      <c r="B59" s="30">
        <v>19973.990000000002</v>
      </c>
      <c r="C59" s="30">
        <v>18756.680001000001</v>
      </c>
      <c r="D59" s="30">
        <v>18112.150000000001</v>
      </c>
      <c r="E59" s="30">
        <v>18294.52</v>
      </c>
      <c r="F59" s="30">
        <v>13806.050000000001</v>
      </c>
      <c r="G59" s="30">
        <v>16704.619999999995</v>
      </c>
      <c r="H59" s="30">
        <v>17896.179999999997</v>
      </c>
      <c r="I59" s="30">
        <v>23103.840000999997</v>
      </c>
      <c r="J59" s="30">
        <v>23327.840633999993</v>
      </c>
      <c r="K59" s="30">
        <v>25944</v>
      </c>
      <c r="L59" s="11">
        <f>+AVERAGE(I59:K59)</f>
        <v>24125.226878333331</v>
      </c>
      <c r="M59" s="31">
        <f>+AVERAGE(J59:L59)</f>
        <v>24465.689170777772</v>
      </c>
      <c r="N59" s="30">
        <v>33017.360003000002</v>
      </c>
      <c r="O59" s="30">
        <v>23621.410007000002</v>
      </c>
      <c r="P59" s="30">
        <v>23100.589998999996</v>
      </c>
      <c r="Q59" s="30">
        <v>19338.040001999994</v>
      </c>
      <c r="R59" s="30">
        <v>17250.130007000003</v>
      </c>
      <c r="S59" s="30">
        <v>19361.500013000001</v>
      </c>
      <c r="T59" s="30">
        <v>16305.750005000002</v>
      </c>
      <c r="U59" s="30">
        <v>17534.050004000001</v>
      </c>
      <c r="V59" s="30">
        <v>16574.390020999999</v>
      </c>
      <c r="W59" s="417">
        <f t="shared" ref="W59:Y60" si="43">+AVERAGE(T59:V59)</f>
        <v>16804.730009999999</v>
      </c>
      <c r="X59" s="417">
        <f t="shared" si="43"/>
        <v>16971.056678333334</v>
      </c>
      <c r="Y59" s="417">
        <f t="shared" si="43"/>
        <v>16783.392236444444</v>
      </c>
      <c r="Z59" s="693"/>
      <c r="AA59" s="559">
        <f>+Supuestos!$G$7*Supuestos!$G$8*Supuestos!$G$17</f>
        <v>25200.000000000004</v>
      </c>
      <c r="AB59" s="560">
        <f>+Supuestos!$G$7*Supuestos!$G$8*Supuestos!$G$17</f>
        <v>25200.000000000004</v>
      </c>
      <c r="AC59" s="560">
        <f>+Supuestos!$G$7*Supuestos!$G$8*Supuestos!$G$17</f>
        <v>25200.000000000004</v>
      </c>
      <c r="AD59" s="560">
        <f>+Supuestos!$H$7*Supuestos!$H$10*Supuestos!$H$17</f>
        <v>27692.000000000004</v>
      </c>
      <c r="AE59" s="560">
        <f>+Supuestos!$H$7*Supuestos!$H$10*Supuestos!$H$17</f>
        <v>27692.000000000004</v>
      </c>
      <c r="AF59" s="560">
        <f>+Supuestos!$H$7*Supuestos!$H$10*Supuestos!$H$17</f>
        <v>27692.000000000004</v>
      </c>
      <c r="AG59" s="560">
        <f>+Supuestos!$I$7*Supuestos!$I$10*Supuestos!$I$17</f>
        <v>30100.000000000004</v>
      </c>
      <c r="AH59" s="560">
        <f>+Supuestos!$I$7*Supuestos!$I$10*Supuestos!$I$17</f>
        <v>30100.000000000004</v>
      </c>
      <c r="AI59" s="560">
        <f>+Supuestos!$I$7*Supuestos!$I$10*Supuestos!$I$17</f>
        <v>30100.000000000004</v>
      </c>
      <c r="AJ59" s="560">
        <f>+Supuestos!$J$7*Supuestos!$J$10*Supuestos!$J$17</f>
        <v>32508.000000000004</v>
      </c>
      <c r="AK59" s="560">
        <f>+Supuestos!$J$7*Supuestos!$J$10*Supuestos!$J$17</f>
        <v>32508.000000000004</v>
      </c>
      <c r="AL59" s="464">
        <f>+Supuestos!$J$7*Supuestos!$J$10*Supuestos!$J$17</f>
        <v>32508.000000000004</v>
      </c>
    </row>
    <row r="60" spans="1:38">
      <c r="A60" s="29" t="s">
        <v>35</v>
      </c>
      <c r="B60" s="32">
        <v>0.41380575524663865</v>
      </c>
      <c r="C60" s="32">
        <v>0.47155772327534196</v>
      </c>
      <c r="D60" s="32">
        <v>0.56252406981800118</v>
      </c>
      <c r="E60" s="32">
        <v>0.58889203630979203</v>
      </c>
      <c r="F60" s="32">
        <v>0.50621677116562169</v>
      </c>
      <c r="G60" s="32">
        <v>0.53441103077612118</v>
      </c>
      <c r="H60" s="32">
        <v>0.61330294722412604</v>
      </c>
      <c r="I60" s="32">
        <v>0.64838324028288374</v>
      </c>
      <c r="J60" s="32">
        <v>0.76688387632729516</v>
      </c>
      <c r="K60" s="32">
        <v>0.49</v>
      </c>
      <c r="L60" s="7">
        <f>+AVERAGE(I60:K60)</f>
        <v>0.63508903887005963</v>
      </c>
      <c r="M60" s="33">
        <f>+AVERAGE(J60:L60)</f>
        <v>0.63065763839911826</v>
      </c>
      <c r="N60" s="32">
        <v>0.44456448858877867</v>
      </c>
      <c r="O60" s="32">
        <v>0.5866924148576822</v>
      </c>
      <c r="P60" s="32">
        <v>0.63491067499450293</v>
      </c>
      <c r="Q60" s="32">
        <v>0.66811912665837458</v>
      </c>
      <c r="R60" s="32">
        <v>0.60410190884258463</v>
      </c>
      <c r="S60" s="32">
        <v>0.79347157956641123</v>
      </c>
      <c r="T60" s="32">
        <v>0.62825576038375597</v>
      </c>
      <c r="U60" s="32">
        <v>0.66308853019702763</v>
      </c>
      <c r="V60" s="32">
        <v>0.68879150650376098</v>
      </c>
      <c r="W60" s="418">
        <f t="shared" si="43"/>
        <v>0.66004526569484812</v>
      </c>
      <c r="X60" s="418">
        <f t="shared" si="43"/>
        <v>0.6706417674652122</v>
      </c>
      <c r="Y60" s="418">
        <f t="shared" si="43"/>
        <v>0.67315951322127365</v>
      </c>
      <c r="Z60" s="694"/>
      <c r="AA60" s="561">
        <f>+Supuestos!$G$18</f>
        <v>0.6</v>
      </c>
      <c r="AB60" s="562">
        <f>+Supuestos!$G$18</f>
        <v>0.6</v>
      </c>
      <c r="AC60" s="562">
        <f>+Supuestos!$G$18</f>
        <v>0.6</v>
      </c>
      <c r="AD60" s="562">
        <f>+Supuestos!$H$18</f>
        <v>0.6</v>
      </c>
      <c r="AE60" s="562">
        <f>+Supuestos!$H$18</f>
        <v>0.6</v>
      </c>
      <c r="AF60" s="562">
        <f>+Supuestos!$H$18</f>
        <v>0.6</v>
      </c>
      <c r="AG60" s="562">
        <f>+Supuestos!$I$18</f>
        <v>0.6</v>
      </c>
      <c r="AH60" s="562">
        <f>+Supuestos!$I$18</f>
        <v>0.6</v>
      </c>
      <c r="AI60" s="562">
        <f>+Supuestos!$I$18</f>
        <v>0.6</v>
      </c>
      <c r="AJ60" s="562">
        <f>+Supuestos!$J$18</f>
        <v>0.6</v>
      </c>
      <c r="AK60" s="562">
        <f>+Supuestos!$J$18</f>
        <v>0.6</v>
      </c>
      <c r="AL60" s="206">
        <f>+Supuestos!$J$18</f>
        <v>0.6</v>
      </c>
    </row>
    <row r="61" spans="1:38"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3"/>
      <c r="N61" s="22"/>
      <c r="O61" s="22"/>
      <c r="P61" s="22"/>
      <c r="Q61" s="22"/>
      <c r="R61" s="22"/>
      <c r="S61" s="22"/>
      <c r="T61" s="22"/>
      <c r="U61" s="22"/>
      <c r="V61" s="22"/>
      <c r="W61" s="419"/>
      <c r="X61" s="420"/>
      <c r="Y61" s="421"/>
      <c r="AA61" s="197"/>
    </row>
    <row r="62" spans="1:38">
      <c r="A62" s="27" t="s">
        <v>36</v>
      </c>
      <c r="B62" s="35">
        <v>1.6118005345045476E-2</v>
      </c>
      <c r="C62" s="35">
        <v>1.7196299275945293E-2</v>
      </c>
      <c r="D62" s="35">
        <v>2.1957885582955462E-2</v>
      </c>
      <c r="E62" s="35">
        <v>1.9957509817807251E-2</v>
      </c>
      <c r="F62" s="35">
        <v>2.3136435302313643E-2</v>
      </c>
      <c r="G62" s="35">
        <v>2.2618209738306992E-2</v>
      </c>
      <c r="H62" s="35">
        <v>2.6696367374914324E-2</v>
      </c>
      <c r="I62" s="35">
        <v>2.494878343108916E-2</v>
      </c>
      <c r="J62" s="35">
        <v>2.6003484664190144E-2</v>
      </c>
      <c r="K62" s="35">
        <v>1.78E-2</v>
      </c>
      <c r="L62" s="36">
        <f t="shared" ref="L62:M65" si="44">+AVERAGE(I62:K62)</f>
        <v>2.2917422698426435E-2</v>
      </c>
      <c r="M62" s="37">
        <f t="shared" si="44"/>
        <v>2.2240302454205524E-2</v>
      </c>
      <c r="N62" s="35">
        <v>1.4434016884568258E-2</v>
      </c>
      <c r="O62" s="35">
        <v>2.1136555561074959E-2</v>
      </c>
      <c r="P62" s="35">
        <v>2.4983509234828494E-2</v>
      </c>
      <c r="Q62" s="35">
        <v>2.6361249309010504E-2</v>
      </c>
      <c r="R62" s="35">
        <v>2.3988793556294869E-2</v>
      </c>
      <c r="S62" s="35">
        <v>2.7785746485799762E-2</v>
      </c>
      <c r="T62" s="35">
        <v>2.6778145950527858E-2</v>
      </c>
      <c r="U62" s="35">
        <v>2.4921529327232159E-2</v>
      </c>
      <c r="V62" s="35">
        <v>2.5765698375098699E-2</v>
      </c>
      <c r="W62" s="422">
        <f t="shared" ref="W62:Y63" si="45">+AVERAGE(T62:V62)</f>
        <v>2.5821791217619572E-2</v>
      </c>
      <c r="X62" s="422">
        <f t="shared" si="45"/>
        <v>2.5503006306650144E-2</v>
      </c>
      <c r="Y62" s="422">
        <f t="shared" si="45"/>
        <v>2.5696831966456141E-2</v>
      </c>
      <c r="Z62" s="695"/>
      <c r="AA62" s="563">
        <f>+Supuestos!$G$19</f>
        <v>3.2000000000000001E-2</v>
      </c>
      <c r="AB62" s="564">
        <f>+Supuestos!$G$19</f>
        <v>3.2000000000000001E-2</v>
      </c>
      <c r="AC62" s="564">
        <f>+Supuestos!$G$19</f>
        <v>3.2000000000000001E-2</v>
      </c>
      <c r="AD62" s="564">
        <f>+Supuestos!$H$19</f>
        <v>3.2000000000000001E-2</v>
      </c>
      <c r="AE62" s="564">
        <f>+Supuestos!$H$19</f>
        <v>3.2000000000000001E-2</v>
      </c>
      <c r="AF62" s="564">
        <f>+Supuestos!$H$19</f>
        <v>3.2000000000000001E-2</v>
      </c>
      <c r="AG62" s="564">
        <f>+Supuestos!$I$19</f>
        <v>3.3000000000000002E-2</v>
      </c>
      <c r="AH62" s="564">
        <f>+Supuestos!$I$19</f>
        <v>3.3000000000000002E-2</v>
      </c>
      <c r="AI62" s="564">
        <f>+Supuestos!$I$19</f>
        <v>3.3000000000000002E-2</v>
      </c>
      <c r="AJ62" s="564">
        <f>+Supuestos!$J$19</f>
        <v>3.3000000000000002E-2</v>
      </c>
      <c r="AK62" s="564">
        <f>+Supuestos!$J$19</f>
        <v>3.3000000000000002E-2</v>
      </c>
      <c r="AL62" s="466">
        <f>+Supuestos!$J$19</f>
        <v>3.3000000000000002E-2</v>
      </c>
    </row>
    <row r="63" spans="1:38">
      <c r="A63" t="s">
        <v>37</v>
      </c>
      <c r="B63" s="30">
        <v>44.973457583547557</v>
      </c>
      <c r="C63" s="30">
        <v>42.043538011695908</v>
      </c>
      <c r="D63" s="30">
        <v>39.861329561527583</v>
      </c>
      <c r="E63" s="30">
        <v>40.25980645161291</v>
      </c>
      <c r="F63" s="30">
        <v>36.881822503961963</v>
      </c>
      <c r="G63" s="30">
        <v>33.734766619519093</v>
      </c>
      <c r="H63" s="30">
        <v>36.623260590500649</v>
      </c>
      <c r="I63" s="30">
        <v>37.001912260967373</v>
      </c>
      <c r="J63" s="30">
        <v>36.933577749683948</v>
      </c>
      <c r="K63" s="30">
        <v>43</v>
      </c>
      <c r="L63" s="11">
        <f t="shared" si="44"/>
        <v>38.978496670217105</v>
      </c>
      <c r="M63" s="31">
        <f t="shared" si="44"/>
        <v>39.637358139967013</v>
      </c>
      <c r="N63" s="30">
        <v>42.103376865671635</v>
      </c>
      <c r="O63" s="30">
        <v>42.41049353701527</v>
      </c>
      <c r="P63" s="30">
        <v>41.479889988998892</v>
      </c>
      <c r="Q63" s="30">
        <v>40.900786369593703</v>
      </c>
      <c r="R63" s="30">
        <v>42.828700729927014</v>
      </c>
      <c r="S63" s="30">
        <v>43.217123893805322</v>
      </c>
      <c r="T63" s="30">
        <v>43.275683453237406</v>
      </c>
      <c r="U63" s="30">
        <v>46.12289833080424</v>
      </c>
      <c r="V63" s="30">
        <v>40.069741935483869</v>
      </c>
      <c r="W63" s="418">
        <f t="shared" si="45"/>
        <v>43.15610790650851</v>
      </c>
      <c r="X63" s="418">
        <f t="shared" si="45"/>
        <v>43.116249390932204</v>
      </c>
      <c r="Y63" s="418">
        <f t="shared" si="45"/>
        <v>42.11403307764153</v>
      </c>
      <c r="Z63" s="694"/>
      <c r="AA63" s="561">
        <f>+Supuestos!$G$20</f>
        <v>37</v>
      </c>
      <c r="AB63" s="562">
        <f>+Supuestos!$G$20</f>
        <v>37</v>
      </c>
      <c r="AC63" s="562">
        <f>+Supuestos!$G$20</f>
        <v>37</v>
      </c>
      <c r="AD63" s="562">
        <f>+Supuestos!$H$20</f>
        <v>38</v>
      </c>
      <c r="AE63" s="562">
        <f>+Supuestos!$H$20</f>
        <v>38</v>
      </c>
      <c r="AF63" s="562">
        <f>+Supuestos!$H$20</f>
        <v>38</v>
      </c>
      <c r="AG63" s="562">
        <f>+Supuestos!$I$20</f>
        <v>39</v>
      </c>
      <c r="AH63" s="562">
        <f>+Supuestos!$I$20</f>
        <v>39</v>
      </c>
      <c r="AI63" s="562">
        <f>+Supuestos!$I$20</f>
        <v>39</v>
      </c>
      <c r="AJ63" s="562">
        <f>+Supuestos!$J$20</f>
        <v>40</v>
      </c>
      <c r="AK63" s="562">
        <f>+Supuestos!$J$20</f>
        <v>40</v>
      </c>
      <c r="AL63" s="206">
        <f>+Supuestos!$J$20</f>
        <v>40</v>
      </c>
    </row>
    <row r="64" spans="1:38">
      <c r="A64" s="324" t="s">
        <v>46</v>
      </c>
      <c r="B64" s="30">
        <v>65.117248322147674</v>
      </c>
      <c r="C64" s="30">
        <v>63.752638522427461</v>
      </c>
      <c r="D64" s="30">
        <v>61.500749354005173</v>
      </c>
      <c r="E64" s="30">
        <v>60.127202216066486</v>
      </c>
      <c r="F64" s="30">
        <v>58.782185628742525</v>
      </c>
      <c r="G64" s="30">
        <v>56.986568914956017</v>
      </c>
      <c r="H64" s="30">
        <v>55.705440414507791</v>
      </c>
      <c r="I64" s="30">
        <v>55.576097560975604</v>
      </c>
      <c r="J64" s="30">
        <v>54.154237668161436</v>
      </c>
      <c r="K64" s="30">
        <v>62.445652985074631</v>
      </c>
      <c r="L64" s="11">
        <f t="shared" si="44"/>
        <v>57.391996071403888</v>
      </c>
      <c r="M64" s="31">
        <f t="shared" si="44"/>
        <v>57.997295574879985</v>
      </c>
      <c r="N64" s="30">
        <v>58</v>
      </c>
      <c r="O64" s="30">
        <v>60</v>
      </c>
      <c r="P64" s="30">
        <v>61</v>
      </c>
      <c r="Q64" s="30">
        <v>59</v>
      </c>
      <c r="R64" s="30">
        <v>62</v>
      </c>
      <c r="S64" s="30">
        <v>62</v>
      </c>
      <c r="T64" s="30">
        <v>62</v>
      </c>
      <c r="U64" s="30">
        <v>65</v>
      </c>
      <c r="V64" s="30">
        <v>55</v>
      </c>
      <c r="W64" s="418">
        <f>+AVERAGE(U64:V64)</f>
        <v>60</v>
      </c>
      <c r="X64" s="418">
        <f>+AVERAGE(V64:W64)</f>
        <v>57.5</v>
      </c>
      <c r="Y64" s="418">
        <f>+AVERAGE(W64:X64)</f>
        <v>58.75</v>
      </c>
      <c r="Z64" s="694"/>
      <c r="AA64" s="565">
        <f t="shared" ref="AA64" si="46">+(AA63-(AA79*AA65))/AA78</f>
        <v>49.928461538461534</v>
      </c>
      <c r="AB64" s="566">
        <f t="shared" ref="AB64" si="47">+(AB63-(AB79*AB65))/AB78</f>
        <v>49.928461538461534</v>
      </c>
      <c r="AC64" s="566">
        <f t="shared" ref="AC64" si="48">+(AC63-(AC79*AC65))/AC78</f>
        <v>49.928461538461534</v>
      </c>
      <c r="AD64" s="566">
        <f t="shared" ref="AD64" si="49">+(AD63-(AD79*AD65))/AD78</f>
        <v>51.466923076923074</v>
      </c>
      <c r="AE64" s="566">
        <f t="shared" ref="AE64" si="50">+(AE63-(AE79*AE65))/AE78</f>
        <v>51.466923076923074</v>
      </c>
      <c r="AF64" s="566">
        <f t="shared" ref="AF64" si="51">+(AF63-(AF79*AF65))/AF78</f>
        <v>51.466923076923074</v>
      </c>
      <c r="AG64" s="566">
        <f t="shared" ref="AG64" si="52">+(AG63-(AG79*AG65))/AG78</f>
        <v>53.005384615384614</v>
      </c>
      <c r="AH64" s="566">
        <f t="shared" ref="AH64" si="53">+(AH63-(AH79*AH65))/AH78</f>
        <v>53.005384615384614</v>
      </c>
      <c r="AI64" s="566">
        <f t="shared" ref="AI64" si="54">+(AI63-(AI79*AI65))/AI78</f>
        <v>53.005384615384614</v>
      </c>
      <c r="AJ64" s="566">
        <f t="shared" ref="AJ64" si="55">+(AJ63-(AJ79*AJ65))/AJ78</f>
        <v>54.543846153846147</v>
      </c>
      <c r="AK64" s="566">
        <f t="shared" ref="AK64" si="56">+(AK63-(AK79*AK65))/AK78</f>
        <v>54.543846153846147</v>
      </c>
      <c r="AL64" s="38">
        <f t="shared" ref="AL64" si="57">+(AL63-(AL79*AL65))/AL78</f>
        <v>54.543846153846147</v>
      </c>
    </row>
    <row r="65" spans="1:39">
      <c r="A65" s="324" t="s">
        <v>303</v>
      </c>
      <c r="B65" s="30">
        <v>11.055666666666669</v>
      </c>
      <c r="C65" s="30">
        <v>10.7852140077821</v>
      </c>
      <c r="D65" s="30">
        <v>10.773222222222222</v>
      </c>
      <c r="E65" s="30">
        <v>10.80410714285714</v>
      </c>
      <c r="F65" s="30">
        <v>10.448620689655172</v>
      </c>
      <c r="G65" s="30">
        <v>10.169396825396827</v>
      </c>
      <c r="H65" s="30">
        <v>9.8006168831168807</v>
      </c>
      <c r="I65" s="30">
        <v>9.7663322884012533</v>
      </c>
      <c r="J65" s="30">
        <v>10.056857142857146</v>
      </c>
      <c r="K65" s="30">
        <v>10.439465875370919</v>
      </c>
      <c r="L65" s="11">
        <f t="shared" si="44"/>
        <v>10.087551768876439</v>
      </c>
      <c r="M65" s="31">
        <f t="shared" si="44"/>
        <v>10.194624929034836</v>
      </c>
      <c r="N65" s="30">
        <v>9</v>
      </c>
      <c r="O65" s="30">
        <v>10</v>
      </c>
      <c r="P65" s="30">
        <v>10</v>
      </c>
      <c r="Q65" s="30">
        <v>10</v>
      </c>
      <c r="R65" s="30">
        <v>11</v>
      </c>
      <c r="S65" s="30">
        <v>11</v>
      </c>
      <c r="T65" s="30">
        <v>11</v>
      </c>
      <c r="U65" s="30">
        <v>11</v>
      </c>
      <c r="V65" s="30">
        <v>12</v>
      </c>
      <c r="W65" s="418">
        <f>+AVERAGE(T65:V65)</f>
        <v>11.333333333333334</v>
      </c>
      <c r="X65" s="418">
        <f>+AVERAGE(U65:W65)</f>
        <v>11.444444444444445</v>
      </c>
      <c r="Y65" s="418">
        <f>+AVERAGE(V65:X65)</f>
        <v>11.592592592592593</v>
      </c>
      <c r="Z65" s="694"/>
      <c r="AA65" s="567">
        <v>12.99</v>
      </c>
      <c r="AB65" s="568">
        <v>12.99</v>
      </c>
      <c r="AC65" s="568">
        <v>12.99</v>
      </c>
      <c r="AD65" s="568">
        <v>12.99</v>
      </c>
      <c r="AE65" s="568">
        <v>12.99</v>
      </c>
      <c r="AF65" s="568">
        <v>12.99</v>
      </c>
      <c r="AG65" s="568">
        <v>12.99</v>
      </c>
      <c r="AH65" s="568">
        <v>12.99</v>
      </c>
      <c r="AI65" s="568">
        <v>12.99</v>
      </c>
      <c r="AJ65" s="568">
        <v>12.99</v>
      </c>
      <c r="AK65" s="568">
        <v>12.99</v>
      </c>
      <c r="AL65" s="550">
        <v>12.99</v>
      </c>
    </row>
    <row r="66" spans="1:39">
      <c r="AA66" s="197"/>
    </row>
    <row r="67" spans="1:39">
      <c r="A67" s="5" t="s">
        <v>38</v>
      </c>
      <c r="AA67" s="197"/>
    </row>
    <row r="68" spans="1:39">
      <c r="A68" t="s">
        <v>39</v>
      </c>
      <c r="B68" s="39">
        <v>0.3</v>
      </c>
      <c r="C68" s="39">
        <v>0.3</v>
      </c>
      <c r="D68" s="39">
        <v>0.3</v>
      </c>
      <c r="E68" s="39">
        <v>0.3</v>
      </c>
      <c r="F68" s="39">
        <v>0.3</v>
      </c>
      <c r="G68" s="39">
        <v>0.3</v>
      </c>
      <c r="H68" s="39">
        <v>0.3</v>
      </c>
      <c r="I68" s="39">
        <v>0.3</v>
      </c>
      <c r="J68" s="39">
        <v>0.3</v>
      </c>
      <c r="K68" s="39">
        <v>0.3</v>
      </c>
      <c r="L68" s="39">
        <v>0.3</v>
      </c>
      <c r="M68" s="40">
        <v>0.3</v>
      </c>
      <c r="N68" s="39">
        <v>0.35</v>
      </c>
      <c r="O68" s="39">
        <v>0.35</v>
      </c>
      <c r="P68" s="39">
        <v>0.35</v>
      </c>
      <c r="Q68" s="39">
        <v>0.35</v>
      </c>
      <c r="R68" s="39">
        <v>0.35</v>
      </c>
      <c r="S68" s="39">
        <v>0.35</v>
      </c>
      <c r="T68" s="39">
        <v>0.35</v>
      </c>
      <c r="U68" s="39">
        <v>0.35</v>
      </c>
      <c r="V68" s="39">
        <v>0.35</v>
      </c>
      <c r="W68" s="39">
        <v>0.35</v>
      </c>
      <c r="X68" s="39">
        <v>0.35</v>
      </c>
      <c r="Y68" s="39">
        <v>0.35</v>
      </c>
      <c r="Z68" s="696"/>
      <c r="AA68" s="569">
        <v>0.35</v>
      </c>
      <c r="AB68" s="570">
        <v>0.35</v>
      </c>
      <c r="AC68" s="570">
        <v>0.35</v>
      </c>
      <c r="AD68" s="570">
        <v>0.35</v>
      </c>
      <c r="AE68" s="570">
        <v>0.35</v>
      </c>
      <c r="AF68" s="570">
        <v>0.35</v>
      </c>
      <c r="AG68" s="570">
        <v>0.35</v>
      </c>
      <c r="AH68" s="570">
        <v>0.35</v>
      </c>
      <c r="AI68" s="570">
        <v>0.35</v>
      </c>
      <c r="AJ68" s="570">
        <v>0.35</v>
      </c>
      <c r="AK68" s="570">
        <v>0.35</v>
      </c>
      <c r="AL68" s="551">
        <v>0.35</v>
      </c>
    </row>
    <row r="69" spans="1:39">
      <c r="A69" t="s">
        <v>40</v>
      </c>
      <c r="B69" s="39">
        <v>0.15</v>
      </c>
      <c r="C69" s="39">
        <v>0.15</v>
      </c>
      <c r="D69" s="39">
        <v>0.15</v>
      </c>
      <c r="E69" s="39">
        <v>0.15</v>
      </c>
      <c r="F69" s="39">
        <v>0.15</v>
      </c>
      <c r="G69" s="39">
        <v>0.15</v>
      </c>
      <c r="H69" s="39">
        <v>0.15</v>
      </c>
      <c r="I69" s="39">
        <v>0.15</v>
      </c>
      <c r="J69" s="39">
        <v>0.15</v>
      </c>
      <c r="K69" s="39">
        <v>0.15</v>
      </c>
      <c r="L69" s="39">
        <v>0.15</v>
      </c>
      <c r="M69" s="40">
        <v>0.15</v>
      </c>
      <c r="N69" s="39">
        <v>0.2</v>
      </c>
      <c r="O69" s="39">
        <v>0.2</v>
      </c>
      <c r="P69" s="39">
        <v>0.2</v>
      </c>
      <c r="Q69" s="39">
        <v>0.2</v>
      </c>
      <c r="R69" s="39">
        <v>0.2</v>
      </c>
      <c r="S69" s="39">
        <v>0.2</v>
      </c>
      <c r="T69" s="39">
        <v>0.2</v>
      </c>
      <c r="U69" s="39">
        <v>0.2</v>
      </c>
      <c r="V69" s="39">
        <v>0.2</v>
      </c>
      <c r="W69" s="39">
        <v>0.2</v>
      </c>
      <c r="X69" s="39">
        <v>0.2</v>
      </c>
      <c r="Y69" s="39">
        <v>0.2</v>
      </c>
      <c r="Z69" s="696"/>
      <c r="AA69" s="569">
        <v>0.2</v>
      </c>
      <c r="AB69" s="570">
        <v>0.2</v>
      </c>
      <c r="AC69" s="570">
        <v>0.2</v>
      </c>
      <c r="AD69" s="570">
        <v>0.2</v>
      </c>
      <c r="AE69" s="570">
        <v>0.2</v>
      </c>
      <c r="AF69" s="570">
        <v>0.2</v>
      </c>
      <c r="AG69" s="570">
        <v>0.2</v>
      </c>
      <c r="AH69" s="570">
        <v>0.2</v>
      </c>
      <c r="AI69" s="570">
        <v>0.2</v>
      </c>
      <c r="AJ69" s="570">
        <v>0.2</v>
      </c>
      <c r="AK69" s="570">
        <v>0.2</v>
      </c>
      <c r="AL69" s="551">
        <v>0.2</v>
      </c>
    </row>
    <row r="70" spans="1:39">
      <c r="AA70" s="197"/>
    </row>
    <row r="71" spans="1:39">
      <c r="A71" t="s">
        <v>41</v>
      </c>
      <c r="B71" s="35">
        <v>0.1179873</v>
      </c>
      <c r="C71" s="35">
        <v>0.12528310000000001</v>
      </c>
      <c r="D71" s="35">
        <v>0.13060479999999999</v>
      </c>
      <c r="E71" s="35">
        <v>0.12914870000000001</v>
      </c>
      <c r="F71" s="35">
        <v>0.123183</v>
      </c>
      <c r="G71" s="35">
        <v>0.15451380000000001</v>
      </c>
      <c r="H71" s="35">
        <v>0.1399707</v>
      </c>
      <c r="I71" s="35">
        <v>0.12469470000000001</v>
      </c>
      <c r="J71" s="35">
        <v>0.12872130000000001</v>
      </c>
      <c r="K71" s="41">
        <v>0.12870000000000001</v>
      </c>
      <c r="L71" s="41">
        <v>0.12870000000000001</v>
      </c>
      <c r="M71" s="80">
        <v>0.12870000000000001</v>
      </c>
      <c r="N71" s="35">
        <v>0.12</v>
      </c>
      <c r="O71" s="35">
        <v>0.12</v>
      </c>
      <c r="P71" s="35">
        <v>0.12</v>
      </c>
      <c r="Q71" s="35">
        <v>0.12</v>
      </c>
      <c r="R71" s="35">
        <v>0.12</v>
      </c>
      <c r="S71" s="35">
        <v>0.12</v>
      </c>
      <c r="T71" s="35">
        <v>0.12</v>
      </c>
      <c r="U71" s="35">
        <v>0.12</v>
      </c>
      <c r="V71" s="35">
        <v>0.12</v>
      </c>
      <c r="W71" s="35">
        <v>0.12</v>
      </c>
      <c r="X71" s="36">
        <v>0.12</v>
      </c>
      <c r="Y71" s="395">
        <v>0.12</v>
      </c>
      <c r="Z71" s="697"/>
      <c r="AA71" s="571">
        <f>+Supuestos!$G$21</f>
        <v>0.11</v>
      </c>
      <c r="AB71" s="395">
        <f>+Supuestos!$G$21</f>
        <v>0.11</v>
      </c>
      <c r="AC71" s="395">
        <f>+Supuestos!$G$21</f>
        <v>0.11</v>
      </c>
      <c r="AD71" s="395">
        <f>+Supuestos!$H$21</f>
        <v>0.11</v>
      </c>
      <c r="AE71" s="395">
        <f>+Supuestos!$H$21</f>
        <v>0.11</v>
      </c>
      <c r="AF71" s="395">
        <f>+Supuestos!$H$21</f>
        <v>0.11</v>
      </c>
      <c r="AG71" s="395">
        <f>+Supuestos!$I$21</f>
        <v>0.11</v>
      </c>
      <c r="AH71" s="395">
        <f>+Supuestos!$I$21</f>
        <v>0.11</v>
      </c>
      <c r="AI71" s="395">
        <f>+Supuestos!$I$21</f>
        <v>0.11</v>
      </c>
      <c r="AJ71" s="395">
        <f>+Supuestos!$J$21</f>
        <v>0.11</v>
      </c>
      <c r="AK71" s="395">
        <f>+Supuestos!$J$21</f>
        <v>0.11</v>
      </c>
      <c r="AL71" s="465">
        <f>+Supuestos!$J$21</f>
        <v>0.11</v>
      </c>
    </row>
    <row r="72" spans="1:39">
      <c r="A72" t="s">
        <v>42</v>
      </c>
      <c r="B72" s="86">
        <v>0.77</v>
      </c>
      <c r="C72" s="86">
        <v>0.75</v>
      </c>
      <c r="D72" s="86">
        <v>0.81</v>
      </c>
      <c r="E72" s="86">
        <v>0.81</v>
      </c>
      <c r="F72" s="86">
        <v>0.68</v>
      </c>
      <c r="G72" s="86">
        <v>0.82</v>
      </c>
      <c r="H72" s="86">
        <v>0.76</v>
      </c>
      <c r="I72" s="86">
        <v>0.78</v>
      </c>
      <c r="J72" s="86">
        <v>0.78</v>
      </c>
      <c r="K72" s="86">
        <v>0.71</v>
      </c>
      <c r="L72" s="45">
        <f>1-(1-L71)^12</f>
        <v>0.80856886759343893</v>
      </c>
      <c r="M72" s="10">
        <f>1-(1-M71)^12</f>
        <v>0.80856886759343893</v>
      </c>
      <c r="N72" s="41">
        <v>0.80856886759343893</v>
      </c>
      <c r="O72" s="41">
        <v>0.78432884417831894</v>
      </c>
      <c r="P72" s="41">
        <v>0.78432884417831894</v>
      </c>
      <c r="Q72" s="41">
        <v>0.78432884417831894</v>
      </c>
      <c r="R72" s="41">
        <v>0.78432884417831894</v>
      </c>
      <c r="S72" s="41">
        <v>0.78432884417831894</v>
      </c>
      <c r="T72" s="41">
        <v>0.78432884417831894</v>
      </c>
      <c r="U72" s="41">
        <v>0.78432884417831894</v>
      </c>
      <c r="V72" s="41">
        <v>0.78432884417831894</v>
      </c>
      <c r="W72" s="41">
        <v>0.78432884417831894</v>
      </c>
      <c r="X72" s="42">
        <v>0.78432884417831894</v>
      </c>
      <c r="Y72" s="327">
        <v>0.78432884417831894</v>
      </c>
      <c r="Z72" s="699"/>
      <c r="AA72" s="572">
        <v>0.8</v>
      </c>
      <c r="AB72" s="573">
        <v>0.8</v>
      </c>
      <c r="AC72" s="573">
        <v>0.8</v>
      </c>
      <c r="AD72" s="573">
        <v>0.8</v>
      </c>
      <c r="AE72" s="573">
        <v>0.8</v>
      </c>
      <c r="AF72" s="573">
        <v>0.8</v>
      </c>
      <c r="AG72" s="573">
        <v>0.8</v>
      </c>
      <c r="AH72" s="573">
        <v>0.8</v>
      </c>
      <c r="AI72" s="573">
        <v>0.8</v>
      </c>
      <c r="AJ72" s="573">
        <v>0.8</v>
      </c>
      <c r="AK72" s="573">
        <v>0.8</v>
      </c>
      <c r="AL72" s="552">
        <v>0.8</v>
      </c>
    </row>
    <row r="73" spans="1:39">
      <c r="A73" t="s">
        <v>43</v>
      </c>
      <c r="B73" s="39">
        <v>0.40520400000000001</v>
      </c>
      <c r="C73" s="39">
        <v>0.403922</v>
      </c>
      <c r="D73" s="39">
        <v>0.47037000000000001</v>
      </c>
      <c r="E73" s="39">
        <v>0.45777800000000002</v>
      </c>
      <c r="F73" s="39">
        <v>0.47509600000000002</v>
      </c>
      <c r="G73" s="39">
        <v>0.47770699999999999</v>
      </c>
      <c r="H73" s="39">
        <v>0.40453099999999997</v>
      </c>
      <c r="I73" s="39">
        <v>0.52664599999999995</v>
      </c>
      <c r="J73" s="39">
        <v>0.49110300000000001</v>
      </c>
      <c r="K73" s="45">
        <f>+AVERAGE(H73:J73)</f>
        <v>0.47409333333333331</v>
      </c>
      <c r="L73" s="45">
        <f>+AVERAGE(I73:K73)</f>
        <v>0.49728077777777774</v>
      </c>
      <c r="M73" s="10">
        <f>+AVERAGE(J73:L73)</f>
        <v>0.48749237037037035</v>
      </c>
      <c r="N73" s="86">
        <v>0.45</v>
      </c>
      <c r="O73" s="86">
        <v>0.45</v>
      </c>
      <c r="P73" s="86">
        <v>0.45</v>
      </c>
      <c r="Q73" s="86">
        <v>0.45</v>
      </c>
      <c r="R73" s="86">
        <v>0.45</v>
      </c>
      <c r="S73" s="86">
        <v>0.45</v>
      </c>
      <c r="T73" s="86">
        <v>0.45</v>
      </c>
      <c r="U73" s="86">
        <v>0.45</v>
      </c>
      <c r="V73" s="86">
        <v>0.45</v>
      </c>
      <c r="W73" s="45">
        <v>0.45</v>
      </c>
      <c r="X73" s="45">
        <v>0.45</v>
      </c>
      <c r="Y73" s="86">
        <v>0.45</v>
      </c>
      <c r="Z73" s="698"/>
      <c r="AA73" s="572">
        <v>0.48</v>
      </c>
      <c r="AB73" s="573">
        <v>0.48</v>
      </c>
      <c r="AC73" s="573">
        <v>0.48</v>
      </c>
      <c r="AD73" s="573">
        <v>0.48</v>
      </c>
      <c r="AE73" s="573">
        <v>0.48</v>
      </c>
      <c r="AF73" s="573">
        <v>0.48</v>
      </c>
      <c r="AG73" s="573">
        <v>0.48</v>
      </c>
      <c r="AH73" s="573">
        <v>0.48</v>
      </c>
      <c r="AI73" s="573">
        <v>0.48</v>
      </c>
      <c r="AJ73" s="573">
        <v>0.48</v>
      </c>
      <c r="AK73" s="573">
        <v>0.48</v>
      </c>
      <c r="AL73" s="552">
        <v>0.48</v>
      </c>
    </row>
    <row r="74" spans="1:39">
      <c r="N74" s="44"/>
      <c r="O74" s="44"/>
      <c r="P74" s="44"/>
      <c r="Q74" s="44"/>
      <c r="R74" s="44"/>
      <c r="S74" s="44"/>
      <c r="T74" s="44"/>
      <c r="U74" s="44"/>
      <c r="V74" s="44"/>
      <c r="AA74" s="197"/>
    </row>
    <row r="75" spans="1:39">
      <c r="A75" s="27" t="s">
        <v>44</v>
      </c>
      <c r="B75" s="46">
        <f>+B59/B60</f>
        <v>48269</v>
      </c>
      <c r="C75" s="46">
        <f t="shared" ref="C75:M75" si="58">+C59/C60</f>
        <v>39776</v>
      </c>
      <c r="D75" s="46">
        <f t="shared" si="58"/>
        <v>32198</v>
      </c>
      <c r="E75" s="46">
        <f t="shared" si="58"/>
        <v>31066.000000000004</v>
      </c>
      <c r="F75" s="46">
        <f t="shared" si="58"/>
        <v>27273</v>
      </c>
      <c r="G75" s="46">
        <f t="shared" si="58"/>
        <v>31258</v>
      </c>
      <c r="H75" s="46">
        <f t="shared" si="58"/>
        <v>29179.999999999996</v>
      </c>
      <c r="I75" s="46">
        <f t="shared" si="58"/>
        <v>35633</v>
      </c>
      <c r="J75" s="46">
        <f t="shared" si="58"/>
        <v>30419.000000000004</v>
      </c>
      <c r="K75" s="46">
        <f t="shared" si="58"/>
        <v>52946.938775510207</v>
      </c>
      <c r="L75" s="46">
        <f t="shared" si="58"/>
        <v>37987.156763493433</v>
      </c>
      <c r="M75" s="642">
        <f t="shared" si="58"/>
        <v>38793.931415597006</v>
      </c>
      <c r="N75" s="326">
        <v>74269</v>
      </c>
      <c r="O75" s="326">
        <v>40262</v>
      </c>
      <c r="P75" s="326">
        <v>36384</v>
      </c>
      <c r="Q75" s="326">
        <v>28944</v>
      </c>
      <c r="R75" s="326">
        <v>28555</v>
      </c>
      <c r="S75" s="326">
        <v>24401</v>
      </c>
      <c r="T75" s="326">
        <v>25954</v>
      </c>
      <c r="U75" s="326">
        <v>26443</v>
      </c>
      <c r="V75" s="326">
        <v>24063</v>
      </c>
      <c r="W75" s="423">
        <f>+AVERAGE(T75:V75)</f>
        <v>25486.666666666668</v>
      </c>
      <c r="X75" s="423">
        <f t="shared" ref="X75:Y75" si="59">+AVERAGE(U75:W75)</f>
        <v>25330.888888888891</v>
      </c>
      <c r="Y75" s="423">
        <f t="shared" si="59"/>
        <v>24960.185185185186</v>
      </c>
      <c r="Z75" s="693"/>
      <c r="AA75" s="574">
        <f>+AA59/AA60</f>
        <v>42000.000000000007</v>
      </c>
      <c r="AB75" s="575">
        <f t="shared" ref="AB75:AL75" si="60">+AB59/AB60</f>
        <v>42000.000000000007</v>
      </c>
      <c r="AC75" s="575">
        <f t="shared" si="60"/>
        <v>42000.000000000007</v>
      </c>
      <c r="AD75" s="575">
        <f t="shared" si="60"/>
        <v>46153.333333333343</v>
      </c>
      <c r="AE75" s="575">
        <f t="shared" si="60"/>
        <v>46153.333333333343</v>
      </c>
      <c r="AF75" s="575">
        <f t="shared" si="60"/>
        <v>46153.333333333343</v>
      </c>
      <c r="AG75" s="575">
        <f t="shared" si="60"/>
        <v>50166.666666666672</v>
      </c>
      <c r="AH75" s="575">
        <f t="shared" si="60"/>
        <v>50166.666666666672</v>
      </c>
      <c r="AI75" s="575">
        <f t="shared" si="60"/>
        <v>50166.666666666672</v>
      </c>
      <c r="AJ75" s="575">
        <f t="shared" si="60"/>
        <v>54180.000000000007</v>
      </c>
      <c r="AK75" s="575">
        <f t="shared" si="60"/>
        <v>54180.000000000007</v>
      </c>
      <c r="AL75" s="575">
        <f t="shared" si="60"/>
        <v>54180.000000000007</v>
      </c>
    </row>
    <row r="76" spans="1:39">
      <c r="A76" s="50"/>
      <c r="B76" s="51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2"/>
      <c r="N76" s="51"/>
      <c r="O76" s="50"/>
      <c r="P76" s="50"/>
      <c r="Q76" s="50"/>
      <c r="R76" s="50"/>
      <c r="S76" s="50"/>
      <c r="T76" s="50"/>
      <c r="U76" s="50"/>
      <c r="V76" s="50"/>
      <c r="W76" s="424"/>
      <c r="X76" s="424"/>
      <c r="Y76" s="424"/>
      <c r="AA76" s="197"/>
    </row>
    <row r="77" spans="1:39">
      <c r="A77" s="53" t="s">
        <v>45</v>
      </c>
      <c r="B77" s="54">
        <f t="shared" ref="B77:M77" si="61">+B75*B62</f>
        <v>778.00000000000011</v>
      </c>
      <c r="C77" s="54">
        <f t="shared" si="61"/>
        <v>684</v>
      </c>
      <c r="D77" s="54">
        <f t="shared" si="61"/>
        <v>707</v>
      </c>
      <c r="E77" s="54">
        <f t="shared" si="61"/>
        <v>620.00000000000011</v>
      </c>
      <c r="F77" s="54">
        <f t="shared" si="61"/>
        <v>631</v>
      </c>
      <c r="G77" s="54">
        <f t="shared" si="61"/>
        <v>707</v>
      </c>
      <c r="H77" s="54">
        <f t="shared" si="61"/>
        <v>778.99999999999989</v>
      </c>
      <c r="I77" s="54">
        <f t="shared" si="61"/>
        <v>889</v>
      </c>
      <c r="J77" s="54">
        <f t="shared" si="61"/>
        <v>791.00000000000011</v>
      </c>
      <c r="K77" s="54">
        <f t="shared" si="61"/>
        <v>942.45551020408163</v>
      </c>
      <c r="L77" s="54">
        <f t="shared" si="61"/>
        <v>870.56772866036761</v>
      </c>
      <c r="M77" s="58">
        <f t="shared" si="61"/>
        <v>862.78876807058282</v>
      </c>
      <c r="N77" s="54">
        <v>1072</v>
      </c>
      <c r="O77" s="54">
        <v>851</v>
      </c>
      <c r="P77" s="54">
        <v>909</v>
      </c>
      <c r="Q77" s="54">
        <v>763</v>
      </c>
      <c r="R77" s="54">
        <v>685</v>
      </c>
      <c r="S77" s="54">
        <v>678</v>
      </c>
      <c r="T77" s="54">
        <v>695</v>
      </c>
      <c r="U77" s="54">
        <v>659</v>
      </c>
      <c r="V77" s="54">
        <v>620</v>
      </c>
      <c r="W77" s="423">
        <f>+AVERAGE(T77:V77)</f>
        <v>658</v>
      </c>
      <c r="X77" s="423">
        <f t="shared" ref="X77:Y77" si="62">+AVERAGE(U77:W77)</f>
        <v>645.66666666666663</v>
      </c>
      <c r="Y77" s="423">
        <f t="shared" si="62"/>
        <v>641.22222222222217</v>
      </c>
      <c r="Z77" s="693"/>
      <c r="AA77" s="576">
        <f t="shared" ref="AA77:AL77" si="63">+AA75*AA62</f>
        <v>1344.0000000000002</v>
      </c>
      <c r="AB77" s="57">
        <f t="shared" si="63"/>
        <v>1344.0000000000002</v>
      </c>
      <c r="AC77" s="57">
        <f t="shared" si="63"/>
        <v>1344.0000000000002</v>
      </c>
      <c r="AD77" s="57">
        <f t="shared" si="63"/>
        <v>1476.906666666667</v>
      </c>
      <c r="AE77" s="57">
        <f t="shared" si="63"/>
        <v>1476.906666666667</v>
      </c>
      <c r="AF77" s="57">
        <f t="shared" si="63"/>
        <v>1476.906666666667</v>
      </c>
      <c r="AG77" s="57">
        <f t="shared" si="63"/>
        <v>1655.5000000000002</v>
      </c>
      <c r="AH77" s="57">
        <f t="shared" si="63"/>
        <v>1655.5000000000002</v>
      </c>
      <c r="AI77" s="57">
        <f t="shared" si="63"/>
        <v>1655.5000000000002</v>
      </c>
      <c r="AJ77" s="57">
        <f t="shared" si="63"/>
        <v>1787.9400000000003</v>
      </c>
      <c r="AK77" s="57">
        <f t="shared" si="63"/>
        <v>1787.9400000000003</v>
      </c>
      <c r="AL77" s="58">
        <f t="shared" si="63"/>
        <v>1787.9400000000003</v>
      </c>
    </row>
    <row r="78" spans="1:39">
      <c r="A78" s="59" t="s">
        <v>46</v>
      </c>
      <c r="B78" s="328">
        <f>B77-B79</f>
        <v>483.00000000000011</v>
      </c>
      <c r="C78" s="328">
        <f t="shared" ref="C78:M78" si="64">C77-C79</f>
        <v>402</v>
      </c>
      <c r="D78" s="328">
        <f t="shared" si="64"/>
        <v>404</v>
      </c>
      <c r="E78" s="328">
        <f t="shared" si="64"/>
        <v>371.00000000000011</v>
      </c>
      <c r="F78" s="328">
        <f t="shared" si="64"/>
        <v>348</v>
      </c>
      <c r="G78" s="328">
        <f t="shared" si="64"/>
        <v>360</v>
      </c>
      <c r="H78" s="328">
        <f t="shared" si="64"/>
        <v>429.99999999999989</v>
      </c>
      <c r="I78" s="328">
        <f t="shared" si="64"/>
        <v>533</v>
      </c>
      <c r="J78" s="328">
        <f t="shared" si="64"/>
        <v>479.00000000000011</v>
      </c>
      <c r="K78" s="328">
        <f t="shared" si="64"/>
        <v>579.45551020408163</v>
      </c>
      <c r="L78" s="328">
        <f t="shared" si="64"/>
        <v>526.90106199370098</v>
      </c>
      <c r="M78" s="329">
        <f t="shared" si="64"/>
        <v>523.23321251502716</v>
      </c>
      <c r="N78" s="412">
        <v>0.6</v>
      </c>
      <c r="O78" s="412">
        <v>0.6</v>
      </c>
      <c r="P78" s="412">
        <v>0.6</v>
      </c>
      <c r="Q78" s="412">
        <v>0.6</v>
      </c>
      <c r="R78" s="412">
        <v>0.6</v>
      </c>
      <c r="S78" s="412">
        <v>0.6</v>
      </c>
      <c r="T78" s="412">
        <v>0.6</v>
      </c>
      <c r="U78" s="412">
        <v>0.6</v>
      </c>
      <c r="V78" s="412">
        <v>0.6</v>
      </c>
      <c r="W78" s="412">
        <v>0.6</v>
      </c>
      <c r="X78" s="412">
        <v>0.6</v>
      </c>
      <c r="Y78" s="79">
        <v>0.6</v>
      </c>
      <c r="Z78" s="699"/>
      <c r="AA78" s="577">
        <v>0.65</v>
      </c>
      <c r="AB78" s="553">
        <v>0.65</v>
      </c>
      <c r="AC78" s="553">
        <v>0.65</v>
      </c>
      <c r="AD78" s="553">
        <v>0.65</v>
      </c>
      <c r="AE78" s="553">
        <v>0.65</v>
      </c>
      <c r="AF78" s="553">
        <v>0.65</v>
      </c>
      <c r="AG78" s="553">
        <v>0.65</v>
      </c>
      <c r="AH78" s="553">
        <v>0.65</v>
      </c>
      <c r="AI78" s="553">
        <v>0.65</v>
      </c>
      <c r="AJ78" s="553">
        <v>0.65</v>
      </c>
      <c r="AK78" s="553">
        <v>0.65</v>
      </c>
      <c r="AL78" s="554">
        <v>0.65</v>
      </c>
      <c r="AM78" s="468" t="s">
        <v>349</v>
      </c>
    </row>
    <row r="79" spans="1:39">
      <c r="A79" s="59" t="s">
        <v>47</v>
      </c>
      <c r="B79" s="330">
        <v>295</v>
      </c>
      <c r="C79" s="331">
        <v>282</v>
      </c>
      <c r="D79" s="331">
        <v>303</v>
      </c>
      <c r="E79" s="331">
        <v>249</v>
      </c>
      <c r="F79" s="331">
        <v>283</v>
      </c>
      <c r="G79" s="331">
        <v>347</v>
      </c>
      <c r="H79" s="331">
        <v>349</v>
      </c>
      <c r="I79" s="331">
        <v>356</v>
      </c>
      <c r="J79" s="331">
        <v>312</v>
      </c>
      <c r="K79" s="332">
        <v>363</v>
      </c>
      <c r="L79" s="127">
        <f>+AVERAGE(I79:K79)</f>
        <v>343.66666666666669</v>
      </c>
      <c r="M79" s="333">
        <f>+AVERAGE(J79:L79)</f>
        <v>339.5555555555556</v>
      </c>
      <c r="N79" s="413">
        <v>0.4</v>
      </c>
      <c r="O79" s="414">
        <v>0.4</v>
      </c>
      <c r="P79" s="414">
        <v>0.4</v>
      </c>
      <c r="Q79" s="414">
        <v>0.4</v>
      </c>
      <c r="R79" s="414">
        <v>0.4</v>
      </c>
      <c r="S79" s="414">
        <v>0.4</v>
      </c>
      <c r="T79" s="414">
        <v>0.4</v>
      </c>
      <c r="U79" s="414">
        <v>0.4</v>
      </c>
      <c r="V79" s="414">
        <v>0.4</v>
      </c>
      <c r="W79" s="41">
        <v>0.4</v>
      </c>
      <c r="X79" s="415">
        <v>0.4</v>
      </c>
      <c r="Y79" s="79">
        <v>0.4</v>
      </c>
      <c r="Z79" s="699"/>
      <c r="AA79" s="577">
        <v>0.35</v>
      </c>
      <c r="AB79" s="553">
        <v>0.35</v>
      </c>
      <c r="AC79" s="553">
        <v>0.35</v>
      </c>
      <c r="AD79" s="553">
        <v>0.35</v>
      </c>
      <c r="AE79" s="553">
        <v>0.35</v>
      </c>
      <c r="AF79" s="553">
        <v>0.35</v>
      </c>
      <c r="AG79" s="553">
        <v>0.35</v>
      </c>
      <c r="AH79" s="553">
        <v>0.35</v>
      </c>
      <c r="AI79" s="553">
        <v>0.35</v>
      </c>
      <c r="AJ79" s="553">
        <v>0.35</v>
      </c>
      <c r="AK79" s="553">
        <v>0.35</v>
      </c>
      <c r="AL79" s="554">
        <v>0.35</v>
      </c>
      <c r="AM79" s="468" t="s">
        <v>348</v>
      </c>
    </row>
    <row r="80" spans="1:39">
      <c r="A80" s="60"/>
      <c r="B80" s="46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87"/>
      <c r="N80" s="46"/>
      <c r="O80" s="61"/>
      <c r="P80" s="61"/>
      <c r="Q80" s="61"/>
      <c r="R80" s="61"/>
      <c r="S80" s="61"/>
      <c r="T80" s="61"/>
      <c r="U80" s="61"/>
      <c r="V80" s="61"/>
      <c r="W80" s="62"/>
      <c r="X80" s="62"/>
      <c r="AA80" s="578"/>
      <c r="AK80" s="28"/>
    </row>
    <row r="81" spans="1:38">
      <c r="A81" s="64" t="s">
        <v>48</v>
      </c>
      <c r="B81" s="65">
        <f t="shared" ref="B81:M81" si="65">+B59/B77</f>
        <v>25.673508997429305</v>
      </c>
      <c r="C81" s="65">
        <f t="shared" si="65"/>
        <v>27.422046785087719</v>
      </c>
      <c r="D81" s="65">
        <f t="shared" si="65"/>
        <v>25.61831683168317</v>
      </c>
      <c r="E81" s="65">
        <f t="shared" si="65"/>
        <v>29.507290322580641</v>
      </c>
      <c r="F81" s="65">
        <f t="shared" si="65"/>
        <v>21.879635499207609</v>
      </c>
      <c r="G81" s="65">
        <f t="shared" si="65"/>
        <v>23.627468175388962</v>
      </c>
      <c r="H81" s="65">
        <f t="shared" si="65"/>
        <v>22.973273427471117</v>
      </c>
      <c r="I81" s="65">
        <f t="shared" si="65"/>
        <v>25.988571429696286</v>
      </c>
      <c r="J81" s="65">
        <f t="shared" si="65"/>
        <v>29.491581079646004</v>
      </c>
      <c r="K81" s="65">
        <f t="shared" si="65"/>
        <v>27.528089887640448</v>
      </c>
      <c r="L81" s="65">
        <f t="shared" si="65"/>
        <v>27.712062007464148</v>
      </c>
      <c r="M81" s="66">
        <f t="shared" si="65"/>
        <v>28.356522565180505</v>
      </c>
      <c r="N81" s="30">
        <v>30.799776122201493</v>
      </c>
      <c r="O81" s="30">
        <v>27.757238551116338</v>
      </c>
      <c r="P81" s="30">
        <v>25.41319031793179</v>
      </c>
      <c r="Q81" s="30">
        <v>25.344744432503269</v>
      </c>
      <c r="R81" s="30">
        <v>25.182671543065698</v>
      </c>
      <c r="S81" s="30">
        <v>28.556784679941003</v>
      </c>
      <c r="T81" s="30">
        <v>23.461510798561154</v>
      </c>
      <c r="U81" s="30">
        <v>26.60705615174507</v>
      </c>
      <c r="V81" s="30">
        <v>26.73288713064516</v>
      </c>
      <c r="W81" s="423">
        <f>+AVERAGE(T81:V81)</f>
        <v>25.600484693650458</v>
      </c>
      <c r="X81" s="423">
        <f t="shared" ref="X81:Y82" si="66">+AVERAGE(U81:W81)</f>
        <v>26.313475992013565</v>
      </c>
      <c r="Y81" s="423">
        <f t="shared" si="66"/>
        <v>26.21561593876973</v>
      </c>
      <c r="Z81" s="693"/>
      <c r="AA81" s="565">
        <f t="shared" ref="AA81:AL81" si="67">+AA59/AA77</f>
        <v>18.75</v>
      </c>
      <c r="AB81" s="566">
        <f t="shared" si="67"/>
        <v>18.75</v>
      </c>
      <c r="AC81" s="566">
        <f t="shared" si="67"/>
        <v>18.75</v>
      </c>
      <c r="AD81" s="566">
        <f t="shared" si="67"/>
        <v>18.75</v>
      </c>
      <c r="AE81" s="566">
        <f t="shared" si="67"/>
        <v>18.75</v>
      </c>
      <c r="AF81" s="566">
        <f t="shared" si="67"/>
        <v>18.75</v>
      </c>
      <c r="AG81" s="566">
        <f t="shared" si="67"/>
        <v>18.18181818181818</v>
      </c>
      <c r="AH81" s="566">
        <f t="shared" si="67"/>
        <v>18.18181818181818</v>
      </c>
      <c r="AI81" s="566">
        <f t="shared" si="67"/>
        <v>18.18181818181818</v>
      </c>
      <c r="AJ81" s="566">
        <f t="shared" si="67"/>
        <v>18.18181818181818</v>
      </c>
      <c r="AK81" s="566">
        <f t="shared" si="67"/>
        <v>18.18181818181818</v>
      </c>
      <c r="AL81" s="38">
        <f t="shared" si="67"/>
        <v>18.18181818181818</v>
      </c>
    </row>
    <row r="82" spans="1:38">
      <c r="A82" s="64" t="s">
        <v>49</v>
      </c>
      <c r="B82" s="65">
        <f t="shared" ref="B82:M82" si="68">+B63/B81</f>
        <v>1.7517456452115976</v>
      </c>
      <c r="C82" s="65">
        <f t="shared" si="68"/>
        <v>1.5332020378055604</v>
      </c>
      <c r="D82" s="65">
        <f t="shared" si="68"/>
        <v>1.5559698876168759</v>
      </c>
      <c r="E82" s="65">
        <f t="shared" si="68"/>
        <v>1.3644020176533742</v>
      </c>
      <c r="F82" s="65">
        <f t="shared" si="68"/>
        <v>1.6856689639686946</v>
      </c>
      <c r="G82" s="65">
        <f t="shared" si="68"/>
        <v>1.4277774651563462</v>
      </c>
      <c r="H82" s="65">
        <f t="shared" si="68"/>
        <v>1.5941681409105186</v>
      </c>
      <c r="I82" s="65">
        <f t="shared" si="68"/>
        <v>1.4237763072535223</v>
      </c>
      <c r="J82" s="65">
        <f t="shared" si="68"/>
        <v>1.2523430890307246</v>
      </c>
      <c r="K82" s="65">
        <f t="shared" si="68"/>
        <v>1.5620408163265307</v>
      </c>
      <c r="L82" s="65">
        <f t="shared" si="68"/>
        <v>1.406553458913248</v>
      </c>
      <c r="M82" s="66">
        <f t="shared" si="68"/>
        <v>1.3978215434863812</v>
      </c>
      <c r="N82" s="65">
        <f>+N63/N81</f>
        <v>1.3670026917930138</v>
      </c>
      <c r="O82" s="65">
        <f t="shared" ref="O82:V82" si="69">+O63/O81</f>
        <v>1.5279075207324473</v>
      </c>
      <c r="P82" s="65">
        <f t="shared" si="69"/>
        <v>1.6322189174229842</v>
      </c>
      <c r="Q82" s="65">
        <f t="shared" si="69"/>
        <v>1.6137778180607987</v>
      </c>
      <c r="R82" s="65">
        <f t="shared" si="69"/>
        <v>1.700721095324786</v>
      </c>
      <c r="S82" s="65">
        <f t="shared" si="69"/>
        <v>1.5133749957558109</v>
      </c>
      <c r="T82" s="65">
        <f t="shared" si="69"/>
        <v>1.8445395023704703</v>
      </c>
      <c r="U82" s="65">
        <f t="shared" si="69"/>
        <v>1.7334837070195452</v>
      </c>
      <c r="V82" s="65">
        <f t="shared" si="69"/>
        <v>1.4988931700366193</v>
      </c>
      <c r="W82" s="65">
        <f>+AVERAGE(T82:V82)</f>
        <v>1.6923054598088783</v>
      </c>
      <c r="X82" s="65">
        <f t="shared" si="66"/>
        <v>1.6415607789550144</v>
      </c>
      <c r="Y82" s="65">
        <f t="shared" si="66"/>
        <v>1.6109198029335039</v>
      </c>
      <c r="Z82" s="700"/>
      <c r="AA82" s="579">
        <f t="shared" ref="AA82" si="70">+AA63/AA81</f>
        <v>1.9733333333333334</v>
      </c>
      <c r="AB82" s="580">
        <f t="shared" ref="AB82" si="71">+AB63/AB81</f>
        <v>1.9733333333333334</v>
      </c>
      <c r="AC82" s="580">
        <f t="shared" ref="AC82" si="72">+AC63/AC81</f>
        <v>1.9733333333333334</v>
      </c>
      <c r="AD82" s="580">
        <f t="shared" ref="AD82" si="73">+AD63/AD81</f>
        <v>2.0266666666666668</v>
      </c>
      <c r="AE82" s="580">
        <f t="shared" ref="AE82" si="74">+AE63/AE81</f>
        <v>2.0266666666666668</v>
      </c>
      <c r="AF82" s="580">
        <f t="shared" ref="AF82" si="75">+AF63/AF81</f>
        <v>2.0266666666666668</v>
      </c>
      <c r="AG82" s="580">
        <f t="shared" ref="AG82" si="76">+AG63/AG81</f>
        <v>2.145</v>
      </c>
      <c r="AH82" s="580">
        <f t="shared" ref="AH82" si="77">+AH63/AH81</f>
        <v>2.145</v>
      </c>
      <c r="AI82" s="580">
        <f t="shared" ref="AI82" si="78">+AI63/AI81</f>
        <v>2.145</v>
      </c>
      <c r="AJ82" s="580">
        <f t="shared" ref="AJ82" si="79">+AJ63/AJ81</f>
        <v>2.2000000000000002</v>
      </c>
      <c r="AK82" s="580">
        <f t="shared" ref="AK82" si="80">+AK63/AK81</f>
        <v>2.2000000000000002</v>
      </c>
      <c r="AL82" s="66">
        <f t="shared" ref="AL82" si="81">+AL63/AL81</f>
        <v>2.2000000000000002</v>
      </c>
    </row>
    <row r="83" spans="1:38">
      <c r="A83" s="50"/>
      <c r="B83" s="51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700"/>
      <c r="AA83" s="579"/>
      <c r="AB83" s="580"/>
      <c r="AC83" s="580"/>
      <c r="AD83" s="580"/>
      <c r="AE83" s="580"/>
      <c r="AF83" s="580"/>
      <c r="AG83" s="580"/>
      <c r="AH83" s="580"/>
      <c r="AI83" s="580"/>
      <c r="AJ83" s="580"/>
      <c r="AK83" s="580"/>
      <c r="AL83" s="66"/>
    </row>
    <row r="84" spans="1:38">
      <c r="N84" s="51"/>
      <c r="O84" s="50"/>
      <c r="P84" s="50"/>
      <c r="Q84" s="50"/>
      <c r="R84" s="50"/>
      <c r="S84" s="50"/>
      <c r="T84" s="50"/>
      <c r="U84" s="50"/>
      <c r="V84" s="50"/>
      <c r="W84" s="50"/>
      <c r="X84" s="50"/>
      <c r="AA84" s="581"/>
    </row>
    <row r="85" spans="1:38">
      <c r="A85" s="53" t="s">
        <v>50</v>
      </c>
      <c r="B85" s="67">
        <f t="shared" ref="B85:M85" si="82">(B64*B78)+(B65*B79)</f>
        <v>34713.052606263998</v>
      </c>
      <c r="C85" s="67">
        <f t="shared" si="82"/>
        <v>28669.991036210391</v>
      </c>
      <c r="D85" s="67">
        <f t="shared" si="82"/>
        <v>28110.589072351424</v>
      </c>
      <c r="E85" s="67">
        <f t="shared" si="82"/>
        <v>24997.414700732101</v>
      </c>
      <c r="F85" s="67">
        <f t="shared" si="82"/>
        <v>23413.160253974813</v>
      </c>
      <c r="G85" s="67">
        <f t="shared" si="82"/>
        <v>24043.945507796863</v>
      </c>
      <c r="H85" s="67">
        <f t="shared" si="82"/>
        <v>27373.754670446135</v>
      </c>
      <c r="I85" s="67">
        <f t="shared" si="82"/>
        <v>33098.874294670844</v>
      </c>
      <c r="J85" s="67">
        <f t="shared" si="82"/>
        <v>29077.619271620762</v>
      </c>
      <c r="K85" s="67">
        <f t="shared" si="82"/>
        <v>39974.003823253101</v>
      </c>
      <c r="L85" s="67">
        <f t="shared" si="82"/>
        <v>33706.658971198223</v>
      </c>
      <c r="M85" s="68">
        <f t="shared" si="82"/>
        <v>33807.752812286963</v>
      </c>
      <c r="N85" s="67">
        <v>45134.819999999992</v>
      </c>
      <c r="O85" s="67">
        <v>36091.329999999994</v>
      </c>
      <c r="P85" s="67">
        <v>37705.219999999994</v>
      </c>
      <c r="Q85" s="67">
        <v>31207.299999999996</v>
      </c>
      <c r="R85" s="67">
        <v>29337.660000000003</v>
      </c>
      <c r="S85" s="67">
        <v>29301.210000000006</v>
      </c>
      <c r="T85" s="67">
        <v>30076.6</v>
      </c>
      <c r="U85" s="67">
        <v>30394.989999999994</v>
      </c>
      <c r="V85" s="67">
        <v>24843.239999999998</v>
      </c>
      <c r="W85" s="423">
        <f>+AVERAGE(T85:V85)</f>
        <v>28438.276666666661</v>
      </c>
      <c r="X85" s="423">
        <f>+AVERAGE(U85:W85)</f>
        <v>27892.168888888886</v>
      </c>
      <c r="Y85" s="423">
        <f>+AVERAGE(V85:X85)</f>
        <v>27057.895185185185</v>
      </c>
      <c r="Z85" s="693"/>
      <c r="AA85" s="582">
        <f>+AA77*AA63</f>
        <v>49728.000000000007</v>
      </c>
      <c r="AB85" s="583">
        <f t="shared" ref="AB85:AL85" si="83">+AB77*AB63</f>
        <v>49728.000000000007</v>
      </c>
      <c r="AC85" s="583">
        <f t="shared" si="83"/>
        <v>49728.000000000007</v>
      </c>
      <c r="AD85" s="583">
        <f t="shared" si="83"/>
        <v>56122.453333333346</v>
      </c>
      <c r="AE85" s="583">
        <f t="shared" si="83"/>
        <v>56122.453333333346</v>
      </c>
      <c r="AF85" s="583">
        <f t="shared" si="83"/>
        <v>56122.453333333346</v>
      </c>
      <c r="AG85" s="583">
        <f t="shared" si="83"/>
        <v>64564.500000000007</v>
      </c>
      <c r="AH85" s="583">
        <f t="shared" si="83"/>
        <v>64564.500000000007</v>
      </c>
      <c r="AI85" s="583">
        <f t="shared" si="83"/>
        <v>64564.500000000007</v>
      </c>
      <c r="AJ85" s="583">
        <f t="shared" si="83"/>
        <v>71517.600000000006</v>
      </c>
      <c r="AK85" s="583">
        <f t="shared" si="83"/>
        <v>71517.600000000006</v>
      </c>
      <c r="AL85" s="583">
        <f t="shared" si="83"/>
        <v>71517.600000000006</v>
      </c>
    </row>
    <row r="86" spans="1:38">
      <c r="A86" s="69" t="s">
        <v>46</v>
      </c>
      <c r="B86" s="67">
        <f t="shared" ref="B86:M86" si="84">+(B64*B78)/12</f>
        <v>2620.9692449664444</v>
      </c>
      <c r="C86" s="67">
        <f t="shared" si="84"/>
        <v>2135.7133905013202</v>
      </c>
      <c r="D86" s="67">
        <f t="shared" si="84"/>
        <v>2070.5252282515075</v>
      </c>
      <c r="E86" s="67">
        <f t="shared" si="84"/>
        <v>1858.9326685133894</v>
      </c>
      <c r="F86" s="67">
        <f t="shared" si="84"/>
        <v>1704.6833832335333</v>
      </c>
      <c r="G86" s="67">
        <f t="shared" si="84"/>
        <v>1709.5970674486805</v>
      </c>
      <c r="H86" s="67">
        <f t="shared" si="84"/>
        <v>1996.1116148531953</v>
      </c>
      <c r="I86" s="67">
        <f t="shared" si="84"/>
        <v>2468.5049999999997</v>
      </c>
      <c r="J86" s="67">
        <f t="shared" si="84"/>
        <v>2161.6566535874445</v>
      </c>
      <c r="K86" s="67">
        <f t="shared" si="84"/>
        <v>3015.3731425411211</v>
      </c>
      <c r="L86" s="67">
        <f t="shared" si="84"/>
        <v>2519.9919733300853</v>
      </c>
      <c r="M86" s="68">
        <f t="shared" si="84"/>
        <v>2528.8426067356686</v>
      </c>
      <c r="N86" s="67">
        <f t="shared" ref="N86:Y86" si="85">+(N77*N78*N64)/12</f>
        <v>3108.7999999999997</v>
      </c>
      <c r="O86" s="67">
        <f t="shared" si="85"/>
        <v>2552.9999999999995</v>
      </c>
      <c r="P86" s="67">
        <f t="shared" si="85"/>
        <v>2772.4500000000003</v>
      </c>
      <c r="Q86" s="67">
        <f t="shared" si="85"/>
        <v>2250.85</v>
      </c>
      <c r="R86" s="67">
        <f t="shared" si="85"/>
        <v>2123.5</v>
      </c>
      <c r="S86" s="67">
        <f t="shared" si="85"/>
        <v>2101.8000000000002</v>
      </c>
      <c r="T86" s="67">
        <f t="shared" si="85"/>
        <v>2154.5</v>
      </c>
      <c r="U86" s="67">
        <f t="shared" si="85"/>
        <v>2141.75</v>
      </c>
      <c r="V86" s="67">
        <f t="shared" si="85"/>
        <v>1705</v>
      </c>
      <c r="W86" s="67">
        <f t="shared" si="85"/>
        <v>1974</v>
      </c>
      <c r="X86" s="67">
        <f t="shared" si="85"/>
        <v>1856.2916666666667</v>
      </c>
      <c r="Y86" s="67">
        <f t="shared" si="85"/>
        <v>1883.5902777777776</v>
      </c>
      <c r="Z86" s="701"/>
      <c r="AA86" s="584">
        <f>+(AA77*AA78*AA64)/12</f>
        <v>3634.7919999999999</v>
      </c>
      <c r="AB86" s="67">
        <f t="shared" ref="AB86:AL86" si="86">+(AB77*AB78*AB64)/12</f>
        <v>3634.7919999999999</v>
      </c>
      <c r="AC86" s="67">
        <f t="shared" si="86"/>
        <v>3634.7919999999999</v>
      </c>
      <c r="AD86" s="67">
        <f t="shared" si="86"/>
        <v>4117.3080977777781</v>
      </c>
      <c r="AE86" s="67">
        <f t="shared" si="86"/>
        <v>4117.3080977777781</v>
      </c>
      <c r="AF86" s="67">
        <f t="shared" si="86"/>
        <v>4117.3080977777781</v>
      </c>
      <c r="AG86" s="67">
        <f t="shared" si="86"/>
        <v>4753.1474375000007</v>
      </c>
      <c r="AH86" s="67">
        <f t="shared" si="86"/>
        <v>4753.1474375000007</v>
      </c>
      <c r="AI86" s="67">
        <f t="shared" si="86"/>
        <v>4753.1474375000007</v>
      </c>
      <c r="AJ86" s="67">
        <f t="shared" si="86"/>
        <v>5282.3942325000007</v>
      </c>
      <c r="AK86" s="67">
        <f t="shared" si="86"/>
        <v>5282.3942325000007</v>
      </c>
      <c r="AL86" s="68">
        <f t="shared" si="86"/>
        <v>5282.3942325000007</v>
      </c>
    </row>
    <row r="87" spans="1:38">
      <c r="A87" s="69" t="s">
        <v>47</v>
      </c>
      <c r="B87" s="67">
        <f t="shared" ref="B87:M87" si="87">+B79*B65</f>
        <v>3261.4216666666675</v>
      </c>
      <c r="C87" s="67">
        <f t="shared" si="87"/>
        <v>3041.4303501945524</v>
      </c>
      <c r="D87" s="67">
        <f t="shared" si="87"/>
        <v>3264.286333333333</v>
      </c>
      <c r="E87" s="67">
        <f t="shared" si="87"/>
        <v>2690.2226785714279</v>
      </c>
      <c r="F87" s="67">
        <f t="shared" si="87"/>
        <v>2956.9596551724135</v>
      </c>
      <c r="G87" s="67">
        <f t="shared" si="87"/>
        <v>3528.7806984126992</v>
      </c>
      <c r="H87" s="67">
        <f t="shared" si="87"/>
        <v>3420.4152922077915</v>
      </c>
      <c r="I87" s="67">
        <f t="shared" si="87"/>
        <v>3476.8142946708463</v>
      </c>
      <c r="J87" s="67">
        <f t="shared" si="87"/>
        <v>3137.7394285714295</v>
      </c>
      <c r="K87" s="67">
        <f t="shared" si="87"/>
        <v>3789.5261127596436</v>
      </c>
      <c r="L87" s="67">
        <f t="shared" si="87"/>
        <v>3466.755291237203</v>
      </c>
      <c r="M87" s="68">
        <f t="shared" si="87"/>
        <v>3461.6415314589403</v>
      </c>
      <c r="N87" s="67">
        <f t="shared" ref="N87:Y87" si="88">N77*N79*N65</f>
        <v>3859.2000000000003</v>
      </c>
      <c r="O87" s="67">
        <f t="shared" si="88"/>
        <v>3404.0000000000005</v>
      </c>
      <c r="P87" s="67">
        <f t="shared" si="88"/>
        <v>3636</v>
      </c>
      <c r="Q87" s="67">
        <f t="shared" si="88"/>
        <v>3052</v>
      </c>
      <c r="R87" s="67">
        <f t="shared" si="88"/>
        <v>3014</v>
      </c>
      <c r="S87" s="67">
        <f t="shared" si="88"/>
        <v>2983.2</v>
      </c>
      <c r="T87" s="67">
        <f t="shared" si="88"/>
        <v>3058</v>
      </c>
      <c r="U87" s="67">
        <f t="shared" si="88"/>
        <v>2899.6000000000004</v>
      </c>
      <c r="V87" s="67">
        <f t="shared" si="88"/>
        <v>2976</v>
      </c>
      <c r="W87" s="67">
        <f t="shared" si="88"/>
        <v>2982.9333333333334</v>
      </c>
      <c r="X87" s="67">
        <f t="shared" si="88"/>
        <v>2955.7185185185185</v>
      </c>
      <c r="Y87" s="67">
        <f t="shared" si="88"/>
        <v>2973.3711934156381</v>
      </c>
      <c r="Z87" s="701"/>
      <c r="AA87" s="584">
        <f t="shared" ref="AA87:AL87" si="89">AA77*AA79*AA65</f>
        <v>6110.4960000000001</v>
      </c>
      <c r="AB87" s="67">
        <f t="shared" si="89"/>
        <v>6110.4960000000001</v>
      </c>
      <c r="AC87" s="67">
        <f t="shared" si="89"/>
        <v>6110.4960000000001</v>
      </c>
      <c r="AD87" s="67">
        <f t="shared" si="89"/>
        <v>6714.7561600000017</v>
      </c>
      <c r="AE87" s="67">
        <f t="shared" si="89"/>
        <v>6714.7561600000017</v>
      </c>
      <c r="AF87" s="67">
        <f t="shared" si="89"/>
        <v>6714.7561600000017</v>
      </c>
      <c r="AG87" s="67">
        <f t="shared" si="89"/>
        <v>7526.7307500000006</v>
      </c>
      <c r="AH87" s="67">
        <f t="shared" si="89"/>
        <v>7526.7307500000006</v>
      </c>
      <c r="AI87" s="67">
        <f t="shared" si="89"/>
        <v>7526.7307500000006</v>
      </c>
      <c r="AJ87" s="67">
        <f t="shared" si="89"/>
        <v>8128.8692100000017</v>
      </c>
      <c r="AK87" s="67">
        <f t="shared" si="89"/>
        <v>8128.8692100000017</v>
      </c>
      <c r="AL87" s="68">
        <f t="shared" si="89"/>
        <v>8128.8692100000017</v>
      </c>
    </row>
    <row r="88" spans="1:38">
      <c r="A88" s="70" t="s">
        <v>51</v>
      </c>
      <c r="B88" s="71">
        <f t="shared" ref="B88:Y88" si="90">+B86+B87</f>
        <v>5882.3909116331124</v>
      </c>
      <c r="C88" s="71">
        <f t="shared" si="90"/>
        <v>5177.1437406958721</v>
      </c>
      <c r="D88" s="71">
        <f t="shared" si="90"/>
        <v>5334.8115615848401</v>
      </c>
      <c r="E88" s="71">
        <f t="shared" si="90"/>
        <v>4549.1553470848175</v>
      </c>
      <c r="F88" s="71">
        <f t="shared" si="90"/>
        <v>4661.6430384059468</v>
      </c>
      <c r="G88" s="71">
        <f t="shared" si="90"/>
        <v>5238.3777658613799</v>
      </c>
      <c r="H88" s="71">
        <f t="shared" si="90"/>
        <v>5416.5269070609866</v>
      </c>
      <c r="I88" s="71">
        <f t="shared" si="90"/>
        <v>5945.3192946708459</v>
      </c>
      <c r="J88" s="71">
        <f t="shared" si="90"/>
        <v>5299.3960821588735</v>
      </c>
      <c r="K88" s="71">
        <f t="shared" si="90"/>
        <v>6804.8992553007647</v>
      </c>
      <c r="L88" s="71">
        <f t="shared" si="90"/>
        <v>5986.7472645672879</v>
      </c>
      <c r="M88" s="72">
        <f t="shared" si="90"/>
        <v>5990.4841381946089</v>
      </c>
      <c r="N88" s="71">
        <f t="shared" si="90"/>
        <v>6968</v>
      </c>
      <c r="O88" s="71">
        <f t="shared" si="90"/>
        <v>5957</v>
      </c>
      <c r="P88" s="71">
        <f t="shared" si="90"/>
        <v>6408.4500000000007</v>
      </c>
      <c r="Q88" s="71">
        <f t="shared" si="90"/>
        <v>5302.85</v>
      </c>
      <c r="R88" s="71">
        <f t="shared" si="90"/>
        <v>5137.5</v>
      </c>
      <c r="S88" s="71">
        <f t="shared" si="90"/>
        <v>5085</v>
      </c>
      <c r="T88" s="71">
        <f t="shared" si="90"/>
        <v>5212.5</v>
      </c>
      <c r="U88" s="71">
        <f t="shared" si="90"/>
        <v>5041.3500000000004</v>
      </c>
      <c r="V88" s="71">
        <f t="shared" si="90"/>
        <v>4681</v>
      </c>
      <c r="W88" s="71">
        <f t="shared" si="90"/>
        <v>4956.9333333333334</v>
      </c>
      <c r="X88" s="71">
        <f t="shared" si="90"/>
        <v>4812.010185185185</v>
      </c>
      <c r="Y88" s="71">
        <f t="shared" si="90"/>
        <v>4856.9614711934155</v>
      </c>
      <c r="Z88" s="702"/>
      <c r="AA88" s="585">
        <f>+AA86+AA87</f>
        <v>9745.2880000000005</v>
      </c>
      <c r="AB88" s="71">
        <f t="shared" ref="AB88:AL88" si="91">+AB86+AB87</f>
        <v>9745.2880000000005</v>
      </c>
      <c r="AC88" s="71">
        <f t="shared" si="91"/>
        <v>9745.2880000000005</v>
      </c>
      <c r="AD88" s="71">
        <f t="shared" si="91"/>
        <v>10832.06425777778</v>
      </c>
      <c r="AE88" s="71">
        <f t="shared" si="91"/>
        <v>10832.06425777778</v>
      </c>
      <c r="AF88" s="71">
        <f t="shared" si="91"/>
        <v>10832.06425777778</v>
      </c>
      <c r="AG88" s="71">
        <f t="shared" si="91"/>
        <v>12279.878187500002</v>
      </c>
      <c r="AH88" s="71">
        <f t="shared" si="91"/>
        <v>12279.878187500002</v>
      </c>
      <c r="AI88" s="71">
        <f t="shared" si="91"/>
        <v>12279.878187500002</v>
      </c>
      <c r="AJ88" s="71">
        <f t="shared" si="91"/>
        <v>13411.263442500003</v>
      </c>
      <c r="AK88" s="71">
        <f t="shared" si="91"/>
        <v>13411.263442500003</v>
      </c>
      <c r="AL88" s="71">
        <f t="shared" si="91"/>
        <v>13411.263442500003</v>
      </c>
    </row>
    <row r="89" spans="1:38">
      <c r="A89" s="50"/>
      <c r="B89" s="51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2"/>
      <c r="N89" s="51"/>
      <c r="O89" s="50"/>
      <c r="P89" s="50"/>
      <c r="Q89" s="50"/>
      <c r="R89" s="50"/>
      <c r="S89" s="50"/>
      <c r="T89" s="50"/>
      <c r="U89" s="50"/>
      <c r="V89" s="50"/>
      <c r="W89" s="50"/>
      <c r="X89" s="50"/>
      <c r="AA89" s="197"/>
    </row>
    <row r="90" spans="1:38">
      <c r="A90" s="53" t="s">
        <v>52</v>
      </c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4"/>
      <c r="N90">
        <v>741.27612833600745</v>
      </c>
      <c r="O90">
        <v>494.0177509663954</v>
      </c>
      <c r="P90">
        <v>392.79731184310197</v>
      </c>
      <c r="Q90">
        <v>349.53461798052717</v>
      </c>
      <c r="R90">
        <v>395.35748051711994</v>
      </c>
      <c r="S90">
        <v>421.33624528863049</v>
      </c>
      <c r="T90">
        <v>419.86104352718337</v>
      </c>
      <c r="U90">
        <v>575.79177842434274</v>
      </c>
      <c r="V90">
        <v>644.81589929023369</v>
      </c>
      <c r="W90">
        <v>664.95266893414191</v>
      </c>
      <c r="X90">
        <v>855.89319695093195</v>
      </c>
      <c r="Y90">
        <v>930.97892831179865</v>
      </c>
      <c r="AA90" s="630">
        <f>+((Y77*Y79)+((Y93*Y94)))</f>
        <v>773.59363780765443</v>
      </c>
      <c r="AB90" s="73">
        <f t="shared" ref="AB90:AL90" si="92">+((AA77*AA79)*(1-AA73))+((AA93*AA94)*(1-AA71))</f>
        <v>823.12019645669875</v>
      </c>
      <c r="AC90" s="73">
        <f t="shared" si="92"/>
        <v>779.85945365020029</v>
      </c>
      <c r="AD90" s="73">
        <f t="shared" si="92"/>
        <v>758.85947393664094</v>
      </c>
      <c r="AE90" s="73">
        <f t="shared" si="92"/>
        <v>760.76467900568014</v>
      </c>
      <c r="AF90" s="73">
        <f t="shared" si="92"/>
        <v>756.45208013811941</v>
      </c>
      <c r="AG90" s="73">
        <f t="shared" si="92"/>
        <v>753.47130169323543</v>
      </c>
      <c r="AH90" s="73">
        <f t="shared" si="92"/>
        <v>785.43104802953667</v>
      </c>
      <c r="AI90" s="73">
        <f t="shared" si="92"/>
        <v>801.42064128508696</v>
      </c>
      <c r="AJ90" s="73">
        <f t="shared" si="92"/>
        <v>807.96324098342279</v>
      </c>
      <c r="AK90" s="73">
        <f t="shared" si="92"/>
        <v>838.49017490891015</v>
      </c>
      <c r="AL90" s="74">
        <f t="shared" si="92"/>
        <v>855.29382618480463</v>
      </c>
    </row>
    <row r="91" spans="1:38">
      <c r="A91" s="53" t="s">
        <v>53</v>
      </c>
      <c r="B91" s="73"/>
      <c r="C91" s="73"/>
      <c r="D91" s="73"/>
      <c r="E91" s="73"/>
      <c r="F91" s="73"/>
      <c r="G91" s="73"/>
      <c r="H91" s="73"/>
      <c r="I91" s="73"/>
      <c r="J91" s="73"/>
      <c r="L91" s="73"/>
      <c r="M91" s="74"/>
      <c r="N91">
        <v>1550.5689951522527</v>
      </c>
      <c r="O91">
        <v>215.17980464031578</v>
      </c>
      <c r="P91">
        <v>198.01114695195915</v>
      </c>
      <c r="Q91">
        <v>207.61399880984368</v>
      </c>
      <c r="R91">
        <v>254.57356222594501</v>
      </c>
      <c r="S91">
        <v>178.84161609580519</v>
      </c>
      <c r="T91">
        <v>208.89859700332283</v>
      </c>
      <c r="U91">
        <v>247.83272605295599</v>
      </c>
      <c r="V91">
        <v>199.22648363858525</v>
      </c>
      <c r="W91">
        <v>239.86327629491328</v>
      </c>
      <c r="X91">
        <v>227.9859472327328</v>
      </c>
      <c r="Y91">
        <v>221.20658382839244</v>
      </c>
      <c r="AA91" s="630">
        <f>+((N78*N77)+(N93*N95))</f>
        <v>774.76233564318795</v>
      </c>
      <c r="AB91" s="73">
        <f t="shared" ref="AB91:AL91" si="93">+((O78*O77)*(1-AB72)+(O93*O95)*(1-AB71))</f>
        <v>204.54140983880993</v>
      </c>
      <c r="AC91" s="73">
        <f t="shared" si="93"/>
        <v>214.92052835972399</v>
      </c>
      <c r="AD91" s="73">
        <f t="shared" si="93"/>
        <v>197.98781865575293</v>
      </c>
      <c r="AE91" s="73">
        <f t="shared" si="93"/>
        <v>185.9542895040284</v>
      </c>
      <c r="AF91" s="73">
        <f t="shared" si="93"/>
        <v>175.80923024323204</v>
      </c>
      <c r="AG91" s="73">
        <f t="shared" si="93"/>
        <v>184.09181452050987</v>
      </c>
      <c r="AH91" s="73">
        <f t="shared" si="93"/>
        <v>176.42143222789394</v>
      </c>
      <c r="AI91" s="73">
        <f t="shared" si="93"/>
        <v>152.18529188921349</v>
      </c>
      <c r="AJ91" s="73">
        <f t="shared" si="93"/>
        <v>171.69414594033316</v>
      </c>
      <c r="AK91" s="73">
        <f t="shared" si="93"/>
        <v>170.20089052319562</v>
      </c>
      <c r="AL91" s="74">
        <f t="shared" si="93"/>
        <v>169.67010893198983</v>
      </c>
    </row>
    <row r="92" spans="1:38">
      <c r="A92" s="53"/>
      <c r="B92" s="51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7"/>
      <c r="N92" s="51"/>
      <c r="O92" s="76"/>
      <c r="P92" s="76"/>
      <c r="Q92" s="76"/>
      <c r="R92" s="76"/>
      <c r="S92" s="76"/>
      <c r="T92" s="76"/>
      <c r="U92" s="76"/>
      <c r="V92" s="76"/>
      <c r="W92" s="76"/>
      <c r="X92" s="76"/>
      <c r="AA92" s="197"/>
    </row>
    <row r="93" spans="1:38">
      <c r="A93" s="53" t="s">
        <v>54</v>
      </c>
      <c r="B93" s="78">
        <v>575</v>
      </c>
      <c r="C93" s="78">
        <v>607</v>
      </c>
      <c r="D93" s="78">
        <v>652</v>
      </c>
      <c r="E93" s="78">
        <v>717</v>
      </c>
      <c r="F93" s="78">
        <v>776</v>
      </c>
      <c r="G93" s="78">
        <v>689</v>
      </c>
      <c r="H93" s="78">
        <v>718</v>
      </c>
      <c r="I93" s="78">
        <v>782</v>
      </c>
      <c r="J93" s="78">
        <v>749</v>
      </c>
      <c r="K93" s="88">
        <f>AVERAGE(H93:J93)</f>
        <v>749.66666666666663</v>
      </c>
      <c r="L93" s="88">
        <f>AVERAGE(I93:K93)</f>
        <v>760.22222222222217</v>
      </c>
      <c r="M93" s="638">
        <f>AVERAGE(J93:L93)</f>
        <v>752.96296296296293</v>
      </c>
      <c r="N93" s="78">
        <v>776</v>
      </c>
      <c r="O93" s="78">
        <v>685</v>
      </c>
      <c r="P93" s="78">
        <v>712</v>
      </c>
      <c r="Q93" s="78">
        <v>711</v>
      </c>
      <c r="R93" s="78">
        <v>695</v>
      </c>
      <c r="S93" s="78">
        <v>633</v>
      </c>
      <c r="T93" s="78">
        <v>674</v>
      </c>
      <c r="U93" s="78">
        <v>652</v>
      </c>
      <c r="V93" s="78">
        <v>521</v>
      </c>
      <c r="W93" s="78">
        <v>621</v>
      </c>
      <c r="X93" s="423">
        <f>+W93</f>
        <v>621</v>
      </c>
      <c r="Y93" s="423">
        <f>+X93</f>
        <v>621</v>
      </c>
      <c r="Z93" s="693"/>
      <c r="AA93" s="631">
        <f>+((Y77*Y79)*(1-AA73))+((Y93*Y94)*(1-AA71))+((N77*N78)*(1-AA72))</f>
        <v>722.2374487599235</v>
      </c>
      <c r="AB93" s="632">
        <f t="shared" ref="AB93:AL93" si="94">+((AA77*AA79)*(1-AB73))+((AA93*AA94)*(1-AB71))+((O77*O78)*(1-AB72))</f>
        <v>925.24019645669875</v>
      </c>
      <c r="AC93" s="632">
        <f t="shared" si="94"/>
        <v>888.93945365020022</v>
      </c>
      <c r="AD93" s="632">
        <f t="shared" si="94"/>
        <v>850.41947393664088</v>
      </c>
      <c r="AE93" s="632">
        <f t="shared" si="94"/>
        <v>842.96467900568018</v>
      </c>
      <c r="AF93" s="632">
        <f t="shared" si="94"/>
        <v>837.81208013811943</v>
      </c>
      <c r="AG93" s="632">
        <f t="shared" si="94"/>
        <v>836.87130169323541</v>
      </c>
      <c r="AH93" s="632">
        <f t="shared" si="94"/>
        <v>864.5110480295366</v>
      </c>
      <c r="AI93" s="632">
        <f t="shared" si="94"/>
        <v>875.82064128508694</v>
      </c>
      <c r="AJ93" s="632">
        <f t="shared" si="94"/>
        <v>886.92324098342283</v>
      </c>
      <c r="AK93" s="632">
        <f t="shared" si="94"/>
        <v>915.97017490891017</v>
      </c>
      <c r="AL93" s="632">
        <f t="shared" si="94"/>
        <v>932.24049285147123</v>
      </c>
    </row>
    <row r="94" spans="1:38">
      <c r="A94" s="50" t="s">
        <v>55</v>
      </c>
      <c r="B94" s="79">
        <v>0.67304347826086952</v>
      </c>
      <c r="C94" s="79">
        <v>0.76276771004942334</v>
      </c>
      <c r="D94" s="79">
        <v>0.80674846625766872</v>
      </c>
      <c r="E94" s="79">
        <v>0.79776847977684795</v>
      </c>
      <c r="F94" s="79">
        <v>0.73840206185567014</v>
      </c>
      <c r="G94" s="79">
        <v>0.83309143686502174</v>
      </c>
      <c r="H94" s="79">
        <v>0.81894150417827294</v>
      </c>
      <c r="I94" s="79">
        <v>0.80690537084398972</v>
      </c>
      <c r="J94" s="79">
        <v>0.85447263017356478</v>
      </c>
      <c r="K94" s="79">
        <f t="shared" ref="K94:M95" si="95">+AVERAGE(H94:J94)</f>
        <v>0.82677316839860915</v>
      </c>
      <c r="L94" s="79">
        <f t="shared" si="95"/>
        <v>0.82938372313872122</v>
      </c>
      <c r="M94" s="80">
        <f t="shared" si="95"/>
        <v>0.83687650723696505</v>
      </c>
      <c r="N94" s="147">
        <v>0.83101113292476514</v>
      </c>
      <c r="O94" s="147">
        <v>0.83242378776681714</v>
      </c>
      <c r="P94" s="147">
        <v>0.83343714264284907</v>
      </c>
      <c r="Q94" s="147">
        <v>0.83229068777814375</v>
      </c>
      <c r="R94" s="147">
        <v>0.83271720606260324</v>
      </c>
      <c r="S94" s="147">
        <v>0.83281501216119869</v>
      </c>
      <c r="T94" s="147">
        <v>0.83260763533398185</v>
      </c>
      <c r="U94" s="147">
        <v>0.83271328451926119</v>
      </c>
      <c r="V94" s="147">
        <v>0.83271197733814717</v>
      </c>
      <c r="W94" s="147">
        <v>0.83267763239713011</v>
      </c>
      <c r="X94" s="147">
        <v>0.83270096475151278</v>
      </c>
      <c r="Y94" s="147">
        <v>0.83269685816226335</v>
      </c>
      <c r="Z94" s="699"/>
      <c r="AA94" s="634">
        <v>0.9</v>
      </c>
      <c r="AB94" s="147">
        <f t="shared" ref="AB94:AL94" si="96">+AB78</f>
        <v>0.65</v>
      </c>
      <c r="AC94" s="147">
        <f t="shared" si="96"/>
        <v>0.65</v>
      </c>
      <c r="AD94" s="147">
        <f t="shared" si="96"/>
        <v>0.65</v>
      </c>
      <c r="AE94" s="147">
        <f t="shared" si="96"/>
        <v>0.65</v>
      </c>
      <c r="AF94" s="147">
        <f t="shared" si="96"/>
        <v>0.65</v>
      </c>
      <c r="AG94" s="147">
        <f t="shared" si="96"/>
        <v>0.65</v>
      </c>
      <c r="AH94" s="147">
        <f t="shared" si="96"/>
        <v>0.65</v>
      </c>
      <c r="AI94" s="147">
        <f t="shared" si="96"/>
        <v>0.65</v>
      </c>
      <c r="AJ94" s="147">
        <f t="shared" si="96"/>
        <v>0.65</v>
      </c>
      <c r="AK94" s="147">
        <f t="shared" si="96"/>
        <v>0.65</v>
      </c>
      <c r="AL94" s="635">
        <f t="shared" si="96"/>
        <v>0.65</v>
      </c>
    </row>
    <row r="95" spans="1:38">
      <c r="A95" s="50" t="s">
        <v>56</v>
      </c>
      <c r="B95" s="79">
        <v>0.32695652173913042</v>
      </c>
      <c r="C95" s="79">
        <v>0.24052718286655683</v>
      </c>
      <c r="D95" s="79">
        <v>0.19325153374233128</v>
      </c>
      <c r="E95" s="79">
        <v>0.20223152022315202</v>
      </c>
      <c r="F95" s="79">
        <v>0.26288659793814434</v>
      </c>
      <c r="G95" s="79">
        <v>0.16690856313497823</v>
      </c>
      <c r="H95" s="79">
        <v>0.18384401114206128</v>
      </c>
      <c r="I95" s="79">
        <v>0.19309462915601022</v>
      </c>
      <c r="J95" s="79">
        <v>0.14552736982643524</v>
      </c>
      <c r="K95" s="79">
        <f t="shared" si="95"/>
        <v>0.17415533670816893</v>
      </c>
      <c r="L95" s="79">
        <f t="shared" si="95"/>
        <v>0.17092577856353816</v>
      </c>
      <c r="M95" s="80">
        <f t="shared" si="95"/>
        <v>0.16353616169938079</v>
      </c>
      <c r="N95" s="147">
        <v>0.16953909232369599</v>
      </c>
      <c r="O95" s="147">
        <v>0.16800034419553833</v>
      </c>
      <c r="P95" s="147">
        <v>0.16702519940620505</v>
      </c>
      <c r="Q95" s="147">
        <v>0.16818821197514647</v>
      </c>
      <c r="R95" s="147">
        <v>0.16773791852562994</v>
      </c>
      <c r="S95" s="147">
        <v>0.16765044330232715</v>
      </c>
      <c r="T95" s="147">
        <v>0.16785885793436783</v>
      </c>
      <c r="U95" s="147">
        <v>0.16774907325410829</v>
      </c>
      <c r="V95" s="147">
        <v>0.16775279149693442</v>
      </c>
      <c r="W95" s="147">
        <v>0.16778690756180351</v>
      </c>
      <c r="X95" s="147">
        <v>0.16776292410428206</v>
      </c>
      <c r="Y95" s="147">
        <v>0.16776754105434</v>
      </c>
      <c r="Z95" s="699"/>
      <c r="AA95" s="634">
        <v>0.1</v>
      </c>
      <c r="AB95" s="147">
        <f t="shared" ref="AB95:AL95" si="97">+AB79</f>
        <v>0.35</v>
      </c>
      <c r="AC95" s="147">
        <f t="shared" si="97"/>
        <v>0.35</v>
      </c>
      <c r="AD95" s="147">
        <f t="shared" si="97"/>
        <v>0.35</v>
      </c>
      <c r="AE95" s="147">
        <f t="shared" si="97"/>
        <v>0.35</v>
      </c>
      <c r="AF95" s="147">
        <f t="shared" si="97"/>
        <v>0.35</v>
      </c>
      <c r="AG95" s="147">
        <f t="shared" si="97"/>
        <v>0.35</v>
      </c>
      <c r="AH95" s="147">
        <f t="shared" si="97"/>
        <v>0.35</v>
      </c>
      <c r="AI95" s="147">
        <f t="shared" si="97"/>
        <v>0.35</v>
      </c>
      <c r="AJ95" s="147">
        <f t="shared" si="97"/>
        <v>0.35</v>
      </c>
      <c r="AK95" s="147">
        <f t="shared" si="97"/>
        <v>0.35</v>
      </c>
      <c r="AL95" s="635">
        <f t="shared" si="97"/>
        <v>0.35</v>
      </c>
    </row>
    <row r="96" spans="1:38">
      <c r="A96" s="53"/>
      <c r="B96" s="51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7"/>
      <c r="N96" s="51"/>
      <c r="O96" s="76"/>
      <c r="P96" s="76"/>
      <c r="Q96" s="76"/>
      <c r="R96" s="76"/>
      <c r="S96" s="76"/>
      <c r="T96" s="76"/>
      <c r="U96" s="76"/>
      <c r="V96" s="76"/>
      <c r="W96" s="76"/>
      <c r="X96" s="76"/>
    </row>
    <row r="97" spans="1:38" s="685" customFormat="1">
      <c r="A97" s="681" t="s">
        <v>57</v>
      </c>
      <c r="B97" s="682">
        <v>14169.06</v>
      </c>
      <c r="C97" s="682">
        <v>12790.190000000002</v>
      </c>
      <c r="D97" s="682">
        <v>12450.03</v>
      </c>
      <c r="E97" s="682">
        <v>13470.029999999999</v>
      </c>
      <c r="F97" s="682">
        <v>17221.86</v>
      </c>
      <c r="G97" s="682">
        <v>11919.02</v>
      </c>
      <c r="H97" s="682">
        <v>12302.43</v>
      </c>
      <c r="I97" s="682">
        <v>13753.57</v>
      </c>
      <c r="J97" s="682">
        <v>12183</v>
      </c>
      <c r="K97" s="683">
        <f>+AVERAGE(H97:J97)</f>
        <v>12746.333333333334</v>
      </c>
      <c r="L97" s="683">
        <f>+AVERAGE(I97:K97)</f>
        <v>12894.301111111112</v>
      </c>
      <c r="M97" s="684">
        <v>8000</v>
      </c>
      <c r="N97" s="684">
        <v>15000</v>
      </c>
      <c r="O97" s="684">
        <v>15000</v>
      </c>
      <c r="P97" s="684">
        <v>15000</v>
      </c>
      <c r="Q97" s="684">
        <v>15000</v>
      </c>
      <c r="R97" s="684">
        <v>15000</v>
      </c>
      <c r="S97" s="684">
        <v>15000</v>
      </c>
      <c r="T97" s="684">
        <v>15000</v>
      </c>
      <c r="U97" s="684">
        <v>15000</v>
      </c>
      <c r="V97" s="684">
        <v>15000</v>
      </c>
      <c r="W97" s="684">
        <v>15000</v>
      </c>
      <c r="X97" s="684">
        <v>15000</v>
      </c>
      <c r="Y97" s="684">
        <v>15000</v>
      </c>
      <c r="Z97" s="705"/>
      <c r="AA97" s="684">
        <f>+(((Y77*Model!Y79)*(1-AA73))+((Y93*Y94)*(1-AA71)))*Supuestos!$M$14+(((N77*N78)*(1-AA72)))*Supuestos!$M$13</f>
        <v>16167.569767805089</v>
      </c>
      <c r="AB97" s="684">
        <f>+(((AA77*AA79)*(1-AB73))+((AA93*AA94)*(1-AB71)))*Supuestos!$M$14+(((O77*O78)*(1-AB72)))*Supuestos!$M$13</f>
        <v>17004.494328011879</v>
      </c>
      <c r="AC97" s="684">
        <f>+(((AB77*AB79)*(1-AC73))+((AB93*AB94)*(1-AC71)))*Supuestos!$M$14+(((P77*P78)*(1-AC72)))*Supuestos!$M$13</f>
        <v>16986.014525754872</v>
      </c>
      <c r="AD97" s="684">
        <f>+(((AC77*AC79)*(1-AD73))+((AC93*AC94)*(1-AD71)))*Supuestos!$M$14+(((Q77*Q78)*(1-AD72)))*Supuestos!$M$13</f>
        <v>15493.244766149193</v>
      </c>
      <c r="AE97" s="684">
        <f>+(((AD77*AD79)*(1-AE73))+((AD93*AD94)*(1-AE71)))*Supuestos!$M$14+(((R77*R78)*(1-AE72)))*Supuestos!$M$13</f>
        <v>14851.261446217308</v>
      </c>
      <c r="AF97" s="684">
        <f>+(((AE77*AE79)*(1-AF73))+((AE93*AE94)*(1-AF71)))*Supuestos!$M$14+(((S77*S78)*(1-AF72)))*Supuestos!$M$13</f>
        <v>14740.517149636715</v>
      </c>
      <c r="AG97" s="684">
        <f>+(((AF77*AF79)*(1-AG73))+((AF93*AF94)*(1-AG71)))*Supuestos!$M$14+(((T77*T78)*(1-AG72)))*Supuestos!$M$13</f>
        <v>14850.03492506484</v>
      </c>
      <c r="AH97" s="684">
        <f>+(((AG77*AG79)*(1-AH73))+((AG93*AG94)*(1-AH71)))*Supuestos!$M$14+(((U77*U78)*(1-AH72)))*Supuestos!$M$13</f>
        <v>14922.037919150007</v>
      </c>
      <c r="AI97" s="684">
        <f>+(((AH77*AH79)*(1-AI73))+((AH93*AH94)*(1-AI71)))*Supuestos!$M$14+(((V77*V78)*(1-AI72)))*Supuestos!$M$13</f>
        <v>14779.234599228279</v>
      </c>
      <c r="AJ97" s="684">
        <f>+(((AI77*AI79)*(1-AJ73))+((AI93*AI94)*(1-AJ71)))*Supuestos!$M$14+(((W77*W78)*(1-AJ72)))*Supuestos!$M$13</f>
        <v>15180.524405653559</v>
      </c>
      <c r="AK97" s="684">
        <f>+(((AJ77*AJ79)*(1-AK73))+((AJ93*AJ94)*(1-AK71)))*Supuestos!$M$14+(((X77*X78)*(1-AK72)))*Supuestos!$M$13</f>
        <v>15437.188572670582</v>
      </c>
      <c r="AL97" s="684">
        <f>+(((AK77*AK79)*(1-AL73))+((AK93*AK94)*(1-AL71)))*Supuestos!$M$14+(((Y77*Y78)*(1-AL72)))*Supuestos!$M$13</f>
        <v>15598.445173623266</v>
      </c>
    </row>
    <row r="98" spans="1:38">
      <c r="W98" s="424"/>
      <c r="X98" s="424"/>
      <c r="Y98" s="424"/>
      <c r="AA98" s="263"/>
    </row>
    <row r="99" spans="1:38">
      <c r="A99" t="s">
        <v>58</v>
      </c>
      <c r="B99" s="11">
        <f t="shared" ref="B99:M99" si="98">+B85+B97</f>
        <v>48882.112606263996</v>
      </c>
      <c r="C99" s="11">
        <f t="shared" si="98"/>
        <v>41460.181036210393</v>
      </c>
      <c r="D99" s="11">
        <f t="shared" si="98"/>
        <v>40560.619072351423</v>
      </c>
      <c r="E99" s="11">
        <f t="shared" si="98"/>
        <v>38467.4447007321</v>
      </c>
      <c r="F99" s="11">
        <f t="shared" si="98"/>
        <v>40635.020253974813</v>
      </c>
      <c r="G99" s="11">
        <f t="shared" si="98"/>
        <v>35962.965507796864</v>
      </c>
      <c r="H99" s="11">
        <f t="shared" si="98"/>
        <v>39676.184670446135</v>
      </c>
      <c r="I99" s="11">
        <f t="shared" si="98"/>
        <v>46852.444294670844</v>
      </c>
      <c r="J99" s="11">
        <f t="shared" si="98"/>
        <v>41260.619271620759</v>
      </c>
      <c r="K99" s="297">
        <f t="shared" si="98"/>
        <v>52720.337156586436</v>
      </c>
      <c r="L99" s="11">
        <f t="shared" si="98"/>
        <v>46600.960082309335</v>
      </c>
      <c r="M99" s="31">
        <f t="shared" si="98"/>
        <v>41807.752812286963</v>
      </c>
      <c r="N99" s="416">
        <v>37219.644598819221</v>
      </c>
      <c r="O99" s="416">
        <v>34713.827338143936</v>
      </c>
      <c r="P99" s="416">
        <v>33645.565803732046</v>
      </c>
      <c r="Q99" s="416">
        <v>49583.305275534491</v>
      </c>
      <c r="R99" s="416">
        <v>50207.449063608234</v>
      </c>
      <c r="S99" s="416">
        <v>50170.057595499675</v>
      </c>
      <c r="T99" s="416">
        <v>86422.903803340465</v>
      </c>
      <c r="U99" s="416">
        <v>88097.522435575971</v>
      </c>
      <c r="V99" s="416">
        <v>88586.721516380654</v>
      </c>
      <c r="W99" s="423">
        <v>132431.03142957998</v>
      </c>
      <c r="X99" s="423">
        <v>134254.27780477452</v>
      </c>
      <c r="Y99" s="423">
        <v>134963.44562328485</v>
      </c>
      <c r="Z99" s="693"/>
      <c r="AA99" s="297">
        <f>+AA97+AA85</f>
        <v>65895.569767805093</v>
      </c>
      <c r="AB99" s="297">
        <f t="shared" ref="AB99:AL99" si="99">+AB97+AB85</f>
        <v>66732.49432801189</v>
      </c>
      <c r="AC99" s="297">
        <f t="shared" si="99"/>
        <v>66714.014525754872</v>
      </c>
      <c r="AD99" s="297">
        <f t="shared" si="99"/>
        <v>71615.698099482543</v>
      </c>
      <c r="AE99" s="297">
        <f t="shared" si="99"/>
        <v>70973.714779550646</v>
      </c>
      <c r="AF99" s="297">
        <f t="shared" si="99"/>
        <v>70862.970482970064</v>
      </c>
      <c r="AG99" s="297">
        <f t="shared" si="99"/>
        <v>79414.534925064843</v>
      </c>
      <c r="AH99" s="297">
        <f t="shared" si="99"/>
        <v>79486.537919150011</v>
      </c>
      <c r="AI99" s="297">
        <f t="shared" si="99"/>
        <v>79343.734599228279</v>
      </c>
      <c r="AJ99" s="297">
        <f t="shared" si="99"/>
        <v>86698.124405653565</v>
      </c>
      <c r="AK99" s="297">
        <f t="shared" si="99"/>
        <v>86954.788572670586</v>
      </c>
      <c r="AL99" s="400">
        <f t="shared" si="99"/>
        <v>87116.045173623279</v>
      </c>
    </row>
    <row r="100" spans="1:38">
      <c r="A100" t="s">
        <v>59</v>
      </c>
      <c r="B100" s="82">
        <f t="shared" ref="B100:M100" si="100">+-((B86*(B68))+(B87*(B68))+(B97*(B69)))</f>
        <v>-3890.0762734899336</v>
      </c>
      <c r="C100" s="82">
        <f t="shared" si="100"/>
        <v>-3471.6716222087621</v>
      </c>
      <c r="D100" s="82">
        <f t="shared" si="100"/>
        <v>-3467.9479684754519</v>
      </c>
      <c r="E100" s="82">
        <f t="shared" si="100"/>
        <v>-3385.2511041254447</v>
      </c>
      <c r="F100" s="82">
        <f t="shared" si="100"/>
        <v>-3981.7719115217842</v>
      </c>
      <c r="G100" s="82">
        <f t="shared" si="100"/>
        <v>-3359.3663297584139</v>
      </c>
      <c r="H100" s="82">
        <f t="shared" si="100"/>
        <v>-3470.3225721182962</v>
      </c>
      <c r="I100" s="82">
        <f t="shared" si="100"/>
        <v>-3846.6312884012536</v>
      </c>
      <c r="J100" s="82">
        <f t="shared" si="100"/>
        <v>-3417.2688246476619</v>
      </c>
      <c r="K100" s="82">
        <f t="shared" si="100"/>
        <v>-3953.419776590229</v>
      </c>
      <c r="L100" s="82">
        <f t="shared" si="100"/>
        <v>-3730.1693460368529</v>
      </c>
      <c r="M100" s="83">
        <f t="shared" si="100"/>
        <v>-2997.1452414583828</v>
      </c>
      <c r="N100" s="82">
        <v>-3515.1496094190161</v>
      </c>
      <c r="O100" s="82">
        <v>-3013.9861572839595</v>
      </c>
      <c r="P100" s="82">
        <v>-2800.3338504015805</v>
      </c>
      <c r="Q100" s="82">
        <v>-3455.3810551068991</v>
      </c>
      <c r="R100" s="82">
        <v>-3580.2098127216477</v>
      </c>
      <c r="S100" s="82">
        <v>-3572.731519099937</v>
      </c>
      <c r="T100" s="82">
        <v>-5380.8071757624302</v>
      </c>
      <c r="U100" s="82">
        <v>-5715.7309022095324</v>
      </c>
      <c r="V100" s="82">
        <v>-5813.5707183704708</v>
      </c>
      <c r="W100" s="423">
        <v>-7961.2062859159969</v>
      </c>
      <c r="X100" s="423">
        <v>-8325.8555609549057</v>
      </c>
      <c r="Y100" s="423">
        <v>-8467.6891246569721</v>
      </c>
      <c r="Z100" s="693"/>
      <c r="AA100" s="150">
        <f>+-1*(AA85*AA68)+(AA97*AA69)</f>
        <v>-14171.286046438985</v>
      </c>
      <c r="AB100" s="150">
        <f t="shared" ref="AB100:AL100" si="101">+-1*(AB85*AB68)+(AB97*AB69)</f>
        <v>-14003.901134397627</v>
      </c>
      <c r="AC100" s="150">
        <f t="shared" si="101"/>
        <v>-14007.597094849029</v>
      </c>
      <c r="AD100" s="150">
        <f t="shared" si="101"/>
        <v>-16544.20971343683</v>
      </c>
      <c r="AE100" s="150">
        <f t="shared" si="101"/>
        <v>-16672.60637742321</v>
      </c>
      <c r="AF100" s="150">
        <f t="shared" si="101"/>
        <v>-16694.755236739329</v>
      </c>
      <c r="AG100" s="150">
        <f t="shared" si="101"/>
        <v>-19627.568014987031</v>
      </c>
      <c r="AH100" s="150">
        <f t="shared" si="101"/>
        <v>-19613.167416169999</v>
      </c>
      <c r="AI100" s="150">
        <f t="shared" si="101"/>
        <v>-19641.728080154346</v>
      </c>
      <c r="AJ100" s="150">
        <f t="shared" si="101"/>
        <v>-21995.055118869288</v>
      </c>
      <c r="AK100" s="150">
        <f t="shared" si="101"/>
        <v>-21943.722285465883</v>
      </c>
      <c r="AL100" s="83">
        <f t="shared" si="101"/>
        <v>-21911.470965275344</v>
      </c>
    </row>
    <row r="101" spans="1:38">
      <c r="A101" t="s">
        <v>353</v>
      </c>
      <c r="N101" s="82"/>
      <c r="O101" s="82"/>
      <c r="P101" s="82"/>
      <c r="Q101" s="82"/>
      <c r="R101" s="82"/>
      <c r="S101" s="82"/>
      <c r="T101" s="82"/>
      <c r="U101" s="82"/>
      <c r="V101" s="82"/>
      <c r="W101" s="423"/>
      <c r="X101" s="423"/>
      <c r="Y101" s="423"/>
      <c r="Z101" s="693"/>
      <c r="AA101" s="589">
        <f>+AA100/AA99</f>
        <v>-0.21505673441134304</v>
      </c>
      <c r="AB101" s="589">
        <f t="shared" ref="AB101:AL101" si="102">+AB100/AB99</f>
        <v>-0.20985130670470525</v>
      </c>
      <c r="AC101" s="589">
        <f t="shared" si="102"/>
        <v>-0.20996483564096433</v>
      </c>
      <c r="AD101" s="589">
        <f t="shared" si="102"/>
        <v>-0.23101373235872108</v>
      </c>
      <c r="AE101" s="589">
        <f t="shared" si="102"/>
        <v>-0.23491240988596268</v>
      </c>
      <c r="AF101" s="589">
        <f t="shared" si="102"/>
        <v>-0.23559208882940416</v>
      </c>
      <c r="AG101" s="589">
        <f t="shared" si="102"/>
        <v>-0.24715334583911505</v>
      </c>
      <c r="AH101" s="589">
        <f t="shared" si="102"/>
        <v>-0.24674829134110227</v>
      </c>
      <c r="AI101" s="589">
        <f t="shared" si="102"/>
        <v>-0.24755235154188704</v>
      </c>
      <c r="AJ101" s="589">
        <f t="shared" si="102"/>
        <v>-0.25369701212861528</v>
      </c>
      <c r="AK101" s="589">
        <f t="shared" si="102"/>
        <v>-0.25235783613143847</v>
      </c>
      <c r="AL101" s="590">
        <f t="shared" si="102"/>
        <v>-0.25152049684539202</v>
      </c>
    </row>
    <row r="102" spans="1:38">
      <c r="A102" t="s">
        <v>60</v>
      </c>
      <c r="B102" s="11">
        <f t="shared" ref="B102:M102" si="103">+SUM(B99:B100)</f>
        <v>44992.036332774063</v>
      </c>
      <c r="C102" s="11">
        <f t="shared" si="103"/>
        <v>37988.50941400163</v>
      </c>
      <c r="D102" s="11">
        <f t="shared" si="103"/>
        <v>37092.671103875968</v>
      </c>
      <c r="E102" s="11">
        <f t="shared" si="103"/>
        <v>35082.193596606652</v>
      </c>
      <c r="F102" s="11">
        <f t="shared" si="103"/>
        <v>36653.248342453029</v>
      </c>
      <c r="G102" s="11">
        <f t="shared" si="103"/>
        <v>32603.59917803845</v>
      </c>
      <c r="H102" s="11">
        <f t="shared" si="103"/>
        <v>36205.862098327838</v>
      </c>
      <c r="I102" s="11">
        <f t="shared" si="103"/>
        <v>43005.813006269593</v>
      </c>
      <c r="J102" s="11">
        <f t="shared" si="103"/>
        <v>37843.350446973098</v>
      </c>
      <c r="K102" s="11">
        <f t="shared" si="103"/>
        <v>48766.917379996208</v>
      </c>
      <c r="L102" s="11">
        <f t="shared" si="103"/>
        <v>42870.79073627248</v>
      </c>
      <c r="M102" s="31">
        <f t="shared" si="103"/>
        <v>38810.607570828579</v>
      </c>
      <c r="N102" s="81">
        <v>33704.494989400206</v>
      </c>
      <c r="O102" s="81">
        <v>31699.841180859978</v>
      </c>
      <c r="P102" s="81">
        <v>30845.231953330465</v>
      </c>
      <c r="Q102" s="81">
        <v>46127.924220427594</v>
      </c>
      <c r="R102" s="81">
        <v>46627.239250886589</v>
      </c>
      <c r="S102" s="81">
        <v>46597.326076399739</v>
      </c>
      <c r="T102" s="81">
        <v>81042.096627578037</v>
      </c>
      <c r="U102" s="81">
        <v>82381.791533366442</v>
      </c>
      <c r="V102" s="81">
        <v>82773.150798010189</v>
      </c>
      <c r="W102" s="423">
        <v>124469.82514366398</v>
      </c>
      <c r="X102" s="423">
        <v>125928.42224381962</v>
      </c>
      <c r="Y102" s="423">
        <v>126495.75649862787</v>
      </c>
      <c r="Z102" s="693"/>
      <c r="AA102" s="591">
        <f>+AA99+AA100</f>
        <v>51724.283721366111</v>
      </c>
      <c r="AB102" s="11">
        <f t="shared" ref="AB102:AL102" si="104">+AB99+AB100</f>
        <v>52728.593193614259</v>
      </c>
      <c r="AC102" s="11">
        <f t="shared" si="104"/>
        <v>52706.417430905844</v>
      </c>
      <c r="AD102" s="11">
        <f t="shared" si="104"/>
        <v>55071.488386045712</v>
      </c>
      <c r="AE102" s="11">
        <f t="shared" si="104"/>
        <v>54301.108402127436</v>
      </c>
      <c r="AF102" s="11">
        <f t="shared" si="104"/>
        <v>54168.215246230735</v>
      </c>
      <c r="AG102" s="11">
        <f t="shared" si="104"/>
        <v>59786.966910077812</v>
      </c>
      <c r="AH102" s="11">
        <f t="shared" si="104"/>
        <v>59873.370502980011</v>
      </c>
      <c r="AI102" s="11">
        <f t="shared" si="104"/>
        <v>59702.006519073933</v>
      </c>
      <c r="AJ102" s="11">
        <f t="shared" si="104"/>
        <v>64703.069286784274</v>
      </c>
      <c r="AK102" s="11">
        <f t="shared" si="104"/>
        <v>65011.066287204703</v>
      </c>
      <c r="AL102" s="31">
        <f t="shared" si="104"/>
        <v>65204.574208347934</v>
      </c>
    </row>
    <row r="103" spans="1:38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31"/>
      <c r="AA103" s="197"/>
      <c r="AK103" s="296"/>
    </row>
    <row r="104" spans="1:38" s="295" customFormat="1">
      <c r="A104" s="295" t="s">
        <v>290</v>
      </c>
      <c r="B104" s="595">
        <f t="shared" ref="B104:M104" si="105">B102-B59</f>
        <v>25018.046332774062</v>
      </c>
      <c r="C104" s="595">
        <f t="shared" si="105"/>
        <v>19231.829413001629</v>
      </c>
      <c r="D104" s="595">
        <f t="shared" si="105"/>
        <v>18980.521103875966</v>
      </c>
      <c r="E104" s="595">
        <f t="shared" si="105"/>
        <v>16787.673596606652</v>
      </c>
      <c r="F104" s="595">
        <f t="shared" si="105"/>
        <v>22847.198342453026</v>
      </c>
      <c r="G104" s="595">
        <f t="shared" si="105"/>
        <v>15898.979178038455</v>
      </c>
      <c r="H104" s="595">
        <f t="shared" si="105"/>
        <v>18309.682098327841</v>
      </c>
      <c r="I104" s="595">
        <f t="shared" si="105"/>
        <v>19901.973005269596</v>
      </c>
      <c r="J104" s="595">
        <f t="shared" si="105"/>
        <v>14515.509812973105</v>
      </c>
      <c r="K104" s="595">
        <f t="shared" si="105"/>
        <v>22822.917379996208</v>
      </c>
      <c r="L104" s="595">
        <f t="shared" si="105"/>
        <v>18745.563857939149</v>
      </c>
      <c r="M104" s="596">
        <f t="shared" si="105"/>
        <v>14344.918400050807</v>
      </c>
      <c r="N104" s="595">
        <v>12104.494989400206</v>
      </c>
      <c r="O104" s="595">
        <v>10099.841180859978</v>
      </c>
      <c r="P104" s="595">
        <v>9245.2319533304653</v>
      </c>
      <c r="Q104" s="595">
        <v>20927.924220427594</v>
      </c>
      <c r="R104" s="595">
        <v>21427.239250886589</v>
      </c>
      <c r="S104" s="595">
        <v>21397.326076399739</v>
      </c>
      <c r="T104" s="595">
        <v>43542.096627578037</v>
      </c>
      <c r="U104" s="595">
        <v>44881.791533366442</v>
      </c>
      <c r="V104" s="595">
        <v>45273.150798010189</v>
      </c>
      <c r="W104" s="595">
        <v>74469.825143663984</v>
      </c>
      <c r="X104" s="595">
        <v>75928.422243819616</v>
      </c>
      <c r="Y104" s="595">
        <v>76495.756498627874</v>
      </c>
      <c r="Z104" s="704"/>
      <c r="AA104" s="597">
        <f>+AA102-AA59</f>
        <v>26524.283721366108</v>
      </c>
      <c r="AB104" s="598">
        <f t="shared" ref="AB104:AL104" si="106">+AB102-AB59</f>
        <v>27528.593193614255</v>
      </c>
      <c r="AC104" s="598">
        <f t="shared" si="106"/>
        <v>27506.41743090584</v>
      </c>
      <c r="AD104" s="598">
        <f t="shared" si="106"/>
        <v>27379.488386045708</v>
      </c>
      <c r="AE104" s="598">
        <f t="shared" si="106"/>
        <v>26609.108402127433</v>
      </c>
      <c r="AF104" s="598">
        <f t="shared" si="106"/>
        <v>26476.215246230731</v>
      </c>
      <c r="AG104" s="598">
        <f t="shared" si="106"/>
        <v>29686.966910077808</v>
      </c>
      <c r="AH104" s="598">
        <f t="shared" si="106"/>
        <v>29773.370502980008</v>
      </c>
      <c r="AI104" s="598">
        <f t="shared" si="106"/>
        <v>29602.00651907393</v>
      </c>
      <c r="AJ104" s="598">
        <f t="shared" si="106"/>
        <v>32195.06928678427</v>
      </c>
      <c r="AK104" s="598">
        <f t="shared" si="106"/>
        <v>32503.0662872047</v>
      </c>
      <c r="AL104" s="599">
        <f t="shared" si="106"/>
        <v>32696.574208347931</v>
      </c>
    </row>
    <row r="105" spans="1:38">
      <c r="A105" s="295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193"/>
      <c r="N105" s="28"/>
      <c r="O105" s="28"/>
      <c r="P105" s="28"/>
      <c r="Q105" s="298"/>
      <c r="R105" s="298"/>
      <c r="S105" s="298"/>
      <c r="T105" s="28"/>
      <c r="U105" s="28"/>
      <c r="V105" s="28"/>
      <c r="W105" s="28"/>
      <c r="X105" s="28"/>
      <c r="Y105" s="28"/>
      <c r="Z105" s="706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31"/>
    </row>
    <row r="106" spans="1:38">
      <c r="A106" s="295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193"/>
      <c r="N106" s="28"/>
      <c r="O106" s="28"/>
      <c r="P106" s="28"/>
      <c r="Q106" s="298"/>
      <c r="R106" s="298"/>
      <c r="S106" s="298"/>
      <c r="T106" s="28"/>
      <c r="U106" s="28"/>
      <c r="V106" s="28"/>
      <c r="W106" s="28"/>
      <c r="X106" s="28"/>
      <c r="Y106" s="28"/>
      <c r="Z106" s="706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31"/>
    </row>
    <row r="107" spans="1:38" s="93" customFormat="1" ht="16" customHeight="1">
      <c r="A107" s="782" t="s">
        <v>63</v>
      </c>
      <c r="M107" s="94"/>
      <c r="Z107" s="690"/>
      <c r="AL107" s="94"/>
    </row>
    <row r="108" spans="1:38" s="93" customFormat="1" ht="16" customHeight="1">
      <c r="A108" s="782"/>
      <c r="M108" s="94"/>
      <c r="Z108" s="690"/>
      <c r="AL108" s="94"/>
    </row>
    <row r="110" spans="1:38">
      <c r="A110" s="95" t="s">
        <v>33</v>
      </c>
      <c r="B110" s="96" t="e">
        <f>+B8+B59+#REF!</f>
        <v>#REF!</v>
      </c>
      <c r="C110" s="96" t="e">
        <f>+C8+C59+#REF!</f>
        <v>#REF!</v>
      </c>
      <c r="D110" s="96" t="e">
        <f>+D8+D59+#REF!</f>
        <v>#REF!</v>
      </c>
      <c r="E110" s="96" t="e">
        <f>+E8+E59+#REF!</f>
        <v>#REF!</v>
      </c>
      <c r="F110" s="96" t="e">
        <f>+F8+F59+#REF!</f>
        <v>#REF!</v>
      </c>
      <c r="G110" s="96" t="e">
        <f>+G8+G59+#REF!</f>
        <v>#REF!</v>
      </c>
      <c r="H110" s="96" t="e">
        <f>+H8+H59+#REF!</f>
        <v>#REF!</v>
      </c>
      <c r="I110" s="96" t="e">
        <f>+I8+I59+#REF!</f>
        <v>#REF!</v>
      </c>
      <c r="J110" s="96" t="e">
        <f>+J8+J59+#REF!</f>
        <v>#REF!</v>
      </c>
      <c r="K110" s="96" t="e">
        <f>+K8+K59+#REF!</f>
        <v>#REF!</v>
      </c>
      <c r="L110" s="96" t="e">
        <f>+L8+L59+#REF!</f>
        <v>#REF!</v>
      </c>
      <c r="M110" s="97" t="e">
        <f>+M8+M59+#REF!</f>
        <v>#REF!</v>
      </c>
      <c r="N110" s="96">
        <v>184000</v>
      </c>
      <c r="O110" s="96">
        <v>184000</v>
      </c>
      <c r="P110" s="96">
        <v>184000</v>
      </c>
      <c r="Q110" s="96">
        <v>215400</v>
      </c>
      <c r="R110" s="96">
        <v>215400</v>
      </c>
      <c r="S110" s="96">
        <v>215400</v>
      </c>
      <c r="T110" s="96">
        <v>256300</v>
      </c>
      <c r="U110" s="96">
        <v>256300</v>
      </c>
      <c r="V110" s="96">
        <v>256300</v>
      </c>
      <c r="W110" s="96">
        <v>257500</v>
      </c>
      <c r="X110" s="96">
        <v>257500</v>
      </c>
      <c r="Y110" s="96">
        <v>257500</v>
      </c>
      <c r="Z110" s="707"/>
      <c r="AA110" s="96">
        <f t="shared" ref="AA110:AL110" si="107">+AA8+AA59</f>
        <v>180000</v>
      </c>
      <c r="AB110" s="96">
        <f t="shared" si="107"/>
        <v>180000</v>
      </c>
      <c r="AC110" s="96">
        <f t="shared" si="107"/>
        <v>180000</v>
      </c>
      <c r="AD110" s="96">
        <f t="shared" si="107"/>
        <v>205712</v>
      </c>
      <c r="AE110" s="96">
        <f t="shared" si="107"/>
        <v>205712</v>
      </c>
      <c r="AF110" s="96">
        <f t="shared" si="107"/>
        <v>205712</v>
      </c>
      <c r="AG110" s="96">
        <f t="shared" si="107"/>
        <v>223600</v>
      </c>
      <c r="AH110" s="96">
        <f t="shared" si="107"/>
        <v>223600</v>
      </c>
      <c r="AI110" s="96">
        <f t="shared" si="107"/>
        <v>223600</v>
      </c>
      <c r="AJ110" s="96">
        <f t="shared" si="107"/>
        <v>241488</v>
      </c>
      <c r="AK110" s="96">
        <f t="shared" si="107"/>
        <v>241488</v>
      </c>
      <c r="AL110" s="97">
        <f t="shared" si="107"/>
        <v>241488</v>
      </c>
    </row>
    <row r="111" spans="1:38">
      <c r="A111" s="95" t="s">
        <v>35</v>
      </c>
      <c r="B111" s="98" t="e">
        <f t="shared" ref="B111:M111" si="108">+B110/B112</f>
        <v>#REF!</v>
      </c>
      <c r="C111" s="98" t="e">
        <f t="shared" si="108"/>
        <v>#REF!</v>
      </c>
      <c r="D111" s="98" t="e">
        <f t="shared" si="108"/>
        <v>#REF!</v>
      </c>
      <c r="E111" s="98" t="e">
        <f t="shared" si="108"/>
        <v>#REF!</v>
      </c>
      <c r="F111" s="98" t="e">
        <f t="shared" si="108"/>
        <v>#REF!</v>
      </c>
      <c r="G111" s="98" t="e">
        <f t="shared" si="108"/>
        <v>#REF!</v>
      </c>
      <c r="H111" s="98" t="e">
        <f t="shared" si="108"/>
        <v>#REF!</v>
      </c>
      <c r="I111" s="98" t="e">
        <f t="shared" si="108"/>
        <v>#REF!</v>
      </c>
      <c r="J111" s="98" t="e">
        <f t="shared" si="108"/>
        <v>#REF!</v>
      </c>
      <c r="K111" s="98" t="e">
        <f t="shared" si="108"/>
        <v>#REF!</v>
      </c>
      <c r="L111" s="98" t="e">
        <f t="shared" si="108"/>
        <v>#REF!</v>
      </c>
      <c r="M111" s="99" t="e">
        <f t="shared" si="108"/>
        <v>#REF!</v>
      </c>
      <c r="N111" s="98">
        <v>1.4644856735097156</v>
      </c>
      <c r="O111" s="98">
        <v>1.4644856735097156</v>
      </c>
      <c r="P111" s="98">
        <v>1.4644856735097156</v>
      </c>
      <c r="Q111" s="98">
        <v>1.4174952439068165</v>
      </c>
      <c r="R111" s="98">
        <v>1.4174952439068165</v>
      </c>
      <c r="S111" s="98">
        <v>1.4174952439068165</v>
      </c>
      <c r="T111" s="98">
        <v>1.3046263481910469</v>
      </c>
      <c r="U111" s="98">
        <v>1.3046263481910469</v>
      </c>
      <c r="V111" s="98">
        <v>1.3046263481910469</v>
      </c>
      <c r="W111" s="98">
        <v>1.1596724667349028</v>
      </c>
      <c r="X111" s="98">
        <v>1.1596724667349028</v>
      </c>
      <c r="Y111" s="98">
        <v>1.1596724667349028</v>
      </c>
      <c r="Z111" s="708"/>
      <c r="AA111" s="98">
        <f t="shared" ref="AA111:AL111" si="109">+AA110/AA112</f>
        <v>1.5075376884422111</v>
      </c>
      <c r="AB111" s="98">
        <f t="shared" si="109"/>
        <v>1.5075376884422111</v>
      </c>
      <c r="AC111" s="98">
        <f t="shared" si="109"/>
        <v>1.5075376884422111</v>
      </c>
      <c r="AD111" s="98">
        <f t="shared" si="109"/>
        <v>1.5219512195121949</v>
      </c>
      <c r="AE111" s="98">
        <f t="shared" si="109"/>
        <v>1.5219512195121949</v>
      </c>
      <c r="AF111" s="98">
        <f t="shared" si="109"/>
        <v>1.5219512195121949</v>
      </c>
      <c r="AG111" s="98">
        <f t="shared" si="109"/>
        <v>1.5219512195121949</v>
      </c>
      <c r="AH111" s="98">
        <f t="shared" si="109"/>
        <v>1.5219512195121949</v>
      </c>
      <c r="AI111" s="98">
        <f t="shared" si="109"/>
        <v>1.5219512195121949</v>
      </c>
      <c r="AJ111" s="98">
        <f t="shared" si="109"/>
        <v>1.5219512195121951</v>
      </c>
      <c r="AK111" s="98">
        <f t="shared" si="109"/>
        <v>1.5219512195121951</v>
      </c>
      <c r="AL111" s="99">
        <f t="shared" si="109"/>
        <v>1.5219512195121951</v>
      </c>
    </row>
    <row r="112" spans="1:38">
      <c r="A112" s="95" t="s">
        <v>64</v>
      </c>
      <c r="B112" s="100" t="e">
        <f>+B24+B75+#REF!</f>
        <v>#REF!</v>
      </c>
      <c r="C112" s="100" t="e">
        <f>+C24+C75+#REF!</f>
        <v>#REF!</v>
      </c>
      <c r="D112" s="100" t="e">
        <f>+D24+D75+#REF!</f>
        <v>#REF!</v>
      </c>
      <c r="E112" s="100" t="e">
        <f>+E24+E75+#REF!</f>
        <v>#REF!</v>
      </c>
      <c r="F112" s="100" t="e">
        <f>+F24+F75+#REF!</f>
        <v>#REF!</v>
      </c>
      <c r="G112" s="100" t="e">
        <f>+G24+G75+#REF!</f>
        <v>#REF!</v>
      </c>
      <c r="H112" s="100" t="e">
        <f>+H24+H75+#REF!</f>
        <v>#REF!</v>
      </c>
      <c r="I112" s="100" t="e">
        <f>+I24+I75+#REF!</f>
        <v>#REF!</v>
      </c>
      <c r="J112" s="100" t="e">
        <f>+J24+J75+#REF!</f>
        <v>#REF!</v>
      </c>
      <c r="K112" s="100" t="e">
        <f>+K24+K75+#REF!</f>
        <v>#REF!</v>
      </c>
      <c r="L112" s="100" t="e">
        <f>+L24+L75+#REF!</f>
        <v>#REF!</v>
      </c>
      <c r="M112" s="101" t="e">
        <f>+M24+M75+#REF!</f>
        <v>#REF!</v>
      </c>
      <c r="N112" s="100">
        <v>125641.37931034484</v>
      </c>
      <c r="O112" s="100">
        <v>125641.37931034484</v>
      </c>
      <c r="P112" s="100">
        <v>125641.37931034484</v>
      </c>
      <c r="Q112" s="100">
        <v>151958.18181818182</v>
      </c>
      <c r="R112" s="100">
        <v>151958.18181818182</v>
      </c>
      <c r="S112" s="100">
        <v>151958.18181818182</v>
      </c>
      <c r="T112" s="100">
        <v>196454.71698113208</v>
      </c>
      <c r="U112" s="100">
        <v>196454.71698113208</v>
      </c>
      <c r="V112" s="100">
        <v>196454.71698113208</v>
      </c>
      <c r="W112" s="100">
        <v>222045.45454545456</v>
      </c>
      <c r="X112" s="100">
        <v>222045.45454545456</v>
      </c>
      <c r="Y112" s="100">
        <v>222045.45454545456</v>
      </c>
      <c r="Z112" s="709"/>
      <c r="AA112" s="100">
        <f t="shared" ref="AA112:AL112" si="110">+AA24+AA75</f>
        <v>119400</v>
      </c>
      <c r="AB112" s="100">
        <f t="shared" si="110"/>
        <v>119400</v>
      </c>
      <c r="AC112" s="100">
        <f t="shared" si="110"/>
        <v>119400</v>
      </c>
      <c r="AD112" s="100">
        <f t="shared" si="110"/>
        <v>135163.33333333334</v>
      </c>
      <c r="AE112" s="100">
        <f t="shared" si="110"/>
        <v>135163.33333333334</v>
      </c>
      <c r="AF112" s="100">
        <f t="shared" si="110"/>
        <v>135163.33333333334</v>
      </c>
      <c r="AG112" s="100">
        <f t="shared" si="110"/>
        <v>146916.66666666669</v>
      </c>
      <c r="AH112" s="100">
        <f t="shared" si="110"/>
        <v>146916.66666666669</v>
      </c>
      <c r="AI112" s="100">
        <f t="shared" si="110"/>
        <v>146916.66666666669</v>
      </c>
      <c r="AJ112" s="100">
        <f t="shared" si="110"/>
        <v>158670</v>
      </c>
      <c r="AK112" s="100">
        <f t="shared" si="110"/>
        <v>158670</v>
      </c>
      <c r="AL112" s="101">
        <f t="shared" si="110"/>
        <v>158670</v>
      </c>
    </row>
    <row r="113" spans="1:38">
      <c r="A113" s="95" t="s">
        <v>65</v>
      </c>
      <c r="B113" s="339" t="e">
        <f>+B114/B112</f>
        <v>#REF!</v>
      </c>
      <c r="C113" s="339" t="e">
        <f t="shared" ref="C113:M113" si="111">+C114/C112</f>
        <v>#REF!</v>
      </c>
      <c r="D113" s="339" t="e">
        <f t="shared" si="111"/>
        <v>#REF!</v>
      </c>
      <c r="E113" s="339" t="e">
        <f t="shared" si="111"/>
        <v>#REF!</v>
      </c>
      <c r="F113" s="339" t="e">
        <f t="shared" si="111"/>
        <v>#REF!</v>
      </c>
      <c r="G113" s="339" t="e">
        <f t="shared" si="111"/>
        <v>#REF!</v>
      </c>
      <c r="H113" s="339" t="e">
        <f t="shared" si="111"/>
        <v>#REF!</v>
      </c>
      <c r="I113" s="339" t="e">
        <f t="shared" si="111"/>
        <v>#REF!</v>
      </c>
      <c r="J113" s="339" t="e">
        <f t="shared" si="111"/>
        <v>#REF!</v>
      </c>
      <c r="K113" s="339" t="e">
        <f t="shared" si="111"/>
        <v>#REF!</v>
      </c>
      <c r="L113" s="339" t="e">
        <f t="shared" si="111"/>
        <v>#REF!</v>
      </c>
      <c r="M113" s="340" t="e">
        <f t="shared" si="111"/>
        <v>#REF!</v>
      </c>
      <c r="N113" s="339">
        <v>4.6339883631573167E-2</v>
      </c>
      <c r="O113" s="339">
        <v>4.6339883631573167E-2</v>
      </c>
      <c r="P113" s="339">
        <v>4.6339883631573167E-2</v>
      </c>
      <c r="Q113" s="339">
        <v>4.9039807602570082E-2</v>
      </c>
      <c r="R113" s="339">
        <v>4.9039807602570082E-2</v>
      </c>
      <c r="S113" s="339">
        <v>4.9039807602570082E-2</v>
      </c>
      <c r="T113" s="339">
        <v>4.8983874530594218E-2</v>
      </c>
      <c r="U113" s="339">
        <v>4.8983874530594218E-2</v>
      </c>
      <c r="V113" s="339">
        <v>4.8983874530594218E-2</v>
      </c>
      <c r="W113" s="339">
        <v>4.7679972705561249E-2</v>
      </c>
      <c r="X113" s="339">
        <v>4.7679972705561249E-2</v>
      </c>
      <c r="Y113" s="396">
        <v>4.7679972705561249E-2</v>
      </c>
      <c r="Z113" s="710"/>
      <c r="AA113" s="339">
        <f>+AA114/AA112</f>
        <v>6.6356783919597997E-2</v>
      </c>
      <c r="AB113" s="339">
        <f t="shared" ref="AB113:AL113" si="112">+AB114/AB112</f>
        <v>6.6356783919597997E-2</v>
      </c>
      <c r="AC113" s="339">
        <f t="shared" si="112"/>
        <v>6.6356783919597997E-2</v>
      </c>
      <c r="AD113" s="339">
        <f t="shared" si="112"/>
        <v>6.6902439024390248E-2</v>
      </c>
      <c r="AE113" s="339">
        <f t="shared" si="112"/>
        <v>6.6902439024390248E-2</v>
      </c>
      <c r="AF113" s="339">
        <f t="shared" si="112"/>
        <v>6.6902439024390248E-2</v>
      </c>
      <c r="AG113" s="339">
        <f t="shared" si="112"/>
        <v>6.7902439024390235E-2</v>
      </c>
      <c r="AH113" s="339">
        <f t="shared" si="112"/>
        <v>6.7902439024390235E-2</v>
      </c>
      <c r="AI113" s="339">
        <f t="shared" si="112"/>
        <v>6.7902439024390235E-2</v>
      </c>
      <c r="AJ113" s="339">
        <f t="shared" si="112"/>
        <v>6.7902439024390249E-2</v>
      </c>
      <c r="AK113" s="339">
        <f t="shared" si="112"/>
        <v>6.7902439024390249E-2</v>
      </c>
      <c r="AL113" s="340">
        <f t="shared" si="112"/>
        <v>6.7902439024390249E-2</v>
      </c>
    </row>
    <row r="114" spans="1:38">
      <c r="A114" s="95" t="s">
        <v>45</v>
      </c>
      <c r="B114" s="100" t="e">
        <f>+B26+B77+#REF!</f>
        <v>#REF!</v>
      </c>
      <c r="C114" s="100" t="e">
        <f>+C26+C77+#REF!</f>
        <v>#REF!</v>
      </c>
      <c r="D114" s="100" t="e">
        <f>+D26+D77+#REF!</f>
        <v>#REF!</v>
      </c>
      <c r="E114" s="100" t="e">
        <f>+E26+E77+#REF!</f>
        <v>#REF!</v>
      </c>
      <c r="F114" s="100" t="e">
        <f>+F26+F77+#REF!</f>
        <v>#REF!</v>
      </c>
      <c r="G114" s="100" t="e">
        <f>+G26+G77+#REF!</f>
        <v>#REF!</v>
      </c>
      <c r="H114" s="100" t="e">
        <f>+H26+H77+#REF!</f>
        <v>#REF!</v>
      </c>
      <c r="I114" s="100" t="e">
        <f>+I26+I77+#REF!</f>
        <v>#REF!</v>
      </c>
      <c r="J114" s="100" t="e">
        <f>+J26+J77+#REF!</f>
        <v>#REF!</v>
      </c>
      <c r="K114" s="100" t="e">
        <f>+K26+K77+#REF!</f>
        <v>#REF!</v>
      </c>
      <c r="L114" s="100" t="e">
        <f>+L26+L77+#REF!</f>
        <v>#REF!</v>
      </c>
      <c r="M114" s="101" t="e">
        <f>+M26+M77+#REF!</f>
        <v>#REF!</v>
      </c>
      <c r="N114" s="100">
        <v>5822.2068965517246</v>
      </c>
      <c r="O114" s="100">
        <v>5822.2068965517246</v>
      </c>
      <c r="P114" s="100">
        <v>5822.2068965517246</v>
      </c>
      <c r="Q114" s="100">
        <v>7452</v>
      </c>
      <c r="R114" s="100">
        <v>7452</v>
      </c>
      <c r="S114" s="100">
        <v>7452</v>
      </c>
      <c r="T114" s="100">
        <v>9623.1132075471705</v>
      </c>
      <c r="U114" s="100">
        <v>9623.1132075471705</v>
      </c>
      <c r="V114" s="100">
        <v>9623.1132075471705</v>
      </c>
      <c r="W114" s="100">
        <v>10587.121212121214</v>
      </c>
      <c r="X114" s="100">
        <v>10587.121212121214</v>
      </c>
      <c r="Y114" s="100">
        <v>10587.121212121214</v>
      </c>
      <c r="Z114" s="709"/>
      <c r="AA114" s="100">
        <f t="shared" ref="AA114:AL114" si="113">+AA26+AA77</f>
        <v>7923.0000000000009</v>
      </c>
      <c r="AB114" s="100">
        <f t="shared" si="113"/>
        <v>7923.0000000000009</v>
      </c>
      <c r="AC114" s="100">
        <f t="shared" si="113"/>
        <v>7923.0000000000009</v>
      </c>
      <c r="AD114" s="100">
        <f t="shared" si="113"/>
        <v>9042.756666666668</v>
      </c>
      <c r="AE114" s="100">
        <f t="shared" si="113"/>
        <v>9042.756666666668</v>
      </c>
      <c r="AF114" s="100">
        <f t="shared" si="113"/>
        <v>9042.756666666668</v>
      </c>
      <c r="AG114" s="100">
        <f t="shared" si="113"/>
        <v>9976</v>
      </c>
      <c r="AH114" s="100">
        <f t="shared" si="113"/>
        <v>9976</v>
      </c>
      <c r="AI114" s="100">
        <f t="shared" si="113"/>
        <v>9976</v>
      </c>
      <c r="AJ114" s="100">
        <f t="shared" si="113"/>
        <v>10774.08</v>
      </c>
      <c r="AK114" s="100">
        <f t="shared" si="113"/>
        <v>10774.08</v>
      </c>
      <c r="AL114" s="101">
        <f t="shared" si="113"/>
        <v>10774.08</v>
      </c>
    </row>
    <row r="115" spans="1:38">
      <c r="A115" s="95" t="s">
        <v>66</v>
      </c>
      <c r="B115" s="341" t="e">
        <f t="shared" ref="B115:M115" si="114">B110/B114</f>
        <v>#REF!</v>
      </c>
      <c r="C115" s="341" t="e">
        <f t="shared" si="114"/>
        <v>#REF!</v>
      </c>
      <c r="D115" s="341" t="e">
        <f t="shared" si="114"/>
        <v>#REF!</v>
      </c>
      <c r="E115" s="341" t="e">
        <f t="shared" si="114"/>
        <v>#REF!</v>
      </c>
      <c r="F115" s="341" t="e">
        <f t="shared" si="114"/>
        <v>#REF!</v>
      </c>
      <c r="G115" s="341" t="e">
        <f t="shared" si="114"/>
        <v>#REF!</v>
      </c>
      <c r="H115" s="341" t="e">
        <f t="shared" si="114"/>
        <v>#REF!</v>
      </c>
      <c r="I115" s="341" t="e">
        <f t="shared" si="114"/>
        <v>#REF!</v>
      </c>
      <c r="J115" s="341" t="e">
        <f t="shared" si="114"/>
        <v>#REF!</v>
      </c>
      <c r="K115" s="341" t="e">
        <f t="shared" si="114"/>
        <v>#REF!</v>
      </c>
      <c r="L115" s="341" t="e">
        <f t="shared" si="114"/>
        <v>#REF!</v>
      </c>
      <c r="M115" s="342" t="e">
        <f t="shared" si="114"/>
        <v>#REF!</v>
      </c>
      <c r="N115" s="341">
        <v>31.603136623155098</v>
      </c>
      <c r="O115" s="341">
        <v>31.603136623155098</v>
      </c>
      <c r="P115" s="341">
        <v>31.603136623155098</v>
      </c>
      <c r="Q115" s="341">
        <v>28.904991948470208</v>
      </c>
      <c r="R115" s="341">
        <v>28.904991948470208</v>
      </c>
      <c r="S115" s="341">
        <v>28.904991948470208</v>
      </c>
      <c r="T115" s="341">
        <v>26.633792461153863</v>
      </c>
      <c r="U115" s="341">
        <v>26.633792461153863</v>
      </c>
      <c r="V115" s="341">
        <v>26.633792461153863</v>
      </c>
      <c r="W115" s="341">
        <v>24.322003577817526</v>
      </c>
      <c r="X115" s="341">
        <v>24.322003577817526</v>
      </c>
      <c r="Y115" s="397">
        <v>24.322003577817526</v>
      </c>
      <c r="Z115" s="711"/>
      <c r="AA115" s="341">
        <f>AA110/AA114</f>
        <v>22.718667171525933</v>
      </c>
      <c r="AB115" s="341">
        <f t="shared" ref="AB115:AL115" si="115">AB110/AB114</f>
        <v>22.718667171525933</v>
      </c>
      <c r="AC115" s="341">
        <f t="shared" si="115"/>
        <v>22.718667171525933</v>
      </c>
      <c r="AD115" s="341">
        <f t="shared" si="115"/>
        <v>22.748815165876774</v>
      </c>
      <c r="AE115" s="341">
        <f t="shared" si="115"/>
        <v>22.748815165876774</v>
      </c>
      <c r="AF115" s="341">
        <f t="shared" si="115"/>
        <v>22.748815165876774</v>
      </c>
      <c r="AG115" s="341">
        <f t="shared" si="115"/>
        <v>22.413793103448278</v>
      </c>
      <c r="AH115" s="341">
        <f t="shared" si="115"/>
        <v>22.413793103448278</v>
      </c>
      <c r="AI115" s="341">
        <f t="shared" si="115"/>
        <v>22.413793103448278</v>
      </c>
      <c r="AJ115" s="341">
        <f t="shared" si="115"/>
        <v>22.413793103448278</v>
      </c>
      <c r="AK115" s="341">
        <f t="shared" si="115"/>
        <v>22.413793103448278</v>
      </c>
      <c r="AL115" s="342">
        <f t="shared" si="115"/>
        <v>22.413793103448278</v>
      </c>
    </row>
    <row r="116" spans="1:38">
      <c r="A116" s="95" t="s">
        <v>67</v>
      </c>
      <c r="B116" s="102" t="e">
        <f>+B85+B34+#REF!</f>
        <v>#REF!</v>
      </c>
      <c r="C116" s="102" t="e">
        <f>+C85+C34+#REF!</f>
        <v>#REF!</v>
      </c>
      <c r="D116" s="102" t="e">
        <f>+D85+D34+#REF!</f>
        <v>#REF!</v>
      </c>
      <c r="E116" s="102" t="e">
        <f>+E85+E34+#REF!</f>
        <v>#REF!</v>
      </c>
      <c r="F116" s="102" t="e">
        <f>+F85+F34+#REF!</f>
        <v>#REF!</v>
      </c>
      <c r="G116" s="102" t="e">
        <f>+G85+G34+#REF!</f>
        <v>#REF!</v>
      </c>
      <c r="H116" s="102" t="e">
        <f>+H85+H34+#REF!</f>
        <v>#REF!</v>
      </c>
      <c r="I116" s="102" t="e">
        <f>+I85+I34+#REF!</f>
        <v>#REF!</v>
      </c>
      <c r="J116" s="102" t="e">
        <f>+J85+J34+#REF!</f>
        <v>#REF!</v>
      </c>
      <c r="K116" s="102" t="e">
        <f>+K85+K34+#REF!</f>
        <v>#REF!</v>
      </c>
      <c r="L116" s="102" t="e">
        <f>+L85+L34+#REF!</f>
        <v>#REF!</v>
      </c>
      <c r="M116" s="103" t="e">
        <f>+M85+M34+#REF!</f>
        <v>#REF!</v>
      </c>
      <c r="N116" s="102">
        <v>334248.27586206899</v>
      </c>
      <c r="O116" s="102">
        <v>334248.27586206899</v>
      </c>
      <c r="P116" s="102">
        <v>334248.27586206899</v>
      </c>
      <c r="Q116" s="102">
        <v>431460</v>
      </c>
      <c r="R116" s="102">
        <v>431460</v>
      </c>
      <c r="S116" s="102">
        <v>431460</v>
      </c>
      <c r="T116" s="102">
        <v>556484.4339622641</v>
      </c>
      <c r="U116" s="102">
        <v>556484.4339622641</v>
      </c>
      <c r="V116" s="102">
        <v>556484.4339622641</v>
      </c>
      <c r="W116" s="102">
        <v>609602.27272727271</v>
      </c>
      <c r="X116" s="102">
        <v>609602.27272727271</v>
      </c>
      <c r="Y116" s="102">
        <v>609602.27272727271</v>
      </c>
      <c r="Z116" s="707"/>
      <c r="AA116" s="102">
        <f t="shared" ref="AA116:AL116" si="116">+AA85+AA34</f>
        <v>404994.00000000006</v>
      </c>
      <c r="AB116" s="102">
        <f t="shared" si="116"/>
        <v>404994.00000000006</v>
      </c>
      <c r="AC116" s="102">
        <f t="shared" si="116"/>
        <v>404994.00000000006</v>
      </c>
      <c r="AD116" s="102">
        <f t="shared" si="116"/>
        <v>464678.35333333339</v>
      </c>
      <c r="AE116" s="102">
        <f t="shared" si="116"/>
        <v>464678.35333333339</v>
      </c>
      <c r="AF116" s="102">
        <f t="shared" si="116"/>
        <v>464678.35333333339</v>
      </c>
      <c r="AG116" s="102">
        <f t="shared" si="116"/>
        <v>522192</v>
      </c>
      <c r="AH116" s="102">
        <f t="shared" si="116"/>
        <v>522192</v>
      </c>
      <c r="AI116" s="102">
        <f t="shared" si="116"/>
        <v>522192</v>
      </c>
      <c r="AJ116" s="102">
        <f t="shared" si="116"/>
        <v>565755.29999999993</v>
      </c>
      <c r="AK116" s="102">
        <f t="shared" si="116"/>
        <v>565755.29999999993</v>
      </c>
      <c r="AL116" s="103">
        <f t="shared" si="116"/>
        <v>565755.29999999993</v>
      </c>
    </row>
    <row r="117" spans="1:38">
      <c r="A117" s="95" t="s">
        <v>68</v>
      </c>
      <c r="B117" s="104" t="e">
        <f>+B93+B42+#REF!</f>
        <v>#REF!</v>
      </c>
      <c r="C117" s="104" t="e">
        <f>+C93+C42+#REF!</f>
        <v>#REF!</v>
      </c>
      <c r="D117" s="104" t="e">
        <f>+D93+D42+#REF!</f>
        <v>#REF!</v>
      </c>
      <c r="E117" s="104" t="e">
        <f>+E93+E42+#REF!</f>
        <v>#REF!</v>
      </c>
      <c r="F117" s="104" t="e">
        <f>+F93+F42+#REF!</f>
        <v>#REF!</v>
      </c>
      <c r="G117" s="104" t="e">
        <f>+G93+G42+#REF!</f>
        <v>#REF!</v>
      </c>
      <c r="H117" s="104" t="e">
        <f>+H93+H42+#REF!</f>
        <v>#REF!</v>
      </c>
      <c r="I117" s="104" t="e">
        <f>+I93+I42+#REF!</f>
        <v>#REF!</v>
      </c>
      <c r="J117" s="104" t="e">
        <f>+J93+J42+#REF!</f>
        <v>#REF!</v>
      </c>
      <c r="K117" s="104" t="e">
        <f>+K93+K42+#REF!</f>
        <v>#REF!</v>
      </c>
      <c r="L117" s="104" t="e">
        <f>+L93+L42+#REF!</f>
        <v>#REF!</v>
      </c>
      <c r="M117" s="105" t="e">
        <f>+M93+M42+#REF!</f>
        <v>#REF!</v>
      </c>
      <c r="N117" s="104">
        <v>2282.1692041879646</v>
      </c>
      <c r="O117" s="104">
        <v>1802.3220545203544</v>
      </c>
      <c r="P117" s="104">
        <v>1611.4136172852266</v>
      </c>
      <c r="Q117" s="104">
        <v>1510.6114240137329</v>
      </c>
      <c r="R117" s="104">
        <v>1601.2853122908332</v>
      </c>
      <c r="S117" s="104">
        <v>1645.9853341696373</v>
      </c>
      <c r="T117" s="104">
        <v>1718.7538955176701</v>
      </c>
      <c r="U117" s="104">
        <v>1928.2568724570297</v>
      </c>
      <c r="V117" s="104">
        <v>1923.4377481025638</v>
      </c>
      <c r="W117" s="104">
        <v>1963.4381241862529</v>
      </c>
      <c r="X117" s="104">
        <v>2095.1277906526243</v>
      </c>
      <c r="Y117" s="104">
        <v>2135.3830158184614</v>
      </c>
      <c r="Z117" s="709"/>
      <c r="AA117" s="104">
        <f t="shared" ref="AA117:AL117" si="117">+AA93+AA42</f>
        <v>3051.4159265377016</v>
      </c>
      <c r="AB117" s="104">
        <f t="shared" si="117"/>
        <v>3169.5128336886992</v>
      </c>
      <c r="AC117" s="104">
        <f t="shared" si="117"/>
        <v>3071.469607788049</v>
      </c>
      <c r="AD117" s="104">
        <f t="shared" si="117"/>
        <v>2967.8315641526892</v>
      </c>
      <c r="AE117" s="104">
        <f t="shared" si="117"/>
        <v>2950.4639648486573</v>
      </c>
      <c r="AF117" s="104">
        <f t="shared" si="117"/>
        <v>2956.0481081218659</v>
      </c>
      <c r="AG117" s="104">
        <f t="shared" si="117"/>
        <v>2984.8379003701348</v>
      </c>
      <c r="AH117" s="104">
        <f t="shared" si="117"/>
        <v>3103.7337042376516</v>
      </c>
      <c r="AI117" s="104">
        <f t="shared" si="117"/>
        <v>3208.4853318781807</v>
      </c>
      <c r="AJ117" s="104">
        <f t="shared" si="117"/>
        <v>3262.3041590229514</v>
      </c>
      <c r="AK117" s="104">
        <f t="shared" si="117"/>
        <v>3366.4101329458135</v>
      </c>
      <c r="AL117" s="105">
        <f t="shared" si="117"/>
        <v>3442.4460089004774</v>
      </c>
    </row>
    <row r="118" spans="1:38">
      <c r="A118" s="95" t="s">
        <v>69</v>
      </c>
      <c r="B118" s="102" t="e">
        <f>+B97+B46+#REF!</f>
        <v>#REF!</v>
      </c>
      <c r="C118" s="102" t="e">
        <f>+C97+C46+#REF!</f>
        <v>#REF!</v>
      </c>
      <c r="D118" s="102" t="e">
        <f>+D97+D46+#REF!</f>
        <v>#REF!</v>
      </c>
      <c r="E118" s="102" t="e">
        <f>+E97+E46+#REF!</f>
        <v>#REF!</v>
      </c>
      <c r="F118" s="102" t="e">
        <f>+F97+F46+#REF!</f>
        <v>#REF!</v>
      </c>
      <c r="G118" s="102" t="e">
        <f>+G97+G46+#REF!</f>
        <v>#REF!</v>
      </c>
      <c r="H118" s="102" t="e">
        <f>+H97+H46+#REF!</f>
        <v>#REF!</v>
      </c>
      <c r="I118" s="102" t="e">
        <f>+I97+I46+#REF!</f>
        <v>#REF!</v>
      </c>
      <c r="J118" s="102" t="e">
        <f>+J97+J46+#REF!</f>
        <v>#REF!</v>
      </c>
      <c r="K118" s="102" t="e">
        <f>+K97+K46+#REF!</f>
        <v>#REF!</v>
      </c>
      <c r="L118" s="102" t="e">
        <f>+L97+L46+#REF!</f>
        <v>#REF!</v>
      </c>
      <c r="M118" s="103" t="e">
        <f>+M97+M46+#REF!</f>
        <v>#REF!</v>
      </c>
      <c r="N118" s="102">
        <v>48640.336854372377</v>
      </c>
      <c r="O118" s="102">
        <v>38689.524877410877</v>
      </c>
      <c r="P118" s="102">
        <v>34717.249498735786</v>
      </c>
      <c r="Q118" s="102">
        <v>32584.031116115842</v>
      </c>
      <c r="R118" s="102">
        <v>34455.330136539073</v>
      </c>
      <c r="S118" s="102">
        <v>35521.989625172246</v>
      </c>
      <c r="T118" s="102">
        <v>37061.115723117953</v>
      </c>
      <c r="U118" s="102">
        <v>41360.730777701778</v>
      </c>
      <c r="V118" s="102">
        <v>41062.756482682009</v>
      </c>
      <c r="W118" s="102">
        <v>41922.488169243014</v>
      </c>
      <c r="X118" s="102">
        <v>44396.312748064869</v>
      </c>
      <c r="Y118" s="102">
        <v>45099.638683651538</v>
      </c>
      <c r="Z118" s="707"/>
      <c r="AA118" s="102">
        <f t="shared" ref="AA118:AL118" si="118">+AA97+AA46</f>
        <v>86392.561301138441</v>
      </c>
      <c r="AB118" s="102">
        <f t="shared" si="118"/>
        <v>78614.858366271888</v>
      </c>
      <c r="AC118" s="102">
        <f t="shared" si="118"/>
        <v>77048.755437747823</v>
      </c>
      <c r="AD118" s="102">
        <f t="shared" si="118"/>
        <v>69697.316782518945</v>
      </c>
      <c r="AE118" s="102">
        <f t="shared" si="118"/>
        <v>66444.314840499137</v>
      </c>
      <c r="AF118" s="102">
        <f t="shared" si="118"/>
        <v>75621.940089970856</v>
      </c>
      <c r="AG118" s="102">
        <f t="shared" si="118"/>
        <v>83976.812631935783</v>
      </c>
      <c r="AH118" s="102">
        <f t="shared" si="118"/>
        <v>100410.35076704803</v>
      </c>
      <c r="AI118" s="102">
        <f t="shared" si="118"/>
        <v>112363.89363241108</v>
      </c>
      <c r="AJ118" s="102">
        <f t="shared" si="118"/>
        <v>101010.12732514823</v>
      </c>
      <c r="AK118" s="102">
        <f t="shared" si="118"/>
        <v>106802.46788440195</v>
      </c>
      <c r="AL118" s="102">
        <f t="shared" si="118"/>
        <v>108781.30314437128</v>
      </c>
    </row>
    <row r="119" spans="1:38">
      <c r="A119" s="95" t="s">
        <v>70</v>
      </c>
      <c r="B119" s="102" t="e">
        <f>+B116+B118</f>
        <v>#REF!</v>
      </c>
      <c r="C119" s="102" t="e">
        <f t="shared" ref="C119:M119" si="119">+C116+C118</f>
        <v>#REF!</v>
      </c>
      <c r="D119" s="102" t="e">
        <f t="shared" si="119"/>
        <v>#REF!</v>
      </c>
      <c r="E119" s="102" t="e">
        <f t="shared" si="119"/>
        <v>#REF!</v>
      </c>
      <c r="F119" s="102" t="e">
        <f t="shared" si="119"/>
        <v>#REF!</v>
      </c>
      <c r="G119" s="102" t="e">
        <f t="shared" si="119"/>
        <v>#REF!</v>
      </c>
      <c r="H119" s="102" t="e">
        <f t="shared" si="119"/>
        <v>#REF!</v>
      </c>
      <c r="I119" s="102" t="e">
        <f t="shared" si="119"/>
        <v>#REF!</v>
      </c>
      <c r="J119" s="102" t="e">
        <f t="shared" si="119"/>
        <v>#REF!</v>
      </c>
      <c r="K119" s="102" t="e">
        <f t="shared" si="119"/>
        <v>#REF!</v>
      </c>
      <c r="L119" s="102" t="e">
        <f t="shared" si="119"/>
        <v>#REF!</v>
      </c>
      <c r="M119" s="103" t="e">
        <f t="shared" si="119"/>
        <v>#REF!</v>
      </c>
      <c r="N119" s="102">
        <v>382888.61271644139</v>
      </c>
      <c r="O119" s="102">
        <v>372937.80073947983</v>
      </c>
      <c r="P119" s="102">
        <v>368965.52536080475</v>
      </c>
      <c r="Q119" s="102">
        <v>464044.03111611586</v>
      </c>
      <c r="R119" s="102">
        <v>465915.33013653907</v>
      </c>
      <c r="S119" s="102">
        <v>466981.98962517222</v>
      </c>
      <c r="T119" s="102">
        <v>593545.54968538205</v>
      </c>
      <c r="U119" s="102">
        <v>597845.16473996593</v>
      </c>
      <c r="V119" s="102">
        <v>597547.19044494606</v>
      </c>
      <c r="W119" s="102">
        <v>651524.76089651568</v>
      </c>
      <c r="X119" s="102">
        <v>653998.58547533758</v>
      </c>
      <c r="Y119" s="102">
        <v>654701.91141092428</v>
      </c>
      <c r="Z119" s="707"/>
      <c r="AA119" s="102">
        <f>+AA116+AA118</f>
        <v>491386.56130113848</v>
      </c>
      <c r="AB119" s="102">
        <f t="shared" ref="AB119:AL119" si="120">+AB116+AB118</f>
        <v>483608.85836627195</v>
      </c>
      <c r="AC119" s="102">
        <f t="shared" si="120"/>
        <v>482042.75543774787</v>
      </c>
      <c r="AD119" s="102">
        <f t="shared" si="120"/>
        <v>534375.67011585238</v>
      </c>
      <c r="AE119" s="102">
        <f t="shared" si="120"/>
        <v>531122.66817383259</v>
      </c>
      <c r="AF119" s="102">
        <f t="shared" si="120"/>
        <v>540300.29342330422</v>
      </c>
      <c r="AG119" s="102">
        <f t="shared" si="120"/>
        <v>606168.81263193581</v>
      </c>
      <c r="AH119" s="102">
        <f t="shared" si="120"/>
        <v>622602.35076704808</v>
      </c>
      <c r="AI119" s="102">
        <f t="shared" si="120"/>
        <v>634555.89363241103</v>
      </c>
      <c r="AJ119" s="102">
        <f t="shared" si="120"/>
        <v>666765.42732514814</v>
      </c>
      <c r="AK119" s="102">
        <f t="shared" si="120"/>
        <v>672557.76788440184</v>
      </c>
      <c r="AL119" s="103">
        <f t="shared" si="120"/>
        <v>674536.60314437118</v>
      </c>
    </row>
    <row r="120" spans="1:38">
      <c r="A120" s="95" t="s">
        <v>71</v>
      </c>
      <c r="B120" s="106" t="e">
        <f>SUM(B37,B88,#REF!)/B114</f>
        <v>#REF!</v>
      </c>
      <c r="C120" s="106" t="e">
        <f>SUM(C37,C88,#REF!)/C114</f>
        <v>#REF!</v>
      </c>
      <c r="D120" s="106" t="e">
        <f>SUM(D37,D88,#REF!)/D114</f>
        <v>#REF!</v>
      </c>
      <c r="E120" s="106" t="e">
        <f>SUM(E37,E88,#REF!)/E114</f>
        <v>#REF!</v>
      </c>
      <c r="F120" s="106" t="e">
        <f>SUM(F37,F88,#REF!)/F114</f>
        <v>#REF!</v>
      </c>
      <c r="G120" s="106" t="e">
        <f>SUM(G37,G88,#REF!)/G114</f>
        <v>#REF!</v>
      </c>
      <c r="H120" s="106" t="e">
        <f>SUM(H37,H88,#REF!)/H114</f>
        <v>#REF!</v>
      </c>
      <c r="I120" s="106" t="e">
        <f>SUM(I37,I88,#REF!)/I114</f>
        <v>#REF!</v>
      </c>
      <c r="J120" s="106" t="e">
        <f>SUM(J37,J88,#REF!)/J114</f>
        <v>#REF!</v>
      </c>
      <c r="K120" s="106" t="e">
        <f>SUM(K37,K88,#REF!)/K114</f>
        <v>#REF!</v>
      </c>
      <c r="L120" s="106" t="e">
        <f>SUM(L37,L88,#REF!)/L114</f>
        <v>#REF!</v>
      </c>
      <c r="M120" s="107" t="e">
        <f>SUM(M37,M88,#REF!)/M114</f>
        <v>#REF!</v>
      </c>
      <c r="N120" s="343">
        <v>7.2042781107610185</v>
      </c>
      <c r="O120" s="343">
        <v>7.2042781107610185</v>
      </c>
      <c r="P120" s="343">
        <v>7.2042781107610185</v>
      </c>
      <c r="Q120" s="343">
        <v>7.2052536231884066</v>
      </c>
      <c r="R120" s="343">
        <v>7.2052536231884066</v>
      </c>
      <c r="S120" s="343">
        <v>7.2052536231884066</v>
      </c>
      <c r="T120" s="343">
        <v>7.2079385405944141</v>
      </c>
      <c r="U120" s="343">
        <v>7.2079385405944141</v>
      </c>
      <c r="V120" s="343">
        <v>7.2079385405944141</v>
      </c>
      <c r="W120" s="343">
        <v>7.2176282051282037</v>
      </c>
      <c r="X120" s="343">
        <v>7.2176282051282037</v>
      </c>
      <c r="Y120" s="343">
        <v>7.2176282051282037</v>
      </c>
      <c r="Z120" s="712"/>
      <c r="AA120" s="343">
        <f t="shared" ref="AA120:AL120" si="121">+((AA26*AA27*AA13)/12+(AA26*AA28*AA14)+(AA77*AA78*AA64)/12+(AA77*AA79*AA65))/AA114</f>
        <v>5.9554123753628678</v>
      </c>
      <c r="AB120" s="343">
        <f t="shared" si="121"/>
        <v>5.9554123753628678</v>
      </c>
      <c r="AC120" s="343">
        <f t="shared" si="121"/>
        <v>5.9554123753628678</v>
      </c>
      <c r="AD120" s="343">
        <f t="shared" si="121"/>
        <v>5.9591811580994047</v>
      </c>
      <c r="AE120" s="343">
        <f t="shared" si="121"/>
        <v>5.9591811580994047</v>
      </c>
      <c r="AF120" s="343">
        <f t="shared" si="121"/>
        <v>5.9591811580994047</v>
      </c>
      <c r="AG120" s="343">
        <f t="shared" si="121"/>
        <v>6.0468262392241385</v>
      </c>
      <c r="AH120" s="343">
        <f t="shared" si="121"/>
        <v>6.0468262392241385</v>
      </c>
      <c r="AI120" s="343">
        <f t="shared" si="121"/>
        <v>6.0468262392241385</v>
      </c>
      <c r="AJ120" s="343">
        <f t="shared" si="121"/>
        <v>6.0606552622126442</v>
      </c>
      <c r="AK120" s="343">
        <f t="shared" si="121"/>
        <v>6.0606552622126442</v>
      </c>
      <c r="AL120" s="401">
        <f t="shared" si="121"/>
        <v>6.0606552622126442</v>
      </c>
    </row>
    <row r="121" spans="1:38">
      <c r="A121" s="95" t="s">
        <v>72</v>
      </c>
      <c r="B121" s="344" t="e">
        <f>B161/B115</f>
        <v>#REF!</v>
      </c>
      <c r="C121" s="344" t="e">
        <f t="shared" ref="C121:M121" si="122">C161/C115</f>
        <v>#REF!</v>
      </c>
      <c r="D121" s="344" t="e">
        <f t="shared" si="122"/>
        <v>#REF!</v>
      </c>
      <c r="E121" s="344" t="e">
        <f t="shared" si="122"/>
        <v>#REF!</v>
      </c>
      <c r="F121" s="344" t="e">
        <f t="shared" si="122"/>
        <v>#REF!</v>
      </c>
      <c r="G121" s="344" t="e">
        <f t="shared" si="122"/>
        <v>#REF!</v>
      </c>
      <c r="H121" s="344" t="e">
        <f t="shared" si="122"/>
        <v>#REF!</v>
      </c>
      <c r="I121" s="344" t="e">
        <f t="shared" si="122"/>
        <v>#REF!</v>
      </c>
      <c r="J121" s="344" t="e">
        <f t="shared" si="122"/>
        <v>#REF!</v>
      </c>
      <c r="K121" s="344" t="e">
        <f t="shared" si="122"/>
        <v>#REF!</v>
      </c>
      <c r="L121" s="344" t="e">
        <f t="shared" si="122"/>
        <v>#REF!</v>
      </c>
      <c r="M121" s="345" t="e">
        <f t="shared" si="122"/>
        <v>#REF!</v>
      </c>
      <c r="N121" s="346">
        <v>3.2894205166795785</v>
      </c>
      <c r="O121" s="346">
        <v>3.3010237915502008</v>
      </c>
      <c r="P121" s="346">
        <v>3.3010237915502008</v>
      </c>
      <c r="Q121" s="346">
        <v>3.5990369130526854</v>
      </c>
      <c r="R121" s="346">
        <v>3.5990369130526854</v>
      </c>
      <c r="S121" s="346">
        <v>3.5990369130526854</v>
      </c>
      <c r="T121" s="346">
        <v>3.864390928197643</v>
      </c>
      <c r="U121" s="346">
        <v>3.864390928197643</v>
      </c>
      <c r="V121" s="346">
        <v>3.864390928197643</v>
      </c>
      <c r="W121" s="346">
        <v>4.1646807369180214</v>
      </c>
      <c r="X121" s="346">
        <v>4.1646807369180214</v>
      </c>
      <c r="Y121" s="346">
        <v>4.1646807369180214</v>
      </c>
      <c r="Z121" s="713"/>
      <c r="AA121" s="346">
        <f>AA161/AA115</f>
        <v>3.5051060018818112</v>
      </c>
      <c r="AB121" s="346">
        <f t="shared" ref="AB121:AL121" si="123">AB161/AB115</f>
        <v>3.5051060018818112</v>
      </c>
      <c r="AC121" s="346">
        <f t="shared" si="123"/>
        <v>3.5051060018818112</v>
      </c>
      <c r="AD121" s="346">
        <f t="shared" si="123"/>
        <v>3.5088479072156975</v>
      </c>
      <c r="AE121" s="346">
        <f t="shared" si="123"/>
        <v>3.5088479072156975</v>
      </c>
      <c r="AF121" s="346">
        <f t="shared" si="123"/>
        <v>3.5088479072156975</v>
      </c>
      <c r="AG121" s="346">
        <f t="shared" si="123"/>
        <v>3.6155608360746503</v>
      </c>
      <c r="AH121" s="346">
        <f t="shared" si="123"/>
        <v>3.6155608360746503</v>
      </c>
      <c r="AI121" s="346">
        <f t="shared" si="123"/>
        <v>3.6155608360746503</v>
      </c>
      <c r="AJ121" s="346">
        <f t="shared" si="123"/>
        <v>3.6245218274044473</v>
      </c>
      <c r="AK121" s="346">
        <f t="shared" si="123"/>
        <v>3.6245218274044473</v>
      </c>
      <c r="AL121" s="402">
        <f t="shared" si="123"/>
        <v>3.6245218274044473</v>
      </c>
    </row>
    <row r="122" spans="1:38">
      <c r="A122" s="95" t="s">
        <v>37</v>
      </c>
      <c r="B122" s="341" t="e">
        <f>+B116/B114</f>
        <v>#REF!</v>
      </c>
      <c r="C122" s="341" t="e">
        <f t="shared" ref="C122:M122" si="124">+C116/C114</f>
        <v>#REF!</v>
      </c>
      <c r="D122" s="341" t="e">
        <f t="shared" si="124"/>
        <v>#REF!</v>
      </c>
      <c r="E122" s="341" t="e">
        <f t="shared" si="124"/>
        <v>#REF!</v>
      </c>
      <c r="F122" s="341" t="e">
        <f t="shared" si="124"/>
        <v>#REF!</v>
      </c>
      <c r="G122" s="341" t="e">
        <f t="shared" si="124"/>
        <v>#REF!</v>
      </c>
      <c r="H122" s="341" t="e">
        <f t="shared" si="124"/>
        <v>#REF!</v>
      </c>
      <c r="I122" s="341" t="e">
        <f t="shared" si="124"/>
        <v>#REF!</v>
      </c>
      <c r="J122" s="341" t="e">
        <f t="shared" si="124"/>
        <v>#REF!</v>
      </c>
      <c r="K122" s="341" t="e">
        <f t="shared" si="124"/>
        <v>#REF!</v>
      </c>
      <c r="L122" s="341" t="e">
        <f t="shared" si="124"/>
        <v>#REF!</v>
      </c>
      <c r="M122" s="342" t="e">
        <f t="shared" si="124"/>
        <v>#REF!</v>
      </c>
      <c r="N122" s="341">
        <v>57.409206131103268</v>
      </c>
      <c r="O122" s="341">
        <v>57.409206131103268</v>
      </c>
      <c r="P122" s="341">
        <v>57.409206131103268</v>
      </c>
      <c r="Q122" s="341">
        <v>57.89855072463768</v>
      </c>
      <c r="R122" s="341">
        <v>57.89855072463768</v>
      </c>
      <c r="S122" s="341">
        <v>57.89855072463768</v>
      </c>
      <c r="T122" s="341">
        <v>57.827900593108168</v>
      </c>
      <c r="U122" s="341">
        <v>57.827900593108168</v>
      </c>
      <c r="V122" s="341">
        <v>57.827900593108168</v>
      </c>
      <c r="W122" s="341">
        <v>57.579606440071544</v>
      </c>
      <c r="X122" s="341">
        <v>57.579606440071544</v>
      </c>
      <c r="Y122" s="397">
        <v>57.579606440071544</v>
      </c>
      <c r="Z122" s="711"/>
      <c r="AA122" s="341">
        <f>+AA116/AA114</f>
        <v>51.11624384702764</v>
      </c>
      <c r="AB122" s="341">
        <f t="shared" ref="AB122:AL122" si="125">+AB116/AB114</f>
        <v>51.11624384702764</v>
      </c>
      <c r="AC122" s="341">
        <f t="shared" si="125"/>
        <v>51.11624384702764</v>
      </c>
      <c r="AD122" s="341">
        <f t="shared" si="125"/>
        <v>51.386802770689023</v>
      </c>
      <c r="AE122" s="341">
        <f t="shared" si="125"/>
        <v>51.386802770689023</v>
      </c>
      <c r="AF122" s="341">
        <f t="shared" si="125"/>
        <v>51.386802770689023</v>
      </c>
      <c r="AG122" s="341">
        <f t="shared" si="125"/>
        <v>52.344827586206897</v>
      </c>
      <c r="AH122" s="341">
        <f t="shared" si="125"/>
        <v>52.344827586206897</v>
      </c>
      <c r="AI122" s="341">
        <f t="shared" si="125"/>
        <v>52.344827586206897</v>
      </c>
      <c r="AJ122" s="341">
        <f t="shared" si="125"/>
        <v>52.510775862068961</v>
      </c>
      <c r="AK122" s="341">
        <f t="shared" si="125"/>
        <v>52.510775862068961</v>
      </c>
      <c r="AL122" s="342">
        <f t="shared" si="125"/>
        <v>52.510775862068961</v>
      </c>
    </row>
    <row r="123" spans="1:38">
      <c r="A123" s="95" t="s">
        <v>73</v>
      </c>
      <c r="B123" s="106" t="e">
        <f>+B122/B115</f>
        <v>#REF!</v>
      </c>
      <c r="C123" s="106" t="e">
        <f t="shared" ref="C123:M123" si="126">+C122/C115</f>
        <v>#REF!</v>
      </c>
      <c r="D123" s="106" t="e">
        <f t="shared" si="126"/>
        <v>#REF!</v>
      </c>
      <c r="E123" s="106" t="e">
        <f t="shared" si="126"/>
        <v>#REF!</v>
      </c>
      <c r="F123" s="106" t="e">
        <f t="shared" si="126"/>
        <v>#REF!</v>
      </c>
      <c r="G123" s="106" t="e">
        <f t="shared" si="126"/>
        <v>#REF!</v>
      </c>
      <c r="H123" s="106" t="e">
        <f t="shared" si="126"/>
        <v>#REF!</v>
      </c>
      <c r="I123" s="106" t="e">
        <f t="shared" si="126"/>
        <v>#REF!</v>
      </c>
      <c r="J123" s="106" t="e">
        <f t="shared" si="126"/>
        <v>#REF!</v>
      </c>
      <c r="K123" s="106" t="e">
        <f t="shared" si="126"/>
        <v>#REF!</v>
      </c>
      <c r="L123" s="106" t="e">
        <f t="shared" si="126"/>
        <v>#REF!</v>
      </c>
      <c r="M123" s="107" t="e">
        <f t="shared" si="126"/>
        <v>#REF!</v>
      </c>
      <c r="N123" s="106">
        <v>1.8165667166416795</v>
      </c>
      <c r="O123" s="106">
        <v>1.8165667166416795</v>
      </c>
      <c r="P123" s="106">
        <v>1.8165667166416795</v>
      </c>
      <c r="Q123" s="106">
        <v>2.0030640668523678</v>
      </c>
      <c r="R123" s="106">
        <v>2.0030640668523678</v>
      </c>
      <c r="S123" s="106">
        <v>2.0030640668523678</v>
      </c>
      <c r="T123" s="106">
        <v>2.1712229183077021</v>
      </c>
      <c r="U123" s="106">
        <v>2.1712229183077021</v>
      </c>
      <c r="V123" s="106">
        <v>2.1712229183077021</v>
      </c>
      <c r="W123" s="106">
        <v>2.3673874669020298</v>
      </c>
      <c r="X123" s="106">
        <v>2.3673874669020298</v>
      </c>
      <c r="Y123" s="106">
        <v>2.3673874669020298</v>
      </c>
      <c r="Z123" s="714"/>
      <c r="AA123" s="106">
        <f>+AA122/AA115</f>
        <v>2.2499666666666669</v>
      </c>
      <c r="AB123" s="106">
        <f t="shared" ref="AB123:AL123" si="127">+AB122/AB115</f>
        <v>2.2499666666666669</v>
      </c>
      <c r="AC123" s="106">
        <f t="shared" si="127"/>
        <v>2.2499666666666669</v>
      </c>
      <c r="AD123" s="106">
        <f t="shared" si="127"/>
        <v>2.2588782051282053</v>
      </c>
      <c r="AE123" s="106">
        <f t="shared" si="127"/>
        <v>2.2588782051282053</v>
      </c>
      <c r="AF123" s="106">
        <f t="shared" si="127"/>
        <v>2.2588782051282053</v>
      </c>
      <c r="AG123" s="106">
        <f t="shared" si="127"/>
        <v>2.3353846153846152</v>
      </c>
      <c r="AH123" s="106">
        <f t="shared" si="127"/>
        <v>2.3353846153846152</v>
      </c>
      <c r="AI123" s="106">
        <f t="shared" si="127"/>
        <v>2.3353846153846152</v>
      </c>
      <c r="AJ123" s="106">
        <f t="shared" si="127"/>
        <v>2.3427884615384613</v>
      </c>
      <c r="AK123" s="106">
        <f t="shared" si="127"/>
        <v>2.3427884615384613</v>
      </c>
      <c r="AL123" s="107">
        <f t="shared" si="127"/>
        <v>2.3427884615384613</v>
      </c>
    </row>
    <row r="124" spans="1:38">
      <c r="A124" s="95" t="s">
        <v>41</v>
      </c>
      <c r="B124" s="45" t="e">
        <f>B120/B161</f>
        <v>#REF!</v>
      </c>
      <c r="C124" s="45" t="e">
        <f t="shared" ref="C124:M124" si="128">C120/C161</f>
        <v>#REF!</v>
      </c>
      <c r="D124" s="45" t="e">
        <f t="shared" si="128"/>
        <v>#REF!</v>
      </c>
      <c r="E124" s="45" t="e">
        <f t="shared" si="128"/>
        <v>#REF!</v>
      </c>
      <c r="F124" s="45" t="e">
        <f t="shared" si="128"/>
        <v>#REF!</v>
      </c>
      <c r="G124" s="45" t="e">
        <f t="shared" si="128"/>
        <v>#REF!</v>
      </c>
      <c r="H124" s="45" t="e">
        <f t="shared" si="128"/>
        <v>#REF!</v>
      </c>
      <c r="I124" s="45" t="e">
        <f t="shared" si="128"/>
        <v>#REF!</v>
      </c>
      <c r="J124" s="45" t="e">
        <f t="shared" si="128"/>
        <v>#REF!</v>
      </c>
      <c r="K124" s="45" t="e">
        <f t="shared" si="128"/>
        <v>#REF!</v>
      </c>
      <c r="L124" s="45" t="e">
        <f t="shared" si="128"/>
        <v>#REF!</v>
      </c>
      <c r="M124" s="10" t="e">
        <f t="shared" si="128"/>
        <v>#REF!</v>
      </c>
      <c r="N124" s="45">
        <v>6.9301220660462584E-2</v>
      </c>
      <c r="O124" s="45">
        <v>6.9057623169813967E-2</v>
      </c>
      <c r="P124" s="45">
        <v>6.9057623169813967E-2</v>
      </c>
      <c r="Q124" s="45">
        <v>6.9261217070649653E-2</v>
      </c>
      <c r="R124" s="45">
        <v>6.9261217070649653E-2</v>
      </c>
      <c r="S124" s="45">
        <v>6.9261217070649653E-2</v>
      </c>
      <c r="T124" s="45">
        <v>7.0032077478180133E-2</v>
      </c>
      <c r="U124" s="45">
        <v>7.0032077478180133E-2</v>
      </c>
      <c r="V124" s="45">
        <v>7.0032077478180133E-2</v>
      </c>
      <c r="W124" s="45">
        <v>7.1254688317581388E-2</v>
      </c>
      <c r="X124" s="45">
        <v>7.1254688317581388E-2</v>
      </c>
      <c r="Y124" s="45">
        <v>7.1254688317581388E-2</v>
      </c>
      <c r="Z124" s="698"/>
      <c r="AA124" s="45">
        <f>AA120/AA161</f>
        <v>7.4787296375103465E-2</v>
      </c>
      <c r="AB124" s="45">
        <f t="shared" ref="AB124:AL124" si="129">AB120/AB161</f>
        <v>7.4787296375103465E-2</v>
      </c>
      <c r="AC124" s="45">
        <f t="shared" si="129"/>
        <v>7.4787296375103465E-2</v>
      </c>
      <c r="AD124" s="45">
        <f t="shared" si="129"/>
        <v>7.4655749883817915E-2</v>
      </c>
      <c r="AE124" s="45">
        <f t="shared" si="129"/>
        <v>7.4655749883817915E-2</v>
      </c>
      <c r="AF124" s="45">
        <f t="shared" si="129"/>
        <v>7.4655749883817915E-2</v>
      </c>
      <c r="AG124" s="45">
        <f t="shared" si="129"/>
        <v>7.4616771946861102E-2</v>
      </c>
      <c r="AH124" s="45">
        <f t="shared" si="129"/>
        <v>7.4616771946861102E-2</v>
      </c>
      <c r="AI124" s="45">
        <f t="shared" si="129"/>
        <v>7.4616771946861102E-2</v>
      </c>
      <c r="AJ124" s="45">
        <f t="shared" si="129"/>
        <v>7.4602520945088804E-2</v>
      </c>
      <c r="AK124" s="45">
        <f t="shared" si="129"/>
        <v>7.4602520945088804E-2</v>
      </c>
      <c r="AL124" s="10">
        <f t="shared" si="129"/>
        <v>7.4602520945088804E-2</v>
      </c>
    </row>
    <row r="126" spans="1:38">
      <c r="A126" s="9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10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698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10"/>
    </row>
    <row r="127" spans="1:38">
      <c r="A127" s="108" t="s">
        <v>47</v>
      </c>
      <c r="N127" s="109">
        <v>80061.447864978341</v>
      </c>
      <c r="O127" s="109">
        <v>71987.249355596228</v>
      </c>
      <c r="P127" s="109">
        <v>68785.657651058093</v>
      </c>
      <c r="Q127" s="109">
        <v>86571.878311843117</v>
      </c>
      <c r="R127" s="109">
        <v>88068.559637190454</v>
      </c>
      <c r="S127" s="109">
        <v>88862.447947456341</v>
      </c>
      <c r="T127" s="109">
        <v>129707.95226067753</v>
      </c>
      <c r="U127" s="109">
        <v>133135.73505780776</v>
      </c>
      <c r="V127" s="109">
        <v>132972.62339808419</v>
      </c>
      <c r="W127" s="109">
        <v>177441.34142937834</v>
      </c>
      <c r="X127" s="109">
        <v>179474.60079271349</v>
      </c>
      <c r="Y127" s="109">
        <v>180072.13099487027</v>
      </c>
      <c r="Z127" s="704"/>
      <c r="AA127" s="109">
        <f>+(AA36+AA46*AA43)+(AA87+AA97*AA94)</f>
        <v>92409.922171024606</v>
      </c>
      <c r="AB127" s="109">
        <f t="shared" ref="AB127:AL127" si="130">+(AB36+AB46*AB43)+(AB87+AB97*AB94)</f>
        <v>81158.865947641738</v>
      </c>
      <c r="AC127" s="109">
        <f t="shared" si="130"/>
        <v>79753.993262534321</v>
      </c>
      <c r="AD127" s="109">
        <f t="shared" si="130"/>
        <v>75397.069222729755</v>
      </c>
      <c r="AE127" s="109">
        <f t="shared" si="130"/>
        <v>72629.863304894912</v>
      </c>
      <c r="AF127" s="109">
        <f t="shared" si="130"/>
        <v>80917.412103564595</v>
      </c>
      <c r="AG127" s="109">
        <f t="shared" si="130"/>
        <v>90201.682887475996</v>
      </c>
      <c r="AH127" s="109">
        <f t="shared" si="130"/>
        <v>104973.86646055573</v>
      </c>
      <c r="AI127" s="109">
        <f t="shared" si="130"/>
        <v>115767.75586936291</v>
      </c>
      <c r="AJ127" s="109">
        <f t="shared" si="130"/>
        <v>106915.84856122002</v>
      </c>
      <c r="AK127" s="109">
        <f t="shared" si="130"/>
        <v>112064.78902279411</v>
      </c>
      <c r="AL127" s="109">
        <f t="shared" si="130"/>
        <v>113805.42660652833</v>
      </c>
    </row>
    <row r="128" spans="1:38">
      <c r="A128" s="108"/>
    </row>
    <row r="129" spans="1:38">
      <c r="A129" s="95" t="s">
        <v>46</v>
      </c>
      <c r="N129" s="28">
        <v>36381.148301178298</v>
      </c>
      <c r="O129" s="28">
        <v>34502.44168167084</v>
      </c>
      <c r="P129" s="28">
        <v>33731.480586520229</v>
      </c>
      <c r="Q129" s="28">
        <v>40632.525344127251</v>
      </c>
      <c r="R129" s="28">
        <v>41007.326692607661</v>
      </c>
      <c r="S129" s="28">
        <v>41280.130545303582</v>
      </c>
      <c r="T129" s="28">
        <v>50755.999981284534</v>
      </c>
      <c r="U129" s="28">
        <v>51628.586192050316</v>
      </c>
      <c r="V129" s="28">
        <v>51493.9668055289</v>
      </c>
      <c r="W129" s="28">
        <v>54898.503422616981</v>
      </c>
      <c r="X129" s="28">
        <v>55339.909583410619</v>
      </c>
      <c r="Y129" s="28">
        <v>55446.039376840577</v>
      </c>
      <c r="Z129" s="706"/>
      <c r="AA129" s="28">
        <f t="shared" ref="AA129:AL129" si="131">+(AA35+AA46/12*AA44)+(AA86+AA97*AA95)</f>
        <v>34730.080489558291</v>
      </c>
      <c r="AB129" s="28">
        <f t="shared" si="131"/>
        <v>38993.107965122996</v>
      </c>
      <c r="AC129" s="28">
        <f t="shared" si="131"/>
        <v>38973.743174947485</v>
      </c>
      <c r="AD129" s="28">
        <f t="shared" si="131"/>
        <v>43218.96610356641</v>
      </c>
      <c r="AE129" s="28">
        <f t="shared" si="131"/>
        <v>42972.513453072854</v>
      </c>
      <c r="AF129" s="28">
        <f t="shared" si="131"/>
        <v>43011.156028820078</v>
      </c>
      <c r="AG129" s="28">
        <f t="shared" si="131"/>
        <v>47761.647017163283</v>
      </c>
      <c r="AH129" s="28">
        <f t="shared" si="131"/>
        <v>47923.194191268318</v>
      </c>
      <c r="AI129" s="28">
        <f t="shared" si="131"/>
        <v>47974.015914173084</v>
      </c>
      <c r="AJ129" s="28">
        <f t="shared" si="131"/>
        <v>51524.549810474535</v>
      </c>
      <c r="AK129" s="28">
        <f t="shared" si="131"/>
        <v>51660.512905532465</v>
      </c>
      <c r="AL129" s="28">
        <f t="shared" si="131"/>
        <v>51732.09920469104</v>
      </c>
    </row>
    <row r="130" spans="1:38">
      <c r="A130" s="111">
        <v>2</v>
      </c>
      <c r="N130" s="28">
        <v>30563.866654096626</v>
      </c>
      <c r="O130" s="28">
        <v>36381.148301178298</v>
      </c>
      <c r="P130" s="28">
        <v>34502.44168167084</v>
      </c>
      <c r="Q130" s="28">
        <v>33731.480586520229</v>
      </c>
      <c r="R130" s="28">
        <v>40632.525344127251</v>
      </c>
      <c r="S130" s="28">
        <v>41007.326692607661</v>
      </c>
      <c r="T130" s="28">
        <v>41280.130545303582</v>
      </c>
      <c r="U130" s="28">
        <v>50755.999981284534</v>
      </c>
      <c r="V130" s="28">
        <v>51628.586192050316</v>
      </c>
      <c r="W130" s="28">
        <v>51493.9668055289</v>
      </c>
      <c r="X130" s="28">
        <v>54898.503422616981</v>
      </c>
      <c r="Y130" s="28">
        <v>55339.909583410619</v>
      </c>
      <c r="Z130" s="706"/>
      <c r="AA130" s="28">
        <f>+(Y35+Y46/12*Y44)+(Y86+Y97*Y95)</f>
        <v>32430.477902051956</v>
      </c>
      <c r="AB130" s="28">
        <f>+(AA35+AA46/12*AA44)+(AA86+AA97*AA95)</f>
        <v>34730.080489558291</v>
      </c>
      <c r="AC130" s="28">
        <f t="shared" ref="AC130:AL130" si="132">+(AB35+AB46/12*AB44)+(AB86+AB97*AB95)</f>
        <v>38993.107965122996</v>
      </c>
      <c r="AD130" s="28">
        <f t="shared" si="132"/>
        <v>38973.743174947485</v>
      </c>
      <c r="AE130" s="28">
        <f t="shared" si="132"/>
        <v>43218.96610356641</v>
      </c>
      <c r="AF130" s="28">
        <f t="shared" si="132"/>
        <v>42972.513453072854</v>
      </c>
      <c r="AG130" s="28">
        <f t="shared" si="132"/>
        <v>43011.156028820078</v>
      </c>
      <c r="AH130" s="28">
        <f t="shared" si="132"/>
        <v>47761.647017163283</v>
      </c>
      <c r="AI130" s="28">
        <f t="shared" si="132"/>
        <v>47923.194191268318</v>
      </c>
      <c r="AJ130" s="28">
        <f t="shared" si="132"/>
        <v>47974.015914173084</v>
      </c>
      <c r="AK130" s="28">
        <f t="shared" si="132"/>
        <v>51524.549810474535</v>
      </c>
      <c r="AL130" s="28">
        <f t="shared" si="132"/>
        <v>51660.512905532465</v>
      </c>
    </row>
    <row r="131" spans="1:38">
      <c r="A131" s="111">
        <v>3</v>
      </c>
      <c r="N131" s="28">
        <v>31225.212781432838</v>
      </c>
      <c r="O131" s="28">
        <v>30563.866654096626</v>
      </c>
      <c r="P131" s="28">
        <v>36381.148301178298</v>
      </c>
      <c r="Q131" s="28">
        <v>34502.44168167084</v>
      </c>
      <c r="R131" s="28">
        <v>33731.480586520229</v>
      </c>
      <c r="S131" s="28">
        <v>40632.525344127251</v>
      </c>
      <c r="T131" s="28">
        <v>41007.326692607661</v>
      </c>
      <c r="U131" s="28">
        <v>41280.130545303582</v>
      </c>
      <c r="V131" s="28">
        <v>50755.999981284534</v>
      </c>
      <c r="W131" s="28">
        <v>51628.586192050316</v>
      </c>
      <c r="X131" s="28">
        <v>51493.9668055289</v>
      </c>
      <c r="Y131" s="28">
        <v>54898.503422616981</v>
      </c>
      <c r="Z131" s="706"/>
      <c r="AA131" s="28">
        <f>+(X35+X46/12*X44)+(X86+X97*X95)</f>
        <v>31686.604869794683</v>
      </c>
      <c r="AB131" s="28">
        <f>+(Y35+Y46/12*Y44)+(Y86+Y97*Y95)</f>
        <v>32430.477902051956</v>
      </c>
      <c r="AC131" s="28">
        <f t="shared" ref="AC131:AL131" si="133">+(AA35+AA46/12*AA44)+(AA86+AA97*AA95)</f>
        <v>34730.080489558291</v>
      </c>
      <c r="AD131" s="28">
        <f t="shared" si="133"/>
        <v>38993.107965122996</v>
      </c>
      <c r="AE131" s="28">
        <f t="shared" si="133"/>
        <v>38973.743174947485</v>
      </c>
      <c r="AF131" s="28">
        <f t="shared" si="133"/>
        <v>43218.96610356641</v>
      </c>
      <c r="AG131" s="28">
        <f t="shared" si="133"/>
        <v>42972.513453072854</v>
      </c>
      <c r="AH131" s="28">
        <f t="shared" si="133"/>
        <v>43011.156028820078</v>
      </c>
      <c r="AI131" s="28">
        <f t="shared" si="133"/>
        <v>47761.647017163283</v>
      </c>
      <c r="AJ131" s="28">
        <f t="shared" si="133"/>
        <v>47923.194191268318</v>
      </c>
      <c r="AK131" s="28">
        <f t="shared" si="133"/>
        <v>47974.015914173084</v>
      </c>
      <c r="AL131" s="28">
        <f t="shared" si="133"/>
        <v>51524.549810474535</v>
      </c>
    </row>
    <row r="132" spans="1:38">
      <c r="A132" s="111">
        <v>4</v>
      </c>
      <c r="N132" s="28">
        <v>30604.176943191778</v>
      </c>
      <c r="O132" s="28">
        <v>30937.762266674785</v>
      </c>
      <c r="P132" s="28">
        <v>30223.782911014463</v>
      </c>
      <c r="Q132" s="28">
        <v>35970.440590260499</v>
      </c>
      <c r="R132" s="28">
        <v>34011.059903825924</v>
      </c>
      <c r="S132" s="28">
        <v>33255.737256547305</v>
      </c>
      <c r="T132" s="28">
        <v>40181.293128082216</v>
      </c>
      <c r="U132" s="28">
        <v>40516.174060037796</v>
      </c>
      <c r="V132" s="28">
        <v>40687.111233517338</v>
      </c>
      <c r="W132" s="28">
        <v>50218.400876495863</v>
      </c>
      <c r="X132" s="28">
        <v>50973.253089244899</v>
      </c>
      <c r="Y132" s="28">
        <v>50942.638236772575</v>
      </c>
      <c r="Z132" s="706"/>
      <c r="AA132" s="28">
        <f>+(W35+W46/12*W44)+(W86+W97*W95)</f>
        <v>30158.733243056682</v>
      </c>
      <c r="AB132" s="28">
        <f>+(X35+X46/12*X44)+(X86+X97*X95)</f>
        <v>31686.604869794683</v>
      </c>
      <c r="AC132" s="28">
        <f>+(Y35+Y46/12*Y44)+(Y86+Y97*Y95)</f>
        <v>32430.477902051956</v>
      </c>
      <c r="AD132" s="28">
        <f t="shared" ref="AD132:AL132" si="134">+(AA35+AA46/12*AA44)+(AA86+AA97*AA95)</f>
        <v>34730.080489558291</v>
      </c>
      <c r="AE132" s="28">
        <f t="shared" si="134"/>
        <v>38993.107965122996</v>
      </c>
      <c r="AF132" s="28">
        <f t="shared" si="134"/>
        <v>38973.743174947485</v>
      </c>
      <c r="AG132" s="28">
        <f t="shared" si="134"/>
        <v>43218.96610356641</v>
      </c>
      <c r="AH132" s="28">
        <f t="shared" si="134"/>
        <v>42972.513453072854</v>
      </c>
      <c r="AI132" s="28">
        <f t="shared" si="134"/>
        <v>43011.156028820078</v>
      </c>
      <c r="AJ132" s="28">
        <f t="shared" si="134"/>
        <v>47761.647017163283</v>
      </c>
      <c r="AK132" s="28">
        <f t="shared" si="134"/>
        <v>47923.194191268318</v>
      </c>
      <c r="AL132" s="28">
        <f t="shared" si="134"/>
        <v>47974.015914173084</v>
      </c>
    </row>
    <row r="133" spans="1:38">
      <c r="A133" s="111">
        <v>5</v>
      </c>
      <c r="N133" s="28">
        <v>27571.811383142009</v>
      </c>
      <c r="O133" s="28">
        <v>30604.176943191778</v>
      </c>
      <c r="P133" s="28">
        <v>30937.762266674785</v>
      </c>
      <c r="Q133" s="28">
        <v>30223.782911014463</v>
      </c>
      <c r="R133" s="28">
        <v>35970.440590260499</v>
      </c>
      <c r="S133" s="28">
        <v>34011.059903825924</v>
      </c>
      <c r="T133" s="28">
        <v>33255.737256547305</v>
      </c>
      <c r="U133" s="28">
        <v>40181.293128082216</v>
      </c>
      <c r="V133" s="28">
        <v>40516.174060037796</v>
      </c>
      <c r="W133" s="28">
        <v>40687.111233517338</v>
      </c>
      <c r="X133" s="28">
        <v>50218.400876495863</v>
      </c>
      <c r="Y133" s="28">
        <v>50973.253089244899</v>
      </c>
      <c r="Z133" s="706"/>
      <c r="AA133" s="28">
        <f>+(V35+V46/12*V44)+(V86+V97*V95)</f>
        <v>34631.708539120686</v>
      </c>
      <c r="AB133" s="28">
        <f>+(W35+W46/12*W44)+(W86+W97*W95)</f>
        <v>30158.733243056682</v>
      </c>
      <c r="AC133" s="28">
        <f>+(X35+X46/12*X44)+(X86+X97*X95)</f>
        <v>31686.604869794683</v>
      </c>
      <c r="AD133" s="28">
        <f>+(Y35+Y46/12*Y44)+(Y86+Y97*Y95)</f>
        <v>32430.477902051956</v>
      </c>
      <c r="AE133" s="28">
        <f t="shared" ref="AE133:AL133" si="135">+(AA35+AA46/12*AA44)+(AA86+AA97*AA95)</f>
        <v>34730.080489558291</v>
      </c>
      <c r="AF133" s="28">
        <f t="shared" si="135"/>
        <v>38993.107965122996</v>
      </c>
      <c r="AG133" s="28">
        <f t="shared" si="135"/>
        <v>38973.743174947485</v>
      </c>
      <c r="AH133" s="28">
        <f t="shared" si="135"/>
        <v>43218.96610356641</v>
      </c>
      <c r="AI133" s="28">
        <f t="shared" si="135"/>
        <v>42972.513453072854</v>
      </c>
      <c r="AJ133" s="28">
        <f t="shared" si="135"/>
        <v>43011.156028820078</v>
      </c>
      <c r="AK133" s="28">
        <f t="shared" si="135"/>
        <v>47761.647017163283</v>
      </c>
      <c r="AL133" s="28">
        <f t="shared" si="135"/>
        <v>47923.194191268318</v>
      </c>
    </row>
    <row r="134" spans="1:38">
      <c r="A134" s="111">
        <v>6</v>
      </c>
      <c r="N134" s="28">
        <v>33161.452399785514</v>
      </c>
      <c r="O134" s="28">
        <v>27892.995086845713</v>
      </c>
      <c r="P134" s="28">
        <v>31017.248484273092</v>
      </c>
      <c r="Q134" s="28">
        <v>31225.212781432838</v>
      </c>
      <c r="R134" s="28">
        <v>30563.866654096626</v>
      </c>
      <c r="S134" s="28">
        <v>36381.148301178298</v>
      </c>
      <c r="T134" s="28">
        <v>34502.44168167084</v>
      </c>
      <c r="U134" s="28">
        <v>33731.480586520229</v>
      </c>
      <c r="V134" s="28">
        <v>40632.525344127251</v>
      </c>
      <c r="W134" s="28">
        <v>41007.326692607661</v>
      </c>
      <c r="X134" s="28">
        <v>41280.130545303582</v>
      </c>
      <c r="Y134" s="28">
        <v>50755.999981284534</v>
      </c>
      <c r="Z134" s="706"/>
      <c r="AA134" s="28">
        <f>+(U35+U46/12*U44)+(U86+U97*U95)</f>
        <v>29240.786098811623</v>
      </c>
      <c r="AB134" s="28">
        <f>+(V35+V46/12*V44)+(V86+V97*V95)</f>
        <v>34631.708539120686</v>
      </c>
      <c r="AC134" s="28">
        <f>+(W35+W46/12*W44)+(W86+W97*W95)</f>
        <v>30158.733243056682</v>
      </c>
      <c r="AD134" s="28">
        <f>+(X35+X46/12*X44)+(X86+X97*X95)</f>
        <v>31686.604869794683</v>
      </c>
      <c r="AE134" s="28">
        <f>+(Y35+Y46/12*Y44)+(Y86+Y97*Y95)</f>
        <v>32430.477902051956</v>
      </c>
      <c r="AF134" s="28">
        <f t="shared" ref="AF134:AL134" si="136">+(AA35+AA46/12*AA44)+(AA86+AA97*AA95)</f>
        <v>34730.080489558291</v>
      </c>
      <c r="AG134" s="28">
        <f t="shared" si="136"/>
        <v>38993.107965122996</v>
      </c>
      <c r="AH134" s="28">
        <f t="shared" si="136"/>
        <v>38973.743174947485</v>
      </c>
      <c r="AI134" s="28">
        <f t="shared" si="136"/>
        <v>43218.96610356641</v>
      </c>
      <c r="AJ134" s="28">
        <f t="shared" si="136"/>
        <v>42972.513453072854</v>
      </c>
      <c r="AK134" s="28">
        <f t="shared" si="136"/>
        <v>43011.156028820078</v>
      </c>
      <c r="AL134" s="28">
        <f t="shared" si="136"/>
        <v>47761.647017163283</v>
      </c>
    </row>
    <row r="135" spans="1:38">
      <c r="A135" s="111">
        <v>7</v>
      </c>
      <c r="N135" s="28">
        <v>32407.792570534151</v>
      </c>
      <c r="O135" s="28">
        <v>33161.452399785514</v>
      </c>
      <c r="P135" s="28">
        <v>27892.995086845713</v>
      </c>
      <c r="Q135" s="28">
        <v>31017.248484273092</v>
      </c>
      <c r="R135" s="28">
        <v>31225.212781432838</v>
      </c>
      <c r="S135" s="28">
        <v>30563.866654096626</v>
      </c>
      <c r="T135" s="28">
        <v>36381.148301178298</v>
      </c>
      <c r="U135" s="28">
        <v>34502.44168167084</v>
      </c>
      <c r="V135" s="28">
        <v>33731.480586520229</v>
      </c>
      <c r="W135" s="28">
        <v>40632.525344127251</v>
      </c>
      <c r="X135" s="28">
        <v>41007.326692607661</v>
      </c>
      <c r="Y135" s="28">
        <v>41280.130545303582</v>
      </c>
      <c r="Z135" s="706"/>
      <c r="AA135" s="28">
        <f t="shared" ref="AA135:AF135" si="137">+(T35+T46/12*T44)+(T86+T97*T95)</f>
        <v>25695.399535682183</v>
      </c>
      <c r="AB135" s="28">
        <f t="shared" si="137"/>
        <v>29240.786098811623</v>
      </c>
      <c r="AC135" s="28">
        <f t="shared" si="137"/>
        <v>34631.708539120686</v>
      </c>
      <c r="AD135" s="28">
        <f t="shared" si="137"/>
        <v>30158.733243056682</v>
      </c>
      <c r="AE135" s="28">
        <f t="shared" si="137"/>
        <v>31686.604869794683</v>
      </c>
      <c r="AF135" s="28">
        <f t="shared" si="137"/>
        <v>32430.477902051956</v>
      </c>
      <c r="AG135" s="28">
        <f t="shared" ref="AG135:AL135" si="138">+(AA35+AA46/12*AA44)+(AA86+AA97*AA95)</f>
        <v>34730.080489558291</v>
      </c>
      <c r="AH135" s="28">
        <f t="shared" si="138"/>
        <v>38993.107965122996</v>
      </c>
      <c r="AI135" s="28">
        <f t="shared" si="138"/>
        <v>38973.743174947485</v>
      </c>
      <c r="AJ135" s="28">
        <f t="shared" si="138"/>
        <v>43218.96610356641</v>
      </c>
      <c r="AK135" s="28">
        <f t="shared" si="138"/>
        <v>42972.513453072854</v>
      </c>
      <c r="AL135" s="28">
        <f t="shared" si="138"/>
        <v>43011.156028820078</v>
      </c>
    </row>
    <row r="136" spans="1:38">
      <c r="A136" s="111">
        <v>8</v>
      </c>
      <c r="N136" s="28">
        <v>29828.644404724189</v>
      </c>
      <c r="O136" s="28">
        <v>32407.792570534151</v>
      </c>
      <c r="P136" s="28">
        <v>33161.452399785514</v>
      </c>
      <c r="Q136" s="28">
        <v>27892.995086845713</v>
      </c>
      <c r="R136" s="28">
        <v>31017.248484273092</v>
      </c>
      <c r="S136" s="28">
        <v>31225.212781432838</v>
      </c>
      <c r="T136" s="28">
        <v>30563.866654096626</v>
      </c>
      <c r="U136" s="28">
        <v>36381.148301178298</v>
      </c>
      <c r="V136" s="28">
        <v>34502.44168167084</v>
      </c>
      <c r="W136" s="28">
        <v>33731.480586520229</v>
      </c>
      <c r="X136" s="28">
        <v>40632.525344127251</v>
      </c>
      <c r="Y136" s="28">
        <v>41007.326692607661</v>
      </c>
      <c r="Z136" s="706"/>
      <c r="AA136" s="28">
        <f t="shared" ref="AA136:AG136" si="139">+(S35+S46/12*S44)+(S86+S97*S95)</f>
        <v>21852.556649534909</v>
      </c>
      <c r="AB136" s="28">
        <f t="shared" si="139"/>
        <v>25695.399535682183</v>
      </c>
      <c r="AC136" s="28">
        <f t="shared" si="139"/>
        <v>29240.786098811623</v>
      </c>
      <c r="AD136" s="28">
        <f t="shared" si="139"/>
        <v>34631.708539120686</v>
      </c>
      <c r="AE136" s="28">
        <f t="shared" si="139"/>
        <v>30158.733243056682</v>
      </c>
      <c r="AF136" s="28">
        <f t="shared" si="139"/>
        <v>31686.604869794683</v>
      </c>
      <c r="AG136" s="28">
        <f t="shared" si="139"/>
        <v>32430.477902051956</v>
      </c>
      <c r="AH136" s="28">
        <f t="shared" ref="AH136:AL136" si="140">+(AA35+AA46/12*AA44)+(AA86+AA97*AA95)</f>
        <v>34730.080489558291</v>
      </c>
      <c r="AI136" s="28">
        <f t="shared" si="140"/>
        <v>38993.107965122996</v>
      </c>
      <c r="AJ136" s="28">
        <f t="shared" si="140"/>
        <v>38973.743174947485</v>
      </c>
      <c r="AK136" s="28">
        <f t="shared" si="140"/>
        <v>43218.96610356641</v>
      </c>
      <c r="AL136" s="28">
        <f t="shared" si="140"/>
        <v>42972.513453072854</v>
      </c>
    </row>
    <row r="137" spans="1:38">
      <c r="A137" s="111">
        <v>9</v>
      </c>
      <c r="N137" s="28">
        <v>31342.893867548668</v>
      </c>
      <c r="O137" s="28">
        <v>29828.644404724189</v>
      </c>
      <c r="P137" s="28">
        <v>32407.792570534151</v>
      </c>
      <c r="Q137" s="28">
        <v>33161.452399785514</v>
      </c>
      <c r="R137" s="28">
        <v>27892.995086845713</v>
      </c>
      <c r="S137" s="28">
        <v>31017.248484273092</v>
      </c>
      <c r="T137" s="28">
        <v>31225.212781432838</v>
      </c>
      <c r="U137" s="28">
        <v>30563.866654096626</v>
      </c>
      <c r="V137" s="28">
        <v>36381.148301178298</v>
      </c>
      <c r="W137" s="28">
        <v>34502.44168167084</v>
      </c>
      <c r="X137" s="28">
        <v>33731.480586520229</v>
      </c>
      <c r="Y137" s="28">
        <v>40632.525344127251</v>
      </c>
      <c r="Z137" s="706"/>
      <c r="AA137" s="28">
        <f t="shared" ref="AA137:AH137" si="141">+(R35+R46/12*R44)+(R86+R97*R95)</f>
        <v>17417.568777884451</v>
      </c>
      <c r="AB137" s="28">
        <f t="shared" si="141"/>
        <v>21852.556649534909</v>
      </c>
      <c r="AC137" s="28">
        <f t="shared" si="141"/>
        <v>25695.399535682183</v>
      </c>
      <c r="AD137" s="28">
        <f t="shared" si="141"/>
        <v>29240.786098811623</v>
      </c>
      <c r="AE137" s="28">
        <f t="shared" si="141"/>
        <v>34631.708539120686</v>
      </c>
      <c r="AF137" s="28">
        <f t="shared" si="141"/>
        <v>30158.733243056682</v>
      </c>
      <c r="AG137" s="28">
        <f t="shared" si="141"/>
        <v>31686.604869794683</v>
      </c>
      <c r="AH137" s="28">
        <f t="shared" si="141"/>
        <v>32430.477902051956</v>
      </c>
      <c r="AI137" s="28">
        <f t="shared" ref="AI137:AL137" si="142">+(AA35+AA46/12*AA44)+(AA86+AA97*AA95)</f>
        <v>34730.080489558291</v>
      </c>
      <c r="AJ137" s="28">
        <f t="shared" si="142"/>
        <v>38993.107965122996</v>
      </c>
      <c r="AK137" s="28">
        <f t="shared" si="142"/>
        <v>38973.743174947485</v>
      </c>
      <c r="AL137" s="28">
        <f t="shared" si="142"/>
        <v>43218.96610356641</v>
      </c>
    </row>
    <row r="138" spans="1:38">
      <c r="A138" s="111">
        <v>10</v>
      </c>
      <c r="N138" s="28">
        <v>29648.456246397174</v>
      </c>
      <c r="O138" s="28">
        <v>31342.893867548668</v>
      </c>
      <c r="P138" s="28">
        <v>29828.644404724189</v>
      </c>
      <c r="Q138" s="28">
        <v>32407.792570534151</v>
      </c>
      <c r="R138" s="28">
        <v>33161.452399785514</v>
      </c>
      <c r="S138" s="28">
        <v>27892.995086845713</v>
      </c>
      <c r="T138" s="28">
        <v>31017.248484273092</v>
      </c>
      <c r="U138" s="28">
        <v>31225.212781432838</v>
      </c>
      <c r="V138" s="28">
        <v>30563.866654096626</v>
      </c>
      <c r="W138" s="28">
        <v>36381.148301178298</v>
      </c>
      <c r="X138" s="28">
        <v>34502.44168167084</v>
      </c>
      <c r="Y138" s="28">
        <v>33731.480586520229</v>
      </c>
      <c r="Z138" s="706"/>
      <c r="AA138" s="28">
        <f t="shared" ref="AA138:AI138" si="143">+(Q35+Q46/12*Q44)+(Q86+Q97*Q95)</f>
        <v>19500.073179627198</v>
      </c>
      <c r="AB138" s="28">
        <f t="shared" si="143"/>
        <v>17417.568777884451</v>
      </c>
      <c r="AC138" s="28">
        <f t="shared" si="143"/>
        <v>21852.556649534909</v>
      </c>
      <c r="AD138" s="28">
        <f t="shared" si="143"/>
        <v>25695.399535682183</v>
      </c>
      <c r="AE138" s="28">
        <f t="shared" si="143"/>
        <v>29240.786098811623</v>
      </c>
      <c r="AF138" s="28">
        <f t="shared" si="143"/>
        <v>34631.708539120686</v>
      </c>
      <c r="AG138" s="28">
        <f t="shared" si="143"/>
        <v>30158.733243056682</v>
      </c>
      <c r="AH138" s="28">
        <f t="shared" si="143"/>
        <v>31686.604869794683</v>
      </c>
      <c r="AI138" s="28">
        <f t="shared" si="143"/>
        <v>32430.477902051956</v>
      </c>
      <c r="AJ138" s="28">
        <f t="shared" ref="AJ138:AL138" si="144">+(AA35+AA46/12*AA44)+(AA86+AA97*AA95)</f>
        <v>34730.080489558291</v>
      </c>
      <c r="AK138" s="28">
        <f t="shared" si="144"/>
        <v>38993.107965122996</v>
      </c>
      <c r="AL138" s="28">
        <f t="shared" si="144"/>
        <v>38973.743174947485</v>
      </c>
    </row>
    <row r="139" spans="1:38">
      <c r="A139" s="111">
        <v>11</v>
      </c>
      <c r="N139" s="28">
        <v>32396.406805612907</v>
      </c>
      <c r="O139" s="28">
        <v>29648.456246397174</v>
      </c>
      <c r="P139" s="28">
        <v>31342.893867548668</v>
      </c>
      <c r="Q139" s="28">
        <v>29828.644404724189</v>
      </c>
      <c r="R139" s="28">
        <v>32407.792570534151</v>
      </c>
      <c r="S139" s="28">
        <v>33161.452399785514</v>
      </c>
      <c r="T139" s="28">
        <v>27892.995086845713</v>
      </c>
      <c r="U139" s="28">
        <v>31017.248484273092</v>
      </c>
      <c r="V139" s="28">
        <v>31225.212781432838</v>
      </c>
      <c r="W139" s="28">
        <v>30563.866654096626</v>
      </c>
      <c r="X139" s="28">
        <v>36381.148301178298</v>
      </c>
      <c r="Y139" s="28">
        <v>34502.44168167084</v>
      </c>
      <c r="Z139" s="706"/>
      <c r="AA139" s="28">
        <f t="shared" ref="AA139:AJ139" si="145">+(P35+P46/12*P44)+(P86+P97*P95)</f>
        <v>22506.627991093079</v>
      </c>
      <c r="AB139" s="28">
        <f t="shared" si="145"/>
        <v>19500.073179627198</v>
      </c>
      <c r="AC139" s="28">
        <f t="shared" si="145"/>
        <v>17417.568777884451</v>
      </c>
      <c r="AD139" s="28">
        <f t="shared" si="145"/>
        <v>21852.556649534909</v>
      </c>
      <c r="AE139" s="28">
        <f t="shared" si="145"/>
        <v>25695.399535682183</v>
      </c>
      <c r="AF139" s="28">
        <f t="shared" si="145"/>
        <v>29240.786098811623</v>
      </c>
      <c r="AG139" s="28">
        <f t="shared" si="145"/>
        <v>34631.708539120686</v>
      </c>
      <c r="AH139" s="28">
        <f t="shared" si="145"/>
        <v>30158.733243056682</v>
      </c>
      <c r="AI139" s="28">
        <f t="shared" si="145"/>
        <v>31686.604869794683</v>
      </c>
      <c r="AJ139" s="28">
        <f t="shared" si="145"/>
        <v>32430.477902051956</v>
      </c>
      <c r="AK139" s="28">
        <f t="shared" ref="AK139:AL139" si="146">+(AA35+AA46/12*AA44)+(AA86+AA97*AA95)</f>
        <v>34730.080489558291</v>
      </c>
      <c r="AL139" s="28">
        <f t="shared" si="146"/>
        <v>38993.107965122996</v>
      </c>
    </row>
    <row r="140" spans="1:38" ht="17" thickBot="1">
      <c r="A140" s="111">
        <v>12</v>
      </c>
      <c r="N140" s="112">
        <v>32020.83632480125</v>
      </c>
      <c r="O140" s="112">
        <v>32396.406805612907</v>
      </c>
      <c r="P140" s="112">
        <v>29648.456246397174</v>
      </c>
      <c r="Q140" s="112">
        <v>31342.893867548668</v>
      </c>
      <c r="R140" s="112">
        <v>29828.644404724189</v>
      </c>
      <c r="S140" s="112">
        <v>32407.792570534151</v>
      </c>
      <c r="T140" s="112">
        <v>33161.452399785514</v>
      </c>
      <c r="U140" s="112">
        <v>27892.995086845713</v>
      </c>
      <c r="V140" s="112">
        <v>31017.248484273092</v>
      </c>
      <c r="W140" s="112">
        <v>31225.212781432838</v>
      </c>
      <c r="X140" s="112">
        <v>30563.866654096626</v>
      </c>
      <c r="Y140" s="112">
        <v>36381.148301178298</v>
      </c>
      <c r="Z140" s="715"/>
      <c r="AA140" s="112">
        <f t="shared" ref="AA140:AK140" si="147">+(O35+O46/12*O44)+(O86+O97*O95)</f>
        <v>22161.938496266408</v>
      </c>
      <c r="AB140" s="112">
        <f t="shared" si="147"/>
        <v>22506.627991093079</v>
      </c>
      <c r="AC140" s="112">
        <f t="shared" si="147"/>
        <v>19500.073179627198</v>
      </c>
      <c r="AD140" s="112">
        <f t="shared" si="147"/>
        <v>17417.568777884451</v>
      </c>
      <c r="AE140" s="112">
        <f t="shared" si="147"/>
        <v>21852.556649534909</v>
      </c>
      <c r="AF140" s="112">
        <f t="shared" si="147"/>
        <v>25695.399535682183</v>
      </c>
      <c r="AG140" s="112">
        <f t="shared" si="147"/>
        <v>29240.786098811623</v>
      </c>
      <c r="AH140" s="112">
        <f t="shared" si="147"/>
        <v>34631.708539120686</v>
      </c>
      <c r="AI140" s="112">
        <f t="shared" si="147"/>
        <v>30158.733243056682</v>
      </c>
      <c r="AJ140" s="112">
        <f t="shared" si="147"/>
        <v>31686.604869794683</v>
      </c>
      <c r="AK140" s="112">
        <f t="shared" si="147"/>
        <v>32430.477902051956</v>
      </c>
      <c r="AL140" s="112">
        <f t="shared" ref="AL140" si="148">+(AA35+AA46/12*AA44)+(AA86+AA97*AA95)</f>
        <v>34730.080489558291</v>
      </c>
    </row>
    <row r="141" spans="1:38" ht="17" thickTop="1">
      <c r="A141" s="108" t="s">
        <v>74</v>
      </c>
      <c r="N141" s="109">
        <v>377152.69868244539</v>
      </c>
      <c r="O141" s="109">
        <v>379668.03722826065</v>
      </c>
      <c r="P141" s="109">
        <v>381076.09880716709</v>
      </c>
      <c r="Q141" s="109">
        <v>391936.91070873744</v>
      </c>
      <c r="R141" s="109">
        <v>401450.0454990337</v>
      </c>
      <c r="S141" s="109">
        <v>412836.49602055794</v>
      </c>
      <c r="T141" s="109">
        <v>431224.85299310822</v>
      </c>
      <c r="U141" s="109">
        <v>449676.57748277608</v>
      </c>
      <c r="V141" s="109">
        <v>473135.76210571808</v>
      </c>
      <c r="W141" s="109">
        <v>496970.57057184319</v>
      </c>
      <c r="X141" s="109">
        <v>521022.9535828018</v>
      </c>
      <c r="Y141" s="109">
        <v>545891.39684157807</v>
      </c>
      <c r="Z141" s="704"/>
      <c r="AA141" s="109">
        <f>+SUM(AA129:AA140)</f>
        <v>322012.55577248218</v>
      </c>
      <c r="AB141" s="109">
        <f t="shared" ref="AB141:AL141" si="149">+SUM(AB129:AB140)</f>
        <v>338843.72524133878</v>
      </c>
      <c r="AC141" s="109">
        <f t="shared" si="149"/>
        <v>355310.84042519314</v>
      </c>
      <c r="AD141" s="109">
        <f t="shared" si="149"/>
        <v>379029.73334913235</v>
      </c>
      <c r="AE141" s="109">
        <f t="shared" si="149"/>
        <v>404584.67802432069</v>
      </c>
      <c r="AF141" s="109">
        <f t="shared" si="149"/>
        <v>425743.27740360587</v>
      </c>
      <c r="AG141" s="109">
        <f t="shared" si="149"/>
        <v>447809.52488508698</v>
      </c>
      <c r="AH141" s="109">
        <f t="shared" si="149"/>
        <v>466491.93297754368</v>
      </c>
      <c r="AI141" s="109">
        <f t="shared" si="149"/>
        <v>479834.2403525961</v>
      </c>
      <c r="AJ141" s="109">
        <f t="shared" si="149"/>
        <v>501200.05692001391</v>
      </c>
      <c r="AK141" s="109">
        <f t="shared" si="149"/>
        <v>521173.96495575173</v>
      </c>
      <c r="AL141" s="110">
        <f t="shared" si="149"/>
        <v>540475.58625839092</v>
      </c>
    </row>
    <row r="143" spans="1:38">
      <c r="A143" s="108" t="s">
        <v>304</v>
      </c>
      <c r="N143" s="654">
        <v>457214.14654742373</v>
      </c>
      <c r="O143" s="654">
        <v>451655.28658385691</v>
      </c>
      <c r="P143" s="654">
        <v>449861.75645822519</v>
      </c>
      <c r="Q143" s="654">
        <v>478508.78902058059</v>
      </c>
      <c r="R143" s="654">
        <v>489518.60513622419</v>
      </c>
      <c r="S143" s="654">
        <v>501698.94396801427</v>
      </c>
      <c r="T143" s="654">
        <v>560932.8052537858</v>
      </c>
      <c r="U143" s="654">
        <v>582812.31254058378</v>
      </c>
      <c r="V143" s="654">
        <v>606108.38550380222</v>
      </c>
      <c r="W143" s="654">
        <v>674411.91200122156</v>
      </c>
      <c r="X143" s="654">
        <v>700497.55437551532</v>
      </c>
      <c r="Y143" s="654">
        <v>725963.52783644828</v>
      </c>
      <c r="Z143" s="704"/>
      <c r="AA143" s="109">
        <f>+AA127+AA141</f>
        <v>414422.47794350679</v>
      </c>
      <c r="AB143" s="109">
        <f t="shared" ref="AB143:AL143" si="150">+AB127+AB141</f>
        <v>420002.5911889805</v>
      </c>
      <c r="AC143" s="109">
        <f t="shared" si="150"/>
        <v>435064.83368772746</v>
      </c>
      <c r="AD143" s="109">
        <f t="shared" si="150"/>
        <v>454426.80257186212</v>
      </c>
      <c r="AE143" s="109">
        <f t="shared" si="150"/>
        <v>477214.54132921563</v>
      </c>
      <c r="AF143" s="109">
        <f t="shared" si="150"/>
        <v>506660.68950717046</v>
      </c>
      <c r="AG143" s="109">
        <f t="shared" si="150"/>
        <v>538011.20777256298</v>
      </c>
      <c r="AH143" s="109">
        <f t="shared" si="150"/>
        <v>571465.79943809938</v>
      </c>
      <c r="AI143" s="109">
        <f t="shared" si="150"/>
        <v>595601.99622195901</v>
      </c>
      <c r="AJ143" s="109">
        <f t="shared" si="150"/>
        <v>608115.90548123396</v>
      </c>
      <c r="AK143" s="109">
        <f t="shared" si="150"/>
        <v>633238.75397854578</v>
      </c>
      <c r="AL143" s="110">
        <f t="shared" si="150"/>
        <v>654281.01286491926</v>
      </c>
    </row>
    <row r="144" spans="1:38">
      <c r="A144" s="108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704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10"/>
    </row>
    <row r="145" spans="1:38">
      <c r="A145" s="347" t="s">
        <v>45</v>
      </c>
      <c r="B145" s="348" t="e">
        <f>B26+B77+#REF!</f>
        <v>#REF!</v>
      </c>
      <c r="C145" s="348" t="e">
        <f>C26+C77+#REF!</f>
        <v>#REF!</v>
      </c>
      <c r="D145" s="348" t="e">
        <f>D26+D77+#REF!</f>
        <v>#REF!</v>
      </c>
      <c r="E145" s="348" t="e">
        <f>E26+E77+#REF!</f>
        <v>#REF!</v>
      </c>
      <c r="F145" s="348" t="e">
        <f>F26+F77+#REF!</f>
        <v>#REF!</v>
      </c>
      <c r="G145" s="348" t="e">
        <f>G26+G77+#REF!</f>
        <v>#REF!</v>
      </c>
      <c r="H145" s="348" t="e">
        <f>H26+H77+#REF!</f>
        <v>#REF!</v>
      </c>
      <c r="I145" s="348" t="e">
        <f>I26+I77+#REF!</f>
        <v>#REF!</v>
      </c>
      <c r="J145" s="348" t="e">
        <f>J26+J77+#REF!</f>
        <v>#REF!</v>
      </c>
      <c r="K145" s="348" t="e">
        <f>K26+K77+#REF!</f>
        <v>#REF!</v>
      </c>
      <c r="L145" s="348" t="e">
        <f>L26+L77+#REF!</f>
        <v>#REF!</v>
      </c>
      <c r="M145" s="349" t="e">
        <f>M26+M77+#REF!</f>
        <v>#REF!</v>
      </c>
      <c r="N145" s="348">
        <v>5822.2068965517246</v>
      </c>
      <c r="O145" s="348">
        <v>5822.2068965517246</v>
      </c>
      <c r="P145" s="348">
        <v>5822.2068965517246</v>
      </c>
      <c r="Q145" s="348">
        <v>7452</v>
      </c>
      <c r="R145" s="348">
        <v>7452</v>
      </c>
      <c r="S145" s="348">
        <v>7452</v>
      </c>
      <c r="T145" s="348">
        <v>9623.1132075471705</v>
      </c>
      <c r="U145" s="348">
        <v>9623.1132075471705</v>
      </c>
      <c r="V145" s="348">
        <v>9623.1132075471705</v>
      </c>
      <c r="W145" s="348">
        <v>10587.121212121214</v>
      </c>
      <c r="X145" s="348">
        <v>10587.121212121214</v>
      </c>
      <c r="Y145" s="348">
        <v>10587.121212121214</v>
      </c>
      <c r="Z145" s="716"/>
      <c r="AA145" s="348">
        <f t="shared" ref="AA145:AL145" si="151">AA26+AA77</f>
        <v>7923.0000000000009</v>
      </c>
      <c r="AB145" s="348">
        <f t="shared" si="151"/>
        <v>7923.0000000000009</v>
      </c>
      <c r="AC145" s="348">
        <f t="shared" si="151"/>
        <v>7923.0000000000009</v>
      </c>
      <c r="AD145" s="348">
        <f t="shared" si="151"/>
        <v>9042.756666666668</v>
      </c>
      <c r="AE145" s="348">
        <f t="shared" si="151"/>
        <v>9042.756666666668</v>
      </c>
      <c r="AF145" s="348">
        <f t="shared" si="151"/>
        <v>9042.756666666668</v>
      </c>
      <c r="AG145" s="348">
        <f t="shared" si="151"/>
        <v>9976</v>
      </c>
      <c r="AH145" s="348">
        <f t="shared" si="151"/>
        <v>9976</v>
      </c>
      <c r="AI145" s="348">
        <f t="shared" si="151"/>
        <v>9976</v>
      </c>
      <c r="AJ145" s="348">
        <f t="shared" si="151"/>
        <v>10774.08</v>
      </c>
      <c r="AK145" s="348">
        <f t="shared" si="151"/>
        <v>10774.08</v>
      </c>
      <c r="AL145" s="349">
        <f t="shared" si="151"/>
        <v>10774.08</v>
      </c>
    </row>
    <row r="146" spans="1:38">
      <c r="A146" s="350" t="s">
        <v>303</v>
      </c>
      <c r="B146" s="351" t="e">
        <f>B28+B79+#REF!</f>
        <v>#REF!</v>
      </c>
      <c r="C146" s="351" t="e">
        <f>C28+C79+#REF!</f>
        <v>#REF!</v>
      </c>
      <c r="D146" s="351" t="e">
        <f>D28+D79+#REF!</f>
        <v>#REF!</v>
      </c>
      <c r="E146" s="351" t="e">
        <f>E28+E79+#REF!</f>
        <v>#REF!</v>
      </c>
      <c r="F146" s="351" t="e">
        <f>F28+F79+#REF!</f>
        <v>#REF!</v>
      </c>
      <c r="G146" s="351" t="e">
        <f>G28+G79+#REF!</f>
        <v>#REF!</v>
      </c>
      <c r="H146" s="351" t="e">
        <f>H28+H79+#REF!</f>
        <v>#REF!</v>
      </c>
      <c r="I146" s="351" t="e">
        <f>I28+I79+#REF!</f>
        <v>#REF!</v>
      </c>
      <c r="J146" s="351" t="e">
        <f>J28+J79+#REF!</f>
        <v>#REF!</v>
      </c>
      <c r="K146" s="351" t="e">
        <f>K28+K79+#REF!</f>
        <v>#REF!</v>
      </c>
      <c r="L146" s="351" t="e">
        <f>L28+L79+#REF!</f>
        <v>#REF!</v>
      </c>
      <c r="M146" s="352" t="e">
        <f>M28+M79+#REF!</f>
        <v>#REF!</v>
      </c>
      <c r="N146" s="351">
        <v>1297.6827586206898</v>
      </c>
      <c r="O146" s="351">
        <v>1297.6827586206898</v>
      </c>
      <c r="P146" s="351">
        <v>1297.6827586206898</v>
      </c>
      <c r="Q146" s="351">
        <v>1675.8000000000002</v>
      </c>
      <c r="R146" s="351">
        <v>1675.8000000000002</v>
      </c>
      <c r="S146" s="351">
        <v>1675.8000000000002</v>
      </c>
      <c r="T146" s="351">
        <v>2237.9952830188681</v>
      </c>
      <c r="U146" s="351">
        <v>2237.9952830188681</v>
      </c>
      <c r="V146" s="351">
        <v>2237.9952830188681</v>
      </c>
      <c r="W146" s="351">
        <v>2586.1742424242425</v>
      </c>
      <c r="X146" s="351">
        <v>2586.1742424242425</v>
      </c>
      <c r="Y146" s="351">
        <v>2586.1742424242425</v>
      </c>
      <c r="Z146" s="717"/>
      <c r="AA146" s="351">
        <f t="shared" ref="AA146:AL146" si="152">(AA26*AA28)+(AA77*AA79)</f>
        <v>1128.3000000000002</v>
      </c>
      <c r="AB146" s="351">
        <f t="shared" si="152"/>
        <v>1128.3000000000002</v>
      </c>
      <c r="AC146" s="351">
        <f t="shared" si="152"/>
        <v>1128.3000000000002</v>
      </c>
      <c r="AD146" s="351">
        <f t="shared" si="152"/>
        <v>1273.5023333333334</v>
      </c>
      <c r="AE146" s="351">
        <f t="shared" si="152"/>
        <v>1273.5023333333334</v>
      </c>
      <c r="AF146" s="351">
        <f t="shared" si="152"/>
        <v>1273.5023333333334</v>
      </c>
      <c r="AG146" s="351">
        <f t="shared" si="152"/>
        <v>1411.4750000000001</v>
      </c>
      <c r="AH146" s="351">
        <f t="shared" si="152"/>
        <v>1411.4750000000001</v>
      </c>
      <c r="AI146" s="351">
        <f t="shared" si="152"/>
        <v>1411.4750000000001</v>
      </c>
      <c r="AJ146" s="351">
        <f t="shared" si="152"/>
        <v>1524.393</v>
      </c>
      <c r="AK146" s="351">
        <f t="shared" si="152"/>
        <v>1524.393</v>
      </c>
      <c r="AL146" s="352">
        <f t="shared" si="152"/>
        <v>1524.393</v>
      </c>
    </row>
    <row r="147" spans="1:38">
      <c r="A147" s="350" t="s">
        <v>305</v>
      </c>
      <c r="B147" s="117" t="e">
        <f>B27+B78+#REF!</f>
        <v>#REF!</v>
      </c>
      <c r="C147" s="117" t="e">
        <f>C27+C78+#REF!</f>
        <v>#REF!</v>
      </c>
      <c r="D147" s="117" t="e">
        <f>D27+D78+#REF!</f>
        <v>#REF!</v>
      </c>
      <c r="E147" s="117" t="e">
        <f>E27+E78+#REF!</f>
        <v>#REF!</v>
      </c>
      <c r="F147" s="117" t="e">
        <f>F27+F78+#REF!</f>
        <v>#REF!</v>
      </c>
      <c r="G147" s="117" t="e">
        <f>G27+G78+#REF!</f>
        <v>#REF!</v>
      </c>
      <c r="H147" s="117" t="e">
        <f>H27+H78+#REF!</f>
        <v>#REF!</v>
      </c>
      <c r="I147" s="117" t="e">
        <f>I27+I78+#REF!</f>
        <v>#REF!</v>
      </c>
      <c r="J147" s="117" t="e">
        <f>J27+J78+#REF!</f>
        <v>#REF!</v>
      </c>
      <c r="K147" s="117" t="e">
        <f>K27+K78+#REF!</f>
        <v>#REF!</v>
      </c>
      <c r="L147" s="117" t="e">
        <f>L27+L78+#REF!</f>
        <v>#REF!</v>
      </c>
      <c r="M147" s="353" t="e">
        <f>M27+M78+#REF!</f>
        <v>#REF!</v>
      </c>
      <c r="N147" s="117">
        <v>4529.4741379310344</v>
      </c>
      <c r="O147" s="117">
        <v>4529.4741379310344</v>
      </c>
      <c r="P147" s="117">
        <v>4529.4741379310344</v>
      </c>
      <c r="Q147" s="117">
        <v>5782.55</v>
      </c>
      <c r="R147" s="117">
        <v>5782.55</v>
      </c>
      <c r="S147" s="117">
        <v>5782.55</v>
      </c>
      <c r="T147" s="117">
        <v>7394.8179245283018</v>
      </c>
      <c r="U147" s="117">
        <v>7394.8179245283018</v>
      </c>
      <c r="V147" s="117">
        <v>7394.8179245283018</v>
      </c>
      <c r="W147" s="117">
        <v>8012.3136363636377</v>
      </c>
      <c r="X147" s="117">
        <v>8012.3136363636377</v>
      </c>
      <c r="Y147" s="117">
        <v>8012.3136363636377</v>
      </c>
      <c r="Z147" s="717"/>
      <c r="AA147" s="117">
        <f t="shared" ref="AA147:AL147" si="153">(AA26*AA27)+(AA77*AA78)</f>
        <v>6794.7000000000016</v>
      </c>
      <c r="AB147" s="117">
        <f t="shared" si="153"/>
        <v>6794.7000000000016</v>
      </c>
      <c r="AC147" s="117">
        <f t="shared" si="153"/>
        <v>6794.7000000000016</v>
      </c>
      <c r="AD147" s="117">
        <f t="shared" si="153"/>
        <v>7769.2543333333342</v>
      </c>
      <c r="AE147" s="117">
        <f t="shared" si="153"/>
        <v>7769.2543333333342</v>
      </c>
      <c r="AF147" s="117">
        <f t="shared" si="153"/>
        <v>7769.2543333333342</v>
      </c>
      <c r="AG147" s="117">
        <f t="shared" si="153"/>
        <v>8564.5249999999996</v>
      </c>
      <c r="AH147" s="117">
        <f t="shared" si="153"/>
        <v>8564.5249999999996</v>
      </c>
      <c r="AI147" s="117">
        <f t="shared" si="153"/>
        <v>8564.5249999999996</v>
      </c>
      <c r="AJ147" s="117">
        <f t="shared" si="153"/>
        <v>9249.6869999999999</v>
      </c>
      <c r="AK147" s="117">
        <f t="shared" si="153"/>
        <v>9249.6869999999999</v>
      </c>
      <c r="AL147" s="353">
        <f t="shared" si="153"/>
        <v>9249.6869999999999</v>
      </c>
    </row>
    <row r="148" spans="1:38">
      <c r="A148" s="108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704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10"/>
    </row>
    <row r="149" spans="1:38">
      <c r="A149" s="347" t="s">
        <v>306</v>
      </c>
    </row>
    <row r="150" spans="1:38">
      <c r="A150" s="350" t="s">
        <v>47</v>
      </c>
      <c r="B150" s="191" t="e">
        <f>((B14*B28)+(B65*B79)+(#REF!*#REF!))/B146</f>
        <v>#REF!</v>
      </c>
      <c r="C150" s="191" t="e">
        <f>((C14*C28)+(C65*C79)+(#REF!*#REF!))/C146</f>
        <v>#REF!</v>
      </c>
      <c r="D150" s="191" t="e">
        <f>((D14*D28)+(D65*D79)+(#REF!*#REF!))/D146</f>
        <v>#REF!</v>
      </c>
      <c r="E150" s="191" t="e">
        <f>((E14*E28)+(E65*E79)+(#REF!*#REF!))/E146</f>
        <v>#REF!</v>
      </c>
      <c r="F150" s="191" t="e">
        <f>((F14*F28)+(F65*F79)+(#REF!*#REF!))/F146</f>
        <v>#REF!</v>
      </c>
      <c r="G150" s="191" t="e">
        <f>((G14*G28)+(G65*G79)+(#REF!*#REF!))/G146</f>
        <v>#REF!</v>
      </c>
      <c r="H150" s="191" t="e">
        <f>((H14*H28)+(H65*H79)+(#REF!*#REF!))/H146</f>
        <v>#REF!</v>
      </c>
      <c r="I150" s="191" t="e">
        <f>((I14*I28)+(I65*I79)+(#REF!*#REF!))/I146</f>
        <v>#REF!</v>
      </c>
      <c r="J150" s="191" t="e">
        <f>((J14*J28)+(J65*J79)+(#REF!*#REF!))/J146</f>
        <v>#REF!</v>
      </c>
      <c r="K150" s="191" t="e">
        <f>((K14*K28)+(K65*K79)+(#REF!*#REF!))/K146</f>
        <v>#REF!</v>
      </c>
      <c r="L150" s="191" t="e">
        <f>((L14*L28)+(L65*L79)+(#REF!*#REF!))/L146</f>
        <v>#REF!</v>
      </c>
      <c r="M150" s="192" t="e">
        <f>((M14*M28)+(M65*M79)+(#REF!*#REF!))/M146</f>
        <v>#REF!</v>
      </c>
      <c r="N150" s="354">
        <v>11.773070300376268</v>
      </c>
      <c r="O150" s="354">
        <v>11.773070300376268</v>
      </c>
      <c r="P150" s="354">
        <v>11.773070300376268</v>
      </c>
      <c r="Q150" s="354">
        <v>11.756176154672396</v>
      </c>
      <c r="R150" s="354">
        <v>11.756176154672396</v>
      </c>
      <c r="S150" s="354">
        <v>11.756176154672396</v>
      </c>
      <c r="T150" s="354">
        <v>11.692584122835674</v>
      </c>
      <c r="U150" s="354">
        <v>11.692584122835674</v>
      </c>
      <c r="V150" s="354">
        <v>11.692584122835674</v>
      </c>
      <c r="W150" s="354">
        <v>11.609300622482607</v>
      </c>
      <c r="X150" s="354">
        <v>11.609300622482607</v>
      </c>
      <c r="Y150" s="354">
        <v>11.609300622482607</v>
      </c>
      <c r="Z150" s="718"/>
      <c r="AA150" s="354">
        <f t="shared" ref="AA150:AL150" si="154">((AA28*AA26*AA14)+(AA79*AA77*AA65))/AA146</f>
        <v>12.99</v>
      </c>
      <c r="AB150" s="354">
        <f t="shared" si="154"/>
        <v>12.99</v>
      </c>
      <c r="AC150" s="354">
        <f t="shared" si="154"/>
        <v>12.99</v>
      </c>
      <c r="AD150" s="354">
        <f t="shared" si="154"/>
        <v>12.99</v>
      </c>
      <c r="AE150" s="354">
        <f t="shared" si="154"/>
        <v>12.99</v>
      </c>
      <c r="AF150" s="354">
        <f t="shared" si="154"/>
        <v>12.99</v>
      </c>
      <c r="AG150" s="354">
        <f t="shared" si="154"/>
        <v>12.99</v>
      </c>
      <c r="AH150" s="354">
        <f t="shared" si="154"/>
        <v>12.99</v>
      </c>
      <c r="AI150" s="354">
        <f t="shared" si="154"/>
        <v>12.99</v>
      </c>
      <c r="AJ150" s="354">
        <f t="shared" si="154"/>
        <v>12.990000000000002</v>
      </c>
      <c r="AK150" s="354">
        <f t="shared" si="154"/>
        <v>12.990000000000002</v>
      </c>
      <c r="AL150" s="192">
        <f t="shared" si="154"/>
        <v>12.990000000000002</v>
      </c>
    </row>
    <row r="151" spans="1:38">
      <c r="A151" s="350" t="s">
        <v>305</v>
      </c>
      <c r="B151" s="191" t="e">
        <f>((B13*B27)+(B64*B78)+(#REF!*#REF!))/B147</f>
        <v>#REF!</v>
      </c>
      <c r="C151" s="191" t="e">
        <f>((C13*C27)+(C64*C78)+(#REF!*#REF!))/C147</f>
        <v>#REF!</v>
      </c>
      <c r="D151" s="191" t="e">
        <f>((D13*D27)+(D64*D78)+(#REF!*#REF!))/D147</f>
        <v>#REF!</v>
      </c>
      <c r="E151" s="191" t="e">
        <f>((E13*E27)+(E64*E78)+(#REF!*#REF!))/E147</f>
        <v>#REF!</v>
      </c>
      <c r="F151" s="191" t="e">
        <f>((F13*F27)+(F64*F78)+(#REF!*#REF!))/F147</f>
        <v>#REF!</v>
      </c>
      <c r="G151" s="191" t="e">
        <f>((G13*G27)+(G64*G78)+(#REF!*#REF!))/G147</f>
        <v>#REF!</v>
      </c>
      <c r="H151" s="191" t="e">
        <f>((H13*H27)+(H64*H78)+(#REF!*#REF!))/H147</f>
        <v>#REF!</v>
      </c>
      <c r="I151" s="191" t="e">
        <f>((I13*I27)+(I64*I78)+(#REF!*#REF!))/I147</f>
        <v>#REF!</v>
      </c>
      <c r="J151" s="191" t="e">
        <f>((J13*J27)+(J64*J78)+(#REF!*#REF!))/J147</f>
        <v>#REF!</v>
      </c>
      <c r="K151" s="191" t="e">
        <f>((K13*K27)+(K64*K78)+(#REF!*#REF!))/K147</f>
        <v>#REF!</v>
      </c>
      <c r="L151" s="191" t="e">
        <f>((L13*L27)+(L64*L78)+(#REF!*#REF!))/L147</f>
        <v>#REF!</v>
      </c>
      <c r="M151" s="192" t="e">
        <f>((M13*M27)+(M64*M78)+(#REF!*#REF!))/M147</f>
        <v>#REF!</v>
      </c>
      <c r="N151" s="354">
        <v>70.649492309946936</v>
      </c>
      <c r="O151" s="354">
        <v>70.649492309946936</v>
      </c>
      <c r="P151" s="354">
        <v>70.649492309946936</v>
      </c>
      <c r="Q151" s="354">
        <v>70.54164685130263</v>
      </c>
      <c r="R151" s="354">
        <v>70.54164685130263</v>
      </c>
      <c r="S151" s="354">
        <v>70.54164685130263</v>
      </c>
      <c r="T151" s="354">
        <v>70.094805681745271</v>
      </c>
      <c r="U151" s="354">
        <v>70.094805681745271</v>
      </c>
      <c r="V151" s="354">
        <v>70.094805681745271</v>
      </c>
      <c r="W151" s="354">
        <v>69.478404168432419</v>
      </c>
      <c r="X151" s="354">
        <v>69.478404168432419</v>
      </c>
      <c r="Y151" s="354">
        <v>69.478404168432419</v>
      </c>
      <c r="Z151" s="718"/>
      <c r="AA151" s="354">
        <f t="shared" ref="AA151:AL151" si="155">((AA27*AA26*AA13)+(AA78*AA77*AA64))/AA147</f>
        <v>57.44733144951212</v>
      </c>
      <c r="AB151" s="354">
        <f t="shared" si="155"/>
        <v>57.44733144951212</v>
      </c>
      <c r="AC151" s="354">
        <f t="shared" si="155"/>
        <v>57.44733144951212</v>
      </c>
      <c r="AD151" s="354">
        <f t="shared" si="155"/>
        <v>57.68063945347307</v>
      </c>
      <c r="AE151" s="354">
        <f t="shared" si="155"/>
        <v>57.68063945347307</v>
      </c>
      <c r="AF151" s="354">
        <f t="shared" si="155"/>
        <v>57.68063945347307</v>
      </c>
      <c r="AG151" s="354">
        <f t="shared" si="155"/>
        <v>58.83069285803942</v>
      </c>
      <c r="AH151" s="354">
        <f t="shared" si="155"/>
        <v>58.83069285803942</v>
      </c>
      <c r="AI151" s="354">
        <f t="shared" si="155"/>
        <v>58.83069285803942</v>
      </c>
      <c r="AJ151" s="354">
        <f t="shared" si="155"/>
        <v>59.023990209614659</v>
      </c>
      <c r="AK151" s="354">
        <f t="shared" si="155"/>
        <v>59.023990209614659</v>
      </c>
      <c r="AL151" s="192">
        <f t="shared" si="155"/>
        <v>59.023990209614659</v>
      </c>
    </row>
    <row r="152" spans="1:38">
      <c r="A152" s="108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704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10"/>
    </row>
    <row r="153" spans="1:38">
      <c r="A153" s="347" t="s">
        <v>307</v>
      </c>
    </row>
    <row r="154" spans="1:38">
      <c r="A154" s="350" t="s">
        <v>303</v>
      </c>
      <c r="B154" s="262" t="e">
        <f>((B20*B28)+(B71*B79)+(#REF!*#REF!))/B146</f>
        <v>#REF!</v>
      </c>
      <c r="C154" s="262" t="e">
        <f>((C20*C28)+(C71*C79)+(#REF!*#REF!))/C146</f>
        <v>#REF!</v>
      </c>
      <c r="D154" s="262" t="e">
        <f>((D20*D28)+(D71*D79)+(#REF!*#REF!))/D146</f>
        <v>#REF!</v>
      </c>
      <c r="E154" s="262" t="e">
        <f>((E20*E28)+(E71*E79)+(#REF!*#REF!))/E146</f>
        <v>#REF!</v>
      </c>
      <c r="F154" s="262" t="e">
        <f>((F20*F28)+(F71*F79)+(#REF!*#REF!))/F146</f>
        <v>#REF!</v>
      </c>
      <c r="G154" s="262" t="e">
        <f>((G20*G28)+(G71*G79)+(#REF!*#REF!))/G146</f>
        <v>#REF!</v>
      </c>
      <c r="H154" s="262" t="e">
        <f>((H20*H28)+(H71*H79)+(#REF!*#REF!))/H146</f>
        <v>#REF!</v>
      </c>
      <c r="I154" s="262" t="e">
        <f>((I20*I28)+(I71*I79)+(#REF!*#REF!))/I146</f>
        <v>#REF!</v>
      </c>
      <c r="J154" s="262" t="e">
        <f>((J20*J28)+(J71*J79)+(#REF!*#REF!))/J146</f>
        <v>#REF!</v>
      </c>
      <c r="K154" s="262" t="e">
        <f>((K20*K28)+(K71*K79)+(#REF!*#REF!))/K146</f>
        <v>#REF!</v>
      </c>
      <c r="L154" s="262" t="e">
        <f>((L20*L28)+(L71*L79)+(#REF!*#REF!))/L146</f>
        <v>#REF!</v>
      </c>
      <c r="M154" s="316" t="e">
        <f>((M20*M28)+(M71*M79)+(#REF!*#REF!))/M146</f>
        <v>#REF!</v>
      </c>
      <c r="N154" s="276">
        <v>0.1004882974426564</v>
      </c>
      <c r="O154" s="276">
        <v>0.1004882974426564</v>
      </c>
      <c r="P154" s="276">
        <v>0.1004882974426564</v>
      </c>
      <c r="Q154" s="276">
        <v>0.10090225563909774</v>
      </c>
      <c r="R154" s="276">
        <v>0.10090225563909774</v>
      </c>
      <c r="S154" s="276">
        <v>0.10090225563909774</v>
      </c>
      <c r="T154" s="276">
        <v>0.10245081198427669</v>
      </c>
      <c r="U154" s="276">
        <v>0.10245081198427669</v>
      </c>
      <c r="V154" s="276">
        <v>0.10245081198427669</v>
      </c>
      <c r="W154" s="276">
        <v>0.10452581471988284</v>
      </c>
      <c r="X154" s="276">
        <v>0.10452581471988284</v>
      </c>
      <c r="Y154" s="276">
        <v>0.10452581471988284</v>
      </c>
      <c r="Z154" s="699"/>
      <c r="AA154" s="276">
        <f t="shared" ref="AA154:AL154" si="156">(AA20*(AA26*AA28)+AA71*(AA77*AA79))/AA146</f>
        <v>9.2507311885136917E-2</v>
      </c>
      <c r="AB154" s="276">
        <f t="shared" si="156"/>
        <v>9.2507311885136917E-2</v>
      </c>
      <c r="AC154" s="276">
        <f t="shared" si="156"/>
        <v>9.2507311885136917E-2</v>
      </c>
      <c r="AD154" s="276">
        <f t="shared" si="156"/>
        <v>9.2177064457675387E-2</v>
      </c>
      <c r="AE154" s="276">
        <f t="shared" si="156"/>
        <v>9.2177064457675387E-2</v>
      </c>
      <c r="AF154" s="276">
        <f t="shared" si="156"/>
        <v>9.2177064457675387E-2</v>
      </c>
      <c r="AG154" s="276">
        <f t="shared" si="156"/>
        <v>9.2315308453922315E-2</v>
      </c>
      <c r="AH154" s="276">
        <f t="shared" si="156"/>
        <v>9.2315308453922315E-2</v>
      </c>
      <c r="AI154" s="276">
        <f t="shared" si="156"/>
        <v>9.2315308453922315E-2</v>
      </c>
      <c r="AJ154" s="276">
        <f t="shared" si="156"/>
        <v>9.2315308453922329E-2</v>
      </c>
      <c r="AK154" s="276">
        <f t="shared" si="156"/>
        <v>9.2315308453922329E-2</v>
      </c>
      <c r="AL154" s="316">
        <f t="shared" si="156"/>
        <v>9.2315308453922329E-2</v>
      </c>
    </row>
    <row r="155" spans="1:38">
      <c r="A155" s="350" t="s">
        <v>305</v>
      </c>
      <c r="B155" s="262" t="e">
        <f>((B21*B27)+(B72*B78)+(#REF!*#REF!))/B147</f>
        <v>#REF!</v>
      </c>
      <c r="C155" s="262" t="e">
        <f>((C21*C27)+(C72*C78)+(#REF!*#REF!))/C147</f>
        <v>#REF!</v>
      </c>
      <c r="D155" s="262" t="e">
        <f>((D21*D27)+(D72*D78)+(#REF!*#REF!))/D147</f>
        <v>#REF!</v>
      </c>
      <c r="E155" s="262" t="e">
        <f>((E21*E27)+(E72*E78)+(#REF!*#REF!))/E147</f>
        <v>#REF!</v>
      </c>
      <c r="F155" s="262" t="e">
        <f>((F21*F27)+(F72*F78)+(#REF!*#REF!))/F147</f>
        <v>#REF!</v>
      </c>
      <c r="G155" s="262" t="e">
        <f>((G21*G27)+(G72*G78)+(#REF!*#REF!))/G147</f>
        <v>#REF!</v>
      </c>
      <c r="H155" s="262" t="e">
        <f>((H21*H27)+(H72*H78)+(#REF!*#REF!))/H147</f>
        <v>#REF!</v>
      </c>
      <c r="I155" s="262" t="e">
        <f>((I21*I27)+(I72*I78)+(#REF!*#REF!))/I147</f>
        <v>#REF!</v>
      </c>
      <c r="J155" s="262" t="e">
        <f>((J21*J27)+(J72*J78)+(#REF!*#REF!))/J147</f>
        <v>#REF!</v>
      </c>
      <c r="K155" s="262" t="e">
        <f>((K21*K27)+(K72*K78)+(#REF!*#REF!))/K147</f>
        <v>#REF!</v>
      </c>
      <c r="L155" s="262" t="e">
        <f>((L21*L27)+(L72*L78)+(#REF!*#REF!))/L147</f>
        <v>#REF!</v>
      </c>
      <c r="M155" s="316" t="e">
        <f>((M21*M27)+(M72*M78)+(#REF!*#REF!))/M147</f>
        <v>#REF!</v>
      </c>
      <c r="N155" s="276">
        <v>0.70607210440368939</v>
      </c>
      <c r="O155" s="276">
        <v>0.70276156600678319</v>
      </c>
      <c r="P155" s="276">
        <v>0.70276156600678319</v>
      </c>
      <c r="Q155" s="276">
        <v>0.70331330877752862</v>
      </c>
      <c r="R155" s="276">
        <v>0.70331330877752862</v>
      </c>
      <c r="S155" s="276">
        <v>0.70331330877752862</v>
      </c>
      <c r="T155" s="276">
        <v>0.70519940664664271</v>
      </c>
      <c r="U155" s="276">
        <v>0.70519940664664271</v>
      </c>
      <c r="V155" s="276">
        <v>0.70519940664664271</v>
      </c>
      <c r="W155" s="276">
        <v>0.7089979607872875</v>
      </c>
      <c r="X155" s="276">
        <v>0.7089979607872875</v>
      </c>
      <c r="Y155" s="276">
        <v>0.7089979607872875</v>
      </c>
      <c r="Z155" s="699"/>
      <c r="AA155" s="276">
        <f t="shared" ref="AA155:AL155" si="157">(AA21*(AA26*AA27)+AA72*(AA77*AA78))/AA147</f>
        <v>0.82614287606516834</v>
      </c>
      <c r="AB155" s="276">
        <f t="shared" si="157"/>
        <v>0.82614287606516834</v>
      </c>
      <c r="AC155" s="276">
        <f t="shared" si="157"/>
        <v>0.82614287606516834</v>
      </c>
      <c r="AD155" s="276">
        <f t="shared" si="157"/>
        <v>0.82629312173802338</v>
      </c>
      <c r="AE155" s="276">
        <f t="shared" si="157"/>
        <v>0.82629312173802338</v>
      </c>
      <c r="AF155" s="276">
        <f t="shared" si="157"/>
        <v>0.82629312173802338</v>
      </c>
      <c r="AG155" s="276">
        <f t="shared" si="157"/>
        <v>0.82623070164428269</v>
      </c>
      <c r="AH155" s="276">
        <f t="shared" si="157"/>
        <v>0.82623070164428269</v>
      </c>
      <c r="AI155" s="276">
        <f t="shared" si="157"/>
        <v>0.82623070164428269</v>
      </c>
      <c r="AJ155" s="276">
        <f t="shared" si="157"/>
        <v>0.82623070164428258</v>
      </c>
      <c r="AK155" s="276">
        <f t="shared" si="157"/>
        <v>0.82623070164428258</v>
      </c>
      <c r="AL155" s="316">
        <f t="shared" si="157"/>
        <v>0.82623070164428258</v>
      </c>
    </row>
    <row r="157" spans="1:38">
      <c r="A157" s="347" t="s">
        <v>308</v>
      </c>
    </row>
    <row r="158" spans="1:38">
      <c r="A158" s="350" t="s">
        <v>303</v>
      </c>
      <c r="B158" s="355" t="e">
        <f>B150/B154</f>
        <v>#REF!</v>
      </c>
      <c r="C158" s="355" t="e">
        <f t="shared" ref="C158:L159" si="158">C150/C154</f>
        <v>#REF!</v>
      </c>
      <c r="D158" s="355" t="e">
        <f t="shared" si="158"/>
        <v>#REF!</v>
      </c>
      <c r="E158" s="355" t="e">
        <f t="shared" si="158"/>
        <v>#REF!</v>
      </c>
      <c r="F158" s="355" t="e">
        <f t="shared" si="158"/>
        <v>#REF!</v>
      </c>
      <c r="G158" s="355" t="e">
        <f t="shared" si="158"/>
        <v>#REF!</v>
      </c>
      <c r="H158" s="355" t="e">
        <f t="shared" si="158"/>
        <v>#REF!</v>
      </c>
      <c r="I158" s="355" t="e">
        <f t="shared" si="158"/>
        <v>#REF!</v>
      </c>
      <c r="J158" s="355" t="e">
        <f t="shared" si="158"/>
        <v>#REF!</v>
      </c>
      <c r="K158" s="355" t="e">
        <f t="shared" si="158"/>
        <v>#REF!</v>
      </c>
      <c r="L158" s="355" t="e">
        <f t="shared" si="158"/>
        <v>#REF!</v>
      </c>
      <c r="M158" s="356" t="e">
        <f t="shared" ref="M158:M159" si="159">M150/M154</f>
        <v>#REF!</v>
      </c>
      <c r="N158" s="357">
        <v>117.15862045622343</v>
      </c>
      <c r="O158" s="358">
        <v>117.15862045622343</v>
      </c>
      <c r="P158" s="359">
        <v>117.15862045622343</v>
      </c>
      <c r="Q158" s="359">
        <v>116.51053864168618</v>
      </c>
      <c r="R158" s="359">
        <v>116.51053864168618</v>
      </c>
      <c r="S158" s="359">
        <v>116.51053864168618</v>
      </c>
      <c r="T158" s="359">
        <v>114.12875990314411</v>
      </c>
      <c r="U158" s="359">
        <v>114.12875990314411</v>
      </c>
      <c r="V158" s="359">
        <v>114.12875990314411</v>
      </c>
      <c r="W158" s="359">
        <v>111.06634905065506</v>
      </c>
      <c r="X158" s="359">
        <v>111.06634905065506</v>
      </c>
      <c r="Y158" s="358">
        <v>111.06634905065506</v>
      </c>
      <c r="Z158" s="719"/>
      <c r="AA158" s="357">
        <f>AA150/AA154</f>
        <v>140.42133249022766</v>
      </c>
      <c r="AB158" s="358">
        <f t="shared" ref="AA158:AB159" si="160">AB150/AB154</f>
        <v>140.42133249022766</v>
      </c>
      <c r="AC158" s="359">
        <f t="shared" ref="AC158:AL158" si="161">AC150/AC154</f>
        <v>140.42133249022766</v>
      </c>
      <c r="AD158" s="359">
        <f t="shared" si="161"/>
        <v>140.92442709503482</v>
      </c>
      <c r="AE158" s="359">
        <f t="shared" si="161"/>
        <v>140.92442709503482</v>
      </c>
      <c r="AF158" s="359">
        <f t="shared" si="161"/>
        <v>140.92442709503482</v>
      </c>
      <c r="AG158" s="359">
        <f t="shared" si="161"/>
        <v>140.71338998432472</v>
      </c>
      <c r="AH158" s="359">
        <f t="shared" si="161"/>
        <v>140.71338998432472</v>
      </c>
      <c r="AI158" s="359">
        <f t="shared" si="161"/>
        <v>140.71338998432472</v>
      </c>
      <c r="AJ158" s="359">
        <f t="shared" si="161"/>
        <v>140.71338998432472</v>
      </c>
      <c r="AK158" s="359">
        <f t="shared" si="161"/>
        <v>140.71338998432472</v>
      </c>
      <c r="AL158" s="360">
        <f t="shared" si="161"/>
        <v>140.71338998432472</v>
      </c>
    </row>
    <row r="159" spans="1:38">
      <c r="A159" s="350" t="s">
        <v>305</v>
      </c>
      <c r="B159" s="361" t="e">
        <f>B151/B155</f>
        <v>#REF!</v>
      </c>
      <c r="C159" s="361" t="e">
        <f t="shared" si="158"/>
        <v>#REF!</v>
      </c>
      <c r="D159" s="361" t="e">
        <f t="shared" si="158"/>
        <v>#REF!</v>
      </c>
      <c r="E159" s="361" t="e">
        <f>E151/E155</f>
        <v>#REF!</v>
      </c>
      <c r="F159" s="361" t="e">
        <f t="shared" si="158"/>
        <v>#REF!</v>
      </c>
      <c r="G159" s="361" t="e">
        <f t="shared" si="158"/>
        <v>#REF!</v>
      </c>
      <c r="H159" s="361" t="e">
        <f t="shared" si="158"/>
        <v>#REF!</v>
      </c>
      <c r="I159" s="361" t="e">
        <f t="shared" si="158"/>
        <v>#REF!</v>
      </c>
      <c r="J159" s="361" t="e">
        <f t="shared" si="158"/>
        <v>#REF!</v>
      </c>
      <c r="K159" s="361" t="e">
        <f t="shared" si="158"/>
        <v>#REF!</v>
      </c>
      <c r="L159" s="361" t="e">
        <f t="shared" si="158"/>
        <v>#REF!</v>
      </c>
      <c r="M159" s="362" t="e">
        <f t="shared" si="159"/>
        <v>#REF!</v>
      </c>
      <c r="N159" s="363">
        <v>100.05988321775395</v>
      </c>
      <c r="O159" s="363">
        <v>100.53124093195645</v>
      </c>
      <c r="P159" s="361">
        <v>100.53124093195645</v>
      </c>
      <c r="Q159" s="361">
        <v>100.29903596437742</v>
      </c>
      <c r="R159" s="361">
        <v>100.29903596437742</v>
      </c>
      <c r="S159" s="361">
        <v>100.29903596437742</v>
      </c>
      <c r="T159" s="361">
        <v>99.397142171544644</v>
      </c>
      <c r="U159" s="361">
        <v>99.397142171544644</v>
      </c>
      <c r="V159" s="361">
        <v>99.397142171544644</v>
      </c>
      <c r="W159" s="361">
        <v>97.995210157278891</v>
      </c>
      <c r="X159" s="361">
        <v>97.995210157278891</v>
      </c>
      <c r="Y159" s="363">
        <v>97.995210157278891</v>
      </c>
      <c r="Z159" s="720"/>
      <c r="AA159" s="363">
        <f t="shared" si="160"/>
        <v>69.536799401004004</v>
      </c>
      <c r="AB159" s="363">
        <f t="shared" si="160"/>
        <v>69.536799401004004</v>
      </c>
      <c r="AC159" s="361">
        <f t="shared" ref="AC159:AL159" si="162">AC151/AC155</f>
        <v>69.536799401004004</v>
      </c>
      <c r="AD159" s="361">
        <f t="shared" si="162"/>
        <v>69.806510469490206</v>
      </c>
      <c r="AE159" s="361">
        <f t="shared" si="162"/>
        <v>69.806510469490206</v>
      </c>
      <c r="AF159" s="361">
        <f t="shared" si="162"/>
        <v>69.806510469490206</v>
      </c>
      <c r="AG159" s="361">
        <f t="shared" si="162"/>
        <v>71.203711918427132</v>
      </c>
      <c r="AH159" s="361">
        <f t="shared" si="162"/>
        <v>71.203711918427132</v>
      </c>
      <c r="AI159" s="361">
        <f t="shared" si="162"/>
        <v>71.203711918427132</v>
      </c>
      <c r="AJ159" s="361">
        <f t="shared" si="162"/>
        <v>71.437662740141405</v>
      </c>
      <c r="AK159" s="361">
        <f t="shared" si="162"/>
        <v>71.437662740141405</v>
      </c>
      <c r="AL159" s="362">
        <f t="shared" si="162"/>
        <v>71.437662740141405</v>
      </c>
    </row>
    <row r="160" spans="1:38">
      <c r="A160" s="350"/>
    </row>
    <row r="161" spans="1:38">
      <c r="A161" s="364" t="s">
        <v>309</v>
      </c>
      <c r="B161" s="365" t="e">
        <f>SUMPRODUCT(B146:B147,B158:B159)/B145</f>
        <v>#REF!</v>
      </c>
      <c r="C161" s="365" t="e">
        <f t="shared" ref="C161:M161" si="163">SUMPRODUCT(C146:C147,C158:C159)/C145</f>
        <v>#REF!</v>
      </c>
      <c r="D161" s="365" t="e">
        <f t="shared" si="163"/>
        <v>#REF!</v>
      </c>
      <c r="E161" s="365" t="e">
        <f t="shared" si="163"/>
        <v>#REF!</v>
      </c>
      <c r="F161" s="365" t="e">
        <f t="shared" si="163"/>
        <v>#REF!</v>
      </c>
      <c r="G161" s="365" t="e">
        <f t="shared" si="163"/>
        <v>#REF!</v>
      </c>
      <c r="H161" s="365" t="e">
        <f t="shared" si="163"/>
        <v>#REF!</v>
      </c>
      <c r="I161" s="365" t="e">
        <f t="shared" si="163"/>
        <v>#REF!</v>
      </c>
      <c r="J161" s="365" t="e">
        <f t="shared" si="163"/>
        <v>#REF!</v>
      </c>
      <c r="K161" s="365" t="e">
        <f t="shared" si="163"/>
        <v>#REF!</v>
      </c>
      <c r="L161" s="365" t="e">
        <f t="shared" si="163"/>
        <v>#REF!</v>
      </c>
      <c r="M161" s="366" t="e">
        <f t="shared" si="163"/>
        <v>#REF!</v>
      </c>
      <c r="N161" s="367">
        <v>103.95600599963416</v>
      </c>
      <c r="O161" s="367">
        <v>104.32270588064645</v>
      </c>
      <c r="P161" s="365">
        <v>104.32270588064645</v>
      </c>
      <c r="Q161" s="365">
        <v>104.03013299403494</v>
      </c>
      <c r="R161" s="365">
        <v>104.03013299403494</v>
      </c>
      <c r="S161" s="365">
        <v>104.03013299403494</v>
      </c>
      <c r="T161" s="365">
        <v>102.92338597038176</v>
      </c>
      <c r="U161" s="365">
        <v>102.92338597038176</v>
      </c>
      <c r="V161" s="365">
        <v>102.92338597038176</v>
      </c>
      <c r="W161" s="365">
        <v>101.29337978378786</v>
      </c>
      <c r="X161" s="365">
        <v>101.29337978378786</v>
      </c>
      <c r="Y161" s="367">
        <v>101.29337978378786</v>
      </c>
      <c r="Z161" s="721"/>
      <c r="AA161" s="367">
        <f>SUMPRODUCT(AA146:AA147,AA158:AA159)/AA145</f>
        <v>79.631336657670815</v>
      </c>
      <c r="AB161" s="367">
        <f t="shared" ref="AB161:AL161" si="164">SUMPRODUCT(AB146:AB147,AB158:AB159)/AB145</f>
        <v>79.631336657670815</v>
      </c>
      <c r="AC161" s="365">
        <f t="shared" si="164"/>
        <v>79.631336657670815</v>
      </c>
      <c r="AD161" s="365">
        <f t="shared" si="164"/>
        <v>79.822132486423442</v>
      </c>
      <c r="AE161" s="365">
        <f t="shared" si="164"/>
        <v>79.822132486423442</v>
      </c>
      <c r="AF161" s="365">
        <f t="shared" si="164"/>
        <v>79.822132486423442</v>
      </c>
      <c r="AG161" s="365">
        <f t="shared" si="164"/>
        <v>81.038432532707688</v>
      </c>
      <c r="AH161" s="365">
        <f t="shared" si="164"/>
        <v>81.038432532707688</v>
      </c>
      <c r="AI161" s="365">
        <f t="shared" si="164"/>
        <v>81.038432532707688</v>
      </c>
      <c r="AJ161" s="365">
        <f t="shared" si="164"/>
        <v>81.239282338375546</v>
      </c>
      <c r="AK161" s="365">
        <f t="shared" si="164"/>
        <v>81.239282338375546</v>
      </c>
      <c r="AL161" s="366">
        <f t="shared" si="164"/>
        <v>81.239282338375546</v>
      </c>
    </row>
    <row r="162" spans="1:38">
      <c r="A162" s="364" t="s">
        <v>72</v>
      </c>
      <c r="B162" s="359" t="e">
        <f>B161/B115</f>
        <v>#REF!</v>
      </c>
      <c r="C162" s="359" t="e">
        <f t="shared" ref="C162:M162" si="165">C161/C115</f>
        <v>#REF!</v>
      </c>
      <c r="D162" s="359" t="e">
        <f t="shared" si="165"/>
        <v>#REF!</v>
      </c>
      <c r="E162" s="359" t="e">
        <f t="shared" si="165"/>
        <v>#REF!</v>
      </c>
      <c r="F162" s="359" t="e">
        <f t="shared" si="165"/>
        <v>#REF!</v>
      </c>
      <c r="G162" s="359" t="e">
        <f t="shared" si="165"/>
        <v>#REF!</v>
      </c>
      <c r="H162" s="359" t="e">
        <f t="shared" si="165"/>
        <v>#REF!</v>
      </c>
      <c r="I162" s="359" t="e">
        <f t="shared" si="165"/>
        <v>#REF!</v>
      </c>
      <c r="J162" s="359" t="e">
        <f t="shared" si="165"/>
        <v>#REF!</v>
      </c>
      <c r="K162" s="359" t="e">
        <f t="shared" si="165"/>
        <v>#REF!</v>
      </c>
      <c r="L162" s="359" t="e">
        <f t="shared" si="165"/>
        <v>#REF!</v>
      </c>
      <c r="M162" s="360" t="e">
        <f t="shared" si="165"/>
        <v>#REF!</v>
      </c>
      <c r="N162" s="358">
        <v>3.2894205166795785</v>
      </c>
      <c r="O162" s="358">
        <v>3.3010237915502008</v>
      </c>
      <c r="P162" s="359">
        <v>3.3010237915502008</v>
      </c>
      <c r="Q162" s="359">
        <v>3.5990369130526854</v>
      </c>
      <c r="R162" s="359">
        <v>3.5990369130526854</v>
      </c>
      <c r="S162" s="359">
        <v>3.5990369130526854</v>
      </c>
      <c r="T162" s="359">
        <v>3.864390928197643</v>
      </c>
      <c r="U162" s="359">
        <v>3.864390928197643</v>
      </c>
      <c r="V162" s="359">
        <v>3.864390928197643</v>
      </c>
      <c r="W162" s="359">
        <v>4.1646807369180214</v>
      </c>
      <c r="X162" s="359">
        <v>4.1646807369180214</v>
      </c>
      <c r="Y162" s="358">
        <v>4.1646807369180214</v>
      </c>
      <c r="Z162" s="719"/>
      <c r="AA162" s="358">
        <f>AA161/AA115</f>
        <v>3.5051060018818112</v>
      </c>
      <c r="AB162" s="358">
        <f t="shared" ref="AB162:AL162" si="166">AB161/AB115</f>
        <v>3.5051060018818112</v>
      </c>
      <c r="AC162" s="359">
        <f t="shared" si="166"/>
        <v>3.5051060018818112</v>
      </c>
      <c r="AD162" s="359">
        <f t="shared" si="166"/>
        <v>3.5088479072156975</v>
      </c>
      <c r="AE162" s="359">
        <f t="shared" si="166"/>
        <v>3.5088479072156975</v>
      </c>
      <c r="AF162" s="359">
        <f t="shared" si="166"/>
        <v>3.5088479072156975</v>
      </c>
      <c r="AG162" s="359">
        <f t="shared" si="166"/>
        <v>3.6155608360746503</v>
      </c>
      <c r="AH162" s="359">
        <f t="shared" si="166"/>
        <v>3.6155608360746503</v>
      </c>
      <c r="AI162" s="359">
        <f t="shared" si="166"/>
        <v>3.6155608360746503</v>
      </c>
      <c r="AJ162" s="359">
        <f t="shared" si="166"/>
        <v>3.6245218274044473</v>
      </c>
      <c r="AK162" s="359">
        <f t="shared" si="166"/>
        <v>3.6245218274044473</v>
      </c>
      <c r="AL162" s="360">
        <f t="shared" si="166"/>
        <v>3.6245218274044473</v>
      </c>
    </row>
  </sheetData>
  <mergeCells count="6">
    <mergeCell ref="A107:A108"/>
    <mergeCell ref="AA3:AL3"/>
    <mergeCell ref="B3:M3"/>
    <mergeCell ref="N3:Y3"/>
    <mergeCell ref="A5:A6"/>
    <mergeCell ref="A56:A57"/>
  </mergeCells>
  <hyperlinks>
    <hyperlink ref="AM27" r:id="rId1" location="/site/andressada/views/TrackSubscriptions-V3/TrackSubscriptionsGrossSalesARPUPaymentsPerPlanType?:iid=1" display="https://us-east-1.online.tableau.com/ - /site/andressada/views/TrackSubscriptions-V3/TrackSubscriptionsGrossSalesARPUPaymentsPerPlanType?:iid=1" xr:uid="{11ED5F97-FEBE-4C45-8514-C1C75E68497E}"/>
    <hyperlink ref="AM28" r:id="rId2" location="/site/andressada/views/TrackSubscriptions-V3/TrackSubscriptionsGrossSalesARPUPaymentsPerPlanType?:iid=1" display="https://us-east-1.online.tableau.com/ - /site/andressada/views/TrackSubscriptions-V3/TrackSubscriptionsGrossSalesARPUPaymentsPerPlanType?:iid=1" xr:uid="{F6492932-BE20-9146-9809-142FF20B9CEC}"/>
    <hyperlink ref="AM78" r:id="rId3" location="/site/andressada/views/TrackSubscriptions-V3/TrackSubscriptionsGrossSalesARPUPaymentsPerPlanType?:iid=1" display="https://us-east-1.online.tableau.com/ - /site/andressada/views/TrackSubscriptions-V3/TrackSubscriptionsGrossSalesARPUPaymentsPerPlanType?:iid=1" xr:uid="{85508C48-6071-9248-A403-C7DF76D65B8F}"/>
    <hyperlink ref="AM79" r:id="rId4" location="/site/andressada/views/TrackSubscriptions-V3/TrackSubscriptionsGrossSalesARPUPaymentsPerPlanType?:iid=1" display="https://us-east-1.online.tableau.com/ - /site/andressada/views/TrackSubscriptions-V3/TrackSubscriptionsGrossSalesARPUPaymentsPerPlanType?:iid=1" xr:uid="{3E8856C2-71B0-F749-8EBD-08CE2E090296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82704-CAB3-9A41-BD6F-CABF299ECB81}">
  <sheetPr codeName="Sheet7"/>
  <dimension ref="A1:BC176"/>
  <sheetViews>
    <sheetView zoomScale="50" zoomScaleNormal="67" workbookViewId="0">
      <selection activeCell="D7" sqref="D7"/>
    </sheetView>
  </sheetViews>
  <sheetFormatPr baseColWidth="10" defaultRowHeight="16"/>
  <cols>
    <col min="5" max="5" width="39.1640625" bestFit="1" customWidth="1"/>
    <col min="6" max="6" width="33.6640625" customWidth="1"/>
    <col min="14" max="15" width="14" style="34" bestFit="1" customWidth="1"/>
    <col min="16" max="27" width="12.5" style="34" bestFit="1" customWidth="1"/>
    <col min="28" max="28" width="11.6640625" bestFit="1" customWidth="1"/>
    <col min="29" max="29" width="14.6640625" bestFit="1" customWidth="1"/>
    <col min="30" max="41" width="12.5" bestFit="1" customWidth="1"/>
    <col min="43" max="55" width="14.6640625" bestFit="1" customWidth="1"/>
  </cols>
  <sheetData>
    <row r="1" spans="1:55">
      <c r="AB1" s="494" t="s">
        <v>190</v>
      </c>
      <c r="AC1" s="494">
        <v>1.1599999999999999</v>
      </c>
      <c r="AD1" s="28"/>
      <c r="AF1" s="28"/>
      <c r="AH1" s="28"/>
      <c r="AJ1" s="28"/>
      <c r="AL1" s="28"/>
      <c r="AN1" s="28"/>
      <c r="AQ1" s="494"/>
      <c r="AR1" s="494"/>
      <c r="AS1" s="494"/>
      <c r="AT1" s="494"/>
      <c r="AU1" s="494"/>
      <c r="AV1" s="494"/>
      <c r="AW1" s="494"/>
      <c r="AX1" s="494"/>
      <c r="AY1" s="494"/>
      <c r="AZ1" s="494"/>
      <c r="BA1" s="494"/>
      <c r="BB1" s="494"/>
      <c r="BC1" s="494"/>
    </row>
    <row r="2" spans="1:55">
      <c r="AB2" s="496" t="s">
        <v>102</v>
      </c>
      <c r="AC2" s="496">
        <v>18.5</v>
      </c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Q2" s="496"/>
      <c r="AR2" s="496"/>
      <c r="AS2" s="496"/>
      <c r="AT2" s="496"/>
      <c r="AU2" s="496"/>
      <c r="AV2" s="496"/>
      <c r="AW2" s="496"/>
      <c r="AX2" s="496"/>
      <c r="AY2" s="496"/>
      <c r="AZ2" s="496"/>
      <c r="BA2" s="496"/>
      <c r="BB2" s="496"/>
      <c r="BC2" s="496"/>
    </row>
    <row r="3" spans="1:55">
      <c r="AB3" s="496" t="s">
        <v>19</v>
      </c>
      <c r="AC3" s="496">
        <v>5.5</v>
      </c>
      <c r="AD3" s="404" t="s">
        <v>764</v>
      </c>
      <c r="AE3" s="520"/>
      <c r="AF3" s="520"/>
      <c r="AG3" s="520"/>
      <c r="AH3" s="520"/>
      <c r="AI3" s="520"/>
      <c r="AJ3" s="520"/>
      <c r="AK3" s="520"/>
      <c r="AL3" s="520"/>
      <c r="AM3" s="520"/>
      <c r="AN3" s="520"/>
      <c r="AO3" s="520"/>
      <c r="AQ3" s="651" t="s">
        <v>914</v>
      </c>
      <c r="AR3" s="651"/>
      <c r="AS3" s="651"/>
      <c r="AT3" s="651"/>
      <c r="AU3" s="651"/>
      <c r="AV3" s="651"/>
      <c r="AW3" s="651"/>
      <c r="AX3" s="651"/>
      <c r="AY3" s="651"/>
      <c r="AZ3" s="651"/>
      <c r="BA3" s="651"/>
      <c r="BB3" s="651"/>
      <c r="BC3" s="651"/>
    </row>
    <row r="4" spans="1:55">
      <c r="AB4" s="496"/>
      <c r="AC4" s="496"/>
      <c r="AD4" s="521">
        <f t="shared" ref="AD4:AO4" si="0">+SUBTOTAL(9,AD6:AD1048576)</f>
        <v>140080.77730029507</v>
      </c>
      <c r="AE4" s="521">
        <f t="shared" si="0"/>
        <v>208202.6175705654</v>
      </c>
      <c r="AF4" s="521">
        <f t="shared" si="0"/>
        <v>144816.25459759237</v>
      </c>
      <c r="AG4" s="521">
        <f t="shared" si="0"/>
        <v>132339.48243543025</v>
      </c>
      <c r="AH4" s="521">
        <f t="shared" si="0"/>
        <v>144838.5881111059</v>
      </c>
      <c r="AI4" s="521">
        <f t="shared" si="0"/>
        <v>128352.71849961943</v>
      </c>
      <c r="AJ4" s="521">
        <f t="shared" si="0"/>
        <v>203035.89459759241</v>
      </c>
      <c r="AK4" s="521">
        <f t="shared" si="0"/>
        <v>142266.43648948427</v>
      </c>
      <c r="AL4" s="521">
        <f t="shared" si="0"/>
        <v>147297.08324624106</v>
      </c>
      <c r="AM4" s="521">
        <f t="shared" si="0"/>
        <v>125540.88784083562</v>
      </c>
      <c r="AN4" s="521">
        <f t="shared" si="0"/>
        <v>146936.10162461945</v>
      </c>
      <c r="AO4" s="521">
        <f t="shared" si="0"/>
        <v>170694.76635434915</v>
      </c>
      <c r="AQ4" s="651"/>
      <c r="AR4" s="651">
        <f t="shared" ref="AR4:BC4" si="1">+SUBTOTAL(9,AR6:AR1048576)</f>
        <v>152142.25725992958</v>
      </c>
      <c r="AS4" s="651">
        <f t="shared" si="1"/>
        <v>152142.25725992958</v>
      </c>
      <c r="AT4" s="651">
        <f t="shared" si="1"/>
        <v>152142.25725992958</v>
      </c>
      <c r="AU4" s="651">
        <f t="shared" si="1"/>
        <v>152142.25725992958</v>
      </c>
      <c r="AV4" s="651">
        <f t="shared" si="1"/>
        <v>152142.25725992958</v>
      </c>
      <c r="AW4" s="651">
        <f t="shared" si="1"/>
        <v>152142.25725992958</v>
      </c>
      <c r="AX4" s="651">
        <f t="shared" si="1"/>
        <v>152142.25725992958</v>
      </c>
      <c r="AY4" s="651">
        <f t="shared" si="1"/>
        <v>152142.25725992958</v>
      </c>
      <c r="AZ4" s="651">
        <f t="shared" si="1"/>
        <v>152142.25725992958</v>
      </c>
      <c r="BA4" s="651">
        <f t="shared" si="1"/>
        <v>152142.25725992958</v>
      </c>
      <c r="BB4" s="651">
        <f t="shared" si="1"/>
        <v>152142.25725992958</v>
      </c>
      <c r="BC4" s="651">
        <f t="shared" si="1"/>
        <v>152142.25725992958</v>
      </c>
    </row>
    <row r="5" spans="1:55">
      <c r="A5" s="153" t="str">
        <f>+'BizOps 2026'!A4</f>
        <v>Entity</v>
      </c>
      <c r="B5" s="153" t="str">
        <f>+'BizOps 2026'!B4</f>
        <v>Function</v>
      </c>
      <c r="C5" s="153" t="str">
        <f>+'BizOps 2026'!C4</f>
        <v>Team Leader</v>
      </c>
      <c r="D5" s="153" t="str">
        <f>+'BizOps 2026'!D4</f>
        <v>Project</v>
      </c>
      <c r="E5" s="153" t="str">
        <f>+'BizOps 2026'!E4</f>
        <v>Supplier</v>
      </c>
      <c r="F5" s="153" t="str">
        <f>+'BizOps 2026'!F4</f>
        <v>Project Description</v>
      </c>
      <c r="G5" s="153" t="str">
        <f>+'BizOps 2026'!G4</f>
        <v>Payment Method</v>
      </c>
      <c r="H5" s="153">
        <f>+'BizOps 2026'!H4</f>
        <v>0</v>
      </c>
      <c r="I5" s="153">
        <f>+'BizOps 2026'!I4</f>
        <v>0</v>
      </c>
      <c r="J5" s="153" t="str">
        <f>+'BizOps 2026'!J4</f>
        <v>Account</v>
      </c>
      <c r="K5" s="153" t="str">
        <f>+'BizOps 2026'!K4</f>
        <v>Account Description</v>
      </c>
      <c r="L5" s="153" t="str">
        <f>+'BizOps 2026'!L4</f>
        <v>P&amp;L Casification</v>
      </c>
      <c r="M5" s="153" t="str">
        <f>+'BizOps 2026'!M4</f>
        <v>Currency</v>
      </c>
      <c r="N5" s="158" t="str">
        <f>+'BizOps 2026'!N4</f>
        <v>Total Cost</v>
      </c>
      <c r="O5" s="623" t="str">
        <f>+'BizOps 2026'!O4</f>
        <v>Total Cost</v>
      </c>
      <c r="P5" s="623" t="str">
        <f>+'BizOps 2026'!P4</f>
        <v>January</v>
      </c>
      <c r="Q5" s="623" t="str">
        <f>+'BizOps 2026'!Q4</f>
        <v>February</v>
      </c>
      <c r="R5" s="623" t="str">
        <f>+'BizOps 2026'!R4</f>
        <v>March</v>
      </c>
      <c r="S5" s="623" t="str">
        <f>+'BizOps 2026'!S4</f>
        <v>April</v>
      </c>
      <c r="T5" s="623" t="str">
        <f>+'BizOps 2026'!T4</f>
        <v>May</v>
      </c>
      <c r="U5" s="623" t="str">
        <f>+'BizOps 2026'!U4</f>
        <v>June</v>
      </c>
      <c r="V5" s="623" t="str">
        <f>+'BizOps 2026'!V4</f>
        <v>July</v>
      </c>
      <c r="W5" s="623" t="str">
        <f>+'BizOps 2026'!W4</f>
        <v>August</v>
      </c>
      <c r="X5" s="623" t="str">
        <f>+'BizOps 2026'!X4</f>
        <v>September</v>
      </c>
      <c r="Y5" s="623" t="str">
        <f>+'BizOps 2026'!Y4</f>
        <v>October</v>
      </c>
      <c r="Z5" s="623" t="str">
        <f>+'BizOps 2026'!Z4</f>
        <v>November</v>
      </c>
      <c r="AA5" s="623" t="str">
        <f>+'BizOps 2026'!AA4</f>
        <v>December</v>
      </c>
      <c r="AB5" s="519" t="s">
        <v>763</v>
      </c>
      <c r="AC5" s="471" t="s">
        <v>664</v>
      </c>
      <c r="AD5" s="153" t="s">
        <v>117</v>
      </c>
      <c r="AE5" s="153" t="s">
        <v>118</v>
      </c>
      <c r="AF5" s="153" t="s">
        <v>119</v>
      </c>
      <c r="AG5" s="153" t="s">
        <v>120</v>
      </c>
      <c r="AH5" s="153" t="s">
        <v>24</v>
      </c>
      <c r="AI5" s="153" t="s">
        <v>121</v>
      </c>
      <c r="AJ5" s="153" t="s">
        <v>122</v>
      </c>
      <c r="AK5" s="153" t="s">
        <v>123</v>
      </c>
      <c r="AL5" s="153" t="s">
        <v>124</v>
      </c>
      <c r="AM5" s="153" t="s">
        <v>125</v>
      </c>
      <c r="AN5" s="153" t="s">
        <v>126</v>
      </c>
      <c r="AO5" s="153" t="s">
        <v>127</v>
      </c>
      <c r="AP5" t="s">
        <v>763</v>
      </c>
      <c r="AQ5" s="471" t="s">
        <v>664</v>
      </c>
      <c r="AR5" s="471" t="s">
        <v>117</v>
      </c>
      <c r="AS5" s="471" t="s">
        <v>118</v>
      </c>
      <c r="AT5" s="471" t="s">
        <v>119</v>
      </c>
      <c r="AU5" s="471" t="s">
        <v>120</v>
      </c>
      <c r="AV5" s="471" t="s">
        <v>24</v>
      </c>
      <c r="AW5" s="471" t="s">
        <v>121</v>
      </c>
      <c r="AX5" s="471" t="s">
        <v>122</v>
      </c>
      <c r="AY5" s="471" t="s">
        <v>123</v>
      </c>
      <c r="AZ5" s="471" t="s">
        <v>124</v>
      </c>
      <c r="BA5" s="471" t="s">
        <v>125</v>
      </c>
      <c r="BB5" s="471" t="s">
        <v>126</v>
      </c>
      <c r="BC5" s="471" t="s">
        <v>127</v>
      </c>
    </row>
    <row r="6" spans="1:55">
      <c r="A6" t="str">
        <f>+'BizOps 2026'!A6</f>
        <v>SAPI</v>
      </c>
      <c r="B6" t="str">
        <f>+'BizOps 2026'!B6</f>
        <v>ADM</v>
      </c>
      <c r="C6" t="str">
        <f>+'BizOps 2026'!C6</f>
        <v>Maria Josefa Avalos</v>
      </c>
      <c r="D6" t="str">
        <f>+'BizOps 2026'!D6</f>
        <v>Google G Suite</v>
      </c>
      <c r="E6" t="str">
        <f>+'BizOps 2026'!E6</f>
        <v>Google</v>
      </c>
      <c r="F6" t="str">
        <f>+'BizOps 2026'!F6</f>
        <v>Google G Suite - 53 usuarios</v>
      </c>
      <c r="G6" t="str">
        <f>+'BizOps 2026'!G6</f>
        <v>Jeeves</v>
      </c>
      <c r="H6" t="str">
        <f>+'BizOps 2026'!H6</f>
        <v>Jeeves 7252 - Luis Garza</v>
      </c>
      <c r="I6" t="str">
        <f>+'BizOps 2026'!I6</f>
        <v>Jeeves 7252 - Luis Garza</v>
      </c>
      <c r="J6" t="str">
        <f>+'BizOps 2026'!J6</f>
        <v>603.64.001</v>
      </c>
      <c r="K6" t="str">
        <f>+'BizOps 2026'!K6</f>
        <v>Servicios de Informatica</v>
      </c>
      <c r="L6" t="str">
        <f>+'BizOps 2026'!L6</f>
        <v>Servicios</v>
      </c>
      <c r="M6" t="str">
        <f>+'BizOps 2026'!M6</f>
        <v>MXN</v>
      </c>
      <c r="N6">
        <f>+'BizOps 2026'!N6</f>
        <v>12972.972972972973</v>
      </c>
      <c r="O6">
        <f>+'BizOps 2026'!O6</f>
        <v>240000</v>
      </c>
      <c r="P6">
        <f>+'BizOps 2026'!P6</f>
        <v>20000</v>
      </c>
      <c r="Q6">
        <f>+'BizOps 2026'!Q6</f>
        <v>20000</v>
      </c>
      <c r="R6">
        <f>+'BizOps 2026'!R6</f>
        <v>20000</v>
      </c>
      <c r="S6">
        <f>+'BizOps 2026'!S6</f>
        <v>20000</v>
      </c>
      <c r="T6">
        <f>+'BizOps 2026'!T6</f>
        <v>20000</v>
      </c>
      <c r="U6">
        <f>+'BizOps 2026'!U6</f>
        <v>20000</v>
      </c>
      <c r="V6">
        <f>+'BizOps 2026'!V6</f>
        <v>20000</v>
      </c>
      <c r="W6">
        <f>+'BizOps 2026'!W6</f>
        <v>20000</v>
      </c>
      <c r="X6">
        <f>+'BizOps 2026'!X6</f>
        <v>20000</v>
      </c>
      <c r="Y6">
        <f>+'BizOps 2026'!Y6</f>
        <v>20000</v>
      </c>
      <c r="Z6">
        <f>+'BizOps 2026'!Z6</f>
        <v>20000</v>
      </c>
      <c r="AA6">
        <f>+'BizOps 2026'!AA6</f>
        <v>20000</v>
      </c>
      <c r="AB6">
        <f t="shared" ref="AB6:AB38" si="2">+IF(AC6=N6,1)</f>
        <v>1</v>
      </c>
      <c r="AC6" s="34">
        <f>+SUM(AD6:AO6)</f>
        <v>12972.972972972975</v>
      </c>
      <c r="AD6" s="34">
        <f t="shared" ref="AD6:AD38" si="3">+IF($M6="MXN",P6/$AC$2,IF($M6="BRL",P6/$AC$3,IF($M6="EUR",P6*$AC$1,P6)))</f>
        <v>1081.081081081081</v>
      </c>
      <c r="AE6" s="34">
        <f t="shared" ref="AE6:AE38" si="4">+IF($M6="MXN",Q6/$AC$2,IF($M6="BRL",Q6/$AC$3,IF($M6="EUR",Q6*$AC$1,Q6)))</f>
        <v>1081.081081081081</v>
      </c>
      <c r="AF6" s="34">
        <f t="shared" ref="AF6:AF38" si="5">+IF($M6="MXN",R6/$AC$2,IF($M6="BRL",R6/$AC$3,IF($M6="EUR",R6*$AC$1,R6)))</f>
        <v>1081.081081081081</v>
      </c>
      <c r="AG6" s="34">
        <f t="shared" ref="AG6:AG38" si="6">+IF($M6="MXN",S6/$AC$2,IF($M6="BRL",S6/$AC$3,IF($M6="EUR",S6*$AC$1,S6)))</f>
        <v>1081.081081081081</v>
      </c>
      <c r="AH6" s="34">
        <f t="shared" ref="AH6:AH38" si="7">+IF($M6="MXN",T6/$AC$2,IF($M6="BRL",T6/$AC$3,IF($M6="EUR",T6*$AC$1,T6)))</f>
        <v>1081.081081081081</v>
      </c>
      <c r="AI6" s="34">
        <f t="shared" ref="AI6:AI38" si="8">+IF($M6="MXN",U6/$AC$2,IF($M6="BRL",U6/$AC$3,IF($M6="EUR",U6*$AC$1,U6)))</f>
        <v>1081.081081081081</v>
      </c>
      <c r="AJ6" s="34">
        <f t="shared" ref="AJ6:AJ38" si="9">+IF($M6="MXN",V6/$AC$2,IF($M6="BRL",V6/$AC$3,IF($M6="EUR",V6*$AC$1,V6)))</f>
        <v>1081.081081081081</v>
      </c>
      <c r="AK6" s="34">
        <f t="shared" ref="AK6:AK38" si="10">+IF($M6="MXN",W6/$AC$2,IF($M6="BRL",W6/$AC$3,IF($M6="EUR",W6*$AC$1,W6)))</f>
        <v>1081.081081081081</v>
      </c>
      <c r="AL6" s="34">
        <f t="shared" ref="AL6:AL38" si="11">+IF($M6="MXN",X6/$AC$2,IF($M6="BRL",X6/$AC$3,IF($M6="EUR",X6*$AC$1,X6)))</f>
        <v>1081.081081081081</v>
      </c>
      <c r="AM6" s="34">
        <f t="shared" ref="AM6:AM38" si="12">+IF($M6="MXN",Y6/$AC$2,IF($M6="BRL",Y6/$AC$3,IF($M6="EUR",Y6*$AC$1,Y6)))</f>
        <v>1081.081081081081</v>
      </c>
      <c r="AN6" s="34">
        <f t="shared" ref="AN6:AN38" si="13">+IF($M6="MXN",Z6/$AC$2,IF($M6="BRL",Z6/$AC$3,IF($M6="EUR",Z6*$AC$1,Z6)))</f>
        <v>1081.081081081081</v>
      </c>
      <c r="AO6" s="34">
        <f t="shared" ref="AO6:AO38" si="14">+IF($M6="MXN",AA6/$AC$2,IF($M6="BRL",AA6/$AC$3,IF($M6="EUR",AA6*$AC$1,AA6)))</f>
        <v>1081.081081081081</v>
      </c>
      <c r="AP6">
        <f t="shared" ref="AP6:AP70" si="15">+IF(AQ6=N6,1)</f>
        <v>1</v>
      </c>
      <c r="AQ6" s="652">
        <f>+SUM(AR6:BC6)</f>
        <v>12972.972972972975</v>
      </c>
      <c r="AR6" s="652">
        <f>+$N6/12</f>
        <v>1081.081081081081</v>
      </c>
      <c r="AS6" s="652">
        <f t="shared" ref="AS6:BC14" si="16">+$N6/12</f>
        <v>1081.081081081081</v>
      </c>
      <c r="AT6" s="652">
        <f t="shared" si="16"/>
        <v>1081.081081081081</v>
      </c>
      <c r="AU6" s="652">
        <f t="shared" si="16"/>
        <v>1081.081081081081</v>
      </c>
      <c r="AV6" s="652">
        <f t="shared" si="16"/>
        <v>1081.081081081081</v>
      </c>
      <c r="AW6" s="652">
        <f t="shared" si="16"/>
        <v>1081.081081081081</v>
      </c>
      <c r="AX6" s="652">
        <f t="shared" si="16"/>
        <v>1081.081081081081</v>
      </c>
      <c r="AY6" s="652">
        <f t="shared" si="16"/>
        <v>1081.081081081081</v>
      </c>
      <c r="AZ6" s="652">
        <f t="shared" si="16"/>
        <v>1081.081081081081</v>
      </c>
      <c r="BA6" s="652">
        <f t="shared" si="16"/>
        <v>1081.081081081081</v>
      </c>
      <c r="BB6" s="652">
        <f t="shared" si="16"/>
        <v>1081.081081081081</v>
      </c>
      <c r="BC6" s="652">
        <f t="shared" si="16"/>
        <v>1081.081081081081</v>
      </c>
    </row>
    <row r="7" spans="1:55">
      <c r="A7" t="str">
        <f>+'BizOps 2026'!A7</f>
        <v>SAPI</v>
      </c>
      <c r="B7" t="str">
        <f>+'BizOps 2026'!B7</f>
        <v>ADM</v>
      </c>
      <c r="C7" t="str">
        <f>+'BizOps 2026'!C7</f>
        <v>Maria Josefa Avalos</v>
      </c>
      <c r="D7" t="str">
        <f>+'BizOps 2026'!D7</f>
        <v>Communication</v>
      </c>
      <c r="E7" t="str">
        <f>+'BizOps 2026'!E7</f>
        <v>Zoom</v>
      </c>
      <c r="F7" t="str">
        <f>+'BizOps 2026'!F7</f>
        <v>Zoom services - INBOUND licence,  Luis personal licence</v>
      </c>
      <c r="G7" t="str">
        <f>+'BizOps 2026'!G7</f>
        <v>Jeeves</v>
      </c>
      <c r="H7" t="str">
        <f>+'BizOps 2026'!H7</f>
        <v>Jeeves 7276 - Viviana Deschamps</v>
      </c>
      <c r="I7" t="str">
        <f>+'BizOps 2026'!I7</f>
        <v>Jeeves 6067 - BizOps</v>
      </c>
      <c r="J7" t="str">
        <f>+'BizOps 2026'!J7</f>
        <v>603.64.001</v>
      </c>
      <c r="K7" t="str">
        <f>+'BizOps 2026'!K7</f>
        <v>Servicios de Informatica</v>
      </c>
      <c r="L7" t="str">
        <f>+'BizOps 2026'!L7</f>
        <v>Servicios</v>
      </c>
      <c r="M7" t="str">
        <f>+'BizOps 2026'!M7</f>
        <v>USD</v>
      </c>
      <c r="N7">
        <f>+'BizOps 2026'!N7</f>
        <v>473.04000000000013</v>
      </c>
      <c r="O7">
        <f>+'BizOps 2026'!O7</f>
        <v>473.04000000000013</v>
      </c>
      <c r="P7">
        <f>+'BizOps 2026'!P7</f>
        <v>39.42</v>
      </c>
      <c r="Q7">
        <f>+'BizOps 2026'!Q7</f>
        <v>39.42</v>
      </c>
      <c r="R7">
        <f>+'BizOps 2026'!R7</f>
        <v>39.42</v>
      </c>
      <c r="S7">
        <f>+'BizOps 2026'!S7</f>
        <v>39.42</v>
      </c>
      <c r="T7">
        <f>+'BizOps 2026'!T7</f>
        <v>39.42</v>
      </c>
      <c r="U7">
        <f>+'BizOps 2026'!U7</f>
        <v>39.42</v>
      </c>
      <c r="V7">
        <f>+'BizOps 2026'!V7</f>
        <v>39.42</v>
      </c>
      <c r="W7">
        <f>+'BizOps 2026'!W7</f>
        <v>39.42</v>
      </c>
      <c r="X7">
        <f>+'BizOps 2026'!X7</f>
        <v>39.42</v>
      </c>
      <c r="Y7">
        <f>+'BizOps 2026'!Y7</f>
        <v>39.42</v>
      </c>
      <c r="Z7">
        <f>+'BizOps 2026'!Z7</f>
        <v>39.42</v>
      </c>
      <c r="AA7">
        <f>+'BizOps 2026'!AA7</f>
        <v>39.42</v>
      </c>
      <c r="AB7">
        <f t="shared" si="2"/>
        <v>1</v>
      </c>
      <c r="AC7" s="34">
        <f t="shared" ref="AC7:AC23" si="17">+SUM(AD7:AO7)</f>
        <v>473.04000000000013</v>
      </c>
      <c r="AD7" s="34">
        <f t="shared" si="3"/>
        <v>39.42</v>
      </c>
      <c r="AE7" s="34">
        <f t="shared" si="4"/>
        <v>39.42</v>
      </c>
      <c r="AF7" s="34">
        <f t="shared" si="5"/>
        <v>39.42</v>
      </c>
      <c r="AG7" s="34">
        <f t="shared" si="6"/>
        <v>39.42</v>
      </c>
      <c r="AH7" s="34">
        <f t="shared" si="7"/>
        <v>39.42</v>
      </c>
      <c r="AI7" s="34">
        <f t="shared" si="8"/>
        <v>39.42</v>
      </c>
      <c r="AJ7" s="34">
        <f t="shared" si="9"/>
        <v>39.42</v>
      </c>
      <c r="AK7" s="34">
        <f t="shared" si="10"/>
        <v>39.42</v>
      </c>
      <c r="AL7" s="34">
        <f t="shared" si="11"/>
        <v>39.42</v>
      </c>
      <c r="AM7" s="34">
        <f t="shared" si="12"/>
        <v>39.42</v>
      </c>
      <c r="AN7" s="34">
        <f t="shared" si="13"/>
        <v>39.42</v>
      </c>
      <c r="AO7" s="34">
        <f t="shared" si="14"/>
        <v>39.42</v>
      </c>
      <c r="AP7">
        <f t="shared" si="15"/>
        <v>1</v>
      </c>
      <c r="AQ7" s="652">
        <f t="shared" ref="AQ7:AQ71" si="18">+SUM(AR7:BC7)</f>
        <v>473.04000000000013</v>
      </c>
      <c r="AR7" s="652">
        <f t="shared" ref="AR7:AR71" si="19">+$N7/12</f>
        <v>39.420000000000009</v>
      </c>
      <c r="AS7" s="652">
        <f t="shared" si="16"/>
        <v>39.420000000000009</v>
      </c>
      <c r="AT7" s="652">
        <f t="shared" si="16"/>
        <v>39.420000000000009</v>
      </c>
      <c r="AU7" s="652">
        <f t="shared" si="16"/>
        <v>39.420000000000009</v>
      </c>
      <c r="AV7" s="652">
        <f t="shared" si="16"/>
        <v>39.420000000000009</v>
      </c>
      <c r="AW7" s="652">
        <f t="shared" si="16"/>
        <v>39.420000000000009</v>
      </c>
      <c r="AX7" s="652">
        <f t="shared" si="16"/>
        <v>39.420000000000009</v>
      </c>
      <c r="AY7" s="652">
        <f t="shared" si="16"/>
        <v>39.420000000000009</v>
      </c>
      <c r="AZ7" s="652">
        <f t="shared" si="16"/>
        <v>39.420000000000009</v>
      </c>
      <c r="BA7" s="652">
        <f t="shared" si="16"/>
        <v>39.420000000000009</v>
      </c>
      <c r="BB7" s="652">
        <f t="shared" si="16"/>
        <v>39.420000000000009</v>
      </c>
      <c r="BC7" s="652">
        <f t="shared" si="16"/>
        <v>39.420000000000009</v>
      </c>
    </row>
    <row r="8" spans="1:55">
      <c r="A8" t="str">
        <f>+'BizOps 2026'!A8</f>
        <v>SAPI</v>
      </c>
      <c r="B8" t="str">
        <f>+'BizOps 2026'!B8</f>
        <v>ADM</v>
      </c>
      <c r="C8" t="str">
        <f>+'BizOps 2026'!C8</f>
        <v>Maria Josefa Avalos</v>
      </c>
      <c r="D8" t="str">
        <f>+'BizOps 2026'!D8</f>
        <v>Communication</v>
      </c>
      <c r="E8" t="str">
        <f>+'BizOps 2026'!E8</f>
        <v>Slack - 39 users</v>
      </c>
      <c r="F8" t="str">
        <f>+'BizOps 2026'!F8</f>
        <v>Communication tool</v>
      </c>
      <c r="G8" t="str">
        <f>+'BizOps 2026'!G8</f>
        <v>Mercury</v>
      </c>
      <c r="H8" t="str">
        <f>+'BizOps 2026'!H8</f>
        <v>Mercury 5738</v>
      </c>
      <c r="I8" t="str">
        <f>+'BizOps 2026'!I8</f>
        <v>Mercury 5738</v>
      </c>
      <c r="J8" t="str">
        <f>+'BizOps 2026'!J8</f>
        <v>603.64.001</v>
      </c>
      <c r="K8" t="str">
        <f>+'BizOps 2026'!K8</f>
        <v>Servicios de Informatica</v>
      </c>
      <c r="L8" t="str">
        <f>+'BizOps 2026'!L8</f>
        <v>Servicios</v>
      </c>
      <c r="M8" t="str">
        <f>+'BizOps 2026'!M8</f>
        <v>USD</v>
      </c>
      <c r="N8">
        <f>+'BizOps 2026'!N8</f>
        <v>4272</v>
      </c>
      <c r="O8">
        <f>+'BizOps 2026'!O8</f>
        <v>4272</v>
      </c>
      <c r="P8" s="28">
        <f>+'BizOps 2026'!P8</f>
        <v>356</v>
      </c>
      <c r="Q8">
        <f>+'BizOps 2026'!Q8</f>
        <v>356</v>
      </c>
      <c r="R8">
        <f>+'BizOps 2026'!R8</f>
        <v>356</v>
      </c>
      <c r="S8">
        <f>+'BizOps 2026'!S8</f>
        <v>356</v>
      </c>
      <c r="T8">
        <f>+'BizOps 2026'!T8</f>
        <v>356</v>
      </c>
      <c r="U8">
        <f>+'BizOps 2026'!U8</f>
        <v>356</v>
      </c>
      <c r="V8">
        <f>+'BizOps 2026'!V8</f>
        <v>356</v>
      </c>
      <c r="W8">
        <f>+'BizOps 2026'!W8</f>
        <v>356</v>
      </c>
      <c r="X8">
        <f>+'BizOps 2026'!X8</f>
        <v>356</v>
      </c>
      <c r="Y8">
        <f>+'BizOps 2026'!Y8</f>
        <v>356</v>
      </c>
      <c r="Z8">
        <f>+'BizOps 2026'!Z8</f>
        <v>356</v>
      </c>
      <c r="AA8">
        <f>+'BizOps 2026'!AA8</f>
        <v>356</v>
      </c>
      <c r="AB8">
        <f t="shared" si="2"/>
        <v>1</v>
      </c>
      <c r="AC8" s="34">
        <f t="shared" si="17"/>
        <v>4272</v>
      </c>
      <c r="AD8" s="34">
        <f t="shared" si="3"/>
        <v>356</v>
      </c>
      <c r="AE8" s="34">
        <f t="shared" si="4"/>
        <v>356</v>
      </c>
      <c r="AF8" s="34">
        <f t="shared" si="5"/>
        <v>356</v>
      </c>
      <c r="AG8" s="34">
        <f t="shared" si="6"/>
        <v>356</v>
      </c>
      <c r="AH8" s="34">
        <f t="shared" si="7"/>
        <v>356</v>
      </c>
      <c r="AI8" s="34">
        <f t="shared" si="8"/>
        <v>356</v>
      </c>
      <c r="AJ8" s="34">
        <f t="shared" si="9"/>
        <v>356</v>
      </c>
      <c r="AK8" s="34">
        <f t="shared" si="10"/>
        <v>356</v>
      </c>
      <c r="AL8" s="34">
        <f t="shared" si="11"/>
        <v>356</v>
      </c>
      <c r="AM8" s="34">
        <f t="shared" si="12"/>
        <v>356</v>
      </c>
      <c r="AN8" s="34">
        <f t="shared" si="13"/>
        <v>356</v>
      </c>
      <c r="AO8" s="34">
        <f t="shared" si="14"/>
        <v>356</v>
      </c>
      <c r="AP8">
        <f t="shared" si="15"/>
        <v>1</v>
      </c>
      <c r="AQ8" s="652">
        <f t="shared" si="18"/>
        <v>4272</v>
      </c>
      <c r="AR8" s="652">
        <f t="shared" si="19"/>
        <v>356</v>
      </c>
      <c r="AS8" s="652">
        <f t="shared" si="16"/>
        <v>356</v>
      </c>
      <c r="AT8" s="652">
        <f t="shared" si="16"/>
        <v>356</v>
      </c>
      <c r="AU8" s="652">
        <f t="shared" si="16"/>
        <v>356</v>
      </c>
      <c r="AV8" s="652">
        <f t="shared" si="16"/>
        <v>356</v>
      </c>
      <c r="AW8" s="652">
        <f t="shared" si="16"/>
        <v>356</v>
      </c>
      <c r="AX8" s="652">
        <f t="shared" si="16"/>
        <v>356</v>
      </c>
      <c r="AY8" s="652">
        <f t="shared" si="16"/>
        <v>356</v>
      </c>
      <c r="AZ8" s="652">
        <f t="shared" si="16"/>
        <v>356</v>
      </c>
      <c r="BA8" s="652">
        <f t="shared" si="16"/>
        <v>356</v>
      </c>
      <c r="BB8" s="652">
        <f t="shared" si="16"/>
        <v>356</v>
      </c>
      <c r="BC8" s="652">
        <f t="shared" si="16"/>
        <v>356</v>
      </c>
    </row>
    <row r="9" spans="1:55" ht="15" customHeight="1">
      <c r="A9" t="str">
        <f>+'BizOps 2026'!A9</f>
        <v>SAPI</v>
      </c>
      <c r="B9" t="str">
        <f>+'BizOps 2026'!B9</f>
        <v>ADM</v>
      </c>
      <c r="C9" t="str">
        <f>+'BizOps 2026'!C9</f>
        <v>Maria Josefa Avalos</v>
      </c>
      <c r="D9" t="str">
        <f>+'BizOps 2026'!D9</f>
        <v>Payroll Platform</v>
      </c>
      <c r="E9" t="str">
        <f>+'BizOps 2026'!E9</f>
        <v>DEEL</v>
      </c>
      <c r="F9" t="str">
        <f>+'BizOps 2026'!F9</f>
        <v>Payroll, filing and handling (Concierge) - 2 employees</v>
      </c>
      <c r="G9" t="str">
        <f>+'BizOps 2026'!G9</f>
        <v>Invoice</v>
      </c>
      <c r="H9" t="str">
        <f>+'BizOps 2026'!H9</f>
        <v>Invoice</v>
      </c>
      <c r="I9" t="str">
        <f>+'BizOps 2026'!I9</f>
        <v>Invoice</v>
      </c>
      <c r="J9" t="str">
        <f>+'BizOps 2026'!J9</f>
        <v>603.64.001</v>
      </c>
      <c r="K9" t="str">
        <f>+'BizOps 2026'!K9</f>
        <v>Servicios de Informatica</v>
      </c>
      <c r="L9" t="str">
        <f>+'BizOps 2026'!L9</f>
        <v>Servicios</v>
      </c>
      <c r="M9" t="str">
        <f>+'BizOps 2026'!M9</f>
        <v>USD</v>
      </c>
      <c r="N9">
        <f>+'BizOps 2026'!N9</f>
        <v>840</v>
      </c>
      <c r="O9">
        <f>+'BizOps 2026'!O9</f>
        <v>840</v>
      </c>
      <c r="P9">
        <f>+'BizOps 2026'!P9</f>
        <v>70</v>
      </c>
      <c r="Q9">
        <f>+'BizOps 2026'!Q9</f>
        <v>70</v>
      </c>
      <c r="R9">
        <f>+'BizOps 2026'!R9</f>
        <v>70</v>
      </c>
      <c r="S9">
        <f>+'BizOps 2026'!S9</f>
        <v>70</v>
      </c>
      <c r="T9">
        <f>+'BizOps 2026'!T9</f>
        <v>70</v>
      </c>
      <c r="U9">
        <f>+'BizOps 2026'!U9</f>
        <v>70</v>
      </c>
      <c r="V9">
        <f>+'BizOps 2026'!V9</f>
        <v>70</v>
      </c>
      <c r="W9">
        <f>+'BizOps 2026'!W9</f>
        <v>70</v>
      </c>
      <c r="X9">
        <f>+'BizOps 2026'!X9</f>
        <v>70</v>
      </c>
      <c r="Y9">
        <f>+'BizOps 2026'!Y9</f>
        <v>70</v>
      </c>
      <c r="Z9">
        <f>+'BizOps 2026'!Z9</f>
        <v>70</v>
      </c>
      <c r="AA9">
        <f>+'BizOps 2026'!AA9</f>
        <v>70</v>
      </c>
      <c r="AB9">
        <f t="shared" si="2"/>
        <v>1</v>
      </c>
      <c r="AC9" s="34">
        <f t="shared" si="17"/>
        <v>840</v>
      </c>
      <c r="AD9" s="34">
        <f t="shared" si="3"/>
        <v>70</v>
      </c>
      <c r="AE9" s="34">
        <f t="shared" si="4"/>
        <v>70</v>
      </c>
      <c r="AF9" s="34">
        <f t="shared" si="5"/>
        <v>70</v>
      </c>
      <c r="AG9" s="34">
        <f t="shared" si="6"/>
        <v>70</v>
      </c>
      <c r="AH9" s="34">
        <f t="shared" si="7"/>
        <v>70</v>
      </c>
      <c r="AI9" s="34">
        <f t="shared" si="8"/>
        <v>70</v>
      </c>
      <c r="AJ9" s="34">
        <f t="shared" si="9"/>
        <v>70</v>
      </c>
      <c r="AK9" s="34">
        <f t="shared" si="10"/>
        <v>70</v>
      </c>
      <c r="AL9" s="34">
        <f t="shared" si="11"/>
        <v>70</v>
      </c>
      <c r="AM9" s="34">
        <f t="shared" si="12"/>
        <v>70</v>
      </c>
      <c r="AN9" s="34">
        <f t="shared" si="13"/>
        <v>70</v>
      </c>
      <c r="AO9" s="34">
        <f t="shared" si="14"/>
        <v>70</v>
      </c>
      <c r="AP9">
        <f t="shared" si="15"/>
        <v>1</v>
      </c>
      <c r="AQ9" s="652">
        <f t="shared" si="18"/>
        <v>840</v>
      </c>
      <c r="AR9" s="652">
        <f t="shared" si="19"/>
        <v>70</v>
      </c>
      <c r="AS9" s="652">
        <f t="shared" si="16"/>
        <v>70</v>
      </c>
      <c r="AT9" s="652">
        <f t="shared" si="16"/>
        <v>70</v>
      </c>
      <c r="AU9" s="652">
        <f t="shared" si="16"/>
        <v>70</v>
      </c>
      <c r="AV9" s="652">
        <f t="shared" si="16"/>
        <v>70</v>
      </c>
      <c r="AW9" s="652">
        <f t="shared" si="16"/>
        <v>70</v>
      </c>
      <c r="AX9" s="652">
        <f t="shared" si="16"/>
        <v>70</v>
      </c>
      <c r="AY9" s="652">
        <f t="shared" si="16"/>
        <v>70</v>
      </c>
      <c r="AZ9" s="652">
        <f t="shared" si="16"/>
        <v>70</v>
      </c>
      <c r="BA9" s="652">
        <f t="shared" si="16"/>
        <v>70</v>
      </c>
      <c r="BB9" s="652">
        <f t="shared" si="16"/>
        <v>70</v>
      </c>
      <c r="BC9" s="652">
        <f t="shared" si="16"/>
        <v>70</v>
      </c>
    </row>
    <row r="10" spans="1:55">
      <c r="A10" t="str">
        <f>+'BizOps 2026'!A10</f>
        <v>SAPI</v>
      </c>
      <c r="B10" t="str">
        <f>+'BizOps 2026'!B10</f>
        <v>ADM</v>
      </c>
      <c r="C10" t="str">
        <f>+'BizOps 2026'!C10</f>
        <v>Maria Josefa Avalos</v>
      </c>
      <c r="D10" t="str">
        <f>+'BizOps 2026'!D10</f>
        <v>Investment Platform</v>
      </c>
      <c r="E10" t="str">
        <f>+'BizOps 2026'!E10</f>
        <v>Carta</v>
      </c>
      <c r="F10" t="str">
        <f>+'BizOps 2026'!F10</f>
        <v>Investment Platform</v>
      </c>
      <c r="G10" t="str">
        <f>+'BizOps 2026'!G10</f>
        <v>Mercury</v>
      </c>
      <c r="H10" t="str">
        <f>+'BizOps 2026'!H10</f>
        <v>Mercury 1869</v>
      </c>
      <c r="I10" t="str">
        <f>+'BizOps 2026'!I10</f>
        <v>Mercury 1869</v>
      </c>
      <c r="J10" t="str">
        <f>+'BizOps 2026'!J10</f>
        <v>603.64.001</v>
      </c>
      <c r="K10" t="str">
        <f>+'BizOps 2026'!K10</f>
        <v>Servicios de Informatica</v>
      </c>
      <c r="L10" t="str">
        <f>+'BizOps 2026'!L10</f>
        <v>Servicios</v>
      </c>
      <c r="M10" t="str">
        <f>+'BizOps 2026'!M10</f>
        <v>USD</v>
      </c>
      <c r="N10">
        <f>+'BizOps 2026'!N10</f>
        <v>6431.47</v>
      </c>
      <c r="O10">
        <f>+'BizOps 2026'!O10</f>
        <v>6431.47</v>
      </c>
      <c r="P10">
        <f>+'BizOps 2026'!P10</f>
        <v>0</v>
      </c>
      <c r="Q10">
        <f>+'BizOps 2026'!Q10</f>
        <v>0</v>
      </c>
      <c r="R10">
        <f>+'BizOps 2026'!R10</f>
        <v>0</v>
      </c>
      <c r="S10">
        <f>+'BizOps 2026'!S10</f>
        <v>0</v>
      </c>
      <c r="T10">
        <f>+'BizOps 2026'!T10</f>
        <v>0</v>
      </c>
      <c r="U10">
        <f>+'BizOps 2026'!U10</f>
        <v>0</v>
      </c>
      <c r="V10">
        <f>+'BizOps 2026'!V10</f>
        <v>0</v>
      </c>
      <c r="W10">
        <f>+'BizOps 2026'!W10</f>
        <v>0</v>
      </c>
      <c r="X10">
        <f>+'BizOps 2026'!X10</f>
        <v>6431.47</v>
      </c>
      <c r="Y10">
        <f>+'BizOps 2026'!Y10</f>
        <v>0</v>
      </c>
      <c r="Z10">
        <f>+'BizOps 2026'!Z10</f>
        <v>0</v>
      </c>
      <c r="AA10">
        <f>+'BizOps 2026'!AA10</f>
        <v>0</v>
      </c>
      <c r="AB10">
        <f t="shared" si="2"/>
        <v>1</v>
      </c>
      <c r="AC10" s="34">
        <f t="shared" si="17"/>
        <v>6431.47</v>
      </c>
      <c r="AD10" s="34">
        <f t="shared" si="3"/>
        <v>0</v>
      </c>
      <c r="AE10" s="34">
        <f t="shared" si="4"/>
        <v>0</v>
      </c>
      <c r="AF10" s="34">
        <f t="shared" si="5"/>
        <v>0</v>
      </c>
      <c r="AG10" s="34">
        <f t="shared" si="6"/>
        <v>0</v>
      </c>
      <c r="AH10" s="34">
        <f t="shared" si="7"/>
        <v>0</v>
      </c>
      <c r="AI10" s="34">
        <f t="shared" si="8"/>
        <v>0</v>
      </c>
      <c r="AJ10" s="34">
        <f t="shared" si="9"/>
        <v>0</v>
      </c>
      <c r="AK10" s="34">
        <f t="shared" si="10"/>
        <v>0</v>
      </c>
      <c r="AL10" s="34">
        <f t="shared" si="11"/>
        <v>6431.47</v>
      </c>
      <c r="AM10" s="34">
        <f t="shared" si="12"/>
        <v>0</v>
      </c>
      <c r="AN10" s="34">
        <f t="shared" si="13"/>
        <v>0</v>
      </c>
      <c r="AO10" s="34">
        <f t="shared" si="14"/>
        <v>0</v>
      </c>
      <c r="AP10">
        <f t="shared" si="15"/>
        <v>1</v>
      </c>
      <c r="AQ10" s="652">
        <f t="shared" si="18"/>
        <v>6431.47</v>
      </c>
      <c r="AR10" s="652">
        <f t="shared" si="19"/>
        <v>535.95583333333332</v>
      </c>
      <c r="AS10" s="652">
        <f t="shared" si="16"/>
        <v>535.95583333333332</v>
      </c>
      <c r="AT10" s="652">
        <f t="shared" si="16"/>
        <v>535.95583333333332</v>
      </c>
      <c r="AU10" s="652">
        <f t="shared" si="16"/>
        <v>535.95583333333332</v>
      </c>
      <c r="AV10" s="652">
        <f t="shared" si="16"/>
        <v>535.95583333333332</v>
      </c>
      <c r="AW10" s="652">
        <f t="shared" si="16"/>
        <v>535.95583333333332</v>
      </c>
      <c r="AX10" s="652">
        <f t="shared" si="16"/>
        <v>535.95583333333332</v>
      </c>
      <c r="AY10" s="652">
        <f t="shared" si="16"/>
        <v>535.95583333333332</v>
      </c>
      <c r="AZ10" s="652">
        <f t="shared" si="16"/>
        <v>535.95583333333332</v>
      </c>
      <c r="BA10" s="652">
        <f t="shared" si="16"/>
        <v>535.95583333333332</v>
      </c>
      <c r="BB10" s="652">
        <f t="shared" si="16"/>
        <v>535.95583333333332</v>
      </c>
      <c r="BC10" s="652">
        <f t="shared" si="16"/>
        <v>535.95583333333332</v>
      </c>
    </row>
    <row r="11" spans="1:55">
      <c r="A11" t="str">
        <f>+'BizOps 2026'!A11</f>
        <v>SAPI</v>
      </c>
      <c r="B11" t="str">
        <f>+'BizOps 2026'!B11</f>
        <v>ADM</v>
      </c>
      <c r="C11" t="str">
        <f>+'BizOps 2026'!C11</f>
        <v>Maria Josefa Avalos</v>
      </c>
      <c r="D11" t="str">
        <f>+'BizOps 2026'!D11</f>
        <v>Calendly Luis</v>
      </c>
      <c r="E11" t="str">
        <f>+'BizOps 2026'!E11</f>
        <v xml:space="preserve">Calendly </v>
      </c>
      <c r="F11" t="str">
        <f>+'BizOps 2026'!F11</f>
        <v xml:space="preserve">Calendly </v>
      </c>
      <c r="G11" t="str">
        <f>+'BizOps 2026'!G11</f>
        <v>Brex</v>
      </c>
      <c r="H11" t="str">
        <f>+'BizOps 2026'!H11</f>
        <v>Brex 9547 - Luis Garza</v>
      </c>
      <c r="I11" t="str">
        <f>+'BizOps 2026'!I11</f>
        <v>Brex 9547 - Luis Garza</v>
      </c>
      <c r="J11" t="str">
        <f>+'BizOps 2026'!J11</f>
        <v>603.64.001</v>
      </c>
      <c r="K11" t="str">
        <f>+'BizOps 2026'!K11</f>
        <v>Servicios de Informatica</v>
      </c>
      <c r="L11" t="str">
        <f>+'BizOps 2026'!L11</f>
        <v>Servicios</v>
      </c>
      <c r="M11" t="str">
        <f>+'BizOps 2026'!M11</f>
        <v>USD</v>
      </c>
      <c r="N11">
        <f>+'BizOps 2026'!N11</f>
        <v>0</v>
      </c>
      <c r="O11">
        <f>+'BizOps 2026'!O11</f>
        <v>0</v>
      </c>
      <c r="P11">
        <f>+'BizOps 2026'!P11</f>
        <v>0</v>
      </c>
      <c r="Q11">
        <f>+'BizOps 2026'!Q11</f>
        <v>0</v>
      </c>
      <c r="R11">
        <f>+'BizOps 2026'!R11</f>
        <v>0</v>
      </c>
      <c r="S11">
        <f>+'BizOps 2026'!S11</f>
        <v>0</v>
      </c>
      <c r="T11">
        <f>+'BizOps 2026'!T11</f>
        <v>0</v>
      </c>
      <c r="U11">
        <f>+'BizOps 2026'!U11</f>
        <v>0</v>
      </c>
      <c r="V11">
        <f>+'BizOps 2026'!V11</f>
        <v>0</v>
      </c>
      <c r="W11">
        <f>+'BizOps 2026'!W11</f>
        <v>0</v>
      </c>
      <c r="X11">
        <f>+'BizOps 2026'!X11</f>
        <v>0</v>
      </c>
      <c r="Y11">
        <f>+'BizOps 2026'!Y11</f>
        <v>0</v>
      </c>
      <c r="Z11">
        <f>+'BizOps 2026'!Z11</f>
        <v>0</v>
      </c>
      <c r="AA11">
        <f>+'BizOps 2026'!AA11</f>
        <v>0</v>
      </c>
      <c r="AB11">
        <f t="shared" si="2"/>
        <v>1</v>
      </c>
      <c r="AC11" s="34">
        <f t="shared" si="17"/>
        <v>0</v>
      </c>
      <c r="AD11" s="34">
        <f t="shared" si="3"/>
        <v>0</v>
      </c>
      <c r="AE11" s="34">
        <f t="shared" si="4"/>
        <v>0</v>
      </c>
      <c r="AF11" s="34">
        <f t="shared" si="5"/>
        <v>0</v>
      </c>
      <c r="AG11" s="34">
        <f t="shared" si="6"/>
        <v>0</v>
      </c>
      <c r="AH11" s="34">
        <f t="shared" si="7"/>
        <v>0</v>
      </c>
      <c r="AI11" s="34">
        <f t="shared" si="8"/>
        <v>0</v>
      </c>
      <c r="AJ11" s="34">
        <f t="shared" si="9"/>
        <v>0</v>
      </c>
      <c r="AK11" s="34">
        <f t="shared" si="10"/>
        <v>0</v>
      </c>
      <c r="AL11" s="34">
        <f t="shared" si="11"/>
        <v>0</v>
      </c>
      <c r="AM11" s="34">
        <f t="shared" si="12"/>
        <v>0</v>
      </c>
      <c r="AN11" s="34">
        <f t="shared" si="13"/>
        <v>0</v>
      </c>
      <c r="AO11" s="34">
        <f t="shared" si="14"/>
        <v>0</v>
      </c>
      <c r="AP11">
        <f t="shared" si="15"/>
        <v>1</v>
      </c>
      <c r="AQ11" s="652">
        <f t="shared" si="18"/>
        <v>0</v>
      </c>
      <c r="AR11" s="652">
        <f t="shared" si="19"/>
        <v>0</v>
      </c>
      <c r="AS11" s="652">
        <f t="shared" si="16"/>
        <v>0</v>
      </c>
      <c r="AT11" s="652">
        <f t="shared" si="16"/>
        <v>0</v>
      </c>
      <c r="AU11" s="652">
        <f t="shared" si="16"/>
        <v>0</v>
      </c>
      <c r="AV11" s="652">
        <f t="shared" si="16"/>
        <v>0</v>
      </c>
      <c r="AW11" s="652">
        <f t="shared" si="16"/>
        <v>0</v>
      </c>
      <c r="AX11" s="652">
        <f t="shared" si="16"/>
        <v>0</v>
      </c>
      <c r="AY11" s="652">
        <f t="shared" si="16"/>
        <v>0</v>
      </c>
      <c r="AZ11" s="652">
        <f t="shared" si="16"/>
        <v>0</v>
      </c>
      <c r="BA11" s="652">
        <f t="shared" si="16"/>
        <v>0</v>
      </c>
      <c r="BB11" s="652">
        <f t="shared" si="16"/>
        <v>0</v>
      </c>
      <c r="BC11" s="652">
        <f t="shared" si="16"/>
        <v>0</v>
      </c>
    </row>
    <row r="12" spans="1:55">
      <c r="A12" t="str">
        <f>+'BizOps 2026'!A12</f>
        <v>SAPI</v>
      </c>
      <c r="B12" t="str">
        <f>+'BizOps 2026'!B12</f>
        <v>ADM</v>
      </c>
      <c r="C12" t="str">
        <f>+'BizOps 2026'!C12</f>
        <v>Maria Josefa Avalos</v>
      </c>
      <c r="D12" t="str">
        <f>+'BizOps 2026'!D12</f>
        <v>Tools</v>
      </c>
      <c r="E12" t="str">
        <f>+'BizOps 2026'!E12</f>
        <v>OpenAi</v>
      </c>
      <c r="F12" t="str">
        <f>+'BizOps 2026'!F12</f>
        <v>Includes Claude + Chat GPT (all teams) + Luis personal</v>
      </c>
      <c r="G12" t="str">
        <f>+'BizOps 2026'!G12</f>
        <v>Jeeves</v>
      </c>
      <c r="H12" t="str">
        <f>+'BizOps 2026'!H12</f>
        <v>BREX 5449 - Viviana Deschamps</v>
      </c>
      <c r="I12" t="str">
        <f>+'BizOps 2026'!I12</f>
        <v>Product &amp; Tech JVS - 4145</v>
      </c>
      <c r="J12" t="str">
        <f>+'BizOps 2026'!J12</f>
        <v>603.64.001</v>
      </c>
      <c r="K12" t="str">
        <f>+'BizOps 2026'!K12</f>
        <v>Servicios de Informatica</v>
      </c>
      <c r="L12" t="str">
        <f>+'BizOps 2026'!L12</f>
        <v>Servicios</v>
      </c>
      <c r="M12" t="str">
        <f>+'BizOps 2026'!M12</f>
        <v>USD</v>
      </c>
      <c r="N12">
        <f>+'BizOps 2026'!N12</f>
        <v>6104</v>
      </c>
      <c r="O12">
        <f>+'BizOps 2026'!O12</f>
        <v>6104</v>
      </c>
      <c r="P12">
        <f>+'BizOps 2026'!P12</f>
        <v>392</v>
      </c>
      <c r="Q12">
        <f>+'BizOps 2026'!Q12</f>
        <v>392</v>
      </c>
      <c r="R12">
        <f>+'BizOps 2026'!R12</f>
        <v>392</v>
      </c>
      <c r="S12">
        <f>+'BizOps 2026'!S12</f>
        <v>1292</v>
      </c>
      <c r="T12">
        <f>+'BizOps 2026'!T12</f>
        <v>892</v>
      </c>
      <c r="U12">
        <f>+'BizOps 2026'!U12</f>
        <v>392</v>
      </c>
      <c r="V12">
        <f>+'BizOps 2026'!V12</f>
        <v>392</v>
      </c>
      <c r="W12">
        <f>+'BizOps 2026'!W12</f>
        <v>392</v>
      </c>
      <c r="X12">
        <f>+'BizOps 2026'!X12</f>
        <v>392</v>
      </c>
      <c r="Y12">
        <f>+'BizOps 2026'!Y12</f>
        <v>392</v>
      </c>
      <c r="Z12">
        <f>+'BizOps 2026'!Z12</f>
        <v>392</v>
      </c>
      <c r="AA12">
        <f>+'BizOps 2026'!AA12</f>
        <v>392</v>
      </c>
      <c r="AB12">
        <f t="shared" si="2"/>
        <v>1</v>
      </c>
      <c r="AC12" s="34">
        <f t="shared" si="17"/>
        <v>6104</v>
      </c>
      <c r="AD12" s="34">
        <f t="shared" si="3"/>
        <v>392</v>
      </c>
      <c r="AE12" s="34">
        <f t="shared" si="4"/>
        <v>392</v>
      </c>
      <c r="AF12" s="34">
        <f t="shared" si="5"/>
        <v>392</v>
      </c>
      <c r="AG12" s="34">
        <f t="shared" si="6"/>
        <v>1292</v>
      </c>
      <c r="AH12" s="34">
        <f t="shared" si="7"/>
        <v>892</v>
      </c>
      <c r="AI12" s="34">
        <f t="shared" si="8"/>
        <v>392</v>
      </c>
      <c r="AJ12" s="34">
        <f t="shared" si="9"/>
        <v>392</v>
      </c>
      <c r="AK12" s="34">
        <f t="shared" si="10"/>
        <v>392</v>
      </c>
      <c r="AL12" s="34">
        <f t="shared" si="11"/>
        <v>392</v>
      </c>
      <c r="AM12" s="34">
        <f t="shared" si="12"/>
        <v>392</v>
      </c>
      <c r="AN12" s="34">
        <f t="shared" si="13"/>
        <v>392</v>
      </c>
      <c r="AO12" s="34">
        <f t="shared" si="14"/>
        <v>392</v>
      </c>
      <c r="AP12">
        <f t="shared" si="15"/>
        <v>1</v>
      </c>
      <c r="AQ12" s="652">
        <f t="shared" si="18"/>
        <v>6104.0000000000009</v>
      </c>
      <c r="AR12" s="652">
        <f t="shared" si="19"/>
        <v>508.66666666666669</v>
      </c>
      <c r="AS12" s="652">
        <f t="shared" si="16"/>
        <v>508.66666666666669</v>
      </c>
      <c r="AT12" s="652">
        <f t="shared" si="16"/>
        <v>508.66666666666669</v>
      </c>
      <c r="AU12" s="652">
        <f t="shared" si="16"/>
        <v>508.66666666666669</v>
      </c>
      <c r="AV12" s="652">
        <f t="shared" si="16"/>
        <v>508.66666666666669</v>
      </c>
      <c r="AW12" s="652">
        <f t="shared" si="16"/>
        <v>508.66666666666669</v>
      </c>
      <c r="AX12" s="652">
        <f t="shared" si="16"/>
        <v>508.66666666666669</v>
      </c>
      <c r="AY12" s="652">
        <f t="shared" si="16"/>
        <v>508.66666666666669</v>
      </c>
      <c r="AZ12" s="652">
        <f t="shared" si="16"/>
        <v>508.66666666666669</v>
      </c>
      <c r="BA12" s="652">
        <f t="shared" si="16"/>
        <v>508.66666666666669</v>
      </c>
      <c r="BB12" s="652">
        <f t="shared" si="16"/>
        <v>508.66666666666669</v>
      </c>
      <c r="BC12" s="652">
        <f t="shared" si="16"/>
        <v>508.66666666666669</v>
      </c>
    </row>
    <row r="13" spans="1:55">
      <c r="A13" t="str">
        <f>+'BizOps 2026'!A13</f>
        <v>SAPI</v>
      </c>
      <c r="B13" t="str">
        <f>+'BizOps 2026'!B13</f>
        <v>ADM</v>
      </c>
      <c r="C13" t="str">
        <f>+'BizOps 2026'!C13</f>
        <v>Maria Josefa Avalos</v>
      </c>
      <c r="D13" t="str">
        <f>+'BizOps 2026'!D13</f>
        <v>ADMINISTRADORA Y COMERCIALIZADORA RR DE MEXICO</v>
      </c>
      <c r="E13">
        <f>+'BizOps 2026'!E13</f>
        <v>0</v>
      </c>
      <c r="F13">
        <f>+'BizOps 2026'!F13</f>
        <v>0</v>
      </c>
      <c r="G13" t="str">
        <f>+'BizOps 2026'!G13</f>
        <v>Invoice</v>
      </c>
      <c r="H13" t="str">
        <f>+'BizOps 2026'!H13</f>
        <v>Invoice</v>
      </c>
      <c r="I13" t="str">
        <f>+'BizOps 2026'!I13</f>
        <v>Invoice</v>
      </c>
      <c r="J13" t="str">
        <f>+'BizOps 2026'!J13</f>
        <v>603.64.001</v>
      </c>
      <c r="K13" t="str">
        <f>+'BizOps 2026'!K13</f>
        <v>Servicios de Informatica</v>
      </c>
      <c r="L13" t="str">
        <f>+'BizOps 2026'!L13</f>
        <v>Servicios</v>
      </c>
      <c r="M13" t="str">
        <f>+'BizOps 2026'!M13</f>
        <v>MXN</v>
      </c>
      <c r="N13">
        <f>+'BizOps 2026'!N13</f>
        <v>300.97297297297297</v>
      </c>
      <c r="O13">
        <f>+'BizOps 2026'!O13</f>
        <v>5568</v>
      </c>
      <c r="P13">
        <f>+'BizOps 2026'!P13</f>
        <v>464</v>
      </c>
      <c r="Q13">
        <f>+'BizOps 2026'!Q13</f>
        <v>464</v>
      </c>
      <c r="R13">
        <f>+'BizOps 2026'!R13</f>
        <v>464</v>
      </c>
      <c r="S13">
        <f>+'BizOps 2026'!S13</f>
        <v>464</v>
      </c>
      <c r="T13">
        <f>+'BizOps 2026'!T13</f>
        <v>464</v>
      </c>
      <c r="U13">
        <f>+'BizOps 2026'!U13</f>
        <v>464</v>
      </c>
      <c r="V13">
        <f>+'BizOps 2026'!V13</f>
        <v>464</v>
      </c>
      <c r="W13">
        <f>+'BizOps 2026'!W13</f>
        <v>464</v>
      </c>
      <c r="X13">
        <f>+'BizOps 2026'!X13</f>
        <v>464</v>
      </c>
      <c r="Y13">
        <f>+'BizOps 2026'!Y13</f>
        <v>464</v>
      </c>
      <c r="Z13">
        <f>+'BizOps 2026'!Z13</f>
        <v>464</v>
      </c>
      <c r="AA13">
        <f>+'BizOps 2026'!AA13</f>
        <v>464</v>
      </c>
      <c r="AB13">
        <f t="shared" si="2"/>
        <v>1</v>
      </c>
      <c r="AC13" s="34">
        <f t="shared" si="17"/>
        <v>300.97297297297303</v>
      </c>
      <c r="AD13" s="34">
        <f t="shared" si="3"/>
        <v>25.081081081081081</v>
      </c>
      <c r="AE13" s="34">
        <f t="shared" si="4"/>
        <v>25.081081081081081</v>
      </c>
      <c r="AF13" s="34">
        <f t="shared" si="5"/>
        <v>25.081081081081081</v>
      </c>
      <c r="AG13" s="34">
        <f t="shared" si="6"/>
        <v>25.081081081081081</v>
      </c>
      <c r="AH13" s="34">
        <f t="shared" si="7"/>
        <v>25.081081081081081</v>
      </c>
      <c r="AI13" s="34">
        <f t="shared" si="8"/>
        <v>25.081081081081081</v>
      </c>
      <c r="AJ13" s="34">
        <f t="shared" si="9"/>
        <v>25.081081081081081</v>
      </c>
      <c r="AK13" s="34">
        <f t="shared" si="10"/>
        <v>25.081081081081081</v>
      </c>
      <c r="AL13" s="34">
        <f t="shared" si="11"/>
        <v>25.081081081081081</v>
      </c>
      <c r="AM13" s="34">
        <f t="shared" si="12"/>
        <v>25.081081081081081</v>
      </c>
      <c r="AN13" s="34">
        <f t="shared" si="13"/>
        <v>25.081081081081081</v>
      </c>
      <c r="AO13" s="34">
        <f t="shared" si="14"/>
        <v>25.081081081081081</v>
      </c>
      <c r="AP13">
        <f t="shared" si="15"/>
        <v>1</v>
      </c>
      <c r="AQ13" s="652">
        <f t="shared" si="18"/>
        <v>300.97297297297303</v>
      </c>
      <c r="AR13" s="652">
        <f t="shared" si="19"/>
        <v>25.081081081081081</v>
      </c>
      <c r="AS13" s="652">
        <f t="shared" si="16"/>
        <v>25.081081081081081</v>
      </c>
      <c r="AT13" s="652">
        <f t="shared" si="16"/>
        <v>25.081081081081081</v>
      </c>
      <c r="AU13" s="652">
        <f t="shared" si="16"/>
        <v>25.081081081081081</v>
      </c>
      <c r="AV13" s="652">
        <f t="shared" si="16"/>
        <v>25.081081081081081</v>
      </c>
      <c r="AW13" s="652">
        <f t="shared" si="16"/>
        <v>25.081081081081081</v>
      </c>
      <c r="AX13" s="652">
        <f t="shared" si="16"/>
        <v>25.081081081081081</v>
      </c>
      <c r="AY13" s="652">
        <f t="shared" si="16"/>
        <v>25.081081081081081</v>
      </c>
      <c r="AZ13" s="652">
        <f t="shared" si="16"/>
        <v>25.081081081081081</v>
      </c>
      <c r="BA13" s="652">
        <f t="shared" si="16"/>
        <v>25.081081081081081</v>
      </c>
      <c r="BB13" s="652">
        <f t="shared" si="16"/>
        <v>25.081081081081081</v>
      </c>
      <c r="BC13" s="652">
        <f t="shared" si="16"/>
        <v>25.081081081081081</v>
      </c>
    </row>
    <row r="14" spans="1:55">
      <c r="A14" t="str">
        <f>+'BizOps 2026'!A14</f>
        <v>SAPI</v>
      </c>
      <c r="B14" t="str">
        <f>+'BizOps 2026'!B14</f>
        <v>ADM</v>
      </c>
      <c r="C14" t="str">
        <f>+'BizOps 2026'!C14</f>
        <v>Maria Josefa Avalos</v>
      </c>
      <c r="D14" t="str">
        <f>+'BizOps 2026'!D14</f>
        <v>LinkedIn SN P262477676 LINKEDIN.COM IRL</v>
      </c>
      <c r="E14">
        <f>+'BizOps 2026'!E14</f>
        <v>0</v>
      </c>
      <c r="F14" t="str">
        <f>+'BizOps 2026'!F14</f>
        <v>Partnerships</v>
      </c>
      <c r="G14" t="str">
        <f>+'BizOps 2026'!G14</f>
        <v>Jeeves</v>
      </c>
      <c r="H14">
        <f>+'BizOps 2026'!H14</f>
        <v>0</v>
      </c>
      <c r="I14" t="str">
        <f>+'BizOps 2026'!I14</f>
        <v>Jeeves 6067 - BizOps</v>
      </c>
      <c r="J14" t="str">
        <f>+'BizOps 2026'!J14</f>
        <v>603.64.001</v>
      </c>
      <c r="K14" t="str">
        <f>+'BizOps 2026'!K14</f>
        <v>Servicios de Informatica</v>
      </c>
      <c r="L14" t="str">
        <f>+'BizOps 2026'!L14</f>
        <v>Servicios</v>
      </c>
      <c r="M14" t="str">
        <f>+'BizOps 2026'!M14</f>
        <v>MXN</v>
      </c>
      <c r="N14">
        <f>+'BizOps 2026'!N14</f>
        <v>1227.3924324324323</v>
      </c>
      <c r="O14">
        <f>+'BizOps 2026'!O14</f>
        <v>22706.76</v>
      </c>
      <c r="P14">
        <f>+'BizOps 2026'!P14</f>
        <v>1892.23</v>
      </c>
      <c r="Q14">
        <f>+'BizOps 2026'!Q14</f>
        <v>1892.23</v>
      </c>
      <c r="R14">
        <f>+'BizOps 2026'!R14</f>
        <v>1892.23</v>
      </c>
      <c r="S14">
        <f>+'BizOps 2026'!S14</f>
        <v>1892.23</v>
      </c>
      <c r="T14">
        <f>+'BizOps 2026'!T14</f>
        <v>1892.23</v>
      </c>
      <c r="U14">
        <f>+'BizOps 2026'!U14</f>
        <v>1892.23</v>
      </c>
      <c r="V14">
        <f>+'BizOps 2026'!V14</f>
        <v>1892.23</v>
      </c>
      <c r="W14">
        <f>+'BizOps 2026'!W14</f>
        <v>1892.23</v>
      </c>
      <c r="X14">
        <f>+'BizOps 2026'!X14</f>
        <v>1892.23</v>
      </c>
      <c r="Y14">
        <f>+'BizOps 2026'!Y14</f>
        <v>1892.23</v>
      </c>
      <c r="Z14">
        <f>+'BizOps 2026'!Z14</f>
        <v>1892.23</v>
      </c>
      <c r="AA14">
        <f>+'BizOps 2026'!AA14</f>
        <v>1892.23</v>
      </c>
      <c r="AB14">
        <f t="shared" si="2"/>
        <v>1</v>
      </c>
      <c r="AC14" s="34">
        <f t="shared" si="17"/>
        <v>1227.3924324324325</v>
      </c>
      <c r="AD14" s="34">
        <f t="shared" si="3"/>
        <v>102.28270270270271</v>
      </c>
      <c r="AE14" s="34">
        <f t="shared" si="4"/>
        <v>102.28270270270271</v>
      </c>
      <c r="AF14" s="34">
        <f t="shared" si="5"/>
        <v>102.28270270270271</v>
      </c>
      <c r="AG14" s="34">
        <f t="shared" si="6"/>
        <v>102.28270270270271</v>
      </c>
      <c r="AH14" s="34">
        <f t="shared" si="7"/>
        <v>102.28270270270271</v>
      </c>
      <c r="AI14" s="34">
        <f t="shared" si="8"/>
        <v>102.28270270270271</v>
      </c>
      <c r="AJ14" s="34">
        <f t="shared" si="9"/>
        <v>102.28270270270271</v>
      </c>
      <c r="AK14" s="34">
        <f t="shared" si="10"/>
        <v>102.28270270270271</v>
      </c>
      <c r="AL14" s="34">
        <f t="shared" si="11"/>
        <v>102.28270270270271</v>
      </c>
      <c r="AM14" s="34">
        <f t="shared" si="12"/>
        <v>102.28270270270271</v>
      </c>
      <c r="AN14" s="34">
        <f t="shared" si="13"/>
        <v>102.28270270270271</v>
      </c>
      <c r="AO14" s="34">
        <f t="shared" si="14"/>
        <v>102.28270270270271</v>
      </c>
      <c r="AP14">
        <f t="shared" si="15"/>
        <v>1</v>
      </c>
      <c r="AQ14" s="652">
        <f t="shared" si="18"/>
        <v>1227.3924324324321</v>
      </c>
      <c r="AR14" s="652">
        <f t="shared" si="19"/>
        <v>102.28270270270269</v>
      </c>
      <c r="AS14" s="652">
        <f t="shared" si="16"/>
        <v>102.28270270270269</v>
      </c>
      <c r="AT14" s="652">
        <f t="shared" si="16"/>
        <v>102.28270270270269</v>
      </c>
      <c r="AU14" s="652">
        <f t="shared" ref="AS14:BC38" si="20">+$N14/12</f>
        <v>102.28270270270269</v>
      </c>
      <c r="AV14" s="652">
        <f t="shared" si="20"/>
        <v>102.28270270270269</v>
      </c>
      <c r="AW14" s="652">
        <f t="shared" si="20"/>
        <v>102.28270270270269</v>
      </c>
      <c r="AX14" s="652">
        <f t="shared" si="20"/>
        <v>102.28270270270269</v>
      </c>
      <c r="AY14" s="652">
        <f t="shared" si="20"/>
        <v>102.28270270270269</v>
      </c>
      <c r="AZ14" s="652">
        <f t="shared" si="20"/>
        <v>102.28270270270269</v>
      </c>
      <c r="BA14" s="652">
        <f t="shared" si="20"/>
        <v>102.28270270270269</v>
      </c>
      <c r="BB14" s="652">
        <f t="shared" si="20"/>
        <v>102.28270270270269</v>
      </c>
      <c r="BC14" s="652">
        <f t="shared" si="20"/>
        <v>102.28270270270269</v>
      </c>
    </row>
    <row r="15" spans="1:55">
      <c r="A15" t="str">
        <f>+'BizOps 2026'!A16</f>
        <v>SAPI</v>
      </c>
      <c r="B15" t="str">
        <f>+'BizOps 2026'!B16</f>
        <v>ADM</v>
      </c>
      <c r="C15" t="str">
        <f>+'BizOps 2026'!C16</f>
        <v>Maria Josefa Avalos</v>
      </c>
      <c r="D15" t="str">
        <f>+'BizOps 2026'!D16</f>
        <v>Financial Services</v>
      </c>
      <c r="E15" t="str">
        <f>+'BizOps 2026'!E16</f>
        <v>ISS/QS Payroll</v>
      </c>
      <c r="F15" t="str">
        <f>+'BizOps 2026'!F16</f>
        <v>Monthly Accounting, Payroll, Reporting, Taxes</v>
      </c>
      <c r="G15" t="str">
        <f>+'BizOps 2026'!G16</f>
        <v>Invoice</v>
      </c>
      <c r="H15" t="str">
        <f>+'BizOps 2026'!H16</f>
        <v>Invoice</v>
      </c>
      <c r="I15" t="str">
        <f>+'BizOps 2026'!I16</f>
        <v>Invoice</v>
      </c>
      <c r="J15" t="str">
        <f>+'BizOps 2026'!J16</f>
        <v>603.38.001</v>
      </c>
      <c r="K15" t="str">
        <f>+'BizOps 2026'!K16</f>
        <v>Honorarios A Personas Morales Nacionales</v>
      </c>
      <c r="L15" t="str">
        <f>+'BizOps 2026'!L16</f>
        <v>Servicios Externos</v>
      </c>
      <c r="M15" t="str">
        <f>+'BizOps 2026'!M16</f>
        <v>MXN</v>
      </c>
      <c r="N15">
        <f>+'BizOps 2026'!N16</f>
        <v>8873.689621621621</v>
      </c>
      <c r="O15">
        <f>+'BizOps 2026'!O16</f>
        <v>164163.258</v>
      </c>
      <c r="P15">
        <f>+'BizOps 2026'!P16</f>
        <v>13680.271500000001</v>
      </c>
      <c r="Q15">
        <f>+'BizOps 2026'!Q16</f>
        <v>13680.271500000001</v>
      </c>
      <c r="R15">
        <f>+'BizOps 2026'!R16</f>
        <v>13680.271500000001</v>
      </c>
      <c r="S15">
        <f>+'BizOps 2026'!S16</f>
        <v>13680.271500000001</v>
      </c>
      <c r="T15">
        <f>+'BizOps 2026'!T16</f>
        <v>13680.271500000001</v>
      </c>
      <c r="U15">
        <f>+'BizOps 2026'!U16</f>
        <v>13680.271500000001</v>
      </c>
      <c r="V15">
        <f>+'BizOps 2026'!V16</f>
        <v>13680.271500000001</v>
      </c>
      <c r="W15">
        <f>+'BizOps 2026'!W16</f>
        <v>13680.271500000001</v>
      </c>
      <c r="X15">
        <f>+'BizOps 2026'!X16</f>
        <v>13680.271500000001</v>
      </c>
      <c r="Y15">
        <f>+'BizOps 2026'!Y16</f>
        <v>13680.271500000001</v>
      </c>
      <c r="Z15">
        <f>+'BizOps 2026'!Z16</f>
        <v>13680.271500000001</v>
      </c>
      <c r="AA15">
        <f>+'BizOps 2026'!AA16</f>
        <v>13680.271500000001</v>
      </c>
      <c r="AB15">
        <f t="shared" si="2"/>
        <v>1</v>
      </c>
      <c r="AC15" s="34">
        <f t="shared" si="17"/>
        <v>8873.689621621621</v>
      </c>
      <c r="AD15" s="34">
        <f t="shared" si="3"/>
        <v>739.47413513513516</v>
      </c>
      <c r="AE15" s="34">
        <f t="shared" si="4"/>
        <v>739.47413513513516</v>
      </c>
      <c r="AF15" s="34">
        <f t="shared" si="5"/>
        <v>739.47413513513516</v>
      </c>
      <c r="AG15" s="34">
        <f t="shared" si="6"/>
        <v>739.47413513513516</v>
      </c>
      <c r="AH15" s="34">
        <f t="shared" si="7"/>
        <v>739.47413513513516</v>
      </c>
      <c r="AI15" s="34">
        <f t="shared" si="8"/>
        <v>739.47413513513516</v>
      </c>
      <c r="AJ15" s="34">
        <f t="shared" si="9"/>
        <v>739.47413513513516</v>
      </c>
      <c r="AK15" s="34">
        <f t="shared" si="10"/>
        <v>739.47413513513516</v>
      </c>
      <c r="AL15" s="34">
        <f t="shared" si="11"/>
        <v>739.47413513513516</v>
      </c>
      <c r="AM15" s="34">
        <f t="shared" si="12"/>
        <v>739.47413513513516</v>
      </c>
      <c r="AN15" s="34">
        <f t="shared" si="13"/>
        <v>739.47413513513516</v>
      </c>
      <c r="AO15" s="34">
        <f t="shared" si="14"/>
        <v>739.47413513513516</v>
      </c>
      <c r="AP15">
        <f t="shared" si="15"/>
        <v>1</v>
      </c>
      <c r="AQ15" s="652">
        <f t="shared" si="18"/>
        <v>8873.689621621621</v>
      </c>
      <c r="AR15" s="652">
        <f t="shared" si="19"/>
        <v>739.47413513513504</v>
      </c>
      <c r="AS15" s="652">
        <f t="shared" si="20"/>
        <v>739.47413513513504</v>
      </c>
      <c r="AT15" s="652">
        <f t="shared" si="20"/>
        <v>739.47413513513504</v>
      </c>
      <c r="AU15" s="652">
        <f t="shared" si="20"/>
        <v>739.47413513513504</v>
      </c>
      <c r="AV15" s="652">
        <f t="shared" si="20"/>
        <v>739.47413513513504</v>
      </c>
      <c r="AW15" s="652">
        <f t="shared" si="20"/>
        <v>739.47413513513504</v>
      </c>
      <c r="AX15" s="652">
        <f t="shared" si="20"/>
        <v>739.47413513513504</v>
      </c>
      <c r="AY15" s="652">
        <f t="shared" si="20"/>
        <v>739.47413513513504</v>
      </c>
      <c r="AZ15" s="652">
        <f t="shared" si="20"/>
        <v>739.47413513513504</v>
      </c>
      <c r="BA15" s="652">
        <f t="shared" si="20"/>
        <v>739.47413513513504</v>
      </c>
      <c r="BB15" s="652">
        <f t="shared" si="20"/>
        <v>739.47413513513504</v>
      </c>
      <c r="BC15" s="652">
        <f t="shared" si="20"/>
        <v>739.47413513513504</v>
      </c>
    </row>
    <row r="16" spans="1:55">
      <c r="A16" t="str">
        <f>+'BizOps 2026'!A17</f>
        <v>SAPI</v>
      </c>
      <c r="B16" t="str">
        <f>+'BizOps 2026'!B17</f>
        <v>ADM</v>
      </c>
      <c r="C16" t="str">
        <f>+'BizOps 2026'!C17</f>
        <v>Maria Josefa Avalos</v>
      </c>
      <c r="D16" t="str">
        <f>+'BizOps 2026'!D17</f>
        <v>Legal Services</v>
      </c>
      <c r="E16" t="str">
        <f>+'BizOps 2026'!E17</f>
        <v>Garza Duran Abogados</v>
      </c>
      <c r="F16" t="str">
        <f>+'BizOps 2026'!F17</f>
        <v>Servicios legales</v>
      </c>
      <c r="G16" t="str">
        <f>+'BizOps 2026'!G17</f>
        <v>Invoice</v>
      </c>
      <c r="H16" t="str">
        <f>+'BizOps 2026'!H17</f>
        <v>Invoice</v>
      </c>
      <c r="I16" t="str">
        <f>+'BizOps 2026'!I17</f>
        <v>Invoice</v>
      </c>
      <c r="J16" t="str">
        <f>+'BizOps 2026'!J17</f>
        <v>603.38.002</v>
      </c>
      <c r="K16" t="str">
        <f>+'BizOps 2026'!K17</f>
        <v>Honorarios Legales PM</v>
      </c>
      <c r="L16" t="str">
        <f>+'BizOps 2026'!L17</f>
        <v>Servicios Externos</v>
      </c>
      <c r="M16" t="str">
        <f>+'BizOps 2026'!M17</f>
        <v>USD</v>
      </c>
      <c r="N16">
        <f>+'BizOps 2026'!N17</f>
        <v>24000</v>
      </c>
      <c r="O16">
        <f>+'BizOps 2026'!O17</f>
        <v>24000</v>
      </c>
      <c r="P16">
        <f>+'BizOps 2026'!P17</f>
        <v>2000</v>
      </c>
      <c r="Q16">
        <f>+'BizOps 2026'!Q17</f>
        <v>2000</v>
      </c>
      <c r="R16">
        <f>+'BizOps 2026'!R17</f>
        <v>2000</v>
      </c>
      <c r="S16">
        <f>+'BizOps 2026'!S17</f>
        <v>2000</v>
      </c>
      <c r="T16">
        <f>+'BizOps 2026'!T17</f>
        <v>2000</v>
      </c>
      <c r="U16">
        <f>+'BizOps 2026'!U17</f>
        <v>2000</v>
      </c>
      <c r="V16">
        <f>+'BizOps 2026'!V17</f>
        <v>2000</v>
      </c>
      <c r="W16">
        <f>+'BizOps 2026'!W17</f>
        <v>2000</v>
      </c>
      <c r="X16">
        <f>+'BizOps 2026'!X17</f>
        <v>2000</v>
      </c>
      <c r="Y16">
        <f>+'BizOps 2026'!Y17</f>
        <v>2000</v>
      </c>
      <c r="Z16">
        <f>+'BizOps 2026'!Z17</f>
        <v>2000</v>
      </c>
      <c r="AA16">
        <f>+'BizOps 2026'!AA17</f>
        <v>2000</v>
      </c>
      <c r="AB16">
        <f t="shared" si="2"/>
        <v>1</v>
      </c>
      <c r="AC16" s="34">
        <f t="shared" si="17"/>
        <v>24000</v>
      </c>
      <c r="AD16" s="34">
        <f t="shared" si="3"/>
        <v>2000</v>
      </c>
      <c r="AE16" s="34">
        <f t="shared" si="4"/>
        <v>2000</v>
      </c>
      <c r="AF16" s="34">
        <f t="shared" si="5"/>
        <v>2000</v>
      </c>
      <c r="AG16" s="34">
        <f t="shared" si="6"/>
        <v>2000</v>
      </c>
      <c r="AH16" s="34">
        <f t="shared" si="7"/>
        <v>2000</v>
      </c>
      <c r="AI16" s="34">
        <f t="shared" si="8"/>
        <v>2000</v>
      </c>
      <c r="AJ16" s="34">
        <f t="shared" si="9"/>
        <v>2000</v>
      </c>
      <c r="AK16" s="34">
        <f t="shared" si="10"/>
        <v>2000</v>
      </c>
      <c r="AL16" s="34">
        <f t="shared" si="11"/>
        <v>2000</v>
      </c>
      <c r="AM16" s="34">
        <f t="shared" si="12"/>
        <v>2000</v>
      </c>
      <c r="AN16" s="34">
        <f t="shared" si="13"/>
        <v>2000</v>
      </c>
      <c r="AO16" s="34">
        <f t="shared" si="14"/>
        <v>2000</v>
      </c>
      <c r="AP16">
        <f t="shared" si="15"/>
        <v>1</v>
      </c>
      <c r="AQ16" s="652">
        <f t="shared" si="18"/>
        <v>24000</v>
      </c>
      <c r="AR16" s="652">
        <f t="shared" si="19"/>
        <v>2000</v>
      </c>
      <c r="AS16" s="652">
        <f t="shared" si="20"/>
        <v>2000</v>
      </c>
      <c r="AT16" s="652">
        <f t="shared" si="20"/>
        <v>2000</v>
      </c>
      <c r="AU16" s="652">
        <f t="shared" si="20"/>
        <v>2000</v>
      </c>
      <c r="AV16" s="652">
        <f t="shared" si="20"/>
        <v>2000</v>
      </c>
      <c r="AW16" s="652">
        <f t="shared" si="20"/>
        <v>2000</v>
      </c>
      <c r="AX16" s="652">
        <f t="shared" si="20"/>
        <v>2000</v>
      </c>
      <c r="AY16" s="652">
        <f t="shared" si="20"/>
        <v>2000</v>
      </c>
      <c r="AZ16" s="652">
        <f t="shared" si="20"/>
        <v>2000</v>
      </c>
      <c r="BA16" s="652">
        <f t="shared" si="20"/>
        <v>2000</v>
      </c>
      <c r="BB16" s="652">
        <f t="shared" si="20"/>
        <v>2000</v>
      </c>
      <c r="BC16" s="652">
        <f t="shared" si="20"/>
        <v>2000</v>
      </c>
    </row>
    <row r="17" spans="1:55">
      <c r="A17" t="str">
        <f>+'BizOps 2026'!A18</f>
        <v>SAPI</v>
      </c>
      <c r="B17" t="str">
        <f>+'BizOps 2026'!B18</f>
        <v>ADM</v>
      </c>
      <c r="C17" t="str">
        <f>+'BizOps 2026'!C18</f>
        <v>Maria Josefa Avalos</v>
      </c>
      <c r="D17" t="str">
        <f>+'BizOps 2026'!D18</f>
        <v>Legal</v>
      </c>
      <c r="E17" t="str">
        <f>+'BizOps 2026'!E18</f>
        <v>Acceleron Law Group</v>
      </c>
      <c r="F17" t="str">
        <f>+'BizOps 2026'!F18</f>
        <v>Legal services</v>
      </c>
      <c r="G17" t="str">
        <f>+'BizOps 2026'!G18</f>
        <v>Invoice</v>
      </c>
      <c r="H17" t="str">
        <f>+'BizOps 2026'!H18</f>
        <v>Invoice</v>
      </c>
      <c r="I17" t="str">
        <f>+'BizOps 2026'!I18</f>
        <v>Invoice</v>
      </c>
      <c r="J17" t="str">
        <f>+'BizOps 2026'!J18</f>
        <v>603.38.001</v>
      </c>
      <c r="K17" t="str">
        <f>+'BizOps 2026'!K18</f>
        <v>Honorarios A Personas Morales Nacionales</v>
      </c>
      <c r="L17" t="str">
        <f>+'BizOps 2026'!L18</f>
        <v>Servicios Externos</v>
      </c>
      <c r="M17" t="str">
        <f>+'BizOps 2026'!M18</f>
        <v>USD</v>
      </c>
      <c r="N17">
        <f>+'BizOps 2026'!N18</f>
        <v>30066</v>
      </c>
      <c r="O17">
        <f>+'BizOps 2026'!O18</f>
        <v>30066</v>
      </c>
      <c r="P17">
        <f>+'BizOps 2026'!P18</f>
        <v>2500</v>
      </c>
      <c r="Q17">
        <f>+'BizOps 2026'!Q18</f>
        <v>2501</v>
      </c>
      <c r="R17">
        <f>+'BizOps 2026'!R18</f>
        <v>2502</v>
      </c>
      <c r="S17">
        <f>+'BizOps 2026'!S18</f>
        <v>2503</v>
      </c>
      <c r="T17">
        <f>+'BizOps 2026'!T18</f>
        <v>2504</v>
      </c>
      <c r="U17">
        <f>+'BizOps 2026'!U18</f>
        <v>2505</v>
      </c>
      <c r="V17">
        <f>+'BizOps 2026'!V18</f>
        <v>2506</v>
      </c>
      <c r="W17">
        <f>+'BizOps 2026'!W18</f>
        <v>2507</v>
      </c>
      <c r="X17">
        <f>+'BizOps 2026'!X18</f>
        <v>2508</v>
      </c>
      <c r="Y17">
        <f>+'BizOps 2026'!Y18</f>
        <v>2509</v>
      </c>
      <c r="Z17">
        <f>+'BizOps 2026'!Z18</f>
        <v>2510</v>
      </c>
      <c r="AA17">
        <f>+'BizOps 2026'!AA18</f>
        <v>2511</v>
      </c>
      <c r="AB17">
        <f t="shared" si="2"/>
        <v>1</v>
      </c>
      <c r="AC17" s="34">
        <f t="shared" si="17"/>
        <v>30066</v>
      </c>
      <c r="AD17" s="34">
        <f t="shared" si="3"/>
        <v>2500</v>
      </c>
      <c r="AE17" s="34">
        <f t="shared" si="4"/>
        <v>2501</v>
      </c>
      <c r="AF17" s="34">
        <f t="shared" si="5"/>
        <v>2502</v>
      </c>
      <c r="AG17" s="34">
        <f t="shared" si="6"/>
        <v>2503</v>
      </c>
      <c r="AH17" s="34">
        <f t="shared" si="7"/>
        <v>2504</v>
      </c>
      <c r="AI17" s="34">
        <f t="shared" si="8"/>
        <v>2505</v>
      </c>
      <c r="AJ17" s="34">
        <f t="shared" si="9"/>
        <v>2506</v>
      </c>
      <c r="AK17" s="34">
        <f t="shared" si="10"/>
        <v>2507</v>
      </c>
      <c r="AL17" s="34">
        <f t="shared" si="11"/>
        <v>2508</v>
      </c>
      <c r="AM17" s="34">
        <f t="shared" si="12"/>
        <v>2509</v>
      </c>
      <c r="AN17" s="34">
        <f t="shared" si="13"/>
        <v>2510</v>
      </c>
      <c r="AO17" s="34">
        <f t="shared" si="14"/>
        <v>2511</v>
      </c>
      <c r="AP17">
        <f t="shared" si="15"/>
        <v>1</v>
      </c>
      <c r="AQ17" s="652">
        <f t="shared" si="18"/>
        <v>30066</v>
      </c>
      <c r="AR17" s="652">
        <f t="shared" si="19"/>
        <v>2505.5</v>
      </c>
      <c r="AS17" s="652">
        <f t="shared" si="20"/>
        <v>2505.5</v>
      </c>
      <c r="AT17" s="652">
        <f t="shared" si="20"/>
        <v>2505.5</v>
      </c>
      <c r="AU17" s="652">
        <f t="shared" si="20"/>
        <v>2505.5</v>
      </c>
      <c r="AV17" s="652">
        <f t="shared" si="20"/>
        <v>2505.5</v>
      </c>
      <c r="AW17" s="652">
        <f t="shared" si="20"/>
        <v>2505.5</v>
      </c>
      <c r="AX17" s="652">
        <f t="shared" si="20"/>
        <v>2505.5</v>
      </c>
      <c r="AY17" s="652">
        <f t="shared" si="20"/>
        <v>2505.5</v>
      </c>
      <c r="AZ17" s="652">
        <f t="shared" si="20"/>
        <v>2505.5</v>
      </c>
      <c r="BA17" s="652">
        <f t="shared" si="20"/>
        <v>2505.5</v>
      </c>
      <c r="BB17" s="652">
        <f t="shared" si="20"/>
        <v>2505.5</v>
      </c>
      <c r="BC17" s="652">
        <f t="shared" si="20"/>
        <v>2505.5</v>
      </c>
    </row>
    <row r="18" spans="1:55" s="767" customFormat="1">
      <c r="A18" s="767" t="str">
        <f>+'BizOps 2026'!A19</f>
        <v>SAPI</v>
      </c>
      <c r="B18" s="767" t="str">
        <f>+'BizOps 2026'!B19</f>
        <v>ADM</v>
      </c>
      <c r="C18" s="767" t="str">
        <f>+'BizOps 2026'!C19</f>
        <v>Maria Josefa Avalos</v>
      </c>
      <c r="D18" s="767" t="str">
        <f>+'BizOps 2026'!D19</f>
        <v>Accounting &amp; Tax</v>
      </c>
      <c r="E18" s="767" t="str">
        <f>+'BizOps 2026'!E19</f>
        <v>Nichols, Dominguez &amp; Velazquez</v>
      </c>
      <c r="F18" s="767" t="str">
        <f>+'BizOps 2026'!F19</f>
        <v>Accounting and tax services</v>
      </c>
      <c r="G18" s="767" t="str">
        <f>+'BizOps 2026'!G19</f>
        <v>Invoice</v>
      </c>
      <c r="H18" s="767" t="str">
        <f>+'BizOps 2026'!H19</f>
        <v>Invoice</v>
      </c>
      <c r="I18" s="767" t="str">
        <f>+'BizOps 2026'!I19</f>
        <v>Invoice</v>
      </c>
      <c r="J18" s="767" t="str">
        <f>+'BizOps 2026'!J19</f>
        <v>603.38.001</v>
      </c>
      <c r="K18" s="767" t="str">
        <f>+'BizOps 2026'!K19</f>
        <v>Honorarios A Personas Morales Nacionales</v>
      </c>
      <c r="L18" s="767" t="str">
        <f>+'BizOps 2026'!L19</f>
        <v>Servicios Externos</v>
      </c>
      <c r="M18" s="767" t="str">
        <f>+'BizOps 2026'!M19</f>
        <v>USD</v>
      </c>
      <c r="N18" s="767">
        <f>+'BizOps 2026'!N19</f>
        <v>68283.428571600001</v>
      </c>
      <c r="O18" s="768">
        <f>+'BizOps 2026'!O19</f>
        <v>68283.428571600001</v>
      </c>
      <c r="P18" s="768">
        <f>+'BizOps 2026'!P19</f>
        <v>5690.2857143000001</v>
      </c>
      <c r="Q18" s="767">
        <f>+'BizOps 2026'!Q19</f>
        <v>5690.2857143000001</v>
      </c>
      <c r="R18" s="767">
        <f>+'BizOps 2026'!R19</f>
        <v>5690.2857143000001</v>
      </c>
      <c r="S18" s="767">
        <f>+'BizOps 2026'!S19</f>
        <v>5690.2857143000001</v>
      </c>
      <c r="T18" s="767">
        <f>+'BizOps 2026'!T19</f>
        <v>5690.2857143000001</v>
      </c>
      <c r="U18" s="767">
        <f>+'BizOps 2026'!U19</f>
        <v>5690.2857143000001</v>
      </c>
      <c r="V18" s="767">
        <f>+'BizOps 2026'!V19</f>
        <v>5690.2857143000001</v>
      </c>
      <c r="W18" s="767">
        <f>+'BizOps 2026'!W19</f>
        <v>5690.2857143000001</v>
      </c>
      <c r="X18" s="767">
        <f>+'BizOps 2026'!X19</f>
        <v>5690.2857143000001</v>
      </c>
      <c r="Y18" s="767">
        <f>+'BizOps 2026'!Y19</f>
        <v>5690.2857143000001</v>
      </c>
      <c r="Z18" s="767">
        <f>+'BizOps 2026'!Z19</f>
        <v>5690.2857143000001</v>
      </c>
      <c r="AA18" s="767">
        <f>+'BizOps 2026'!AA19</f>
        <v>5690.2857143000001</v>
      </c>
      <c r="AB18" s="767">
        <f t="shared" si="2"/>
        <v>1</v>
      </c>
      <c r="AC18" s="769">
        <f t="shared" si="17"/>
        <v>68283.428571600001</v>
      </c>
      <c r="AD18" s="769">
        <f t="shared" si="3"/>
        <v>5690.2857143000001</v>
      </c>
      <c r="AE18" s="769">
        <f t="shared" si="4"/>
        <v>5690.2857143000001</v>
      </c>
      <c r="AF18" s="769">
        <f t="shared" si="5"/>
        <v>5690.2857143000001</v>
      </c>
      <c r="AG18" s="769">
        <f t="shared" si="6"/>
        <v>5690.2857143000001</v>
      </c>
      <c r="AH18" s="769">
        <f t="shared" si="7"/>
        <v>5690.2857143000001</v>
      </c>
      <c r="AI18" s="769">
        <f t="shared" si="8"/>
        <v>5690.2857143000001</v>
      </c>
      <c r="AJ18" s="769">
        <f t="shared" si="9"/>
        <v>5690.2857143000001</v>
      </c>
      <c r="AK18" s="769">
        <f t="shared" si="10"/>
        <v>5690.2857143000001</v>
      </c>
      <c r="AL18" s="769">
        <f t="shared" si="11"/>
        <v>5690.2857143000001</v>
      </c>
      <c r="AM18" s="769">
        <f t="shared" si="12"/>
        <v>5690.2857143000001</v>
      </c>
      <c r="AN18" s="769">
        <f t="shared" si="13"/>
        <v>5690.2857143000001</v>
      </c>
      <c r="AO18" s="769">
        <f t="shared" si="14"/>
        <v>5690.2857143000001</v>
      </c>
      <c r="AP18" s="767">
        <f t="shared" si="15"/>
        <v>1</v>
      </c>
      <c r="AQ18" s="770">
        <f t="shared" si="18"/>
        <v>68283.428571600001</v>
      </c>
      <c r="AR18" s="770">
        <f t="shared" si="19"/>
        <v>5690.2857143000001</v>
      </c>
      <c r="AS18" s="770">
        <f t="shared" si="20"/>
        <v>5690.2857143000001</v>
      </c>
      <c r="AT18" s="770">
        <f t="shared" si="20"/>
        <v>5690.2857143000001</v>
      </c>
      <c r="AU18" s="770">
        <f t="shared" si="20"/>
        <v>5690.2857143000001</v>
      </c>
      <c r="AV18" s="770">
        <f t="shared" si="20"/>
        <v>5690.2857143000001</v>
      </c>
      <c r="AW18" s="770">
        <f t="shared" si="20"/>
        <v>5690.2857143000001</v>
      </c>
      <c r="AX18" s="770">
        <f t="shared" si="20"/>
        <v>5690.2857143000001</v>
      </c>
      <c r="AY18" s="770">
        <f t="shared" si="20"/>
        <v>5690.2857143000001</v>
      </c>
      <c r="AZ18" s="770">
        <f t="shared" si="20"/>
        <v>5690.2857143000001</v>
      </c>
      <c r="BA18" s="770">
        <f t="shared" si="20"/>
        <v>5690.2857143000001</v>
      </c>
      <c r="BB18" s="770">
        <f t="shared" si="20"/>
        <v>5690.2857143000001</v>
      </c>
      <c r="BC18" s="770">
        <f t="shared" si="20"/>
        <v>5690.2857143000001</v>
      </c>
    </row>
    <row r="19" spans="1:55" s="767" customFormat="1">
      <c r="A19" s="767" t="s">
        <v>359</v>
      </c>
      <c r="B19" s="767" t="s">
        <v>128</v>
      </c>
      <c r="C19" s="767" t="s">
        <v>129</v>
      </c>
      <c r="D19" s="767" t="s">
        <v>733</v>
      </c>
      <c r="E19" s="767" t="s">
        <v>736</v>
      </c>
      <c r="F19" s="767" t="s">
        <v>918</v>
      </c>
      <c r="G19" s="767" t="s">
        <v>379</v>
      </c>
      <c r="H19" s="767" t="s">
        <v>379</v>
      </c>
      <c r="I19" s="767" t="s">
        <v>379</v>
      </c>
      <c r="J19" s="767" t="s">
        <v>135</v>
      </c>
      <c r="K19" s="767" t="s">
        <v>136</v>
      </c>
      <c r="L19" s="767" t="s">
        <v>137</v>
      </c>
      <c r="M19" s="767" t="s">
        <v>102</v>
      </c>
      <c r="N19" s="767">
        <v>18735.567567567563</v>
      </c>
      <c r="O19" s="767">
        <v>14170</v>
      </c>
      <c r="P19" s="767">
        <v>14170</v>
      </c>
      <c r="Q19" s="767">
        <v>14170</v>
      </c>
      <c r="R19" s="767">
        <v>14170</v>
      </c>
      <c r="S19" s="767">
        <v>14170</v>
      </c>
      <c r="T19" s="767">
        <v>14170</v>
      </c>
      <c r="U19" s="767">
        <v>14170</v>
      </c>
      <c r="V19" s="767">
        <v>14170</v>
      </c>
      <c r="W19" s="767">
        <v>14170</v>
      </c>
      <c r="X19" s="767">
        <v>14170</v>
      </c>
      <c r="Y19" s="767">
        <v>14170</v>
      </c>
      <c r="Z19" s="767">
        <v>14170</v>
      </c>
      <c r="AA19" s="767">
        <v>14170</v>
      </c>
      <c r="AB19" s="767">
        <v>1</v>
      </c>
      <c r="AC19" s="769">
        <f>+SUM(AD19:AO19)</f>
        <v>9191.3513513513517</v>
      </c>
      <c r="AD19" s="769">
        <f>+IF($M19="MXN",P19/$AC$2,IF($M19="BRL",P19/$AC$3,IF($M19="EUR",P19*$AC$1,P19)))</f>
        <v>765.94594594594594</v>
      </c>
      <c r="AE19" s="769">
        <f t="shared" si="4"/>
        <v>765.94594594594594</v>
      </c>
      <c r="AF19" s="769">
        <f t="shared" si="5"/>
        <v>765.94594594594594</v>
      </c>
      <c r="AG19" s="769">
        <f t="shared" si="6"/>
        <v>765.94594594594594</v>
      </c>
      <c r="AH19" s="769">
        <f t="shared" si="7"/>
        <v>765.94594594594594</v>
      </c>
      <c r="AI19" s="769">
        <f t="shared" si="8"/>
        <v>765.94594594594594</v>
      </c>
      <c r="AJ19" s="769">
        <f t="shared" si="9"/>
        <v>765.94594594594594</v>
      </c>
      <c r="AK19" s="769">
        <f t="shared" si="10"/>
        <v>765.94594594594594</v>
      </c>
      <c r="AL19" s="769">
        <f t="shared" si="11"/>
        <v>765.94594594594594</v>
      </c>
      <c r="AM19" s="769">
        <f t="shared" si="12"/>
        <v>765.94594594594594</v>
      </c>
      <c r="AN19" s="769">
        <f t="shared" si="13"/>
        <v>765.94594594594594</v>
      </c>
      <c r="AO19" s="769">
        <f t="shared" si="14"/>
        <v>765.94594594594594</v>
      </c>
      <c r="AP19" s="769">
        <f t="shared" ref="AP19:BC19" si="21">+IF($M19="MXN",AB19/$AC$2,IF($M19="BRL",AB19/$AC$3,IF($M19="EUR",AB19*$AC$1,AB19)))</f>
        <v>5.4054054054054057E-2</v>
      </c>
      <c r="AQ19" s="769">
        <f t="shared" si="21"/>
        <v>496.82980277574876</v>
      </c>
      <c r="AR19" s="769">
        <f t="shared" si="21"/>
        <v>41.402483564645728</v>
      </c>
      <c r="AS19" s="769">
        <f t="shared" si="21"/>
        <v>41.402483564645728</v>
      </c>
      <c r="AT19" s="769">
        <f t="shared" si="21"/>
        <v>41.402483564645728</v>
      </c>
      <c r="AU19" s="769">
        <f t="shared" si="21"/>
        <v>41.402483564645728</v>
      </c>
      <c r="AV19" s="769">
        <f t="shared" si="21"/>
        <v>41.402483564645728</v>
      </c>
      <c r="AW19" s="769">
        <f t="shared" si="21"/>
        <v>41.402483564645728</v>
      </c>
      <c r="AX19" s="769">
        <f t="shared" si="21"/>
        <v>41.402483564645728</v>
      </c>
      <c r="AY19" s="769">
        <f t="shared" si="21"/>
        <v>41.402483564645728</v>
      </c>
      <c r="AZ19" s="769">
        <f t="shared" si="21"/>
        <v>41.402483564645728</v>
      </c>
      <c r="BA19" s="769">
        <f t="shared" si="21"/>
        <v>41.402483564645728</v>
      </c>
      <c r="BB19" s="769">
        <f t="shared" si="21"/>
        <v>41.402483564645728</v>
      </c>
      <c r="BC19" s="769">
        <f t="shared" si="21"/>
        <v>41.402483564645728</v>
      </c>
    </row>
    <row r="20" spans="1:55" s="767" customFormat="1">
      <c r="A20" s="767" t="str">
        <f>+'BizOps 2026'!A20</f>
        <v>SAPI</v>
      </c>
      <c r="B20" s="767" t="str">
        <f>+'BizOps 2026'!B20</f>
        <v>ADM</v>
      </c>
      <c r="C20" s="767" t="str">
        <f>+'BizOps 2026'!C20</f>
        <v>Maria Josefa Avalos</v>
      </c>
      <c r="D20" s="767" t="str">
        <f>+'BizOps 2026'!D20</f>
        <v>Accounting &amp; Tax</v>
      </c>
      <c r="E20" s="767" t="str">
        <f>+'BizOps 2026'!E20</f>
        <v>Arrowpoint</v>
      </c>
      <c r="F20" s="767" t="str">
        <f>+'BizOps 2026'!F20</f>
        <v>Treasury as a service</v>
      </c>
      <c r="G20" s="767" t="str">
        <f>+'BizOps 2026'!G20</f>
        <v>Invoice</v>
      </c>
      <c r="H20" s="767" t="str">
        <f>+'BizOps 2026'!H20</f>
        <v>Invoice</v>
      </c>
      <c r="I20" s="767" t="str">
        <f>+'BizOps 2026'!I20</f>
        <v>Invoice</v>
      </c>
      <c r="J20" s="767" t="str">
        <f>+'BizOps 2026'!J20</f>
        <v>603.38.001</v>
      </c>
      <c r="K20" s="767" t="str">
        <f>+'BizOps 2026'!K20</f>
        <v>Honorarios A Personas Morales Nacionales</v>
      </c>
      <c r="L20" s="767" t="str">
        <f>+'BizOps 2026'!L20</f>
        <v>Servicios Externos</v>
      </c>
      <c r="M20" s="767" t="str">
        <f>+'BizOps 2026'!M20</f>
        <v>MXN</v>
      </c>
      <c r="N20" s="767">
        <f>+'BizOps 2026'!N20</f>
        <v>18735.567567567563</v>
      </c>
      <c r="O20" s="767">
        <f>+'BizOps 2026'!O20</f>
        <v>346607.99999999994</v>
      </c>
      <c r="P20" s="767">
        <f>+'BizOps 2026'!P20</f>
        <v>28883.999999999996</v>
      </c>
      <c r="Q20" s="767">
        <f>+'BizOps 2026'!Q20</f>
        <v>28883.999999999996</v>
      </c>
      <c r="R20" s="767">
        <f>+'BizOps 2026'!R20</f>
        <v>28883.999999999996</v>
      </c>
      <c r="S20" s="767">
        <f>+'BizOps 2026'!S20</f>
        <v>28883.999999999996</v>
      </c>
      <c r="T20" s="767">
        <f>+'BizOps 2026'!T20</f>
        <v>28883.999999999996</v>
      </c>
      <c r="U20" s="767">
        <f>+'BizOps 2026'!U20</f>
        <v>28883.999999999996</v>
      </c>
      <c r="V20" s="767">
        <f>+'BizOps 2026'!V20</f>
        <v>28883.999999999996</v>
      </c>
      <c r="W20" s="767">
        <f>+'BizOps 2026'!W20</f>
        <v>28883.999999999996</v>
      </c>
      <c r="X20" s="767">
        <f>+'BizOps 2026'!X20</f>
        <v>28883.999999999996</v>
      </c>
      <c r="Y20" s="767">
        <f>+'BizOps 2026'!Y20</f>
        <v>28883.999999999996</v>
      </c>
      <c r="Z20" s="767">
        <f>+'BizOps 2026'!Z20</f>
        <v>28883.999999999996</v>
      </c>
      <c r="AA20" s="767">
        <f>+'BizOps 2026'!AA20</f>
        <v>28883.999999999996</v>
      </c>
      <c r="AB20" s="767">
        <f t="shared" si="2"/>
        <v>1</v>
      </c>
      <c r="AC20" s="769">
        <f t="shared" si="17"/>
        <v>18735.567567567563</v>
      </c>
      <c r="AD20" s="769">
        <f t="shared" si="3"/>
        <v>1561.2972972972971</v>
      </c>
      <c r="AE20" s="769">
        <f t="shared" si="4"/>
        <v>1561.2972972972971</v>
      </c>
      <c r="AF20" s="769">
        <f t="shared" si="5"/>
        <v>1561.2972972972971</v>
      </c>
      <c r="AG20" s="769">
        <f t="shared" si="6"/>
        <v>1561.2972972972971</v>
      </c>
      <c r="AH20" s="769">
        <f t="shared" si="7"/>
        <v>1561.2972972972971</v>
      </c>
      <c r="AI20" s="769">
        <f t="shared" si="8"/>
        <v>1561.2972972972971</v>
      </c>
      <c r="AJ20" s="769">
        <f t="shared" si="9"/>
        <v>1561.2972972972971</v>
      </c>
      <c r="AK20" s="769">
        <f t="shared" si="10"/>
        <v>1561.2972972972971</v>
      </c>
      <c r="AL20" s="769">
        <f t="shared" si="11"/>
        <v>1561.2972972972971</v>
      </c>
      <c r="AM20" s="769">
        <f t="shared" si="12"/>
        <v>1561.2972972972971</v>
      </c>
      <c r="AN20" s="769">
        <f t="shared" si="13"/>
        <v>1561.2972972972971</v>
      </c>
      <c r="AO20" s="769">
        <f t="shared" si="14"/>
        <v>1561.2972972972971</v>
      </c>
      <c r="AP20" s="767">
        <f t="shared" si="15"/>
        <v>1</v>
      </c>
      <c r="AQ20" s="770">
        <f t="shared" si="18"/>
        <v>18735.567567567563</v>
      </c>
      <c r="AR20" s="770">
        <f t="shared" si="19"/>
        <v>1561.2972972972968</v>
      </c>
      <c r="AS20" s="770">
        <f t="shared" si="20"/>
        <v>1561.2972972972968</v>
      </c>
      <c r="AT20" s="770">
        <f t="shared" si="20"/>
        <v>1561.2972972972968</v>
      </c>
      <c r="AU20" s="770">
        <f t="shared" si="20"/>
        <v>1561.2972972972968</v>
      </c>
      <c r="AV20" s="770">
        <f t="shared" si="20"/>
        <v>1561.2972972972968</v>
      </c>
      <c r="AW20" s="770">
        <f t="shared" si="20"/>
        <v>1561.2972972972968</v>
      </c>
      <c r="AX20" s="770">
        <f t="shared" si="20"/>
        <v>1561.2972972972968</v>
      </c>
      <c r="AY20" s="770">
        <f t="shared" si="20"/>
        <v>1561.2972972972968</v>
      </c>
      <c r="AZ20" s="770">
        <f t="shared" si="20"/>
        <v>1561.2972972972968</v>
      </c>
      <c r="BA20" s="770">
        <f t="shared" si="20"/>
        <v>1561.2972972972968</v>
      </c>
      <c r="BB20" s="770">
        <f t="shared" si="20"/>
        <v>1561.2972972972968</v>
      </c>
      <c r="BC20" s="770">
        <f t="shared" si="20"/>
        <v>1561.2972972972968</v>
      </c>
    </row>
    <row r="21" spans="1:55">
      <c r="A21" t="str">
        <f>+'BizOps 2026'!A21</f>
        <v>SAPI</v>
      </c>
      <c r="B21" t="str">
        <f>+'BizOps 2026'!B21</f>
        <v>ADM</v>
      </c>
      <c r="C21" t="str">
        <f>+'BizOps 2026'!C21</f>
        <v>Maria Josefa Avalos</v>
      </c>
      <c r="D21" t="str">
        <f>+'BizOps 2026'!D21</f>
        <v>Accounting &amp; Tax</v>
      </c>
      <c r="E21" t="str">
        <f>+'BizOps 2026'!E21</f>
        <v>OPERAM</v>
      </c>
      <c r="F21" t="str">
        <f>+'BizOps 2026'!F21</f>
        <v>Accounting and tresury services</v>
      </c>
      <c r="G21" t="str">
        <f>+'BizOps 2026'!G21</f>
        <v>Jeeves</v>
      </c>
      <c r="H21">
        <f>+'BizOps 2026'!H21</f>
        <v>0</v>
      </c>
      <c r="I21" t="str">
        <f>+'BizOps 2026'!I21</f>
        <v>PENDING</v>
      </c>
      <c r="J21" t="str">
        <f>+'BizOps 2026'!J21</f>
        <v>603.38.001</v>
      </c>
      <c r="K21" t="str">
        <f>+'BizOps 2026'!K21</f>
        <v>Honorarios A Personas Morales Nacionales</v>
      </c>
      <c r="L21" t="str">
        <f>+'BizOps 2026'!L21</f>
        <v>Servicios Externos</v>
      </c>
      <c r="M21" t="str">
        <f>+'BizOps 2026'!M21</f>
        <v>MXN</v>
      </c>
      <c r="N21">
        <f>+'BizOps 2026'!N21</f>
        <v>357.40540540540542</v>
      </c>
      <c r="O21">
        <f>+'BizOps 2026'!O21</f>
        <v>6612</v>
      </c>
      <c r="P21">
        <f>+'BizOps 2026'!P21</f>
        <v>551</v>
      </c>
      <c r="Q21">
        <f>+'BizOps 2026'!Q21</f>
        <v>551</v>
      </c>
      <c r="R21">
        <f>+'BizOps 2026'!R21</f>
        <v>551</v>
      </c>
      <c r="S21">
        <f>+'BizOps 2026'!S21</f>
        <v>551</v>
      </c>
      <c r="T21">
        <f>+'BizOps 2026'!T21</f>
        <v>551</v>
      </c>
      <c r="U21">
        <f>+'BizOps 2026'!U21</f>
        <v>551</v>
      </c>
      <c r="V21">
        <f>+'BizOps 2026'!V21</f>
        <v>551</v>
      </c>
      <c r="W21">
        <f>+'BizOps 2026'!W21</f>
        <v>551</v>
      </c>
      <c r="X21">
        <f>+'BizOps 2026'!X21</f>
        <v>551</v>
      </c>
      <c r="Y21">
        <f>+'BizOps 2026'!Y21</f>
        <v>551</v>
      </c>
      <c r="Z21">
        <f>+'BizOps 2026'!Z21</f>
        <v>551</v>
      </c>
      <c r="AA21">
        <f>+'BizOps 2026'!AA21</f>
        <v>551</v>
      </c>
      <c r="AB21">
        <f t="shared" si="2"/>
        <v>1</v>
      </c>
      <c r="AC21" s="34">
        <f t="shared" si="17"/>
        <v>357.40540540540542</v>
      </c>
      <c r="AD21" s="34">
        <f t="shared" si="3"/>
        <v>29.783783783783782</v>
      </c>
      <c r="AE21" s="34">
        <f t="shared" si="4"/>
        <v>29.783783783783782</v>
      </c>
      <c r="AF21" s="34">
        <f t="shared" si="5"/>
        <v>29.783783783783782</v>
      </c>
      <c r="AG21" s="34">
        <f t="shared" si="6"/>
        <v>29.783783783783782</v>
      </c>
      <c r="AH21" s="34">
        <f t="shared" si="7"/>
        <v>29.783783783783782</v>
      </c>
      <c r="AI21" s="34">
        <f t="shared" si="8"/>
        <v>29.783783783783782</v>
      </c>
      <c r="AJ21" s="34">
        <f t="shared" si="9"/>
        <v>29.783783783783782</v>
      </c>
      <c r="AK21" s="34">
        <f t="shared" si="10"/>
        <v>29.783783783783782</v>
      </c>
      <c r="AL21" s="34">
        <f t="shared" si="11"/>
        <v>29.783783783783782</v>
      </c>
      <c r="AM21" s="34">
        <f t="shared" si="12"/>
        <v>29.783783783783782</v>
      </c>
      <c r="AN21" s="34">
        <f t="shared" si="13"/>
        <v>29.783783783783782</v>
      </c>
      <c r="AO21" s="34">
        <f t="shared" si="14"/>
        <v>29.783783783783782</v>
      </c>
      <c r="AP21">
        <f t="shared" si="15"/>
        <v>1</v>
      </c>
      <c r="AQ21" s="652">
        <f t="shared" si="18"/>
        <v>357.40540540540547</v>
      </c>
      <c r="AR21" s="652">
        <f t="shared" si="19"/>
        <v>29.783783783783786</v>
      </c>
      <c r="AS21" s="652">
        <f t="shared" si="20"/>
        <v>29.783783783783786</v>
      </c>
      <c r="AT21" s="652">
        <f t="shared" si="20"/>
        <v>29.783783783783786</v>
      </c>
      <c r="AU21" s="652">
        <f t="shared" si="20"/>
        <v>29.783783783783786</v>
      </c>
      <c r="AV21" s="652">
        <f t="shared" si="20"/>
        <v>29.783783783783786</v>
      </c>
      <c r="AW21" s="652">
        <f t="shared" si="20"/>
        <v>29.783783783783786</v>
      </c>
      <c r="AX21" s="652">
        <f t="shared" si="20"/>
        <v>29.783783783783786</v>
      </c>
      <c r="AY21" s="652">
        <f t="shared" si="20"/>
        <v>29.783783783783786</v>
      </c>
      <c r="AZ21" s="652">
        <f t="shared" si="20"/>
        <v>29.783783783783786</v>
      </c>
      <c r="BA21" s="652">
        <f t="shared" si="20"/>
        <v>29.783783783783786</v>
      </c>
      <c r="BB21" s="652">
        <f t="shared" si="20"/>
        <v>29.783783783783786</v>
      </c>
      <c r="BC21" s="652">
        <f t="shared" si="20"/>
        <v>29.783783783783786</v>
      </c>
    </row>
    <row r="22" spans="1:55">
      <c r="A22" t="str">
        <f>+'BizOps 2026'!A22</f>
        <v>SAPI</v>
      </c>
      <c r="B22" t="str">
        <f>+'BizOps 2026'!B22</f>
        <v>ADM</v>
      </c>
      <c r="C22" t="str">
        <f>+'BizOps 2026'!C22</f>
        <v>Maria Josefa Avalos</v>
      </c>
      <c r="D22" t="str">
        <f>+'BizOps 2026'!D22</f>
        <v>Accounting &amp; Tax</v>
      </c>
      <c r="E22" t="str">
        <f>+'BizOps 2026'!E22</f>
        <v>Topaz</v>
      </c>
      <c r="F22" t="str">
        <f>+'BizOps 2026'!F22</f>
        <v>Accounting and tresury services</v>
      </c>
      <c r="G22" t="str">
        <f>+'BizOps 2026'!G22</f>
        <v>Invoice</v>
      </c>
      <c r="H22" t="str">
        <f>+'BizOps 2026'!H22</f>
        <v>Invoice</v>
      </c>
      <c r="I22" t="str">
        <f>+'BizOps 2026'!I22</f>
        <v>Invoice</v>
      </c>
      <c r="J22" t="str">
        <f>+'BizOps 2026'!J22</f>
        <v>603.38.001</v>
      </c>
      <c r="K22" t="str">
        <f>+'BizOps 2026'!K22</f>
        <v>Honorarios A Personas Morales Nacionales</v>
      </c>
      <c r="L22" t="str">
        <f>+'BizOps 2026'!L22</f>
        <v>Servicios Externos</v>
      </c>
      <c r="M22" t="str">
        <f>+'BizOps 2026'!M22</f>
        <v>MXN</v>
      </c>
      <c r="N22">
        <f>+'BizOps 2026'!N22</f>
        <v>12972.972972972973</v>
      </c>
      <c r="O22">
        <f>+'BizOps 2026'!O22</f>
        <v>240000</v>
      </c>
      <c r="P22">
        <f>+'BizOps 2026'!P22</f>
        <v>20000</v>
      </c>
      <c r="Q22">
        <f>+'BizOps 2026'!Q22</f>
        <v>20000</v>
      </c>
      <c r="R22">
        <f>+'BizOps 2026'!R22</f>
        <v>20000</v>
      </c>
      <c r="S22">
        <f>+'BizOps 2026'!S22</f>
        <v>20000</v>
      </c>
      <c r="T22">
        <f>+'BizOps 2026'!T22</f>
        <v>20000</v>
      </c>
      <c r="U22">
        <f>+'BizOps 2026'!U22</f>
        <v>20000</v>
      </c>
      <c r="V22">
        <f>+'BizOps 2026'!V22</f>
        <v>20000</v>
      </c>
      <c r="W22">
        <f>+'BizOps 2026'!W22</f>
        <v>20000</v>
      </c>
      <c r="X22">
        <f>+'BizOps 2026'!X22</f>
        <v>20000</v>
      </c>
      <c r="Y22">
        <f>+'BizOps 2026'!Y22</f>
        <v>20000</v>
      </c>
      <c r="Z22">
        <f>+'BizOps 2026'!Z22</f>
        <v>20000</v>
      </c>
      <c r="AA22">
        <f>+'BizOps 2026'!AA22</f>
        <v>20000</v>
      </c>
      <c r="AB22">
        <f t="shared" si="2"/>
        <v>1</v>
      </c>
      <c r="AC22" s="34">
        <f t="shared" si="17"/>
        <v>12972.972972972975</v>
      </c>
      <c r="AD22" s="34">
        <f t="shared" si="3"/>
        <v>1081.081081081081</v>
      </c>
      <c r="AE22" s="34">
        <f t="shared" si="4"/>
        <v>1081.081081081081</v>
      </c>
      <c r="AF22" s="34">
        <f t="shared" si="5"/>
        <v>1081.081081081081</v>
      </c>
      <c r="AG22" s="34">
        <f t="shared" si="6"/>
        <v>1081.081081081081</v>
      </c>
      <c r="AH22" s="34">
        <f t="shared" si="7"/>
        <v>1081.081081081081</v>
      </c>
      <c r="AI22" s="34">
        <f t="shared" si="8"/>
        <v>1081.081081081081</v>
      </c>
      <c r="AJ22" s="34">
        <f t="shared" si="9"/>
        <v>1081.081081081081</v>
      </c>
      <c r="AK22" s="34">
        <f t="shared" si="10"/>
        <v>1081.081081081081</v>
      </c>
      <c r="AL22" s="34">
        <f t="shared" si="11"/>
        <v>1081.081081081081</v>
      </c>
      <c r="AM22" s="34">
        <f t="shared" si="12"/>
        <v>1081.081081081081</v>
      </c>
      <c r="AN22" s="34">
        <f t="shared" si="13"/>
        <v>1081.081081081081</v>
      </c>
      <c r="AO22" s="34">
        <f t="shared" si="14"/>
        <v>1081.081081081081</v>
      </c>
      <c r="AP22">
        <f t="shared" si="15"/>
        <v>1</v>
      </c>
      <c r="AQ22" s="652">
        <f t="shared" si="18"/>
        <v>12972.972972972975</v>
      </c>
      <c r="AR22" s="652">
        <f t="shared" si="19"/>
        <v>1081.081081081081</v>
      </c>
      <c r="AS22" s="652">
        <f t="shared" si="20"/>
        <v>1081.081081081081</v>
      </c>
      <c r="AT22" s="652">
        <f t="shared" si="20"/>
        <v>1081.081081081081</v>
      </c>
      <c r="AU22" s="652">
        <f t="shared" si="20"/>
        <v>1081.081081081081</v>
      </c>
      <c r="AV22" s="652">
        <f t="shared" si="20"/>
        <v>1081.081081081081</v>
      </c>
      <c r="AW22" s="652">
        <f t="shared" si="20"/>
        <v>1081.081081081081</v>
      </c>
      <c r="AX22" s="652">
        <f t="shared" si="20"/>
        <v>1081.081081081081</v>
      </c>
      <c r="AY22" s="652">
        <f t="shared" si="20"/>
        <v>1081.081081081081</v>
      </c>
      <c r="AZ22" s="652">
        <f t="shared" si="20"/>
        <v>1081.081081081081</v>
      </c>
      <c r="BA22" s="652">
        <f t="shared" si="20"/>
        <v>1081.081081081081</v>
      </c>
      <c r="BB22" s="652">
        <f t="shared" si="20"/>
        <v>1081.081081081081</v>
      </c>
      <c r="BC22" s="652">
        <f t="shared" si="20"/>
        <v>1081.081081081081</v>
      </c>
    </row>
    <row r="23" spans="1:55">
      <c r="A23" t="str">
        <f>+'BizOps 2026'!A23</f>
        <v>INC</v>
      </c>
      <c r="B23" t="str">
        <f>+'BizOps 2026'!B23</f>
        <v>ADM</v>
      </c>
      <c r="C23" t="str">
        <f>+'BizOps 2026'!C23</f>
        <v>Maria Josefa Avalos</v>
      </c>
      <c r="D23" t="str">
        <f>+'BizOps 2026'!D23</f>
        <v>Delaware Division of Corporations</v>
      </c>
      <c r="E23">
        <f>+'BizOps 2026'!E23</f>
        <v>0</v>
      </c>
      <c r="F23" t="str">
        <f>+'BizOps 2026'!F23</f>
        <v xml:space="preserve">Corp E Corp </v>
      </c>
      <c r="G23" t="str">
        <f>+'BizOps 2026'!G23</f>
        <v>Mercury</v>
      </c>
      <c r="H23" t="str">
        <f>+'BizOps 2026'!H23</f>
        <v>Mercury 1869</v>
      </c>
      <c r="I23" t="str">
        <f>+'BizOps 2026'!I23</f>
        <v>Mercury 1869</v>
      </c>
      <c r="J23" t="str">
        <f>+'BizOps 2026'!J23</f>
        <v>603.32.001</v>
      </c>
      <c r="K23" t="str">
        <f>+'BizOps 2026'!K23</f>
        <v>Servicios administrativos</v>
      </c>
      <c r="L23" t="str">
        <f>+'BizOps 2026'!L23</f>
        <v>Servicios Externos</v>
      </c>
      <c r="M23" t="str">
        <f>+'BizOps 2026'!M23</f>
        <v>USD</v>
      </c>
      <c r="N23">
        <f>+'BizOps 2026'!N23</f>
        <v>6655.18</v>
      </c>
      <c r="O23">
        <f>+'BizOps 2026'!O23</f>
        <v>6655.18</v>
      </c>
      <c r="P23">
        <f>+'BizOps 2026'!P23</f>
        <v>0</v>
      </c>
      <c r="Q23">
        <f>+'BizOps 2026'!Q23</f>
        <v>0</v>
      </c>
      <c r="R23">
        <f>+'BizOps 2026'!R23</f>
        <v>255.18</v>
      </c>
      <c r="S23">
        <f>+'BizOps 2026'!S23</f>
        <v>0</v>
      </c>
      <c r="T23">
        <f>+'BizOps 2026'!T23</f>
        <v>3200</v>
      </c>
      <c r="U23">
        <f>+'BizOps 2026'!U23</f>
        <v>0</v>
      </c>
      <c r="V23">
        <f>+'BizOps 2026'!V23</f>
        <v>0</v>
      </c>
      <c r="W23">
        <f>+'BizOps 2026'!W23</f>
        <v>1600</v>
      </c>
      <c r="X23">
        <f>+'BizOps 2026'!X23</f>
        <v>0</v>
      </c>
      <c r="Y23">
        <f>+'BizOps 2026'!Y23</f>
        <v>0</v>
      </c>
      <c r="Z23">
        <f>+'BizOps 2026'!Z23</f>
        <v>0</v>
      </c>
      <c r="AA23">
        <f>+'BizOps 2026'!AA23</f>
        <v>1600</v>
      </c>
      <c r="AB23">
        <f t="shared" si="2"/>
        <v>1</v>
      </c>
      <c r="AC23" s="34">
        <f t="shared" si="17"/>
        <v>6655.18</v>
      </c>
      <c r="AD23" s="34">
        <f t="shared" si="3"/>
        <v>0</v>
      </c>
      <c r="AE23" s="34">
        <f t="shared" si="4"/>
        <v>0</v>
      </c>
      <c r="AF23" s="34">
        <f t="shared" si="5"/>
        <v>255.18</v>
      </c>
      <c r="AG23" s="34">
        <f t="shared" si="6"/>
        <v>0</v>
      </c>
      <c r="AH23" s="34">
        <f t="shared" si="7"/>
        <v>3200</v>
      </c>
      <c r="AI23" s="34">
        <f t="shared" si="8"/>
        <v>0</v>
      </c>
      <c r="AJ23" s="34">
        <f t="shared" si="9"/>
        <v>0</v>
      </c>
      <c r="AK23" s="34">
        <f t="shared" si="10"/>
        <v>1600</v>
      </c>
      <c r="AL23" s="34">
        <f t="shared" si="11"/>
        <v>0</v>
      </c>
      <c r="AM23" s="34">
        <f t="shared" si="12"/>
        <v>0</v>
      </c>
      <c r="AN23" s="34">
        <f t="shared" si="13"/>
        <v>0</v>
      </c>
      <c r="AO23" s="34">
        <f t="shared" si="14"/>
        <v>1600</v>
      </c>
      <c r="AP23">
        <f t="shared" si="15"/>
        <v>1</v>
      </c>
      <c r="AQ23" s="652">
        <f t="shared" si="18"/>
        <v>6655.18</v>
      </c>
      <c r="AR23" s="652">
        <f t="shared" si="19"/>
        <v>554.59833333333336</v>
      </c>
      <c r="AS23" s="652">
        <f t="shared" si="20"/>
        <v>554.59833333333336</v>
      </c>
      <c r="AT23" s="652">
        <f t="shared" si="20"/>
        <v>554.59833333333336</v>
      </c>
      <c r="AU23" s="652">
        <f t="shared" si="20"/>
        <v>554.59833333333336</v>
      </c>
      <c r="AV23" s="652">
        <f t="shared" si="20"/>
        <v>554.59833333333336</v>
      </c>
      <c r="AW23" s="652">
        <f t="shared" si="20"/>
        <v>554.59833333333336</v>
      </c>
      <c r="AX23" s="652">
        <f t="shared" si="20"/>
        <v>554.59833333333336</v>
      </c>
      <c r="AY23" s="652">
        <f t="shared" si="20"/>
        <v>554.59833333333336</v>
      </c>
      <c r="AZ23" s="652">
        <f t="shared" si="20"/>
        <v>554.59833333333336</v>
      </c>
      <c r="BA23" s="652">
        <f t="shared" si="20"/>
        <v>554.59833333333336</v>
      </c>
      <c r="BB23" s="652">
        <f t="shared" si="20"/>
        <v>554.59833333333336</v>
      </c>
      <c r="BC23" s="652">
        <f t="shared" si="20"/>
        <v>554.59833333333336</v>
      </c>
    </row>
    <row r="24" spans="1:55">
      <c r="A24" t="str">
        <f>+'BizOps 2026'!A26</f>
        <v>SAPI</v>
      </c>
      <c r="B24" t="str">
        <f>+'BizOps 2026'!B26</f>
        <v>ADM</v>
      </c>
      <c r="C24" t="str">
        <f>+'BizOps 2026'!C26</f>
        <v>Maria Josefa Avalos</v>
      </c>
      <c r="D24" t="str">
        <f>+'BizOps 2026'!D26</f>
        <v>Payroll</v>
      </c>
      <c r="E24" t="str">
        <f>+'BizOps 2026'!E26</f>
        <v>Luis Garza</v>
      </c>
      <c r="F24" t="str">
        <f>+'BizOps 2026'!F26</f>
        <v>Asimilados</v>
      </c>
      <c r="G24" t="str">
        <f>+'BizOps 2026'!G26</f>
        <v>Invoice</v>
      </c>
      <c r="H24">
        <f>+'BizOps 2026'!H26</f>
        <v>0</v>
      </c>
      <c r="I24">
        <f>+'BizOps 2026'!I26</f>
        <v>0</v>
      </c>
      <c r="J24" t="str">
        <f>+'BizOps 2026'!J26</f>
        <v>603.31.001</v>
      </c>
      <c r="K24" t="str">
        <f>+'BizOps 2026'!K26</f>
        <v>Asimilados a salarios</v>
      </c>
      <c r="L24" t="str">
        <f>+'BizOps 2026'!L26</f>
        <v>Sueldos y Salarios</v>
      </c>
      <c r="M24" t="str">
        <f>+'BizOps 2026'!M26</f>
        <v>USD</v>
      </c>
      <c r="N24">
        <f>+'BizOps 2026'!N26</f>
        <v>72000</v>
      </c>
      <c r="O24">
        <f>+'BizOps 2026'!O26</f>
        <v>72000</v>
      </c>
      <c r="P24">
        <f>+'BizOps 2026'!P26</f>
        <v>6000</v>
      </c>
      <c r="Q24">
        <f>+'BizOps 2026'!Q26</f>
        <v>6000</v>
      </c>
      <c r="R24">
        <f>+'BizOps 2026'!R26</f>
        <v>6000</v>
      </c>
      <c r="S24">
        <f>+'BizOps 2026'!S26</f>
        <v>6000</v>
      </c>
      <c r="T24">
        <f>+'BizOps 2026'!T26</f>
        <v>6000</v>
      </c>
      <c r="U24">
        <f>+'BizOps 2026'!U26</f>
        <v>6000</v>
      </c>
      <c r="V24">
        <f>+'BizOps 2026'!V26</f>
        <v>6000</v>
      </c>
      <c r="W24">
        <f>+'BizOps 2026'!W26</f>
        <v>6000</v>
      </c>
      <c r="X24">
        <f>+'BizOps 2026'!X26</f>
        <v>6000</v>
      </c>
      <c r="Y24">
        <f>+'BizOps 2026'!Y26</f>
        <v>6000</v>
      </c>
      <c r="Z24">
        <f>+'BizOps 2026'!Z26</f>
        <v>6000</v>
      </c>
      <c r="AA24">
        <f>+'BizOps 2026'!AA26</f>
        <v>6000</v>
      </c>
      <c r="AB24">
        <f t="shared" si="2"/>
        <v>1</v>
      </c>
      <c r="AC24" s="34">
        <f t="shared" ref="AC24:AC30" si="22">+SUM(AD24:AO24)</f>
        <v>72000</v>
      </c>
      <c r="AD24" s="34">
        <f t="shared" si="3"/>
        <v>6000</v>
      </c>
      <c r="AE24" s="34">
        <f t="shared" si="4"/>
        <v>6000</v>
      </c>
      <c r="AF24" s="34">
        <f t="shared" si="5"/>
        <v>6000</v>
      </c>
      <c r="AG24" s="34">
        <f t="shared" si="6"/>
        <v>6000</v>
      </c>
      <c r="AH24" s="34">
        <f t="shared" si="7"/>
        <v>6000</v>
      </c>
      <c r="AI24" s="34">
        <f t="shared" si="8"/>
        <v>6000</v>
      </c>
      <c r="AJ24" s="34">
        <f t="shared" si="9"/>
        <v>6000</v>
      </c>
      <c r="AK24" s="34">
        <f t="shared" si="10"/>
        <v>6000</v>
      </c>
      <c r="AL24" s="34">
        <f t="shared" si="11"/>
        <v>6000</v>
      </c>
      <c r="AM24" s="34">
        <f t="shared" si="12"/>
        <v>6000</v>
      </c>
      <c r="AN24" s="34">
        <f t="shared" si="13"/>
        <v>6000</v>
      </c>
      <c r="AO24" s="34">
        <f t="shared" si="14"/>
        <v>6000</v>
      </c>
      <c r="AP24">
        <f t="shared" si="15"/>
        <v>1</v>
      </c>
      <c r="AQ24" s="652">
        <f t="shared" si="18"/>
        <v>72000</v>
      </c>
      <c r="AR24" s="652">
        <f t="shared" si="19"/>
        <v>6000</v>
      </c>
      <c r="AS24" s="652">
        <f t="shared" si="20"/>
        <v>6000</v>
      </c>
      <c r="AT24" s="652">
        <f t="shared" si="20"/>
        <v>6000</v>
      </c>
      <c r="AU24" s="652">
        <f t="shared" si="20"/>
        <v>6000</v>
      </c>
      <c r="AV24" s="652">
        <f t="shared" si="20"/>
        <v>6000</v>
      </c>
      <c r="AW24" s="652">
        <f t="shared" si="20"/>
        <v>6000</v>
      </c>
      <c r="AX24" s="652">
        <f t="shared" si="20"/>
        <v>6000</v>
      </c>
      <c r="AY24" s="652">
        <f t="shared" si="20"/>
        <v>6000</v>
      </c>
      <c r="AZ24" s="652">
        <f t="shared" si="20"/>
        <v>6000</v>
      </c>
      <c r="BA24" s="652">
        <f t="shared" si="20"/>
        <v>6000</v>
      </c>
      <c r="BB24" s="652">
        <f t="shared" si="20"/>
        <v>6000</v>
      </c>
      <c r="BC24" s="652">
        <f t="shared" si="20"/>
        <v>6000</v>
      </c>
    </row>
    <row r="25" spans="1:55">
      <c r="A25" t="str">
        <f>+'BizOps 2026'!A28</f>
        <v>SAPI</v>
      </c>
      <c r="B25" t="str">
        <f>+'BizOps 2026'!B28</f>
        <v>ADM</v>
      </c>
      <c r="C25" t="str">
        <f>+'BizOps 2026'!C28</f>
        <v>Maria Josefa Avalos</v>
      </c>
      <c r="D25" t="str">
        <f>+'BizOps 2026'!D28</f>
        <v>Payroll</v>
      </c>
      <c r="E25" t="str">
        <f>+'BizOps 2026'!E28</f>
        <v>Maria Josefa Avalos</v>
      </c>
      <c r="F25" t="str">
        <f>+'BizOps 2026'!F28</f>
        <v>Dir Strategic Projects and Excellence</v>
      </c>
      <c r="G25" t="str">
        <f>+'BizOps 2026'!G28</f>
        <v>Gusto</v>
      </c>
      <c r="H25">
        <f>+'BizOps 2026'!H28</f>
        <v>0</v>
      </c>
      <c r="I25">
        <f>+'BizOps 2026'!I28</f>
        <v>0</v>
      </c>
      <c r="J25" t="str">
        <f>+'BizOps 2026'!J28</f>
        <v>603.01.001</v>
      </c>
      <c r="K25" t="str">
        <f>+'BizOps 2026'!K28</f>
        <v>Sueldos y salarios</v>
      </c>
      <c r="L25" t="str">
        <f>+'BizOps 2026'!L28</f>
        <v>Sueldos y Salarios</v>
      </c>
      <c r="M25" t="str">
        <f>+'BizOps 2026'!M28</f>
        <v>MXN</v>
      </c>
      <c r="N25">
        <f>+'BizOps 2026'!N28</f>
        <v>94659.372972972953</v>
      </c>
      <c r="O25">
        <f>+'BizOps 2026'!O28</f>
        <v>1751198.3999999997</v>
      </c>
      <c r="P25">
        <f>+'BizOps 2026'!P28</f>
        <v>145933.19999999998</v>
      </c>
      <c r="Q25">
        <f>+'BizOps 2026'!Q28</f>
        <v>145933.19999999998</v>
      </c>
      <c r="R25">
        <f>+'BizOps 2026'!R28</f>
        <v>145933.19999999998</v>
      </c>
      <c r="S25">
        <f>+'BizOps 2026'!S28</f>
        <v>145933.19999999998</v>
      </c>
      <c r="T25">
        <f>+'BizOps 2026'!T28</f>
        <v>145933.19999999998</v>
      </c>
      <c r="U25">
        <f>+'BizOps 2026'!U28</f>
        <v>145933.19999999998</v>
      </c>
      <c r="V25">
        <f>+'BizOps 2026'!V28</f>
        <v>145933.19999999998</v>
      </c>
      <c r="W25">
        <f>+'BizOps 2026'!W28</f>
        <v>145933.19999999998</v>
      </c>
      <c r="X25">
        <f>+'BizOps 2026'!X28</f>
        <v>145933.19999999998</v>
      </c>
      <c r="Y25">
        <f>+'BizOps 2026'!Y28</f>
        <v>145933.19999999998</v>
      </c>
      <c r="Z25">
        <f>+'BizOps 2026'!Z28</f>
        <v>145933.19999999998</v>
      </c>
      <c r="AA25">
        <f>+'BizOps 2026'!AA28</f>
        <v>145933.19999999998</v>
      </c>
      <c r="AB25" t="b">
        <f t="shared" si="2"/>
        <v>0</v>
      </c>
      <c r="AC25" s="34">
        <f t="shared" si="22"/>
        <v>94659.372972972938</v>
      </c>
      <c r="AD25" s="34">
        <f t="shared" si="3"/>
        <v>7888.2810810810797</v>
      </c>
      <c r="AE25" s="34">
        <f t="shared" si="4"/>
        <v>7888.2810810810797</v>
      </c>
      <c r="AF25" s="34">
        <f t="shared" si="5"/>
        <v>7888.2810810810797</v>
      </c>
      <c r="AG25" s="34">
        <f t="shared" si="6"/>
        <v>7888.2810810810797</v>
      </c>
      <c r="AH25" s="34">
        <f t="shared" si="7"/>
        <v>7888.2810810810797</v>
      </c>
      <c r="AI25" s="34">
        <f t="shared" si="8"/>
        <v>7888.2810810810797</v>
      </c>
      <c r="AJ25" s="34">
        <f t="shared" si="9"/>
        <v>7888.2810810810797</v>
      </c>
      <c r="AK25" s="34">
        <f t="shared" si="10"/>
        <v>7888.2810810810797</v>
      </c>
      <c r="AL25" s="34">
        <f t="shared" si="11"/>
        <v>7888.2810810810797</v>
      </c>
      <c r="AM25" s="34">
        <f t="shared" si="12"/>
        <v>7888.2810810810797</v>
      </c>
      <c r="AN25" s="34">
        <f t="shared" si="13"/>
        <v>7888.2810810810797</v>
      </c>
      <c r="AO25" s="34">
        <f t="shared" si="14"/>
        <v>7888.2810810810797</v>
      </c>
      <c r="AP25" t="b">
        <f>+IF(AQ25=N25,1)</f>
        <v>0</v>
      </c>
      <c r="AQ25" s="652">
        <f>+SUM(AR25:BC25)</f>
        <v>94659.372972972938</v>
      </c>
      <c r="AR25" s="652">
        <f t="shared" si="19"/>
        <v>7888.2810810810797</v>
      </c>
      <c r="AS25" s="652">
        <f t="shared" si="20"/>
        <v>7888.2810810810797</v>
      </c>
      <c r="AT25" s="652">
        <f t="shared" si="20"/>
        <v>7888.2810810810797</v>
      </c>
      <c r="AU25" s="652">
        <f t="shared" si="20"/>
        <v>7888.2810810810797</v>
      </c>
      <c r="AV25" s="652">
        <f t="shared" si="20"/>
        <v>7888.2810810810797</v>
      </c>
      <c r="AW25" s="652">
        <f t="shared" si="20"/>
        <v>7888.2810810810797</v>
      </c>
      <c r="AX25" s="652">
        <f t="shared" si="20"/>
        <v>7888.2810810810797</v>
      </c>
      <c r="AY25" s="652">
        <f t="shared" si="20"/>
        <v>7888.2810810810797</v>
      </c>
      <c r="AZ25" s="652">
        <f t="shared" si="20"/>
        <v>7888.2810810810797</v>
      </c>
      <c r="BA25" s="652">
        <f t="shared" si="20"/>
        <v>7888.2810810810797</v>
      </c>
      <c r="BB25" s="652">
        <f t="shared" si="20"/>
        <v>7888.2810810810797</v>
      </c>
      <c r="BC25" s="652">
        <f t="shared" si="20"/>
        <v>7888.2810810810797</v>
      </c>
    </row>
    <row r="26" spans="1:55">
      <c r="A26" t="str">
        <f>+'BizOps 2026'!A29</f>
        <v>SAPI</v>
      </c>
      <c r="B26" t="str">
        <f>+'BizOps 2026'!B29</f>
        <v>ADM</v>
      </c>
      <c r="C26" t="str">
        <f>+'BizOps 2026'!C29</f>
        <v>Maria Josefa Avalos</v>
      </c>
      <c r="D26" t="str">
        <f>+'BizOps 2026'!D29</f>
        <v>Payroll</v>
      </c>
      <c r="E26" t="str">
        <f>+'BizOps 2026'!E29</f>
        <v>Regina Elizondo</v>
      </c>
      <c r="F26" t="str">
        <f>+'BizOps 2026'!F29</f>
        <v>Strategy Specialist</v>
      </c>
      <c r="G26" t="str">
        <f>+'BizOps 2026'!G29</f>
        <v>Gusto</v>
      </c>
      <c r="H26">
        <f>+'BizOps 2026'!H29</f>
        <v>0</v>
      </c>
      <c r="I26">
        <f>+'BizOps 2026'!I29</f>
        <v>0</v>
      </c>
      <c r="J26" t="str">
        <f>+'BizOps 2026'!J29</f>
        <v>603.01.001</v>
      </c>
      <c r="K26" t="str">
        <f>+'BizOps 2026'!K29</f>
        <v>Sueldos y salarios</v>
      </c>
      <c r="L26" t="str">
        <f>+'BizOps 2026'!L29</f>
        <v>Sueldos y Salarios</v>
      </c>
      <c r="M26" t="str">
        <f>+'BizOps 2026'!M29</f>
        <v>MXN</v>
      </c>
      <c r="N26">
        <f>+'BizOps 2026'!N29</f>
        <v>25971.891891891893</v>
      </c>
      <c r="O26">
        <f>+'BizOps 2026'!O29</f>
        <v>480480</v>
      </c>
      <c r="P26">
        <f>+'BizOps 2026'!P29</f>
        <v>40040</v>
      </c>
      <c r="Q26">
        <f>+'BizOps 2026'!Q29</f>
        <v>40040</v>
      </c>
      <c r="R26">
        <f>+'BizOps 2026'!R29</f>
        <v>40040</v>
      </c>
      <c r="S26">
        <f>+'BizOps 2026'!S29</f>
        <v>40040</v>
      </c>
      <c r="T26">
        <f>+'BizOps 2026'!T29</f>
        <v>40040</v>
      </c>
      <c r="U26">
        <f>+'BizOps 2026'!U29</f>
        <v>40040</v>
      </c>
      <c r="V26">
        <f>+'BizOps 2026'!V29</f>
        <v>40040</v>
      </c>
      <c r="W26">
        <f>+'BizOps 2026'!W29</f>
        <v>40040</v>
      </c>
      <c r="X26">
        <f>+'BizOps 2026'!X29</f>
        <v>40040</v>
      </c>
      <c r="Y26">
        <f>+'BizOps 2026'!Y29</f>
        <v>40040</v>
      </c>
      <c r="Z26">
        <f>+'BizOps 2026'!Z29</f>
        <v>40040</v>
      </c>
      <c r="AA26">
        <f>+'BizOps 2026'!AA29</f>
        <v>40040</v>
      </c>
      <c r="AB26">
        <f t="shared" si="2"/>
        <v>1</v>
      </c>
      <c r="AC26" s="34">
        <f t="shared" si="22"/>
        <v>25971.891891891883</v>
      </c>
      <c r="AD26" s="34">
        <f t="shared" si="3"/>
        <v>2164.3243243243242</v>
      </c>
      <c r="AE26" s="34">
        <f t="shared" si="4"/>
        <v>2164.3243243243242</v>
      </c>
      <c r="AF26" s="34">
        <f t="shared" si="5"/>
        <v>2164.3243243243242</v>
      </c>
      <c r="AG26" s="34">
        <f t="shared" si="6"/>
        <v>2164.3243243243242</v>
      </c>
      <c r="AH26" s="34">
        <f t="shared" si="7"/>
        <v>2164.3243243243242</v>
      </c>
      <c r="AI26" s="34">
        <f t="shared" si="8"/>
        <v>2164.3243243243242</v>
      </c>
      <c r="AJ26" s="34">
        <f t="shared" si="9"/>
        <v>2164.3243243243242</v>
      </c>
      <c r="AK26" s="34">
        <f t="shared" si="10"/>
        <v>2164.3243243243242</v>
      </c>
      <c r="AL26" s="34">
        <f t="shared" si="11"/>
        <v>2164.3243243243242</v>
      </c>
      <c r="AM26" s="34">
        <f t="shared" si="12"/>
        <v>2164.3243243243242</v>
      </c>
      <c r="AN26" s="34">
        <f t="shared" si="13"/>
        <v>2164.3243243243242</v>
      </c>
      <c r="AO26" s="34">
        <f t="shared" si="14"/>
        <v>2164.3243243243242</v>
      </c>
      <c r="AP26">
        <f t="shared" si="15"/>
        <v>1</v>
      </c>
      <c r="AQ26" s="652">
        <f t="shared" si="18"/>
        <v>25971.89189189189</v>
      </c>
      <c r="AR26" s="652">
        <f t="shared" si="19"/>
        <v>2164.3243243243246</v>
      </c>
      <c r="AS26" s="652">
        <f t="shared" si="20"/>
        <v>2164.3243243243246</v>
      </c>
      <c r="AT26" s="652">
        <f t="shared" si="20"/>
        <v>2164.3243243243246</v>
      </c>
      <c r="AU26" s="652">
        <f t="shared" si="20"/>
        <v>2164.3243243243246</v>
      </c>
      <c r="AV26" s="652">
        <f t="shared" si="20"/>
        <v>2164.3243243243246</v>
      </c>
      <c r="AW26" s="652">
        <f t="shared" si="20"/>
        <v>2164.3243243243246</v>
      </c>
      <c r="AX26" s="652">
        <f t="shared" si="20"/>
        <v>2164.3243243243246</v>
      </c>
      <c r="AY26" s="652">
        <f t="shared" si="20"/>
        <v>2164.3243243243246</v>
      </c>
      <c r="AZ26" s="652">
        <f t="shared" si="20"/>
        <v>2164.3243243243246</v>
      </c>
      <c r="BA26" s="652">
        <f t="shared" si="20"/>
        <v>2164.3243243243246</v>
      </c>
      <c r="BB26" s="652">
        <f t="shared" si="20"/>
        <v>2164.3243243243246</v>
      </c>
      <c r="BC26" s="652">
        <f t="shared" si="20"/>
        <v>2164.3243243243246</v>
      </c>
    </row>
    <row r="27" spans="1:55">
      <c r="A27" t="str">
        <f>+'BizOps 2026'!A30</f>
        <v>SAPI</v>
      </c>
      <c r="B27" t="str">
        <f>+'BizOps 2026'!B30</f>
        <v>ADM</v>
      </c>
      <c r="C27" t="str">
        <f>+'BizOps 2026'!C30</f>
        <v>Maria Josefa Avalos</v>
      </c>
      <c r="D27" t="str">
        <f>+'BizOps 2026'!D30</f>
        <v>Payroll</v>
      </c>
      <c r="E27" t="str">
        <f>+'BizOps 2026'!E30</f>
        <v>Paola Padilla</v>
      </c>
      <c r="F27" t="str">
        <f>+'BizOps 2026'!F30</f>
        <v>People Opps</v>
      </c>
      <c r="G27" t="str">
        <f>+'BizOps 2026'!G30</f>
        <v>Gusto</v>
      </c>
      <c r="H27">
        <f>+'BizOps 2026'!H30</f>
        <v>0</v>
      </c>
      <c r="I27">
        <f>+'BizOps 2026'!I30</f>
        <v>0</v>
      </c>
      <c r="J27" t="str">
        <f>+'BizOps 2026'!J30</f>
        <v>603.01.001</v>
      </c>
      <c r="K27" t="str">
        <f>+'BizOps 2026'!K30</f>
        <v>Sueldos y salarios</v>
      </c>
      <c r="L27" t="str">
        <f>+'BizOps 2026'!L30</f>
        <v>Sueldos y Salarios</v>
      </c>
      <c r="M27" t="str">
        <f>+'BizOps 2026'!M30</f>
        <v>MXN</v>
      </c>
      <c r="N27">
        <f>+'BizOps 2026'!N30</f>
        <v>23364.864864864863</v>
      </c>
      <c r="O27">
        <f>+'BizOps 2026'!O30</f>
        <v>432250</v>
      </c>
      <c r="P27">
        <f>+'BizOps 2026'!P30</f>
        <v>35000</v>
      </c>
      <c r="Q27">
        <f>+'BizOps 2026'!Q30</f>
        <v>35000</v>
      </c>
      <c r="R27">
        <f>+'BizOps 2026'!R30</f>
        <v>35000</v>
      </c>
      <c r="S27">
        <f>+'BizOps 2026'!S30</f>
        <v>35000</v>
      </c>
      <c r="T27">
        <f>+'BizOps 2026'!T30</f>
        <v>35000</v>
      </c>
      <c r="U27">
        <f>+'BizOps 2026'!U30</f>
        <v>36750</v>
      </c>
      <c r="V27">
        <f>+'BizOps 2026'!V30</f>
        <v>36750</v>
      </c>
      <c r="W27">
        <f>+'BizOps 2026'!W30</f>
        <v>36750</v>
      </c>
      <c r="X27">
        <f>+'BizOps 2026'!X30</f>
        <v>36750</v>
      </c>
      <c r="Y27">
        <f>+'BizOps 2026'!Y30</f>
        <v>36750</v>
      </c>
      <c r="Z27">
        <f>+'BizOps 2026'!Z30</f>
        <v>36750</v>
      </c>
      <c r="AA27">
        <f>+'BizOps 2026'!AA30</f>
        <v>36750</v>
      </c>
      <c r="AB27">
        <f t="shared" si="2"/>
        <v>1</v>
      </c>
      <c r="AC27" s="34">
        <f t="shared" si="22"/>
        <v>23364.864864864867</v>
      </c>
      <c r="AD27" s="34">
        <f t="shared" si="3"/>
        <v>1891.8918918918919</v>
      </c>
      <c r="AE27" s="34">
        <f t="shared" si="4"/>
        <v>1891.8918918918919</v>
      </c>
      <c r="AF27" s="34">
        <f t="shared" si="5"/>
        <v>1891.8918918918919</v>
      </c>
      <c r="AG27" s="34">
        <f t="shared" si="6"/>
        <v>1891.8918918918919</v>
      </c>
      <c r="AH27" s="34">
        <f t="shared" si="7"/>
        <v>1891.8918918918919</v>
      </c>
      <c r="AI27" s="34">
        <f t="shared" si="8"/>
        <v>1986.4864864864865</v>
      </c>
      <c r="AJ27" s="34">
        <f t="shared" si="9"/>
        <v>1986.4864864864865</v>
      </c>
      <c r="AK27" s="34">
        <f t="shared" si="10"/>
        <v>1986.4864864864865</v>
      </c>
      <c r="AL27" s="34">
        <f t="shared" si="11"/>
        <v>1986.4864864864865</v>
      </c>
      <c r="AM27" s="34">
        <f t="shared" si="12"/>
        <v>1986.4864864864865</v>
      </c>
      <c r="AN27" s="34">
        <f t="shared" si="13"/>
        <v>1986.4864864864865</v>
      </c>
      <c r="AO27" s="34">
        <f t="shared" si="14"/>
        <v>1986.4864864864865</v>
      </c>
      <c r="AP27">
        <f t="shared" si="15"/>
        <v>1</v>
      </c>
      <c r="AQ27" s="652">
        <f t="shared" si="18"/>
        <v>23364.864864864856</v>
      </c>
      <c r="AR27" s="652">
        <f t="shared" si="19"/>
        <v>1947.0720720720719</v>
      </c>
      <c r="AS27" s="652">
        <f t="shared" si="20"/>
        <v>1947.0720720720719</v>
      </c>
      <c r="AT27" s="652">
        <f t="shared" si="20"/>
        <v>1947.0720720720719</v>
      </c>
      <c r="AU27" s="652">
        <f t="shared" si="20"/>
        <v>1947.0720720720719</v>
      </c>
      <c r="AV27" s="652">
        <f t="shared" si="20"/>
        <v>1947.0720720720719</v>
      </c>
      <c r="AW27" s="652">
        <f t="shared" si="20"/>
        <v>1947.0720720720719</v>
      </c>
      <c r="AX27" s="652">
        <f t="shared" si="20"/>
        <v>1947.0720720720719</v>
      </c>
      <c r="AY27" s="652">
        <f t="shared" si="20"/>
        <v>1947.0720720720719</v>
      </c>
      <c r="AZ27" s="652">
        <f t="shared" si="20"/>
        <v>1947.0720720720719</v>
      </c>
      <c r="BA27" s="652">
        <f t="shared" si="20"/>
        <v>1947.0720720720719</v>
      </c>
      <c r="BB27" s="652">
        <f t="shared" si="20"/>
        <v>1947.0720720720719</v>
      </c>
      <c r="BC27" s="652">
        <f t="shared" si="20"/>
        <v>1947.0720720720719</v>
      </c>
    </row>
    <row r="28" spans="1:55">
      <c r="A28" t="str">
        <f>+'BizOps 2026'!A32</f>
        <v>SAPI</v>
      </c>
      <c r="B28" t="str">
        <f>+'BizOps 2026'!B32</f>
        <v>ADM</v>
      </c>
      <c r="C28" t="str">
        <f>+'BizOps 2026'!C32</f>
        <v>Maria Josefa Avalos</v>
      </c>
      <c r="D28" t="str">
        <f>+'BizOps 2026'!D32</f>
        <v>Benefits</v>
      </c>
      <c r="E28" t="str">
        <f>+'BizOps 2026'!E32</f>
        <v>SiVale</v>
      </c>
      <c r="F28" t="str">
        <f>+'BizOps 2026'!F32</f>
        <v>1 empleado</v>
      </c>
      <c r="G28" t="str">
        <f>+'BizOps 2026'!G32</f>
        <v>Invoice</v>
      </c>
      <c r="H28">
        <f>+'BizOps 2026'!H32</f>
        <v>0</v>
      </c>
      <c r="I28">
        <f>+'BizOps 2026'!I32</f>
        <v>0</v>
      </c>
      <c r="J28" t="str">
        <f>+'BizOps 2026'!J32</f>
        <v>603.15.001</v>
      </c>
      <c r="K28" t="str">
        <f>+'BizOps 2026'!K32</f>
        <v>Despensa</v>
      </c>
      <c r="L28" t="str">
        <f>+'BizOps 2026'!L32</f>
        <v>Sueldos y Salarios</v>
      </c>
      <c r="M28" t="str">
        <f>+'BizOps 2026'!M32</f>
        <v>MXN</v>
      </c>
      <c r="N28">
        <f>+'BizOps 2026'!N32</f>
        <v>981.40540540540542</v>
      </c>
      <c r="O28">
        <f>+'BizOps 2026'!O32</f>
        <v>18156</v>
      </c>
      <c r="P28">
        <f>+'BizOps 2026'!P32</f>
        <v>1513</v>
      </c>
      <c r="Q28">
        <f>+'BizOps 2026'!Q32</f>
        <v>1513</v>
      </c>
      <c r="R28">
        <f>+'BizOps 2026'!R32</f>
        <v>1513</v>
      </c>
      <c r="S28">
        <f>+'BizOps 2026'!S32</f>
        <v>1513</v>
      </c>
      <c r="T28">
        <f>+'BizOps 2026'!T32</f>
        <v>1513</v>
      </c>
      <c r="U28">
        <f>+'BizOps 2026'!U32</f>
        <v>1513</v>
      </c>
      <c r="V28">
        <f>+'BizOps 2026'!V32</f>
        <v>1513</v>
      </c>
      <c r="W28">
        <f>+'BizOps 2026'!W32</f>
        <v>1513</v>
      </c>
      <c r="X28">
        <f>+'BizOps 2026'!X32</f>
        <v>1513</v>
      </c>
      <c r="Y28">
        <f>+'BizOps 2026'!Y32</f>
        <v>1513</v>
      </c>
      <c r="Z28">
        <f>+'BizOps 2026'!Z32</f>
        <v>1513</v>
      </c>
      <c r="AA28">
        <f>+'BizOps 2026'!AA32</f>
        <v>1513</v>
      </c>
      <c r="AB28">
        <f t="shared" si="2"/>
        <v>1</v>
      </c>
      <c r="AC28" s="34">
        <f t="shared" si="22"/>
        <v>981.4054054054053</v>
      </c>
      <c r="AD28" s="34">
        <f t="shared" si="3"/>
        <v>81.78378378378379</v>
      </c>
      <c r="AE28" s="34">
        <f t="shared" si="4"/>
        <v>81.78378378378379</v>
      </c>
      <c r="AF28" s="34">
        <f t="shared" si="5"/>
        <v>81.78378378378379</v>
      </c>
      <c r="AG28" s="34">
        <f t="shared" si="6"/>
        <v>81.78378378378379</v>
      </c>
      <c r="AH28" s="34">
        <f t="shared" si="7"/>
        <v>81.78378378378379</v>
      </c>
      <c r="AI28" s="34">
        <f t="shared" si="8"/>
        <v>81.78378378378379</v>
      </c>
      <c r="AJ28" s="34">
        <f t="shared" si="9"/>
        <v>81.78378378378379</v>
      </c>
      <c r="AK28" s="34">
        <f t="shared" si="10"/>
        <v>81.78378378378379</v>
      </c>
      <c r="AL28" s="34">
        <f t="shared" si="11"/>
        <v>81.78378378378379</v>
      </c>
      <c r="AM28" s="34">
        <f t="shared" si="12"/>
        <v>81.78378378378379</v>
      </c>
      <c r="AN28" s="34">
        <f t="shared" si="13"/>
        <v>81.78378378378379</v>
      </c>
      <c r="AO28" s="34">
        <f t="shared" si="14"/>
        <v>81.78378378378379</v>
      </c>
      <c r="AP28">
        <f t="shared" si="15"/>
        <v>1</v>
      </c>
      <c r="AQ28" s="652">
        <f t="shared" si="18"/>
        <v>981.4054054054053</v>
      </c>
      <c r="AR28" s="652">
        <f t="shared" si="19"/>
        <v>81.78378378378379</v>
      </c>
      <c r="AS28" s="652">
        <f t="shared" si="20"/>
        <v>81.78378378378379</v>
      </c>
      <c r="AT28" s="652">
        <f t="shared" si="20"/>
        <v>81.78378378378379</v>
      </c>
      <c r="AU28" s="652">
        <f t="shared" si="20"/>
        <v>81.78378378378379</v>
      </c>
      <c r="AV28" s="652">
        <f t="shared" si="20"/>
        <v>81.78378378378379</v>
      </c>
      <c r="AW28" s="652">
        <f t="shared" si="20"/>
        <v>81.78378378378379</v>
      </c>
      <c r="AX28" s="652">
        <f t="shared" si="20"/>
        <v>81.78378378378379</v>
      </c>
      <c r="AY28" s="652">
        <f t="shared" si="20"/>
        <v>81.78378378378379</v>
      </c>
      <c r="AZ28" s="652">
        <f t="shared" si="20"/>
        <v>81.78378378378379</v>
      </c>
      <c r="BA28" s="652">
        <f t="shared" si="20"/>
        <v>81.78378378378379</v>
      </c>
      <c r="BB28" s="652">
        <f t="shared" si="20"/>
        <v>81.78378378378379</v>
      </c>
      <c r="BC28" s="652">
        <f t="shared" si="20"/>
        <v>81.78378378378379</v>
      </c>
    </row>
    <row r="29" spans="1:55">
      <c r="A29" t="str">
        <f>+'BizOps 2026'!A33</f>
        <v>SAPI</v>
      </c>
      <c r="B29" t="str">
        <f>+'BizOps 2026'!B33</f>
        <v>ADM</v>
      </c>
      <c r="C29" t="str">
        <f>+'BizOps 2026'!C33</f>
        <v>Maria Josefa Avalos</v>
      </c>
      <c r="D29" t="str">
        <f>+'BizOps 2026'!D33</f>
        <v>Benefits</v>
      </c>
      <c r="E29" t="str">
        <f>+'BizOps 2026'!E33</f>
        <v>Aguinaldo</v>
      </c>
      <c r="F29" t="str">
        <f>+'BizOps 2026'!F33</f>
        <v>Aguinaldo 4 empleados</v>
      </c>
      <c r="G29" t="str">
        <f>+'BizOps 2026'!G33</f>
        <v>Gusto</v>
      </c>
      <c r="H29">
        <f>+'BizOps 2026'!H33</f>
        <v>0</v>
      </c>
      <c r="I29">
        <f>+'BizOps 2026'!I33</f>
        <v>0</v>
      </c>
      <c r="J29" t="str">
        <f>+'BizOps 2026'!J33</f>
        <v>603.12.001</v>
      </c>
      <c r="K29" t="str">
        <f>+'BizOps 2026'!K33</f>
        <v>Aguinaldo</v>
      </c>
      <c r="L29" t="str">
        <f>+'BizOps 2026'!L33</f>
        <v>Sueldos y Salarios</v>
      </c>
      <c r="M29" t="str">
        <f>+'BizOps 2026'!M33</f>
        <v>MXN</v>
      </c>
      <c r="N29">
        <f>+'BizOps 2026'!N33</f>
        <v>8589.5264864864857</v>
      </c>
      <c r="O29">
        <f>+'BizOps 2026'!O33</f>
        <v>158906.23999999999</v>
      </c>
      <c r="P29">
        <f>+'BizOps 2026'!P33</f>
        <v>0</v>
      </c>
      <c r="Q29">
        <f>+'BizOps 2026'!Q33</f>
        <v>0</v>
      </c>
      <c r="R29">
        <f>+'BizOps 2026'!R33</f>
        <v>0</v>
      </c>
      <c r="S29">
        <f>+'BizOps 2026'!S33</f>
        <v>0</v>
      </c>
      <c r="T29">
        <f>+'BizOps 2026'!T33</f>
        <v>0</v>
      </c>
      <c r="U29">
        <f>+'BizOps 2026'!U33</f>
        <v>0</v>
      </c>
      <c r="V29">
        <f>+'BizOps 2026'!V33</f>
        <v>0</v>
      </c>
      <c r="W29">
        <f>+'BizOps 2026'!W33</f>
        <v>0</v>
      </c>
      <c r="X29">
        <f>+'BizOps 2026'!X33</f>
        <v>0</v>
      </c>
      <c r="Y29">
        <f>+'BizOps 2026'!Y33</f>
        <v>0</v>
      </c>
      <c r="Z29">
        <f>+'BizOps 2026'!Z33</f>
        <v>0</v>
      </c>
      <c r="AA29">
        <f>+'BizOps 2026'!AA33</f>
        <v>158906.23999999999</v>
      </c>
      <c r="AB29">
        <f t="shared" si="2"/>
        <v>1</v>
      </c>
      <c r="AC29" s="34">
        <f t="shared" si="22"/>
        <v>8589.5264864864857</v>
      </c>
      <c r="AD29" s="34">
        <f t="shared" si="3"/>
        <v>0</v>
      </c>
      <c r="AE29" s="34">
        <f t="shared" si="4"/>
        <v>0</v>
      </c>
      <c r="AF29" s="34">
        <f t="shared" si="5"/>
        <v>0</v>
      </c>
      <c r="AG29" s="34">
        <f t="shared" si="6"/>
        <v>0</v>
      </c>
      <c r="AH29" s="34">
        <f t="shared" si="7"/>
        <v>0</v>
      </c>
      <c r="AI29" s="34">
        <f t="shared" si="8"/>
        <v>0</v>
      </c>
      <c r="AJ29" s="34">
        <f t="shared" si="9"/>
        <v>0</v>
      </c>
      <c r="AK29" s="34">
        <f t="shared" si="10"/>
        <v>0</v>
      </c>
      <c r="AL29" s="34">
        <f t="shared" si="11"/>
        <v>0</v>
      </c>
      <c r="AM29" s="34">
        <f t="shared" si="12"/>
        <v>0</v>
      </c>
      <c r="AN29" s="34">
        <f t="shared" si="13"/>
        <v>0</v>
      </c>
      <c r="AO29" s="34">
        <f t="shared" si="14"/>
        <v>8589.5264864864857</v>
      </c>
      <c r="AP29">
        <f t="shared" si="15"/>
        <v>1</v>
      </c>
      <c r="AQ29" s="652">
        <f t="shared" si="18"/>
        <v>8589.5264864864857</v>
      </c>
      <c r="AR29" s="652">
        <f t="shared" si="19"/>
        <v>715.79387387387385</v>
      </c>
      <c r="AS29" s="652">
        <f t="shared" si="20"/>
        <v>715.79387387387385</v>
      </c>
      <c r="AT29" s="652">
        <f t="shared" si="20"/>
        <v>715.79387387387385</v>
      </c>
      <c r="AU29" s="652">
        <f t="shared" si="20"/>
        <v>715.79387387387385</v>
      </c>
      <c r="AV29" s="652">
        <f t="shared" si="20"/>
        <v>715.79387387387385</v>
      </c>
      <c r="AW29" s="652">
        <f t="shared" si="20"/>
        <v>715.79387387387385</v>
      </c>
      <c r="AX29" s="652">
        <f t="shared" si="20"/>
        <v>715.79387387387385</v>
      </c>
      <c r="AY29" s="652">
        <f t="shared" si="20"/>
        <v>715.79387387387385</v>
      </c>
      <c r="AZ29" s="652">
        <f t="shared" si="20"/>
        <v>715.79387387387385</v>
      </c>
      <c r="BA29" s="652">
        <f t="shared" si="20"/>
        <v>715.79387387387385</v>
      </c>
      <c r="BB29" s="652">
        <f t="shared" si="20"/>
        <v>715.79387387387385</v>
      </c>
      <c r="BC29" s="652">
        <f t="shared" si="20"/>
        <v>715.79387387387385</v>
      </c>
    </row>
    <row r="30" spans="1:55">
      <c r="A30" t="str">
        <f>+'BizOps 2026'!A34</f>
        <v>SAPI</v>
      </c>
      <c r="B30" t="str">
        <f>+'BizOps 2026'!B34</f>
        <v>ADM</v>
      </c>
      <c r="C30" t="str">
        <f>+'BizOps 2026'!C34</f>
        <v>Maria Josefa Avalos</v>
      </c>
      <c r="D30" t="str">
        <f>+'BizOps 2026'!D34</f>
        <v>Benefits</v>
      </c>
      <c r="E30" t="str">
        <f>+'BizOps 2026'!E34</f>
        <v>Bono Anual</v>
      </c>
      <c r="F30" t="str">
        <f>+'BizOps 2026'!F34</f>
        <v>Bono Anual</v>
      </c>
      <c r="G30">
        <f>+'BizOps 2026'!G34</f>
        <v>0</v>
      </c>
      <c r="H30">
        <f>+'BizOps 2026'!H34</f>
        <v>0</v>
      </c>
      <c r="I30">
        <f>+'BizOps 2026'!I34</f>
        <v>0</v>
      </c>
      <c r="J30" t="str">
        <f>+'BizOps 2026'!J34</f>
        <v>603.22.001</v>
      </c>
      <c r="K30" t="str">
        <f>+'BizOps 2026'!K34</f>
        <v>Estimulo al personal</v>
      </c>
      <c r="L30" t="str">
        <f>+'BizOps 2026'!L34</f>
        <v>Sueldos y Salarios</v>
      </c>
      <c r="M30" t="str">
        <f>+'BizOps 2026'!M34</f>
        <v>USD</v>
      </c>
      <c r="N30">
        <f>+'BizOps 2026'!N34</f>
        <v>0</v>
      </c>
      <c r="O30">
        <f>+'BizOps 2026'!O34</f>
        <v>0</v>
      </c>
      <c r="P30">
        <f>+'BizOps 2026'!P34</f>
        <v>0</v>
      </c>
      <c r="Q30">
        <f>+'BizOps 2026'!Q34</f>
        <v>0</v>
      </c>
      <c r="R30">
        <f>+'BizOps 2026'!R34</f>
        <v>0</v>
      </c>
      <c r="S30">
        <f>+'BizOps 2026'!S34</f>
        <v>0</v>
      </c>
      <c r="T30">
        <f>+'BizOps 2026'!T34</f>
        <v>0</v>
      </c>
      <c r="U30">
        <f>+'BizOps 2026'!U34</f>
        <v>0</v>
      </c>
      <c r="V30">
        <f>+'BizOps 2026'!V34</f>
        <v>0</v>
      </c>
      <c r="W30">
        <f>+'BizOps 2026'!W34</f>
        <v>0</v>
      </c>
      <c r="X30">
        <f>+'BizOps 2026'!X34</f>
        <v>0</v>
      </c>
      <c r="Y30">
        <f>+'BizOps 2026'!Y34</f>
        <v>0</v>
      </c>
      <c r="Z30">
        <f>+'BizOps 2026'!Z34</f>
        <v>0</v>
      </c>
      <c r="AA30">
        <f>+'BizOps 2026'!AA34</f>
        <v>0</v>
      </c>
      <c r="AB30">
        <f t="shared" si="2"/>
        <v>1</v>
      </c>
      <c r="AC30" s="34">
        <f t="shared" si="22"/>
        <v>0</v>
      </c>
      <c r="AD30" s="34">
        <f t="shared" si="3"/>
        <v>0</v>
      </c>
      <c r="AE30" s="34">
        <f t="shared" si="4"/>
        <v>0</v>
      </c>
      <c r="AF30" s="34">
        <f t="shared" si="5"/>
        <v>0</v>
      </c>
      <c r="AG30" s="34">
        <f t="shared" si="6"/>
        <v>0</v>
      </c>
      <c r="AH30" s="34">
        <f t="shared" si="7"/>
        <v>0</v>
      </c>
      <c r="AI30" s="34">
        <f t="shared" si="8"/>
        <v>0</v>
      </c>
      <c r="AJ30" s="34">
        <f t="shared" si="9"/>
        <v>0</v>
      </c>
      <c r="AK30" s="34">
        <f t="shared" si="10"/>
        <v>0</v>
      </c>
      <c r="AL30" s="34">
        <f t="shared" si="11"/>
        <v>0</v>
      </c>
      <c r="AM30" s="34">
        <f t="shared" si="12"/>
        <v>0</v>
      </c>
      <c r="AN30" s="34">
        <f t="shared" si="13"/>
        <v>0</v>
      </c>
      <c r="AO30" s="34">
        <f t="shared" si="14"/>
        <v>0</v>
      </c>
      <c r="AP30">
        <f t="shared" si="15"/>
        <v>1</v>
      </c>
      <c r="AQ30" s="652">
        <f t="shared" si="18"/>
        <v>0</v>
      </c>
      <c r="AR30" s="652">
        <f t="shared" si="19"/>
        <v>0</v>
      </c>
      <c r="AS30" s="652">
        <f t="shared" si="20"/>
        <v>0</v>
      </c>
      <c r="AT30" s="652">
        <f t="shared" si="20"/>
        <v>0</v>
      </c>
      <c r="AU30" s="652">
        <f t="shared" si="20"/>
        <v>0</v>
      </c>
      <c r="AV30" s="652">
        <f t="shared" si="20"/>
        <v>0</v>
      </c>
      <c r="AW30" s="652">
        <f t="shared" si="20"/>
        <v>0</v>
      </c>
      <c r="AX30" s="652">
        <f t="shared" si="20"/>
        <v>0</v>
      </c>
      <c r="AY30" s="652">
        <f t="shared" si="20"/>
        <v>0</v>
      </c>
      <c r="AZ30" s="652">
        <f t="shared" si="20"/>
        <v>0</v>
      </c>
      <c r="BA30" s="652">
        <f t="shared" si="20"/>
        <v>0</v>
      </c>
      <c r="BB30" s="652">
        <f t="shared" si="20"/>
        <v>0</v>
      </c>
      <c r="BC30" s="652">
        <f t="shared" si="20"/>
        <v>0</v>
      </c>
    </row>
    <row r="31" spans="1:55">
      <c r="A31" t="str">
        <f>+'BizOps 2026'!A35</f>
        <v>SAPI</v>
      </c>
      <c r="B31" t="str">
        <f>+'BizOps 2026'!B35</f>
        <v>ADM</v>
      </c>
      <c r="C31" t="str">
        <f>+'BizOps 2026'!C35</f>
        <v>Maria Josefa Avalos</v>
      </c>
      <c r="D31" t="str">
        <f>+'BizOps 2026'!D35</f>
        <v>Benefits</v>
      </c>
      <c r="E31" t="str">
        <f>+'BizOps 2026'!E35</f>
        <v>Seguro Gastos Medicos Mayores</v>
      </c>
      <c r="F31">
        <f>+'BizOps 2026'!F35</f>
        <v>0</v>
      </c>
      <c r="G31" t="str">
        <f>+'BizOps 2026'!G35</f>
        <v>Invoice</v>
      </c>
      <c r="H31">
        <f>+'BizOps 2026'!H35</f>
        <v>0</v>
      </c>
      <c r="I31">
        <f>+'BizOps 2026'!I35</f>
        <v>0</v>
      </c>
      <c r="J31" t="str">
        <f>+'BizOps 2026'!J35</f>
        <v>603.57.001</v>
      </c>
      <c r="K31" t="str">
        <f>+'BizOps 2026'!K35</f>
        <v>Seguros y Fianzas</v>
      </c>
      <c r="L31" t="str">
        <f>+'BizOps 2026'!L35</f>
        <v>Otros</v>
      </c>
      <c r="M31" t="str">
        <f>+'BizOps 2026'!M35</f>
        <v>MXN</v>
      </c>
      <c r="N31">
        <f>+'BizOps 2026'!N35</f>
        <v>25513.513513513513</v>
      </c>
      <c r="O31">
        <f>+'BizOps 2026'!O35</f>
        <v>472000</v>
      </c>
      <c r="P31">
        <f>+'BizOps 2026'!P35</f>
        <v>0</v>
      </c>
      <c r="Q31">
        <f>+'BizOps 2026'!Q35</f>
        <v>118000</v>
      </c>
      <c r="R31">
        <f>+'BizOps 2026'!R35</f>
        <v>0</v>
      </c>
      <c r="S31">
        <f>+'BizOps 2026'!S35</f>
        <v>118000</v>
      </c>
      <c r="T31">
        <f>+'BizOps 2026'!T35</f>
        <v>0</v>
      </c>
      <c r="U31">
        <f>+'BizOps 2026'!U35</f>
        <v>0</v>
      </c>
      <c r="V31">
        <f>+'BizOps 2026'!V35</f>
        <v>0</v>
      </c>
      <c r="W31">
        <f>+'BizOps 2026'!W35</f>
        <v>118000</v>
      </c>
      <c r="X31">
        <f>+'BizOps 2026'!X35</f>
        <v>0</v>
      </c>
      <c r="Y31">
        <f>+'BizOps 2026'!Y35</f>
        <v>0</v>
      </c>
      <c r="Z31">
        <f>+'BizOps 2026'!Z35</f>
        <v>118000</v>
      </c>
      <c r="AA31">
        <f>+'BizOps 2026'!AA35</f>
        <v>0</v>
      </c>
      <c r="AB31">
        <f t="shared" si="2"/>
        <v>1</v>
      </c>
      <c r="AC31" s="191">
        <f t="shared" ref="AC31:AC43" si="23">+SUM(AD31:AO31)</f>
        <v>25513.513513513513</v>
      </c>
      <c r="AD31" s="191">
        <f t="shared" si="3"/>
        <v>0</v>
      </c>
      <c r="AE31" s="191">
        <f t="shared" si="4"/>
        <v>6378.3783783783783</v>
      </c>
      <c r="AF31" s="191">
        <f t="shared" si="5"/>
        <v>0</v>
      </c>
      <c r="AG31" s="191">
        <f t="shared" si="6"/>
        <v>6378.3783783783783</v>
      </c>
      <c r="AH31" s="191">
        <f t="shared" si="7"/>
        <v>0</v>
      </c>
      <c r="AI31" s="191">
        <f t="shared" si="8"/>
        <v>0</v>
      </c>
      <c r="AJ31" s="191">
        <f t="shared" si="9"/>
        <v>0</v>
      </c>
      <c r="AK31" s="191">
        <f t="shared" si="10"/>
        <v>6378.3783783783783</v>
      </c>
      <c r="AL31" s="191">
        <f t="shared" si="11"/>
        <v>0</v>
      </c>
      <c r="AM31" s="191">
        <f t="shared" si="12"/>
        <v>0</v>
      </c>
      <c r="AN31" s="191">
        <f t="shared" si="13"/>
        <v>6378.3783783783783</v>
      </c>
      <c r="AO31" s="191">
        <f t="shared" si="14"/>
        <v>0</v>
      </c>
      <c r="AP31">
        <f t="shared" si="15"/>
        <v>1</v>
      </c>
      <c r="AQ31" s="652">
        <f t="shared" si="18"/>
        <v>25513.513513513506</v>
      </c>
      <c r="AR31" s="652">
        <f t="shared" si="19"/>
        <v>2126.1261261261261</v>
      </c>
      <c r="AS31" s="652">
        <f t="shared" si="20"/>
        <v>2126.1261261261261</v>
      </c>
      <c r="AT31" s="652">
        <f t="shared" si="20"/>
        <v>2126.1261261261261</v>
      </c>
      <c r="AU31" s="652">
        <f t="shared" si="20"/>
        <v>2126.1261261261261</v>
      </c>
      <c r="AV31" s="652">
        <f t="shared" si="20"/>
        <v>2126.1261261261261</v>
      </c>
      <c r="AW31" s="652">
        <f t="shared" si="20"/>
        <v>2126.1261261261261</v>
      </c>
      <c r="AX31" s="652">
        <f t="shared" si="20"/>
        <v>2126.1261261261261</v>
      </c>
      <c r="AY31" s="652">
        <f t="shared" si="20"/>
        <v>2126.1261261261261</v>
      </c>
      <c r="AZ31" s="652">
        <f t="shared" si="20"/>
        <v>2126.1261261261261</v>
      </c>
      <c r="BA31" s="652">
        <f t="shared" si="20"/>
        <v>2126.1261261261261</v>
      </c>
      <c r="BB31" s="652">
        <f t="shared" si="20"/>
        <v>2126.1261261261261</v>
      </c>
      <c r="BC31" s="652">
        <f t="shared" si="20"/>
        <v>2126.1261261261261</v>
      </c>
    </row>
    <row r="32" spans="1:55">
      <c r="A32" t="str">
        <f>+'BizOps 2026'!A36</f>
        <v>SAPI</v>
      </c>
      <c r="B32" t="str">
        <f>+'BizOps 2026'!B36</f>
        <v>ADM</v>
      </c>
      <c r="C32" t="str">
        <f>+'BizOps 2026'!C36</f>
        <v>Maria Josefa Avalos</v>
      </c>
      <c r="D32" t="str">
        <f>+'BizOps 2026'!D36</f>
        <v>Benefits</v>
      </c>
      <c r="E32" t="str">
        <f>+'BizOps 2026'!E36</f>
        <v>Seguro Gastos Medicos Menores</v>
      </c>
      <c r="F32">
        <f>+'BizOps 2026'!F36</f>
        <v>0</v>
      </c>
      <c r="G32" t="str">
        <f>+'BizOps 2026'!G36</f>
        <v>Invoice</v>
      </c>
      <c r="H32">
        <f>+'BizOps 2026'!H36</f>
        <v>0</v>
      </c>
      <c r="I32">
        <f>+'BizOps 2026'!I36</f>
        <v>0</v>
      </c>
      <c r="J32" t="str">
        <f>+'BizOps 2026'!J36</f>
        <v>603.57.001</v>
      </c>
      <c r="K32" t="str">
        <f>+'BizOps 2026'!K36</f>
        <v>Seguros y Fianzas</v>
      </c>
      <c r="L32" t="str">
        <f>+'BizOps 2026'!L36</f>
        <v>Otros</v>
      </c>
      <c r="M32" t="str">
        <f>+'BizOps 2026'!M36</f>
        <v>MXN</v>
      </c>
      <c r="N32">
        <f>+'BizOps 2026'!N36</f>
        <v>3783.7837837837837</v>
      </c>
      <c r="O32">
        <f>+'BizOps 2026'!O36</f>
        <v>70000</v>
      </c>
      <c r="P32">
        <f>+'BizOps 2026'!P36</f>
        <v>0</v>
      </c>
      <c r="Q32">
        <f>+'BizOps 2026'!Q36</f>
        <v>0</v>
      </c>
      <c r="R32">
        <f>+'BizOps 2026'!R36</f>
        <v>0</v>
      </c>
      <c r="S32">
        <f>+'BizOps 2026'!S36</f>
        <v>0</v>
      </c>
      <c r="T32">
        <f>+'BizOps 2026'!T36</f>
        <v>0</v>
      </c>
      <c r="U32">
        <f>+'BizOps 2026'!U36</f>
        <v>35000</v>
      </c>
      <c r="V32">
        <f>+'BizOps 2026'!V36</f>
        <v>0</v>
      </c>
      <c r="W32">
        <f>+'BizOps 2026'!W36</f>
        <v>0</v>
      </c>
      <c r="X32">
        <f>+'BizOps 2026'!X36</f>
        <v>0</v>
      </c>
      <c r="Y32">
        <f>+'BizOps 2026'!Y36</f>
        <v>0</v>
      </c>
      <c r="Z32">
        <f>+'BizOps 2026'!Z36</f>
        <v>0</v>
      </c>
      <c r="AA32">
        <f>+'BizOps 2026'!AA36</f>
        <v>35000</v>
      </c>
      <c r="AB32">
        <f t="shared" si="2"/>
        <v>1</v>
      </c>
      <c r="AC32" s="34">
        <f>+SUM(AD32:AO32)</f>
        <v>3783.7837837837837</v>
      </c>
      <c r="AD32" s="34">
        <f t="shared" si="3"/>
        <v>0</v>
      </c>
      <c r="AE32" s="34">
        <f t="shared" si="4"/>
        <v>0</v>
      </c>
      <c r="AF32" s="34">
        <f t="shared" si="5"/>
        <v>0</v>
      </c>
      <c r="AG32" s="34">
        <f t="shared" si="6"/>
        <v>0</v>
      </c>
      <c r="AH32" s="34">
        <f t="shared" si="7"/>
        <v>0</v>
      </c>
      <c r="AI32" s="34">
        <f t="shared" si="8"/>
        <v>1891.8918918918919</v>
      </c>
      <c r="AJ32" s="34">
        <f t="shared" si="9"/>
        <v>0</v>
      </c>
      <c r="AK32" s="34">
        <f t="shared" si="10"/>
        <v>0</v>
      </c>
      <c r="AL32" s="34">
        <f t="shared" si="11"/>
        <v>0</v>
      </c>
      <c r="AM32" s="34">
        <f t="shared" si="12"/>
        <v>0</v>
      </c>
      <c r="AN32" s="34">
        <f t="shared" si="13"/>
        <v>0</v>
      </c>
      <c r="AO32" s="34">
        <f t="shared" si="14"/>
        <v>1891.8918918918919</v>
      </c>
      <c r="AP32">
        <f t="shared" si="15"/>
        <v>1</v>
      </c>
      <c r="AQ32" s="652">
        <f t="shared" si="18"/>
        <v>3783.7837837837837</v>
      </c>
      <c r="AR32" s="652">
        <f t="shared" si="19"/>
        <v>315.31531531531533</v>
      </c>
      <c r="AS32" s="652">
        <f t="shared" si="20"/>
        <v>315.31531531531533</v>
      </c>
      <c r="AT32" s="652">
        <f t="shared" si="20"/>
        <v>315.31531531531533</v>
      </c>
      <c r="AU32" s="652">
        <f t="shared" si="20"/>
        <v>315.31531531531533</v>
      </c>
      <c r="AV32" s="652">
        <f t="shared" si="20"/>
        <v>315.31531531531533</v>
      </c>
      <c r="AW32" s="652">
        <f t="shared" si="20"/>
        <v>315.31531531531533</v>
      </c>
      <c r="AX32" s="652">
        <f t="shared" si="20"/>
        <v>315.31531531531533</v>
      </c>
      <c r="AY32" s="652">
        <f t="shared" si="20"/>
        <v>315.31531531531533</v>
      </c>
      <c r="AZ32" s="652">
        <f t="shared" si="20"/>
        <v>315.31531531531533</v>
      </c>
      <c r="BA32" s="652">
        <f t="shared" si="20"/>
        <v>315.31531531531533</v>
      </c>
      <c r="BB32" s="652">
        <f t="shared" si="20"/>
        <v>315.31531531531533</v>
      </c>
      <c r="BC32" s="652">
        <f t="shared" si="20"/>
        <v>315.31531531531533</v>
      </c>
    </row>
    <row r="33" spans="1:55">
      <c r="A33" t="str">
        <f>+'BizOps 2026'!A37</f>
        <v>SAPI</v>
      </c>
      <c r="B33" t="str">
        <f>+'BizOps 2026'!B37</f>
        <v>ADM</v>
      </c>
      <c r="C33" t="str">
        <f>+'BizOps 2026'!C37</f>
        <v>Maria Josefa Avalos</v>
      </c>
      <c r="D33" t="str">
        <f>+'BizOps 2026'!D37</f>
        <v>Benefits</v>
      </c>
      <c r="E33" t="str">
        <f>+'BizOps 2026'!E37</f>
        <v>Seguro de Vida</v>
      </c>
      <c r="F33">
        <f>+'BizOps 2026'!F37</f>
        <v>0</v>
      </c>
      <c r="G33" t="str">
        <f>+'BizOps 2026'!G37</f>
        <v>Invoice</v>
      </c>
      <c r="H33">
        <f>+'BizOps 2026'!H37</f>
        <v>0</v>
      </c>
      <c r="I33">
        <f>+'BizOps 2026'!I37</f>
        <v>0</v>
      </c>
      <c r="J33" t="str">
        <f>+'BizOps 2026'!J37</f>
        <v>603.57.001</v>
      </c>
      <c r="K33" t="str">
        <f>+'BizOps 2026'!K37</f>
        <v>Seguros y Fianzas</v>
      </c>
      <c r="L33" t="str">
        <f>+'BizOps 2026'!L37</f>
        <v>Otros</v>
      </c>
      <c r="M33" t="str">
        <f>+'BizOps 2026'!M37</f>
        <v>MXN</v>
      </c>
      <c r="N33">
        <f>+'BizOps 2026'!N37</f>
        <v>540.54054054054052</v>
      </c>
      <c r="O33">
        <f>+'BizOps 2026'!O37</f>
        <v>10000</v>
      </c>
      <c r="P33">
        <f>+'BizOps 2026'!P37</f>
        <v>10000</v>
      </c>
      <c r="Q33">
        <f>+'BizOps 2026'!Q37</f>
        <v>0</v>
      </c>
      <c r="R33">
        <f>+'BizOps 2026'!R37</f>
        <v>0</v>
      </c>
      <c r="S33">
        <f>+'BizOps 2026'!S37</f>
        <v>0</v>
      </c>
      <c r="T33">
        <f>+'BizOps 2026'!T37</f>
        <v>0</v>
      </c>
      <c r="U33">
        <f>+'BizOps 2026'!U37</f>
        <v>0</v>
      </c>
      <c r="V33">
        <f>+'BizOps 2026'!V37</f>
        <v>0</v>
      </c>
      <c r="W33">
        <f>+'BizOps 2026'!W37</f>
        <v>0</v>
      </c>
      <c r="X33">
        <f>+'BizOps 2026'!X37</f>
        <v>0</v>
      </c>
      <c r="Y33">
        <f>+'BizOps 2026'!Y37</f>
        <v>0</v>
      </c>
      <c r="Z33">
        <f>+'BizOps 2026'!Z37</f>
        <v>0</v>
      </c>
      <c r="AA33">
        <f>+'BizOps 2026'!AA37</f>
        <v>0</v>
      </c>
      <c r="AB33">
        <f t="shared" si="2"/>
        <v>1</v>
      </c>
      <c r="AC33" s="34">
        <f t="shared" si="23"/>
        <v>540.54054054054052</v>
      </c>
      <c r="AD33" s="34">
        <f t="shared" si="3"/>
        <v>540.54054054054052</v>
      </c>
      <c r="AE33" s="34">
        <f t="shared" si="4"/>
        <v>0</v>
      </c>
      <c r="AF33" s="34">
        <f t="shared" si="5"/>
        <v>0</v>
      </c>
      <c r="AG33" s="34">
        <f t="shared" si="6"/>
        <v>0</v>
      </c>
      <c r="AH33" s="34">
        <f t="shared" si="7"/>
        <v>0</v>
      </c>
      <c r="AI33" s="34">
        <f t="shared" si="8"/>
        <v>0</v>
      </c>
      <c r="AJ33" s="34">
        <f t="shared" si="9"/>
        <v>0</v>
      </c>
      <c r="AK33" s="34">
        <f t="shared" si="10"/>
        <v>0</v>
      </c>
      <c r="AL33" s="34">
        <f t="shared" si="11"/>
        <v>0</v>
      </c>
      <c r="AM33" s="34">
        <f t="shared" si="12"/>
        <v>0</v>
      </c>
      <c r="AN33" s="34">
        <f t="shared" si="13"/>
        <v>0</v>
      </c>
      <c r="AO33" s="34">
        <f t="shared" si="14"/>
        <v>0</v>
      </c>
      <c r="AP33">
        <f t="shared" si="15"/>
        <v>1</v>
      </c>
      <c r="AQ33" s="652">
        <f t="shared" si="18"/>
        <v>540.54054054054063</v>
      </c>
      <c r="AR33" s="652">
        <f t="shared" si="19"/>
        <v>45.045045045045043</v>
      </c>
      <c r="AS33" s="652">
        <f t="shared" si="20"/>
        <v>45.045045045045043</v>
      </c>
      <c r="AT33" s="652">
        <f t="shared" si="20"/>
        <v>45.045045045045043</v>
      </c>
      <c r="AU33" s="652">
        <f t="shared" si="20"/>
        <v>45.045045045045043</v>
      </c>
      <c r="AV33" s="652">
        <f t="shared" si="20"/>
        <v>45.045045045045043</v>
      </c>
      <c r="AW33" s="652">
        <f t="shared" si="20"/>
        <v>45.045045045045043</v>
      </c>
      <c r="AX33" s="652">
        <f t="shared" si="20"/>
        <v>45.045045045045043</v>
      </c>
      <c r="AY33" s="652">
        <f t="shared" si="20"/>
        <v>45.045045045045043</v>
      </c>
      <c r="AZ33" s="652">
        <f t="shared" si="20"/>
        <v>45.045045045045043</v>
      </c>
      <c r="BA33" s="652">
        <f t="shared" si="20"/>
        <v>45.045045045045043</v>
      </c>
      <c r="BB33" s="652">
        <f t="shared" si="20"/>
        <v>45.045045045045043</v>
      </c>
      <c r="BC33" s="652">
        <f t="shared" si="20"/>
        <v>45.045045045045043</v>
      </c>
    </row>
    <row r="34" spans="1:55">
      <c r="A34" t="str">
        <f>+'BizOps 2026'!A39</f>
        <v>SAPI</v>
      </c>
      <c r="B34" t="str">
        <f>+'BizOps 2026'!B39</f>
        <v>ADM</v>
      </c>
      <c r="C34" t="str">
        <f>+'BizOps 2026'!C39</f>
        <v>Maria Josefa Avalos</v>
      </c>
      <c r="D34" t="str">
        <f>+'BizOps 2026'!D39</f>
        <v>Hotel</v>
      </c>
      <c r="E34" t="str">
        <f>+'BizOps 2026'!E39</f>
        <v>Multiple</v>
      </c>
      <c r="F34" t="str">
        <f>+'BizOps 2026'!F39</f>
        <v>2 viajes --&gt; 5,000 MXN noche promedio (2 noches)</v>
      </c>
      <c r="G34" t="str">
        <f>+'BizOps 2026'!G39</f>
        <v>Invoice</v>
      </c>
      <c r="H34">
        <f>+'BizOps 2026'!H39</f>
        <v>0</v>
      </c>
      <c r="I34">
        <f>+'BizOps 2026'!I39</f>
        <v>0</v>
      </c>
      <c r="J34" t="str">
        <f>+'BizOps 2026'!J39</f>
        <v>603.49.001</v>
      </c>
      <c r="K34" t="str">
        <f>+'BizOps 2026'!K39</f>
        <v>Viaticos Hotel</v>
      </c>
      <c r="L34" t="str">
        <f>+'BizOps 2026'!L39</f>
        <v>Gastos de Viaje</v>
      </c>
      <c r="M34" t="str">
        <f>+'BizOps 2026'!M39</f>
        <v>MXN</v>
      </c>
      <c r="N34">
        <f>+'BizOps 2026'!N39</f>
        <v>1081.081081081081</v>
      </c>
      <c r="O34">
        <f>+'BizOps 2026'!O39</f>
        <v>20000</v>
      </c>
      <c r="P34">
        <f>+'BizOps 2026'!P39</f>
        <v>0</v>
      </c>
      <c r="Q34">
        <f>+'BizOps 2026'!Q39</f>
        <v>0</v>
      </c>
      <c r="R34">
        <f>+'BizOps 2026'!R39</f>
        <v>10000</v>
      </c>
      <c r="S34">
        <f>+'BizOps 2026'!S39</f>
        <v>0</v>
      </c>
      <c r="T34">
        <f>+'BizOps 2026'!T39</f>
        <v>0</v>
      </c>
      <c r="U34">
        <f>+'BizOps 2026'!U39</f>
        <v>0</v>
      </c>
      <c r="V34">
        <f>+'BizOps 2026'!V39</f>
        <v>0</v>
      </c>
      <c r="W34">
        <f>+'BizOps 2026'!W39</f>
        <v>10000</v>
      </c>
      <c r="X34">
        <f>+'BizOps 2026'!X39</f>
        <v>0</v>
      </c>
      <c r="Y34">
        <f>+'BizOps 2026'!Y39</f>
        <v>0</v>
      </c>
      <c r="Z34">
        <f>+'BizOps 2026'!Z39</f>
        <v>0</v>
      </c>
      <c r="AA34">
        <f>+'BizOps 2026'!AA39</f>
        <v>0</v>
      </c>
      <c r="AB34">
        <f t="shared" si="2"/>
        <v>1</v>
      </c>
      <c r="AC34" s="34">
        <f t="shared" si="23"/>
        <v>1081.081081081081</v>
      </c>
      <c r="AD34" s="34">
        <f t="shared" si="3"/>
        <v>0</v>
      </c>
      <c r="AE34" s="34">
        <f t="shared" si="4"/>
        <v>0</v>
      </c>
      <c r="AF34" s="34">
        <f t="shared" si="5"/>
        <v>540.54054054054052</v>
      </c>
      <c r="AG34" s="34">
        <f t="shared" si="6"/>
        <v>0</v>
      </c>
      <c r="AH34" s="34">
        <f t="shared" si="7"/>
        <v>0</v>
      </c>
      <c r="AI34" s="34">
        <f t="shared" si="8"/>
        <v>0</v>
      </c>
      <c r="AJ34" s="34">
        <f t="shared" si="9"/>
        <v>0</v>
      </c>
      <c r="AK34" s="34">
        <f t="shared" si="10"/>
        <v>540.54054054054052</v>
      </c>
      <c r="AL34" s="34">
        <f t="shared" si="11"/>
        <v>0</v>
      </c>
      <c r="AM34" s="34">
        <f t="shared" si="12"/>
        <v>0</v>
      </c>
      <c r="AN34" s="34">
        <f t="shared" si="13"/>
        <v>0</v>
      </c>
      <c r="AO34" s="34">
        <f t="shared" si="14"/>
        <v>0</v>
      </c>
      <c r="AP34">
        <f t="shared" si="15"/>
        <v>1</v>
      </c>
      <c r="AQ34" s="652">
        <f t="shared" si="18"/>
        <v>1081.0810810810813</v>
      </c>
      <c r="AR34" s="652">
        <f t="shared" si="19"/>
        <v>90.090090090090087</v>
      </c>
      <c r="AS34" s="652">
        <f t="shared" si="20"/>
        <v>90.090090090090087</v>
      </c>
      <c r="AT34" s="652">
        <f t="shared" si="20"/>
        <v>90.090090090090087</v>
      </c>
      <c r="AU34" s="652">
        <f t="shared" si="20"/>
        <v>90.090090090090087</v>
      </c>
      <c r="AV34" s="652">
        <f t="shared" si="20"/>
        <v>90.090090090090087</v>
      </c>
      <c r="AW34" s="652">
        <f t="shared" si="20"/>
        <v>90.090090090090087</v>
      </c>
      <c r="AX34" s="652">
        <f t="shared" si="20"/>
        <v>90.090090090090087</v>
      </c>
      <c r="AY34" s="652">
        <f t="shared" si="20"/>
        <v>90.090090090090087</v>
      </c>
      <c r="AZ34" s="652">
        <f t="shared" si="20"/>
        <v>90.090090090090087</v>
      </c>
      <c r="BA34" s="652">
        <f t="shared" si="20"/>
        <v>90.090090090090087</v>
      </c>
      <c r="BB34" s="652">
        <f t="shared" si="20"/>
        <v>90.090090090090087</v>
      </c>
      <c r="BC34" s="652">
        <f t="shared" si="20"/>
        <v>90.090090090090087</v>
      </c>
    </row>
    <row r="35" spans="1:55">
      <c r="A35" t="str">
        <f>+'BizOps 2026'!A40</f>
        <v>SAPI</v>
      </c>
      <c r="B35" t="str">
        <f>+'BizOps 2026'!B40</f>
        <v>ADM</v>
      </c>
      <c r="C35" t="str">
        <f>+'BizOps 2026'!C40</f>
        <v>Maria Josefa Avalos</v>
      </c>
      <c r="D35" t="str">
        <f>+'BizOps 2026'!D40</f>
        <v>Taxi</v>
      </c>
      <c r="E35" t="str">
        <f>+'BizOps 2026'!E40</f>
        <v>Multiple</v>
      </c>
      <c r="F35" t="str">
        <f>+'BizOps 2026'!F40</f>
        <v>1000 transporte p viaje (2 días)</v>
      </c>
      <c r="G35" t="str">
        <f>+'BizOps 2026'!G40</f>
        <v>Invoice</v>
      </c>
      <c r="H35">
        <f>+'BizOps 2026'!H40</f>
        <v>0</v>
      </c>
      <c r="I35">
        <f>+'BizOps 2026'!I40</f>
        <v>0</v>
      </c>
      <c r="J35" t="str">
        <f>+'BizOps 2026'!J40</f>
        <v>603.49.002</v>
      </c>
      <c r="K35" t="str">
        <f>+'BizOps 2026'!K40</f>
        <v>Vaticos Taxi</v>
      </c>
      <c r="L35" t="str">
        <f>+'BizOps 2026'!L40</f>
        <v>Gastos de Viaje</v>
      </c>
      <c r="M35" t="str">
        <f>+'BizOps 2026'!M40</f>
        <v>MXN</v>
      </c>
      <c r="N35">
        <f>+'BizOps 2026'!N40</f>
        <v>108.10810810810811</v>
      </c>
      <c r="O35">
        <f>+'BizOps 2026'!O40</f>
        <v>2000</v>
      </c>
      <c r="P35">
        <f>+'BizOps 2026'!P40</f>
        <v>0</v>
      </c>
      <c r="Q35">
        <f>+'BizOps 2026'!Q40</f>
        <v>0</v>
      </c>
      <c r="R35">
        <f>+'BizOps 2026'!R40</f>
        <v>1000</v>
      </c>
      <c r="S35">
        <f>+'BizOps 2026'!S40</f>
        <v>0</v>
      </c>
      <c r="T35">
        <f>+'BizOps 2026'!T40</f>
        <v>0</v>
      </c>
      <c r="U35">
        <f>+'BizOps 2026'!U40</f>
        <v>0</v>
      </c>
      <c r="V35">
        <f>+'BizOps 2026'!V40</f>
        <v>0</v>
      </c>
      <c r="W35">
        <f>+'BizOps 2026'!W40</f>
        <v>1000</v>
      </c>
      <c r="X35">
        <f>+'BizOps 2026'!X40</f>
        <v>0</v>
      </c>
      <c r="Y35">
        <f>+'BizOps 2026'!Y40</f>
        <v>0</v>
      </c>
      <c r="Z35">
        <f>+'BizOps 2026'!Z40</f>
        <v>0</v>
      </c>
      <c r="AA35">
        <f>+'BizOps 2026'!AA40</f>
        <v>0</v>
      </c>
      <c r="AB35">
        <f t="shared" si="2"/>
        <v>1</v>
      </c>
      <c r="AC35" s="34">
        <f t="shared" si="23"/>
        <v>108.10810810810811</v>
      </c>
      <c r="AD35" s="34">
        <f t="shared" si="3"/>
        <v>0</v>
      </c>
      <c r="AE35" s="34">
        <f t="shared" si="4"/>
        <v>0</v>
      </c>
      <c r="AF35" s="34">
        <f t="shared" si="5"/>
        <v>54.054054054054056</v>
      </c>
      <c r="AG35" s="34">
        <f t="shared" si="6"/>
        <v>0</v>
      </c>
      <c r="AH35" s="34">
        <f t="shared" si="7"/>
        <v>0</v>
      </c>
      <c r="AI35" s="34">
        <f t="shared" si="8"/>
        <v>0</v>
      </c>
      <c r="AJ35" s="34">
        <f t="shared" si="9"/>
        <v>0</v>
      </c>
      <c r="AK35" s="34">
        <f t="shared" si="10"/>
        <v>54.054054054054056</v>
      </c>
      <c r="AL35" s="34">
        <f t="shared" si="11"/>
        <v>0</v>
      </c>
      <c r="AM35" s="34">
        <f t="shared" si="12"/>
        <v>0</v>
      </c>
      <c r="AN35" s="34">
        <f t="shared" si="13"/>
        <v>0</v>
      </c>
      <c r="AO35" s="34">
        <f t="shared" si="14"/>
        <v>0</v>
      </c>
      <c r="AP35">
        <f t="shared" si="15"/>
        <v>1</v>
      </c>
      <c r="AQ35" s="652">
        <f t="shared" si="18"/>
        <v>108.10810810810808</v>
      </c>
      <c r="AR35" s="652">
        <f t="shared" si="19"/>
        <v>9.0090090090090094</v>
      </c>
      <c r="AS35" s="652">
        <f t="shared" si="20"/>
        <v>9.0090090090090094</v>
      </c>
      <c r="AT35" s="652">
        <f t="shared" si="20"/>
        <v>9.0090090090090094</v>
      </c>
      <c r="AU35" s="652">
        <f t="shared" si="20"/>
        <v>9.0090090090090094</v>
      </c>
      <c r="AV35" s="652">
        <f t="shared" si="20"/>
        <v>9.0090090090090094</v>
      </c>
      <c r="AW35" s="652">
        <f t="shared" si="20"/>
        <v>9.0090090090090094</v>
      </c>
      <c r="AX35" s="652">
        <f t="shared" si="20"/>
        <v>9.0090090090090094</v>
      </c>
      <c r="AY35" s="652">
        <f t="shared" si="20"/>
        <v>9.0090090090090094</v>
      </c>
      <c r="AZ35" s="652">
        <f t="shared" si="20"/>
        <v>9.0090090090090094</v>
      </c>
      <c r="BA35" s="652">
        <f t="shared" si="20"/>
        <v>9.0090090090090094</v>
      </c>
      <c r="BB35" s="652">
        <f t="shared" si="20"/>
        <v>9.0090090090090094</v>
      </c>
      <c r="BC35" s="652">
        <f t="shared" si="20"/>
        <v>9.0090090090090094</v>
      </c>
    </row>
    <row r="36" spans="1:55">
      <c r="A36" t="str">
        <f>+'BizOps 2026'!A41</f>
        <v>SAPI</v>
      </c>
      <c r="B36" t="str">
        <f>+'BizOps 2026'!B41</f>
        <v>ADM</v>
      </c>
      <c r="C36" t="str">
        <f>+'BizOps 2026'!C41</f>
        <v>Maria Josefa Avalos</v>
      </c>
      <c r="D36" t="str">
        <f>+'BizOps 2026'!D41</f>
        <v>Plane</v>
      </c>
      <c r="E36" t="str">
        <f>+'BizOps 2026'!E41</f>
        <v>Multiple</v>
      </c>
      <c r="F36" t="str">
        <f>+'BizOps 2026'!F41</f>
        <v>2 viajes --&gt; 8,000 p vuelo</v>
      </c>
      <c r="G36" t="str">
        <f>+'BizOps 2026'!G41</f>
        <v>Invoice</v>
      </c>
      <c r="H36">
        <f>+'BizOps 2026'!H41</f>
        <v>0</v>
      </c>
      <c r="I36">
        <f>+'BizOps 2026'!I41</f>
        <v>0</v>
      </c>
      <c r="J36" t="str">
        <f>+'BizOps 2026'!J41</f>
        <v>603.49.003</v>
      </c>
      <c r="K36" t="str">
        <f>+'BizOps 2026'!K41</f>
        <v>Viaticos Avion</v>
      </c>
      <c r="L36" t="str">
        <f>+'BizOps 2026'!L41</f>
        <v>Gastos de Viaje</v>
      </c>
      <c r="M36" t="str">
        <f>+'BizOps 2026'!M41</f>
        <v>MXN</v>
      </c>
      <c r="N36">
        <f>+'BizOps 2026'!N41</f>
        <v>864.8648648648649</v>
      </c>
      <c r="O36">
        <f>+'BizOps 2026'!O41</f>
        <v>16000</v>
      </c>
      <c r="P36">
        <f>+'BizOps 2026'!P41</f>
        <v>0</v>
      </c>
      <c r="Q36">
        <f>+'BizOps 2026'!Q41</f>
        <v>0</v>
      </c>
      <c r="R36">
        <f>+'BizOps 2026'!R41</f>
        <v>8000</v>
      </c>
      <c r="S36">
        <f>+'BizOps 2026'!S41</f>
        <v>0</v>
      </c>
      <c r="T36">
        <f>+'BizOps 2026'!T41</f>
        <v>0</v>
      </c>
      <c r="U36">
        <f>+'BizOps 2026'!U41</f>
        <v>0</v>
      </c>
      <c r="V36">
        <f>+'BizOps 2026'!V41</f>
        <v>0</v>
      </c>
      <c r="W36">
        <f>+'BizOps 2026'!W41</f>
        <v>8000</v>
      </c>
      <c r="X36">
        <f>+'BizOps 2026'!X41</f>
        <v>0</v>
      </c>
      <c r="Y36">
        <f>+'BizOps 2026'!Y41</f>
        <v>0</v>
      </c>
      <c r="Z36">
        <f>+'BizOps 2026'!Z41</f>
        <v>0</v>
      </c>
      <c r="AA36">
        <f>+'BizOps 2026'!AA41</f>
        <v>0</v>
      </c>
      <c r="AB36">
        <f t="shared" si="2"/>
        <v>1</v>
      </c>
      <c r="AC36" s="34">
        <f t="shared" si="23"/>
        <v>864.8648648648649</v>
      </c>
      <c r="AD36" s="34">
        <f t="shared" si="3"/>
        <v>0</v>
      </c>
      <c r="AE36" s="34">
        <f t="shared" si="4"/>
        <v>0</v>
      </c>
      <c r="AF36" s="34">
        <f t="shared" si="5"/>
        <v>432.43243243243245</v>
      </c>
      <c r="AG36" s="34">
        <f t="shared" si="6"/>
        <v>0</v>
      </c>
      <c r="AH36" s="34">
        <f t="shared" si="7"/>
        <v>0</v>
      </c>
      <c r="AI36" s="34">
        <f t="shared" si="8"/>
        <v>0</v>
      </c>
      <c r="AJ36" s="34">
        <f t="shared" si="9"/>
        <v>0</v>
      </c>
      <c r="AK36" s="34">
        <f t="shared" si="10"/>
        <v>432.43243243243245</v>
      </c>
      <c r="AL36" s="34">
        <f t="shared" si="11"/>
        <v>0</v>
      </c>
      <c r="AM36" s="34">
        <f t="shared" si="12"/>
        <v>0</v>
      </c>
      <c r="AN36" s="34">
        <f t="shared" si="13"/>
        <v>0</v>
      </c>
      <c r="AO36" s="34">
        <f t="shared" si="14"/>
        <v>0</v>
      </c>
      <c r="AP36">
        <f t="shared" si="15"/>
        <v>1</v>
      </c>
      <c r="AQ36" s="652">
        <f t="shared" si="18"/>
        <v>864.86486486486467</v>
      </c>
      <c r="AR36" s="652">
        <f t="shared" si="19"/>
        <v>72.072072072072075</v>
      </c>
      <c r="AS36" s="652">
        <f t="shared" si="20"/>
        <v>72.072072072072075</v>
      </c>
      <c r="AT36" s="652">
        <f t="shared" si="20"/>
        <v>72.072072072072075</v>
      </c>
      <c r="AU36" s="652">
        <f t="shared" si="20"/>
        <v>72.072072072072075</v>
      </c>
      <c r="AV36" s="652">
        <f t="shared" si="20"/>
        <v>72.072072072072075</v>
      </c>
      <c r="AW36" s="652">
        <f t="shared" si="20"/>
        <v>72.072072072072075</v>
      </c>
      <c r="AX36" s="652">
        <f t="shared" si="20"/>
        <v>72.072072072072075</v>
      </c>
      <c r="AY36" s="652">
        <f t="shared" si="20"/>
        <v>72.072072072072075</v>
      </c>
      <c r="AZ36" s="652">
        <f t="shared" si="20"/>
        <v>72.072072072072075</v>
      </c>
      <c r="BA36" s="652">
        <f t="shared" si="20"/>
        <v>72.072072072072075</v>
      </c>
      <c r="BB36" s="652">
        <f t="shared" si="20"/>
        <v>72.072072072072075</v>
      </c>
      <c r="BC36" s="652">
        <f t="shared" si="20"/>
        <v>72.072072072072075</v>
      </c>
    </row>
    <row r="37" spans="1:55">
      <c r="A37" t="str">
        <f>+'BizOps 2026'!A42</f>
        <v>SAPI</v>
      </c>
      <c r="B37" t="str">
        <f>+'BizOps 2026'!B42</f>
        <v>ADM</v>
      </c>
      <c r="C37" t="str">
        <f>+'BizOps 2026'!C42</f>
        <v>Maria Josefa Avalos</v>
      </c>
      <c r="D37" t="str">
        <f>+'BizOps 2026'!D42</f>
        <v>Food</v>
      </c>
      <c r="E37" t="str">
        <f>+'BizOps 2026'!E42</f>
        <v>Multiple</v>
      </c>
      <c r="F37" t="str">
        <f>+'BizOps 2026'!F42</f>
        <v>4,000 MXN comidas p viaje (2 días)</v>
      </c>
      <c r="G37" t="str">
        <f>+'BizOps 2026'!G42</f>
        <v>Invoice</v>
      </c>
      <c r="H37">
        <f>+'BizOps 2026'!H42</f>
        <v>0</v>
      </c>
      <c r="I37">
        <f>+'BizOps 2026'!I42</f>
        <v>0</v>
      </c>
      <c r="J37" t="str">
        <f>+'BizOps 2026'!J42</f>
        <v>603.49.004</v>
      </c>
      <c r="K37" t="str">
        <f>+'BizOps 2026'!K42</f>
        <v>Viaticos Comidas</v>
      </c>
      <c r="L37" t="str">
        <f>+'BizOps 2026'!L42</f>
        <v>Gastos de Viaje</v>
      </c>
      <c r="M37" t="str">
        <f>+'BizOps 2026'!M42</f>
        <v>MXN</v>
      </c>
      <c r="N37">
        <f>+'BizOps 2026'!N42</f>
        <v>432.43243243243245</v>
      </c>
      <c r="O37">
        <f>+'BizOps 2026'!O42</f>
        <v>8000</v>
      </c>
      <c r="P37">
        <f>+'BizOps 2026'!P42</f>
        <v>0</v>
      </c>
      <c r="Q37">
        <f>+'BizOps 2026'!Q42</f>
        <v>0</v>
      </c>
      <c r="R37">
        <f>+'BizOps 2026'!R42</f>
        <v>4000</v>
      </c>
      <c r="S37">
        <f>+'BizOps 2026'!S42</f>
        <v>0</v>
      </c>
      <c r="T37">
        <f>+'BizOps 2026'!T42</f>
        <v>0</v>
      </c>
      <c r="U37">
        <f>+'BizOps 2026'!U42</f>
        <v>0</v>
      </c>
      <c r="V37">
        <f>+'BizOps 2026'!V42</f>
        <v>0</v>
      </c>
      <c r="W37">
        <f>+'BizOps 2026'!W42</f>
        <v>4000</v>
      </c>
      <c r="X37">
        <f>+'BizOps 2026'!X42</f>
        <v>0</v>
      </c>
      <c r="Y37">
        <f>+'BizOps 2026'!Y42</f>
        <v>0</v>
      </c>
      <c r="Z37">
        <f>+'BizOps 2026'!Z42</f>
        <v>0</v>
      </c>
      <c r="AA37">
        <f>+'BizOps 2026'!AA42</f>
        <v>0</v>
      </c>
      <c r="AB37">
        <f t="shared" si="2"/>
        <v>1</v>
      </c>
      <c r="AC37" s="34">
        <f t="shared" si="23"/>
        <v>432.43243243243245</v>
      </c>
      <c r="AD37" s="34">
        <f t="shared" si="3"/>
        <v>0</v>
      </c>
      <c r="AE37" s="34">
        <f t="shared" si="4"/>
        <v>0</v>
      </c>
      <c r="AF37" s="34">
        <f t="shared" si="5"/>
        <v>216.21621621621622</v>
      </c>
      <c r="AG37" s="34">
        <f t="shared" si="6"/>
        <v>0</v>
      </c>
      <c r="AH37" s="34">
        <f t="shared" si="7"/>
        <v>0</v>
      </c>
      <c r="AI37" s="34">
        <f t="shared" si="8"/>
        <v>0</v>
      </c>
      <c r="AJ37" s="34">
        <f t="shared" si="9"/>
        <v>0</v>
      </c>
      <c r="AK37" s="34">
        <f t="shared" si="10"/>
        <v>216.21621621621622</v>
      </c>
      <c r="AL37" s="34">
        <f t="shared" si="11"/>
        <v>0</v>
      </c>
      <c r="AM37" s="34">
        <f t="shared" si="12"/>
        <v>0</v>
      </c>
      <c r="AN37" s="34">
        <f t="shared" si="13"/>
        <v>0</v>
      </c>
      <c r="AO37" s="34">
        <f t="shared" si="14"/>
        <v>0</v>
      </c>
      <c r="AP37">
        <f t="shared" si="15"/>
        <v>1</v>
      </c>
      <c r="AQ37" s="652">
        <f t="shared" si="18"/>
        <v>432.43243243243234</v>
      </c>
      <c r="AR37" s="652">
        <f t="shared" si="19"/>
        <v>36.036036036036037</v>
      </c>
      <c r="AS37" s="652">
        <f t="shared" si="20"/>
        <v>36.036036036036037</v>
      </c>
      <c r="AT37" s="652">
        <f t="shared" si="20"/>
        <v>36.036036036036037</v>
      </c>
      <c r="AU37" s="652">
        <f t="shared" si="20"/>
        <v>36.036036036036037</v>
      </c>
      <c r="AV37" s="652">
        <f t="shared" si="20"/>
        <v>36.036036036036037</v>
      </c>
      <c r="AW37" s="652">
        <f t="shared" si="20"/>
        <v>36.036036036036037</v>
      </c>
      <c r="AX37" s="652">
        <f t="shared" si="20"/>
        <v>36.036036036036037</v>
      </c>
      <c r="AY37" s="652">
        <f t="shared" si="20"/>
        <v>36.036036036036037</v>
      </c>
      <c r="AZ37" s="652">
        <f t="shared" si="20"/>
        <v>36.036036036036037</v>
      </c>
      <c r="BA37" s="652">
        <f t="shared" si="20"/>
        <v>36.036036036036037</v>
      </c>
      <c r="BB37" s="652">
        <f t="shared" si="20"/>
        <v>36.036036036036037</v>
      </c>
      <c r="BC37" s="652">
        <f t="shared" si="20"/>
        <v>36.036036036036037</v>
      </c>
    </row>
    <row r="38" spans="1:55">
      <c r="A38" t="str">
        <f>+'BizOps 2026'!A44</f>
        <v>SAPI</v>
      </c>
      <c r="B38" t="str">
        <f>+'BizOps 2026'!B44</f>
        <v>ADM</v>
      </c>
      <c r="C38" t="str">
        <f>+'BizOps 2026'!C44</f>
        <v>Maria Josefa Avalos</v>
      </c>
      <c r="D38" t="str">
        <f>+'BizOps 2026'!D44</f>
        <v>Papeleria y Articulos De Oficina</v>
      </c>
      <c r="E38" t="str">
        <f>+'BizOps 2026'!E44</f>
        <v>Multiple</v>
      </c>
      <c r="F38" t="str">
        <f>+'BizOps 2026'!F44</f>
        <v>Papeleria / Articulos De Oficina / DHL / Cargadores, otros</v>
      </c>
      <c r="G38">
        <f>+'BizOps 2026'!G44</f>
        <v>0</v>
      </c>
      <c r="H38">
        <f>+'BizOps 2026'!H44</f>
        <v>0</v>
      </c>
      <c r="I38">
        <f>+'BizOps 2026'!I44</f>
        <v>0</v>
      </c>
      <c r="J38" t="str">
        <f>+'BizOps 2026'!J44</f>
        <v>603.55.001</v>
      </c>
      <c r="K38" t="str">
        <f>+'BizOps 2026'!K44</f>
        <v>Papeleria y Articulos De Oficina</v>
      </c>
      <c r="L38" t="str">
        <f>+'BizOps 2026'!L44</f>
        <v>Otros</v>
      </c>
      <c r="M38" t="str">
        <f>+'BizOps 2026'!M44</f>
        <v>MXN</v>
      </c>
      <c r="N38">
        <f>+'BizOps 2026'!N44</f>
        <v>3243.2432432432433</v>
      </c>
      <c r="O38">
        <f>+'BizOps 2026'!O44</f>
        <v>60000</v>
      </c>
      <c r="P38">
        <f>+'BizOps 2026'!P44</f>
        <v>5000</v>
      </c>
      <c r="Q38">
        <f>+'BizOps 2026'!Q44</f>
        <v>5000</v>
      </c>
      <c r="R38">
        <f>+'BizOps 2026'!R44</f>
        <v>5000</v>
      </c>
      <c r="S38">
        <f>+'BizOps 2026'!S44</f>
        <v>5000</v>
      </c>
      <c r="T38">
        <f>+'BizOps 2026'!T44</f>
        <v>5000</v>
      </c>
      <c r="U38">
        <f>+'BizOps 2026'!U44</f>
        <v>5000</v>
      </c>
      <c r="V38">
        <f>+'BizOps 2026'!V44</f>
        <v>5000</v>
      </c>
      <c r="W38">
        <f>+'BizOps 2026'!W44</f>
        <v>5000</v>
      </c>
      <c r="X38">
        <f>+'BizOps 2026'!X44</f>
        <v>5000</v>
      </c>
      <c r="Y38">
        <f>+'BizOps 2026'!Y44</f>
        <v>5000</v>
      </c>
      <c r="Z38">
        <f>+'BizOps 2026'!Z44</f>
        <v>5000</v>
      </c>
      <c r="AA38">
        <f>+'BizOps 2026'!AA44</f>
        <v>5000</v>
      </c>
      <c r="AB38">
        <f t="shared" si="2"/>
        <v>1</v>
      </c>
      <c r="AC38" s="34">
        <f t="shared" si="23"/>
        <v>3243.2432432432438</v>
      </c>
      <c r="AD38" s="34">
        <f t="shared" si="3"/>
        <v>270.27027027027026</v>
      </c>
      <c r="AE38" s="34">
        <f t="shared" si="4"/>
        <v>270.27027027027026</v>
      </c>
      <c r="AF38" s="34">
        <f t="shared" si="5"/>
        <v>270.27027027027026</v>
      </c>
      <c r="AG38" s="34">
        <f t="shared" si="6"/>
        <v>270.27027027027026</v>
      </c>
      <c r="AH38" s="34">
        <f t="shared" si="7"/>
        <v>270.27027027027026</v>
      </c>
      <c r="AI38" s="34">
        <f t="shared" si="8"/>
        <v>270.27027027027026</v>
      </c>
      <c r="AJ38" s="34">
        <f t="shared" si="9"/>
        <v>270.27027027027026</v>
      </c>
      <c r="AK38" s="34">
        <f t="shared" si="10"/>
        <v>270.27027027027026</v>
      </c>
      <c r="AL38" s="34">
        <f t="shared" si="11"/>
        <v>270.27027027027026</v>
      </c>
      <c r="AM38" s="34">
        <f t="shared" si="12"/>
        <v>270.27027027027026</v>
      </c>
      <c r="AN38" s="34">
        <f t="shared" si="13"/>
        <v>270.27027027027026</v>
      </c>
      <c r="AO38" s="34">
        <f t="shared" si="14"/>
        <v>270.27027027027026</v>
      </c>
      <c r="AP38">
        <f t="shared" si="15"/>
        <v>1</v>
      </c>
      <c r="AQ38" s="652">
        <f t="shared" si="18"/>
        <v>3243.2432432432438</v>
      </c>
      <c r="AR38" s="652">
        <f t="shared" si="19"/>
        <v>270.27027027027026</v>
      </c>
      <c r="AS38" s="652">
        <f t="shared" si="20"/>
        <v>270.27027027027026</v>
      </c>
      <c r="AT38" s="652">
        <f t="shared" si="20"/>
        <v>270.27027027027026</v>
      </c>
      <c r="AU38" s="652">
        <f t="shared" si="20"/>
        <v>270.27027027027026</v>
      </c>
      <c r="AV38" s="652">
        <f t="shared" si="20"/>
        <v>270.27027027027026</v>
      </c>
      <c r="AW38" s="652">
        <f t="shared" ref="AS38:BC61" si="24">+$N38/12</f>
        <v>270.27027027027026</v>
      </c>
      <c r="AX38" s="652">
        <f t="shared" si="24"/>
        <v>270.27027027027026</v>
      </c>
      <c r="AY38" s="652">
        <f t="shared" si="24"/>
        <v>270.27027027027026</v>
      </c>
      <c r="AZ38" s="652">
        <f t="shared" si="24"/>
        <v>270.27027027027026</v>
      </c>
      <c r="BA38" s="652">
        <f t="shared" si="24"/>
        <v>270.27027027027026</v>
      </c>
      <c r="BB38" s="652">
        <f t="shared" si="24"/>
        <v>270.27027027027026</v>
      </c>
      <c r="BC38" s="652">
        <f t="shared" si="24"/>
        <v>270.27027027027026</v>
      </c>
    </row>
    <row r="39" spans="1:55">
      <c r="A39" t="str">
        <f>+'BizOps 2026'!A45</f>
        <v>SAPI</v>
      </c>
      <c r="B39" t="str">
        <f>+'BizOps 2026'!B45</f>
        <v>ADM</v>
      </c>
      <c r="C39" t="str">
        <f>+'BizOps 2026'!C45</f>
        <v>Maria Josefa Avalos</v>
      </c>
      <c r="D39" t="str">
        <f>+'BizOps 2026'!D45</f>
        <v>Recuitement</v>
      </c>
      <c r="E39" t="str">
        <f>+'BizOps 2026'!E45</f>
        <v>OCC Bolsa de trabajo</v>
      </c>
      <c r="F39" t="str">
        <f>+'BizOps 2026'!F45</f>
        <v>Linkedin Talent Solutions</v>
      </c>
      <c r="G39">
        <f>+'BizOps 2026'!G45</f>
        <v>0</v>
      </c>
      <c r="H39">
        <f>+'BizOps 2026'!H45</f>
        <v>0</v>
      </c>
      <c r="I39">
        <f>+'BizOps 2026'!I45</f>
        <v>0</v>
      </c>
      <c r="J39" t="str">
        <f>+'BizOps 2026'!J45</f>
        <v>603.60.001</v>
      </c>
      <c r="K39" t="str">
        <f>+'BizOps 2026'!K45</f>
        <v>Cuotas y Suscripciones</v>
      </c>
      <c r="L39" t="str">
        <f>+'BizOps 2026'!L45</f>
        <v>Otros</v>
      </c>
      <c r="M39" t="str">
        <f>+'BizOps 2026'!M45</f>
        <v>MXN</v>
      </c>
      <c r="N39">
        <f>+'BizOps 2026'!N45</f>
        <v>0</v>
      </c>
      <c r="O39">
        <f>+'BizOps 2026'!O45</f>
        <v>0</v>
      </c>
      <c r="P39">
        <f>+'BizOps 2026'!P45</f>
        <v>0</v>
      </c>
      <c r="Q39">
        <f>+'BizOps 2026'!Q45</f>
        <v>0</v>
      </c>
      <c r="R39">
        <f>+'BizOps 2026'!R45</f>
        <v>0</v>
      </c>
      <c r="S39">
        <f>+'BizOps 2026'!S45</f>
        <v>0</v>
      </c>
      <c r="T39">
        <f>+'BizOps 2026'!T45</f>
        <v>0</v>
      </c>
      <c r="U39">
        <f>+'BizOps 2026'!U45</f>
        <v>0</v>
      </c>
      <c r="V39">
        <f>+'BizOps 2026'!V45</f>
        <v>0</v>
      </c>
      <c r="W39">
        <f>+'BizOps 2026'!W45</f>
        <v>0</v>
      </c>
      <c r="X39">
        <f>+'BizOps 2026'!X45</f>
        <v>0</v>
      </c>
      <c r="Y39">
        <f>+'BizOps 2026'!Y45</f>
        <v>0</v>
      </c>
      <c r="Z39">
        <f>+'BizOps 2026'!Z45</f>
        <v>0</v>
      </c>
      <c r="AA39">
        <f>+'BizOps 2026'!AA45</f>
        <v>0</v>
      </c>
      <c r="AB39">
        <f t="shared" ref="AB39:AB70" si="25">+IF(AC39=N39,1)</f>
        <v>1</v>
      </c>
      <c r="AC39" s="34">
        <f t="shared" si="23"/>
        <v>0</v>
      </c>
      <c r="AD39" s="34">
        <f t="shared" ref="AD39:AD70" si="26">+IF($M39="MXN",P39/$AC$2,IF($M39="BRL",P39/$AC$3,IF($M39="EUR",P39*$AC$1,P39)))</f>
        <v>0</v>
      </c>
      <c r="AE39" s="34">
        <f t="shared" ref="AE39:AE70" si="27">+IF($M39="MXN",Q39/$AC$2,IF($M39="BRL",Q39/$AC$3,IF($M39="EUR",Q39*$AC$1,Q39)))</f>
        <v>0</v>
      </c>
      <c r="AF39" s="34">
        <f t="shared" ref="AF39:AF70" si="28">+IF($M39="MXN",R39/$AC$2,IF($M39="BRL",R39/$AC$3,IF($M39="EUR",R39*$AC$1,R39)))</f>
        <v>0</v>
      </c>
      <c r="AG39" s="34">
        <f t="shared" ref="AG39:AG70" si="29">+IF($M39="MXN",S39/$AC$2,IF($M39="BRL",S39/$AC$3,IF($M39="EUR",S39*$AC$1,S39)))</f>
        <v>0</v>
      </c>
      <c r="AH39" s="34">
        <f t="shared" ref="AH39:AH70" si="30">+IF($M39="MXN",T39/$AC$2,IF($M39="BRL",T39/$AC$3,IF($M39="EUR",T39*$AC$1,T39)))</f>
        <v>0</v>
      </c>
      <c r="AI39" s="34">
        <f t="shared" ref="AI39:AI70" si="31">+IF($M39="MXN",U39/$AC$2,IF($M39="BRL",U39/$AC$3,IF($M39="EUR",U39*$AC$1,U39)))</f>
        <v>0</v>
      </c>
      <c r="AJ39" s="34">
        <f t="shared" ref="AJ39:AJ70" si="32">+IF($M39="MXN",V39/$AC$2,IF($M39="BRL",V39/$AC$3,IF($M39="EUR",V39*$AC$1,V39)))</f>
        <v>0</v>
      </c>
      <c r="AK39" s="34">
        <f t="shared" ref="AK39:AK70" si="33">+IF($M39="MXN",W39/$AC$2,IF($M39="BRL",W39/$AC$3,IF($M39="EUR",W39*$AC$1,W39)))</f>
        <v>0</v>
      </c>
      <c r="AL39" s="34">
        <f t="shared" ref="AL39:AL70" si="34">+IF($M39="MXN",X39/$AC$2,IF($M39="BRL",X39/$AC$3,IF($M39="EUR",X39*$AC$1,X39)))</f>
        <v>0</v>
      </c>
      <c r="AM39" s="34">
        <f t="shared" ref="AM39:AM70" si="35">+IF($M39="MXN",Y39/$AC$2,IF($M39="BRL",Y39/$AC$3,IF($M39="EUR",Y39*$AC$1,Y39)))</f>
        <v>0</v>
      </c>
      <c r="AN39" s="34">
        <f t="shared" ref="AN39:AN70" si="36">+IF($M39="MXN",Z39/$AC$2,IF($M39="BRL",Z39/$AC$3,IF($M39="EUR",Z39*$AC$1,Z39)))</f>
        <v>0</v>
      </c>
      <c r="AO39" s="34">
        <f t="shared" ref="AO39:AO70" si="37">+IF($M39="MXN",AA39/$AC$2,IF($M39="BRL",AA39/$AC$3,IF($M39="EUR",AA39*$AC$1,AA39)))</f>
        <v>0</v>
      </c>
      <c r="AP39">
        <f t="shared" si="15"/>
        <v>1</v>
      </c>
      <c r="AQ39" s="652">
        <f t="shared" si="18"/>
        <v>0</v>
      </c>
      <c r="AR39" s="652">
        <f t="shared" si="19"/>
        <v>0</v>
      </c>
      <c r="AS39" s="652">
        <f t="shared" si="24"/>
        <v>0</v>
      </c>
      <c r="AT39" s="652">
        <f t="shared" si="24"/>
        <v>0</v>
      </c>
      <c r="AU39" s="652">
        <f t="shared" si="24"/>
        <v>0</v>
      </c>
      <c r="AV39" s="652">
        <f t="shared" si="24"/>
        <v>0</v>
      </c>
      <c r="AW39" s="652">
        <f t="shared" si="24"/>
        <v>0</v>
      </c>
      <c r="AX39" s="652">
        <f t="shared" si="24"/>
        <v>0</v>
      </c>
      <c r="AY39" s="652">
        <f t="shared" si="24"/>
        <v>0</v>
      </c>
      <c r="AZ39" s="652">
        <f t="shared" si="24"/>
        <v>0</v>
      </c>
      <c r="BA39" s="652">
        <f t="shared" si="24"/>
        <v>0</v>
      </c>
      <c r="BB39" s="652">
        <f t="shared" si="24"/>
        <v>0</v>
      </c>
      <c r="BC39" s="652">
        <f t="shared" si="24"/>
        <v>0</v>
      </c>
    </row>
    <row r="40" spans="1:55">
      <c r="A40" t="str">
        <f>+'BizOps 2026'!A46</f>
        <v>SAPI</v>
      </c>
      <c r="B40" t="str">
        <f>+'BizOps 2026'!B46</f>
        <v>ADM</v>
      </c>
      <c r="C40" t="str">
        <f>+'BizOps 2026'!C46</f>
        <v>Maria Josefa Avalos</v>
      </c>
      <c r="D40" t="str">
        <f>+'BizOps 2026'!D46</f>
        <v>Varios cultura de trabajo HR</v>
      </c>
      <c r="E40" t="str">
        <f>+'BizOps 2026'!E46</f>
        <v>Multiple</v>
      </c>
      <c r="F40" t="str">
        <f>+'BizOps 2026'!F46</f>
        <v>Bday Cakes, Despensa, After Office, Comidas, Otros</v>
      </c>
      <c r="G40">
        <f>+'BizOps 2026'!G46</f>
        <v>0</v>
      </c>
      <c r="H40">
        <f>+'BizOps 2026'!H46</f>
        <v>0</v>
      </c>
      <c r="I40">
        <f>+'BizOps 2026'!I46</f>
        <v>0</v>
      </c>
      <c r="J40" t="str">
        <f>+'BizOps 2026'!J46</f>
        <v>603.82.003</v>
      </c>
      <c r="K40" t="str">
        <f>+'BizOps 2026'!K46</f>
        <v>Organizacion de eventos</v>
      </c>
      <c r="L40" t="str">
        <f>+'BizOps 2026'!L46</f>
        <v>Otros</v>
      </c>
      <c r="M40" t="str">
        <f>+'BizOps 2026'!M46</f>
        <v>MXN</v>
      </c>
      <c r="N40">
        <f>+'BizOps 2026'!N46</f>
        <v>3243.2432432432433</v>
      </c>
      <c r="O40">
        <f>+'BizOps 2026'!O46</f>
        <v>60000</v>
      </c>
      <c r="P40">
        <f>+'BizOps 2026'!P46</f>
        <v>5000</v>
      </c>
      <c r="Q40">
        <f>+'BizOps 2026'!Q46</f>
        <v>5000</v>
      </c>
      <c r="R40">
        <f>+'BizOps 2026'!R46</f>
        <v>5000</v>
      </c>
      <c r="S40">
        <f>+'BizOps 2026'!S46</f>
        <v>5000</v>
      </c>
      <c r="T40">
        <f>+'BizOps 2026'!T46</f>
        <v>5000</v>
      </c>
      <c r="U40">
        <f>+'BizOps 2026'!U46</f>
        <v>5000</v>
      </c>
      <c r="V40">
        <f>+'BizOps 2026'!V46</f>
        <v>5000</v>
      </c>
      <c r="W40">
        <f>+'BizOps 2026'!W46</f>
        <v>5000</v>
      </c>
      <c r="X40">
        <f>+'BizOps 2026'!X46</f>
        <v>5000</v>
      </c>
      <c r="Y40">
        <f>+'BizOps 2026'!Y46</f>
        <v>5000</v>
      </c>
      <c r="Z40">
        <f>+'BizOps 2026'!Z46</f>
        <v>5000</v>
      </c>
      <c r="AA40">
        <f>+'BizOps 2026'!AA46</f>
        <v>5000</v>
      </c>
      <c r="AB40">
        <f t="shared" si="25"/>
        <v>1</v>
      </c>
      <c r="AC40" s="34">
        <f t="shared" si="23"/>
        <v>3243.2432432432438</v>
      </c>
      <c r="AD40" s="34">
        <f t="shared" si="26"/>
        <v>270.27027027027026</v>
      </c>
      <c r="AE40" s="34">
        <f t="shared" si="27"/>
        <v>270.27027027027026</v>
      </c>
      <c r="AF40" s="34">
        <f t="shared" si="28"/>
        <v>270.27027027027026</v>
      </c>
      <c r="AG40" s="34">
        <f t="shared" si="29"/>
        <v>270.27027027027026</v>
      </c>
      <c r="AH40" s="34">
        <f t="shared" si="30"/>
        <v>270.27027027027026</v>
      </c>
      <c r="AI40" s="34">
        <f t="shared" si="31"/>
        <v>270.27027027027026</v>
      </c>
      <c r="AJ40" s="34">
        <f t="shared" si="32"/>
        <v>270.27027027027026</v>
      </c>
      <c r="AK40" s="34">
        <f t="shared" si="33"/>
        <v>270.27027027027026</v>
      </c>
      <c r="AL40" s="34">
        <f t="shared" si="34"/>
        <v>270.27027027027026</v>
      </c>
      <c r="AM40" s="34">
        <f t="shared" si="35"/>
        <v>270.27027027027026</v>
      </c>
      <c r="AN40" s="34">
        <f t="shared" si="36"/>
        <v>270.27027027027026</v>
      </c>
      <c r="AO40" s="34">
        <f t="shared" si="37"/>
        <v>270.27027027027026</v>
      </c>
      <c r="AP40">
        <f t="shared" si="15"/>
        <v>1</v>
      </c>
      <c r="AQ40" s="652">
        <f t="shared" si="18"/>
        <v>3243.2432432432438</v>
      </c>
      <c r="AR40" s="652">
        <f t="shared" si="19"/>
        <v>270.27027027027026</v>
      </c>
      <c r="AS40" s="652">
        <f t="shared" si="24"/>
        <v>270.27027027027026</v>
      </c>
      <c r="AT40" s="652">
        <f t="shared" si="24"/>
        <v>270.27027027027026</v>
      </c>
      <c r="AU40" s="652">
        <f t="shared" si="24"/>
        <v>270.27027027027026</v>
      </c>
      <c r="AV40" s="652">
        <f t="shared" si="24"/>
        <v>270.27027027027026</v>
      </c>
      <c r="AW40" s="652">
        <f t="shared" si="24"/>
        <v>270.27027027027026</v>
      </c>
      <c r="AX40" s="652">
        <f t="shared" si="24"/>
        <v>270.27027027027026</v>
      </c>
      <c r="AY40" s="652">
        <f t="shared" si="24"/>
        <v>270.27027027027026</v>
      </c>
      <c r="AZ40" s="652">
        <f t="shared" si="24"/>
        <v>270.27027027027026</v>
      </c>
      <c r="BA40" s="652">
        <f t="shared" si="24"/>
        <v>270.27027027027026</v>
      </c>
      <c r="BB40" s="652">
        <f t="shared" si="24"/>
        <v>270.27027027027026</v>
      </c>
      <c r="BC40" s="652">
        <f t="shared" si="24"/>
        <v>270.27027027027026</v>
      </c>
    </row>
    <row r="41" spans="1:55">
      <c r="A41" t="str">
        <f>+'BizOps 2026'!A47</f>
        <v>SAPI</v>
      </c>
      <c r="B41" t="str">
        <f>+'BizOps 2026'!B47</f>
        <v>ADM</v>
      </c>
      <c r="C41" t="str">
        <f>+'BizOps 2026'!C47</f>
        <v>Maria Josefa Avalos</v>
      </c>
      <c r="D41" t="str">
        <f>+'BizOps 2026'!D47</f>
        <v>Christmas Party</v>
      </c>
      <c r="E41" t="str">
        <f>+'BizOps 2026'!E47</f>
        <v>Multiple</v>
      </c>
      <c r="F41" t="str">
        <f>+'BizOps 2026'!F47</f>
        <v>Christmas Party</v>
      </c>
      <c r="G41">
        <f>+'BizOps 2026'!G47</f>
        <v>0</v>
      </c>
      <c r="H41">
        <f>+'BizOps 2026'!H47</f>
        <v>0</v>
      </c>
      <c r="I41">
        <f>+'BizOps 2026'!I47</f>
        <v>0</v>
      </c>
      <c r="J41" t="str">
        <f>+'BizOps 2026'!J47</f>
        <v>603.82.003</v>
      </c>
      <c r="K41" t="str">
        <f>+'BizOps 2026'!K47</f>
        <v>Organizacion de eventos</v>
      </c>
      <c r="L41" t="str">
        <f>+'BizOps 2026'!L47</f>
        <v>Otros</v>
      </c>
      <c r="M41" t="str">
        <f>+'BizOps 2026'!M47</f>
        <v>MXN</v>
      </c>
      <c r="N41">
        <f>+'BizOps 2026'!N47</f>
        <v>1081.081081081081</v>
      </c>
      <c r="O41">
        <f>+'BizOps 2026'!O47</f>
        <v>20000</v>
      </c>
      <c r="P41">
        <f>+'BizOps 2026'!P47</f>
        <v>0</v>
      </c>
      <c r="Q41">
        <f>+'BizOps 2026'!Q47</f>
        <v>0</v>
      </c>
      <c r="R41">
        <f>+'BizOps 2026'!R47</f>
        <v>0</v>
      </c>
      <c r="S41">
        <f>+'BizOps 2026'!S47</f>
        <v>0</v>
      </c>
      <c r="T41">
        <f>+'BizOps 2026'!T47</f>
        <v>0</v>
      </c>
      <c r="U41">
        <f>+'BizOps 2026'!U47</f>
        <v>0</v>
      </c>
      <c r="V41">
        <f>+'BizOps 2026'!V47</f>
        <v>0</v>
      </c>
      <c r="W41">
        <f>+'BizOps 2026'!W47</f>
        <v>0</v>
      </c>
      <c r="X41">
        <f>+'BizOps 2026'!X47</f>
        <v>0</v>
      </c>
      <c r="Y41">
        <f>+'BizOps 2026'!Y47</f>
        <v>0</v>
      </c>
      <c r="Z41">
        <f>+'BizOps 2026'!Z47</f>
        <v>0</v>
      </c>
      <c r="AA41">
        <f>+'BizOps 2026'!AA47</f>
        <v>20000</v>
      </c>
      <c r="AB41">
        <f t="shared" si="25"/>
        <v>1</v>
      </c>
      <c r="AC41" s="34">
        <f t="shared" si="23"/>
        <v>1081.081081081081</v>
      </c>
      <c r="AD41" s="34">
        <f t="shared" si="26"/>
        <v>0</v>
      </c>
      <c r="AE41" s="34">
        <f t="shared" si="27"/>
        <v>0</v>
      </c>
      <c r="AF41" s="34">
        <f t="shared" si="28"/>
        <v>0</v>
      </c>
      <c r="AG41" s="34">
        <f t="shared" si="29"/>
        <v>0</v>
      </c>
      <c r="AH41" s="34">
        <f t="shared" si="30"/>
        <v>0</v>
      </c>
      <c r="AI41" s="34">
        <f t="shared" si="31"/>
        <v>0</v>
      </c>
      <c r="AJ41" s="34">
        <f t="shared" si="32"/>
        <v>0</v>
      </c>
      <c r="AK41" s="34">
        <f t="shared" si="33"/>
        <v>0</v>
      </c>
      <c r="AL41" s="34">
        <f t="shared" si="34"/>
        <v>0</v>
      </c>
      <c r="AM41" s="34">
        <f t="shared" si="35"/>
        <v>0</v>
      </c>
      <c r="AN41" s="34">
        <f t="shared" si="36"/>
        <v>0</v>
      </c>
      <c r="AO41" s="34">
        <f t="shared" si="37"/>
        <v>1081.081081081081</v>
      </c>
      <c r="AP41">
        <f t="shared" si="15"/>
        <v>1</v>
      </c>
      <c r="AQ41" s="652">
        <f t="shared" si="18"/>
        <v>1081.0810810810813</v>
      </c>
      <c r="AR41" s="652">
        <f t="shared" si="19"/>
        <v>90.090090090090087</v>
      </c>
      <c r="AS41" s="652">
        <f t="shared" si="24"/>
        <v>90.090090090090087</v>
      </c>
      <c r="AT41" s="652">
        <f t="shared" si="24"/>
        <v>90.090090090090087</v>
      </c>
      <c r="AU41" s="652">
        <f t="shared" si="24"/>
        <v>90.090090090090087</v>
      </c>
      <c r="AV41" s="652">
        <f t="shared" si="24"/>
        <v>90.090090090090087</v>
      </c>
      <c r="AW41" s="652">
        <f t="shared" si="24"/>
        <v>90.090090090090087</v>
      </c>
      <c r="AX41" s="652">
        <f t="shared" si="24"/>
        <v>90.090090090090087</v>
      </c>
      <c r="AY41" s="652">
        <f t="shared" si="24"/>
        <v>90.090090090090087</v>
      </c>
      <c r="AZ41" s="652">
        <f t="shared" si="24"/>
        <v>90.090090090090087</v>
      </c>
      <c r="BA41" s="652">
        <f t="shared" si="24"/>
        <v>90.090090090090087</v>
      </c>
      <c r="BB41" s="652">
        <f t="shared" si="24"/>
        <v>90.090090090090087</v>
      </c>
      <c r="BC41" s="652">
        <f t="shared" si="24"/>
        <v>90.090090090090087</v>
      </c>
    </row>
    <row r="42" spans="1:55">
      <c r="A42" t="str">
        <f>+'BizOps 2026'!A48</f>
        <v>SAPI</v>
      </c>
      <c r="B42" t="str">
        <f>+'BizOps 2026'!B48</f>
        <v>ADM</v>
      </c>
      <c r="C42" t="str">
        <f>+'BizOps 2026'!C48</f>
        <v>Maria Josefa Avalos</v>
      </c>
      <c r="D42" t="str">
        <f>+'BizOps 2026'!D48</f>
        <v>Trainings</v>
      </c>
      <c r="E42" t="str">
        <f>+'BizOps 2026'!E48</f>
        <v>Pleroma GMP</v>
      </c>
      <c r="F42" t="str">
        <f>+'BizOps 2026'!F48</f>
        <v>Gian Marco (one on ones)</v>
      </c>
      <c r="G42">
        <f>+'BizOps 2026'!G48</f>
        <v>0</v>
      </c>
      <c r="H42">
        <f>+'BizOps 2026'!H48</f>
        <v>0</v>
      </c>
      <c r="I42">
        <f>+'BizOps 2026'!I48</f>
        <v>0</v>
      </c>
      <c r="J42" t="str">
        <f>+'BizOps 2026'!J48</f>
        <v>603.62.001</v>
      </c>
      <c r="K42" t="str">
        <f>+'BizOps 2026'!K48</f>
        <v>Capacitacion al Personal</v>
      </c>
      <c r="L42" t="str">
        <f>+'BizOps 2026'!L48</f>
        <v>Otros</v>
      </c>
      <c r="M42" t="str">
        <f>+'BizOps 2026'!M48</f>
        <v>MXN</v>
      </c>
      <c r="N42">
        <f>+'BizOps 2026'!N48</f>
        <v>648.64864864864865</v>
      </c>
      <c r="O42">
        <f>+'BizOps 2026'!O48</f>
        <v>12000</v>
      </c>
      <c r="P42">
        <f>+'BizOps 2026'!P48</f>
        <v>1000</v>
      </c>
      <c r="Q42">
        <f>+'BizOps 2026'!Q48</f>
        <v>1000</v>
      </c>
      <c r="R42">
        <f>+'BizOps 2026'!R48</f>
        <v>1000</v>
      </c>
      <c r="S42">
        <f>+'BizOps 2026'!S48</f>
        <v>1000</v>
      </c>
      <c r="T42">
        <f>+'BizOps 2026'!T48</f>
        <v>1000</v>
      </c>
      <c r="U42">
        <f>+'BizOps 2026'!U48</f>
        <v>1000</v>
      </c>
      <c r="V42">
        <f>+'BizOps 2026'!V48</f>
        <v>1000</v>
      </c>
      <c r="W42">
        <f>+'BizOps 2026'!W48</f>
        <v>1000</v>
      </c>
      <c r="X42">
        <f>+'BizOps 2026'!X48</f>
        <v>1000</v>
      </c>
      <c r="Y42">
        <f>+'BizOps 2026'!Y48</f>
        <v>1000</v>
      </c>
      <c r="Z42">
        <f>+'BizOps 2026'!Z48</f>
        <v>1000</v>
      </c>
      <c r="AA42">
        <f>+'BizOps 2026'!AA48</f>
        <v>1000</v>
      </c>
      <c r="AB42">
        <f t="shared" si="25"/>
        <v>1</v>
      </c>
      <c r="AC42" s="34">
        <f t="shared" si="23"/>
        <v>648.64864864864865</v>
      </c>
      <c r="AD42" s="34">
        <f t="shared" si="26"/>
        <v>54.054054054054056</v>
      </c>
      <c r="AE42" s="34">
        <f t="shared" si="27"/>
        <v>54.054054054054056</v>
      </c>
      <c r="AF42" s="34">
        <f t="shared" si="28"/>
        <v>54.054054054054056</v>
      </c>
      <c r="AG42" s="34">
        <f t="shared" si="29"/>
        <v>54.054054054054056</v>
      </c>
      <c r="AH42" s="34">
        <f t="shared" si="30"/>
        <v>54.054054054054056</v>
      </c>
      <c r="AI42" s="34">
        <f t="shared" si="31"/>
        <v>54.054054054054056</v>
      </c>
      <c r="AJ42" s="34">
        <f t="shared" si="32"/>
        <v>54.054054054054056</v>
      </c>
      <c r="AK42" s="34">
        <f t="shared" si="33"/>
        <v>54.054054054054056</v>
      </c>
      <c r="AL42" s="34">
        <f t="shared" si="34"/>
        <v>54.054054054054056</v>
      </c>
      <c r="AM42" s="34">
        <f t="shared" si="35"/>
        <v>54.054054054054056</v>
      </c>
      <c r="AN42" s="34">
        <f t="shared" si="36"/>
        <v>54.054054054054056</v>
      </c>
      <c r="AO42" s="34">
        <f t="shared" si="37"/>
        <v>54.054054054054056</v>
      </c>
      <c r="AP42">
        <f t="shared" si="15"/>
        <v>1</v>
      </c>
      <c r="AQ42" s="652">
        <f t="shared" si="18"/>
        <v>648.64864864864865</v>
      </c>
      <c r="AR42" s="652">
        <f t="shared" si="19"/>
        <v>54.054054054054056</v>
      </c>
      <c r="AS42" s="652">
        <f t="shared" si="24"/>
        <v>54.054054054054056</v>
      </c>
      <c r="AT42" s="652">
        <f t="shared" si="24"/>
        <v>54.054054054054056</v>
      </c>
      <c r="AU42" s="652">
        <f t="shared" si="24"/>
        <v>54.054054054054056</v>
      </c>
      <c r="AV42" s="652">
        <f t="shared" si="24"/>
        <v>54.054054054054056</v>
      </c>
      <c r="AW42" s="652">
        <f t="shared" si="24"/>
        <v>54.054054054054056</v>
      </c>
      <c r="AX42" s="652">
        <f t="shared" si="24"/>
        <v>54.054054054054056</v>
      </c>
      <c r="AY42" s="652">
        <f t="shared" si="24"/>
        <v>54.054054054054056</v>
      </c>
      <c r="AZ42" s="652">
        <f t="shared" si="24"/>
        <v>54.054054054054056</v>
      </c>
      <c r="BA42" s="652">
        <f t="shared" si="24"/>
        <v>54.054054054054056</v>
      </c>
      <c r="BB42" s="652">
        <f t="shared" si="24"/>
        <v>54.054054054054056</v>
      </c>
      <c r="BC42" s="652">
        <f t="shared" si="24"/>
        <v>54.054054054054056</v>
      </c>
    </row>
    <row r="43" spans="1:55">
      <c r="A43" t="str">
        <f>+'BizOps 2026'!A49</f>
        <v>SAPI</v>
      </c>
      <c r="B43" t="str">
        <f>+'BizOps 2026'!B49</f>
        <v>ADM</v>
      </c>
      <c r="C43" t="str">
        <f>+'BizOps 2026'!C49</f>
        <v>Maria Josefa Avalos</v>
      </c>
      <c r="D43" t="str">
        <f>+'BizOps 2026'!D49</f>
        <v>Rent Offices</v>
      </c>
      <c r="E43" t="str">
        <f>+'BizOps 2026'!E49</f>
        <v>Universidad Regiomontana</v>
      </c>
      <c r="F43" t="str">
        <f>+'BizOps 2026'!F49</f>
        <v>Renta de Oficinas Monterrey</v>
      </c>
      <c r="G43">
        <f>+'BizOps 2026'!G49</f>
        <v>0</v>
      </c>
      <c r="H43">
        <f>+'BizOps 2026'!H49</f>
        <v>0</v>
      </c>
      <c r="I43">
        <f>+'BizOps 2026'!I49</f>
        <v>0</v>
      </c>
      <c r="J43" t="str">
        <f>+'BizOps 2026'!J49</f>
        <v>603.46.001</v>
      </c>
      <c r="K43" t="str">
        <f>+'BizOps 2026'!K49</f>
        <v>Arrendamiento a Personas Morales</v>
      </c>
      <c r="L43" t="str">
        <f>+'BizOps 2026'!L49</f>
        <v>Renta de Inmuebles</v>
      </c>
      <c r="M43" t="str">
        <f>+'BizOps 2026'!M49</f>
        <v>MXN</v>
      </c>
      <c r="N43">
        <f>+'BizOps 2026'!N49</f>
        <v>0</v>
      </c>
      <c r="O43">
        <f>+'BizOps 2026'!O49</f>
        <v>0</v>
      </c>
      <c r="P43">
        <f>+'BizOps 2026'!P49</f>
        <v>0</v>
      </c>
      <c r="Q43">
        <f>+'BizOps 2026'!Q49</f>
        <v>0</v>
      </c>
      <c r="R43">
        <f>+'BizOps 2026'!R49</f>
        <v>0</v>
      </c>
      <c r="S43">
        <f>+'BizOps 2026'!S49</f>
        <v>0</v>
      </c>
      <c r="T43">
        <f>+'BizOps 2026'!T49</f>
        <v>0</v>
      </c>
      <c r="U43">
        <f>+'BizOps 2026'!U49</f>
        <v>0</v>
      </c>
      <c r="V43">
        <f>+'BizOps 2026'!V49</f>
        <v>0</v>
      </c>
      <c r="W43">
        <f>+'BizOps 2026'!W49</f>
        <v>0</v>
      </c>
      <c r="X43">
        <f>+'BizOps 2026'!X49</f>
        <v>0</v>
      </c>
      <c r="Y43">
        <f>+'BizOps 2026'!Y49</f>
        <v>0</v>
      </c>
      <c r="Z43">
        <f>+'BizOps 2026'!Z49</f>
        <v>0</v>
      </c>
      <c r="AA43">
        <f>+'BizOps 2026'!AA49</f>
        <v>0</v>
      </c>
      <c r="AB43">
        <f t="shared" si="25"/>
        <v>1</v>
      </c>
      <c r="AC43" s="34">
        <f t="shared" si="23"/>
        <v>0</v>
      </c>
      <c r="AD43" s="34">
        <f t="shared" si="26"/>
        <v>0</v>
      </c>
      <c r="AE43" s="34">
        <f t="shared" si="27"/>
        <v>0</v>
      </c>
      <c r="AF43" s="34">
        <f t="shared" si="28"/>
        <v>0</v>
      </c>
      <c r="AG43" s="34">
        <f t="shared" si="29"/>
        <v>0</v>
      </c>
      <c r="AH43" s="34">
        <f t="shared" si="30"/>
        <v>0</v>
      </c>
      <c r="AI43" s="34">
        <f t="shared" si="31"/>
        <v>0</v>
      </c>
      <c r="AJ43" s="34">
        <f t="shared" si="32"/>
        <v>0</v>
      </c>
      <c r="AK43" s="34">
        <f t="shared" si="33"/>
        <v>0</v>
      </c>
      <c r="AL43" s="34">
        <f t="shared" si="34"/>
        <v>0</v>
      </c>
      <c r="AM43" s="34">
        <f t="shared" si="35"/>
        <v>0</v>
      </c>
      <c r="AN43" s="34">
        <f t="shared" si="36"/>
        <v>0</v>
      </c>
      <c r="AO43" s="34">
        <f t="shared" si="37"/>
        <v>0</v>
      </c>
      <c r="AP43">
        <f t="shared" si="15"/>
        <v>1</v>
      </c>
      <c r="AQ43" s="652">
        <f t="shared" si="18"/>
        <v>0</v>
      </c>
      <c r="AR43" s="652">
        <f t="shared" si="19"/>
        <v>0</v>
      </c>
      <c r="AS43" s="652">
        <f t="shared" si="24"/>
        <v>0</v>
      </c>
      <c r="AT43" s="652">
        <f t="shared" si="24"/>
        <v>0</v>
      </c>
      <c r="AU43" s="652">
        <f t="shared" si="24"/>
        <v>0</v>
      </c>
      <c r="AV43" s="652">
        <f t="shared" si="24"/>
        <v>0</v>
      </c>
      <c r="AW43" s="652">
        <f t="shared" si="24"/>
        <v>0</v>
      </c>
      <c r="AX43" s="652">
        <f t="shared" si="24"/>
        <v>0</v>
      </c>
      <c r="AY43" s="652">
        <f t="shared" si="24"/>
        <v>0</v>
      </c>
      <c r="AZ43" s="652">
        <f t="shared" si="24"/>
        <v>0</v>
      </c>
      <c r="BA43" s="652">
        <f t="shared" si="24"/>
        <v>0</v>
      </c>
      <c r="BB43" s="652">
        <f t="shared" si="24"/>
        <v>0</v>
      </c>
      <c r="BC43" s="652">
        <f t="shared" si="24"/>
        <v>0</v>
      </c>
    </row>
    <row r="44" spans="1:55">
      <c r="A44" t="str">
        <f>+'Product 2026'!A6</f>
        <v>SAPI</v>
      </c>
      <c r="B44" t="str">
        <f>+'Product 2026'!B6</f>
        <v>PRO</v>
      </c>
      <c r="C44" t="str">
        <f>+'Product 2026'!C6</f>
        <v>Mariana Kalifa</v>
      </c>
      <c r="D44" t="str">
        <f>+'Product 2026'!D6</f>
        <v>Tools</v>
      </c>
      <c r="E44" t="str">
        <f>+'Product 2026'!E6</f>
        <v xml:space="preserve">Adobe </v>
      </c>
      <c r="F44" t="str">
        <f>+'Product 2026'!F6</f>
        <v>1249 mxn per month per user 1 + tax = 1388.89</v>
      </c>
      <c r="G44" t="str">
        <f>+'Product 2026'!G6</f>
        <v>Jeeves</v>
      </c>
      <c r="H44" t="str">
        <f>+'Product 2026'!H6</f>
        <v>PRO TECH 7811</v>
      </c>
      <c r="I44" t="str">
        <f>+'Product 2026'!I6</f>
        <v>Product &amp; Tech JVS - 4145</v>
      </c>
      <c r="J44" t="str">
        <f>+'Product 2026'!J6</f>
        <v>603.64.001</v>
      </c>
      <c r="K44" t="str">
        <f>+'Product 2026'!K6</f>
        <v>Servicios de Informatica</v>
      </c>
      <c r="L44" t="str">
        <f>+'Product 2026'!L6</f>
        <v>Servicios</v>
      </c>
      <c r="M44" t="str">
        <f>+'Product 2026'!M6</f>
        <v>MXN</v>
      </c>
      <c r="N44" s="34">
        <f>+'Product 2026'!N6</f>
        <v>900.90162162162142</v>
      </c>
      <c r="O44" s="34">
        <f>+'Product 2026'!O6</f>
        <v>16666.679999999997</v>
      </c>
      <c r="P44" s="34">
        <f>+'Product 2026'!P6</f>
        <v>1388.89</v>
      </c>
      <c r="Q44" s="34">
        <f>+'Product 2026'!Q6</f>
        <v>1388.89</v>
      </c>
      <c r="R44" s="34">
        <f>+'Product 2026'!R6</f>
        <v>1388.89</v>
      </c>
      <c r="S44" s="34">
        <f>+'Product 2026'!S6</f>
        <v>1388.89</v>
      </c>
      <c r="T44" s="34">
        <f>+'Product 2026'!T6</f>
        <v>1388.89</v>
      </c>
      <c r="U44" s="34">
        <f>+'Product 2026'!U6</f>
        <v>1388.89</v>
      </c>
      <c r="V44" s="34">
        <f>+'Product 2026'!V6</f>
        <v>1388.89</v>
      </c>
      <c r="W44" s="34">
        <f>+'Product 2026'!W6</f>
        <v>1388.89</v>
      </c>
      <c r="X44" s="34">
        <f>+'Product 2026'!X6</f>
        <v>1388.89</v>
      </c>
      <c r="Y44" s="34">
        <f>+'Product 2026'!Y6</f>
        <v>1388.89</v>
      </c>
      <c r="Z44" s="34">
        <f>+'Product 2026'!Z6</f>
        <v>1388.89</v>
      </c>
      <c r="AA44" s="34">
        <f>+'Product 2026'!AA6</f>
        <v>1388.89</v>
      </c>
      <c r="AB44" t="b">
        <f t="shared" si="25"/>
        <v>0</v>
      </c>
      <c r="AC44" s="34">
        <f t="shared" ref="AC44:AC84" si="38">+SUM(AD44:AO44)</f>
        <v>900.90162162162176</v>
      </c>
      <c r="AD44" s="34">
        <f t="shared" si="26"/>
        <v>75.075135135135142</v>
      </c>
      <c r="AE44" s="34">
        <f t="shared" si="27"/>
        <v>75.075135135135142</v>
      </c>
      <c r="AF44" s="34">
        <f t="shared" si="28"/>
        <v>75.075135135135142</v>
      </c>
      <c r="AG44" s="34">
        <f t="shared" si="29"/>
        <v>75.075135135135142</v>
      </c>
      <c r="AH44" s="34">
        <f t="shared" si="30"/>
        <v>75.075135135135142</v>
      </c>
      <c r="AI44" s="34">
        <f t="shared" si="31"/>
        <v>75.075135135135142</v>
      </c>
      <c r="AJ44" s="34">
        <f t="shared" si="32"/>
        <v>75.075135135135142</v>
      </c>
      <c r="AK44" s="34">
        <f t="shared" si="33"/>
        <v>75.075135135135142</v>
      </c>
      <c r="AL44" s="34">
        <f t="shared" si="34"/>
        <v>75.075135135135142</v>
      </c>
      <c r="AM44" s="34">
        <f t="shared" si="35"/>
        <v>75.075135135135142</v>
      </c>
      <c r="AN44" s="34">
        <f t="shared" si="36"/>
        <v>75.075135135135142</v>
      </c>
      <c r="AO44" s="34">
        <f t="shared" si="37"/>
        <v>75.075135135135142</v>
      </c>
      <c r="AP44" t="b">
        <f t="shared" si="15"/>
        <v>0</v>
      </c>
      <c r="AQ44" s="652">
        <f t="shared" si="18"/>
        <v>900.90162162162153</v>
      </c>
      <c r="AR44" s="34">
        <f t="shared" si="19"/>
        <v>75.075135135135113</v>
      </c>
      <c r="AS44" s="652">
        <f t="shared" si="24"/>
        <v>75.075135135135113</v>
      </c>
      <c r="AT44" s="652">
        <f t="shared" si="24"/>
        <v>75.075135135135113</v>
      </c>
      <c r="AU44" s="652">
        <f t="shared" si="24"/>
        <v>75.075135135135113</v>
      </c>
      <c r="AV44" s="652">
        <f t="shared" si="24"/>
        <v>75.075135135135113</v>
      </c>
      <c r="AW44" s="652">
        <f t="shared" si="24"/>
        <v>75.075135135135113</v>
      </c>
      <c r="AX44" s="652">
        <f t="shared" si="24"/>
        <v>75.075135135135113</v>
      </c>
      <c r="AY44" s="652">
        <f t="shared" si="24"/>
        <v>75.075135135135113</v>
      </c>
      <c r="AZ44" s="652">
        <f t="shared" si="24"/>
        <v>75.075135135135113</v>
      </c>
      <c r="BA44" s="652">
        <f t="shared" si="24"/>
        <v>75.075135135135113</v>
      </c>
      <c r="BB44" s="652">
        <f t="shared" si="24"/>
        <v>75.075135135135113</v>
      </c>
      <c r="BC44" s="652">
        <f t="shared" si="24"/>
        <v>75.075135135135113</v>
      </c>
    </row>
    <row r="45" spans="1:55">
      <c r="A45" t="str">
        <f>+'Product 2026'!A7</f>
        <v>SAPI</v>
      </c>
      <c r="B45" t="str">
        <f>+'Product 2026'!B7</f>
        <v>PRO</v>
      </c>
      <c r="C45" t="str">
        <f>+'Product 2026'!C7</f>
        <v>Mariana Kalifa</v>
      </c>
      <c r="D45" t="str">
        <f>+'Product 2026'!D7</f>
        <v>Tools</v>
      </c>
      <c r="E45" t="str">
        <f>+'Product 2026'!E7</f>
        <v xml:space="preserve">Figma </v>
      </c>
      <c r="F45" t="str">
        <f>+'Product 2026'!F7</f>
        <v>Number of users? 4 full (20 usd) y 5 devs (15 usd)</v>
      </c>
      <c r="G45" t="str">
        <f>+'Product 2026'!G7</f>
        <v>Jeeves</v>
      </c>
      <c r="H45" t="str">
        <f>+'Product 2026'!H7</f>
        <v>PRO TECH 7811</v>
      </c>
      <c r="I45" t="str">
        <f>+'Product 2026'!I7</f>
        <v>Product &amp; Tech JVS - 4145</v>
      </c>
      <c r="J45" t="str">
        <f>+'Product 2026'!J7</f>
        <v>603.64.001</v>
      </c>
      <c r="K45" t="str">
        <f>+'Product 2026'!K7</f>
        <v>Servicios de Informatica</v>
      </c>
      <c r="L45" t="str">
        <f>+'Product 2026'!L7</f>
        <v>Servicios</v>
      </c>
      <c r="M45" t="str">
        <f>+'Product 2026'!M7</f>
        <v>USD</v>
      </c>
      <c r="N45">
        <f>+'Product 2026'!N7</f>
        <v>2160</v>
      </c>
      <c r="O45">
        <f>+'Product 2026'!O7</f>
        <v>2160</v>
      </c>
      <c r="P45">
        <f>+'Product 2026'!P7</f>
        <v>180</v>
      </c>
      <c r="Q45">
        <f>+'Product 2026'!Q7</f>
        <v>180</v>
      </c>
      <c r="R45">
        <f>+'Product 2026'!R7</f>
        <v>180</v>
      </c>
      <c r="S45">
        <f>+'Product 2026'!S7</f>
        <v>180</v>
      </c>
      <c r="T45">
        <f>+'Product 2026'!T7</f>
        <v>180</v>
      </c>
      <c r="U45">
        <f>+'Product 2026'!U7</f>
        <v>180</v>
      </c>
      <c r="V45">
        <f>+'Product 2026'!V7</f>
        <v>180</v>
      </c>
      <c r="W45">
        <f>+'Product 2026'!W7</f>
        <v>180</v>
      </c>
      <c r="X45">
        <f>+'Product 2026'!X7</f>
        <v>180</v>
      </c>
      <c r="Y45">
        <f>+'Product 2026'!Y7</f>
        <v>180</v>
      </c>
      <c r="Z45">
        <f>+'Product 2026'!Z7</f>
        <v>180</v>
      </c>
      <c r="AA45">
        <f>+'Product 2026'!AA7</f>
        <v>180</v>
      </c>
      <c r="AB45">
        <f t="shared" si="25"/>
        <v>1</v>
      </c>
      <c r="AC45" s="34">
        <f t="shared" si="38"/>
        <v>2160</v>
      </c>
      <c r="AD45" s="34">
        <f t="shared" si="26"/>
        <v>180</v>
      </c>
      <c r="AE45" s="34">
        <f t="shared" si="27"/>
        <v>180</v>
      </c>
      <c r="AF45" s="34">
        <f t="shared" si="28"/>
        <v>180</v>
      </c>
      <c r="AG45" s="34">
        <f t="shared" si="29"/>
        <v>180</v>
      </c>
      <c r="AH45" s="34">
        <f t="shared" si="30"/>
        <v>180</v>
      </c>
      <c r="AI45" s="34">
        <f t="shared" si="31"/>
        <v>180</v>
      </c>
      <c r="AJ45" s="34">
        <f t="shared" si="32"/>
        <v>180</v>
      </c>
      <c r="AK45" s="34">
        <f t="shared" si="33"/>
        <v>180</v>
      </c>
      <c r="AL45" s="34">
        <f t="shared" si="34"/>
        <v>180</v>
      </c>
      <c r="AM45" s="34">
        <f t="shared" si="35"/>
        <v>180</v>
      </c>
      <c r="AN45" s="34">
        <f t="shared" si="36"/>
        <v>180</v>
      </c>
      <c r="AO45" s="34">
        <f t="shared" si="37"/>
        <v>180</v>
      </c>
      <c r="AP45">
        <f t="shared" si="15"/>
        <v>1</v>
      </c>
      <c r="AQ45" s="652">
        <f t="shared" si="18"/>
        <v>2160</v>
      </c>
      <c r="AR45" s="652">
        <f t="shared" si="19"/>
        <v>180</v>
      </c>
      <c r="AS45" s="652">
        <f t="shared" si="24"/>
        <v>180</v>
      </c>
      <c r="AT45" s="652">
        <f t="shared" si="24"/>
        <v>180</v>
      </c>
      <c r="AU45" s="652">
        <f t="shared" si="24"/>
        <v>180</v>
      </c>
      <c r="AV45" s="652">
        <f t="shared" si="24"/>
        <v>180</v>
      </c>
      <c r="AW45" s="652">
        <f t="shared" si="24"/>
        <v>180</v>
      </c>
      <c r="AX45" s="652">
        <f t="shared" si="24"/>
        <v>180</v>
      </c>
      <c r="AY45" s="652">
        <f t="shared" si="24"/>
        <v>180</v>
      </c>
      <c r="AZ45" s="652">
        <f t="shared" si="24"/>
        <v>180</v>
      </c>
      <c r="BA45" s="652">
        <f t="shared" si="24"/>
        <v>180</v>
      </c>
      <c r="BB45" s="652">
        <f t="shared" si="24"/>
        <v>180</v>
      </c>
      <c r="BC45" s="652">
        <f t="shared" si="24"/>
        <v>180</v>
      </c>
    </row>
    <row r="46" spans="1:55">
      <c r="A46" t="str">
        <f>+'Product 2026'!A8</f>
        <v>INC</v>
      </c>
      <c r="B46" t="str">
        <f>+'Product 2026'!B8</f>
        <v>PRO</v>
      </c>
      <c r="C46" t="str">
        <f>+'Product 2026'!C8</f>
        <v>Mariana Kalifa</v>
      </c>
      <c r="D46" t="str">
        <f>+'Product 2026'!D8</f>
        <v>Tools</v>
      </c>
      <c r="E46" t="str">
        <f>+'Product 2026'!E8</f>
        <v xml:space="preserve">Clickup </v>
      </c>
      <c r="F46" t="str">
        <f>+'Product 2026'!F8</f>
        <v>$45 USD por usuario</v>
      </c>
      <c r="G46" t="str">
        <f>+'Product 2026'!G8</f>
        <v>Brex</v>
      </c>
      <c r="H46" t="str">
        <f>+'Product 2026'!H8</f>
        <v>BREX 9547 - Luis Garza</v>
      </c>
      <c r="I46" t="str">
        <f>+'Product 2026'!I8</f>
        <v>N/A</v>
      </c>
      <c r="J46" t="str">
        <f>+'Product 2026'!J8</f>
        <v>603.64.001</v>
      </c>
      <c r="K46" t="str">
        <f>+'Product 2026'!K8</f>
        <v>Servicios de Informatica</v>
      </c>
      <c r="L46" t="str">
        <f>+'Product 2026'!L8</f>
        <v>Servicios</v>
      </c>
      <c r="M46" t="str">
        <f>+'Product 2026'!M8</f>
        <v>USD</v>
      </c>
      <c r="N46">
        <f>+'Product 2026'!N8</f>
        <v>1326.82</v>
      </c>
      <c r="O46">
        <f>+'Product 2026'!O8</f>
        <v>1326.82</v>
      </c>
      <c r="P46">
        <f>+'Product 2026'!P8</f>
        <v>0</v>
      </c>
      <c r="Q46">
        <f>+'Product 2026'!Q8</f>
        <v>0</v>
      </c>
      <c r="R46">
        <f>+'Product 2026'!R8</f>
        <v>0</v>
      </c>
      <c r="S46">
        <f>+'Product 2026'!S8</f>
        <v>0</v>
      </c>
      <c r="T46">
        <f>+'Product 2026'!T8</f>
        <v>0</v>
      </c>
      <c r="U46">
        <f>+'Product 2026'!U8</f>
        <v>0</v>
      </c>
      <c r="V46">
        <f>+'Product 2026'!V8</f>
        <v>1326.82</v>
      </c>
      <c r="W46">
        <f>+'Product 2026'!W8</f>
        <v>0</v>
      </c>
      <c r="X46">
        <f>+'Product 2026'!X8</f>
        <v>0</v>
      </c>
      <c r="Y46">
        <f>+'Product 2026'!Y8</f>
        <v>0</v>
      </c>
      <c r="Z46">
        <f>+'Product 2026'!Z8</f>
        <v>0</v>
      </c>
      <c r="AA46">
        <f>+'Product 2026'!AA8</f>
        <v>0</v>
      </c>
      <c r="AB46">
        <f t="shared" si="25"/>
        <v>1</v>
      </c>
      <c r="AC46" s="34">
        <f t="shared" si="38"/>
        <v>1326.82</v>
      </c>
      <c r="AD46" s="34">
        <f t="shared" si="26"/>
        <v>0</v>
      </c>
      <c r="AE46" s="34">
        <f t="shared" si="27"/>
        <v>0</v>
      </c>
      <c r="AF46" s="34">
        <f t="shared" si="28"/>
        <v>0</v>
      </c>
      <c r="AG46" s="34">
        <f t="shared" si="29"/>
        <v>0</v>
      </c>
      <c r="AH46" s="34">
        <f t="shared" si="30"/>
        <v>0</v>
      </c>
      <c r="AI46" s="34">
        <f t="shared" si="31"/>
        <v>0</v>
      </c>
      <c r="AJ46" s="34">
        <f t="shared" si="32"/>
        <v>1326.82</v>
      </c>
      <c r="AK46" s="34">
        <f t="shared" si="33"/>
        <v>0</v>
      </c>
      <c r="AL46" s="34">
        <f t="shared" si="34"/>
        <v>0</v>
      </c>
      <c r="AM46" s="34">
        <f t="shared" si="35"/>
        <v>0</v>
      </c>
      <c r="AN46" s="34">
        <f t="shared" si="36"/>
        <v>0</v>
      </c>
      <c r="AO46" s="34">
        <f t="shared" si="37"/>
        <v>0</v>
      </c>
      <c r="AP46">
        <f t="shared" si="15"/>
        <v>1</v>
      </c>
      <c r="AQ46" s="652">
        <f t="shared" si="18"/>
        <v>1326.8200000000004</v>
      </c>
      <c r="AR46" s="652">
        <f t="shared" si="19"/>
        <v>110.56833333333333</v>
      </c>
      <c r="AS46" s="652">
        <f t="shared" si="24"/>
        <v>110.56833333333333</v>
      </c>
      <c r="AT46" s="652">
        <f t="shared" si="24"/>
        <v>110.56833333333333</v>
      </c>
      <c r="AU46" s="652">
        <f t="shared" si="24"/>
        <v>110.56833333333333</v>
      </c>
      <c r="AV46" s="652">
        <f t="shared" si="24"/>
        <v>110.56833333333333</v>
      </c>
      <c r="AW46" s="652">
        <f t="shared" si="24"/>
        <v>110.56833333333333</v>
      </c>
      <c r="AX46" s="652">
        <f t="shared" si="24"/>
        <v>110.56833333333333</v>
      </c>
      <c r="AY46" s="652">
        <f t="shared" si="24"/>
        <v>110.56833333333333</v>
      </c>
      <c r="AZ46" s="652">
        <f t="shared" si="24"/>
        <v>110.56833333333333</v>
      </c>
      <c r="BA46" s="652">
        <f t="shared" si="24"/>
        <v>110.56833333333333</v>
      </c>
      <c r="BB46" s="652">
        <f t="shared" si="24"/>
        <v>110.56833333333333</v>
      </c>
      <c r="BC46" s="652">
        <f t="shared" si="24"/>
        <v>110.56833333333333</v>
      </c>
    </row>
    <row r="47" spans="1:55">
      <c r="A47" t="str">
        <f>+'Product 2026'!A9</f>
        <v>INC</v>
      </c>
      <c r="B47" t="str">
        <f>+'Product 2026'!B9</f>
        <v>PRO</v>
      </c>
      <c r="C47" t="str">
        <f>+'Product 2026'!C9</f>
        <v>Mariana Kalifa</v>
      </c>
      <c r="D47" t="str">
        <f>+'Product 2026'!D9</f>
        <v>Reporting</v>
      </c>
      <c r="E47" t="str">
        <f>+'Product 2026'!E9</f>
        <v>Tableau (Salesforce)</v>
      </c>
      <c r="F47" t="str">
        <f>+'Product 2026'!F9</f>
        <v>Anual ($900dls)  - Febrero</v>
      </c>
      <c r="G47" t="str">
        <f>+'Product 2026'!G9</f>
        <v>Brex</v>
      </c>
      <c r="H47" t="str">
        <f>+'Product 2026'!H9</f>
        <v>BREX 5449 - Viviana Deschamps</v>
      </c>
      <c r="I47">
        <f>+'Product 2026'!I9</f>
        <v>0</v>
      </c>
      <c r="J47" t="str">
        <f>+'Product 2026'!J9</f>
        <v>603.64.001</v>
      </c>
      <c r="K47" t="str">
        <f>+'Product 2026'!K9</f>
        <v>Servicios de Informatica</v>
      </c>
      <c r="L47" t="str">
        <f>+'Product 2026'!L9</f>
        <v>Servicios</v>
      </c>
      <c r="M47" t="str">
        <f>+'Product 2026'!M9</f>
        <v>USD</v>
      </c>
      <c r="N47">
        <f>+'Product 2026'!N9</f>
        <v>900</v>
      </c>
      <c r="O47">
        <f>+'Product 2026'!O9</f>
        <v>900</v>
      </c>
      <c r="P47">
        <f>+'Product 2026'!P9</f>
        <v>0</v>
      </c>
      <c r="Q47">
        <f>+'Product 2026'!Q9</f>
        <v>900</v>
      </c>
      <c r="R47">
        <f>+'Product 2026'!R9</f>
        <v>0</v>
      </c>
      <c r="S47">
        <f>+'Product 2026'!S9</f>
        <v>0</v>
      </c>
      <c r="T47">
        <f>+'Product 2026'!T9</f>
        <v>0</v>
      </c>
      <c r="U47">
        <f>+'Product 2026'!U9</f>
        <v>0</v>
      </c>
      <c r="V47">
        <f>+'Product 2026'!V9</f>
        <v>0</v>
      </c>
      <c r="W47">
        <f>+'Product 2026'!W9</f>
        <v>0</v>
      </c>
      <c r="X47">
        <f>+'Product 2026'!X9</f>
        <v>0</v>
      </c>
      <c r="Y47">
        <f>+'Product 2026'!Y9</f>
        <v>0</v>
      </c>
      <c r="Z47">
        <f>+'Product 2026'!Z9</f>
        <v>0</v>
      </c>
      <c r="AA47">
        <f>+'Product 2026'!AA9</f>
        <v>0</v>
      </c>
      <c r="AB47">
        <f t="shared" si="25"/>
        <v>1</v>
      </c>
      <c r="AC47" s="34">
        <f t="shared" si="38"/>
        <v>900</v>
      </c>
      <c r="AD47" s="34">
        <f t="shared" si="26"/>
        <v>0</v>
      </c>
      <c r="AE47" s="34">
        <f t="shared" si="27"/>
        <v>900</v>
      </c>
      <c r="AF47" s="34">
        <f t="shared" si="28"/>
        <v>0</v>
      </c>
      <c r="AG47" s="34">
        <f t="shared" si="29"/>
        <v>0</v>
      </c>
      <c r="AH47" s="34">
        <f t="shared" si="30"/>
        <v>0</v>
      </c>
      <c r="AI47" s="34">
        <f t="shared" si="31"/>
        <v>0</v>
      </c>
      <c r="AJ47" s="34">
        <f t="shared" si="32"/>
        <v>0</v>
      </c>
      <c r="AK47" s="34">
        <f t="shared" si="33"/>
        <v>0</v>
      </c>
      <c r="AL47" s="34">
        <f t="shared" si="34"/>
        <v>0</v>
      </c>
      <c r="AM47" s="34">
        <f t="shared" si="35"/>
        <v>0</v>
      </c>
      <c r="AN47" s="34">
        <f t="shared" si="36"/>
        <v>0</v>
      </c>
      <c r="AO47" s="34">
        <f t="shared" si="37"/>
        <v>0</v>
      </c>
      <c r="AP47">
        <f t="shared" si="15"/>
        <v>1</v>
      </c>
      <c r="AQ47" s="652">
        <f t="shared" si="18"/>
        <v>900</v>
      </c>
      <c r="AR47" s="652">
        <f t="shared" si="19"/>
        <v>75</v>
      </c>
      <c r="AS47" s="652">
        <f t="shared" si="24"/>
        <v>75</v>
      </c>
      <c r="AT47" s="652">
        <f t="shared" si="24"/>
        <v>75</v>
      </c>
      <c r="AU47" s="652">
        <f t="shared" si="24"/>
        <v>75</v>
      </c>
      <c r="AV47" s="652">
        <f t="shared" si="24"/>
        <v>75</v>
      </c>
      <c r="AW47" s="652">
        <f t="shared" si="24"/>
        <v>75</v>
      </c>
      <c r="AX47" s="652">
        <f t="shared" si="24"/>
        <v>75</v>
      </c>
      <c r="AY47" s="652">
        <f t="shared" si="24"/>
        <v>75</v>
      </c>
      <c r="AZ47" s="652">
        <f t="shared" si="24"/>
        <v>75</v>
      </c>
      <c r="BA47" s="652">
        <f t="shared" si="24"/>
        <v>75</v>
      </c>
      <c r="BB47" s="652">
        <f t="shared" si="24"/>
        <v>75</v>
      </c>
      <c r="BC47" s="652">
        <f t="shared" si="24"/>
        <v>75</v>
      </c>
    </row>
    <row r="48" spans="1:55">
      <c r="A48" t="str">
        <f>+'Product 2026'!A10</f>
        <v>SAPI</v>
      </c>
      <c r="B48" t="str">
        <f>+'Product 2026'!B10</f>
        <v>PRO</v>
      </c>
      <c r="C48" t="str">
        <f>+'Product 2026'!C10</f>
        <v>Mariana Kalifa</v>
      </c>
      <c r="D48" t="str">
        <f>+'Product 2026'!D10</f>
        <v>Reporting</v>
      </c>
      <c r="E48" t="str">
        <f>+'Product 2026'!E10</f>
        <v xml:space="preserve">Mixpanel </v>
      </c>
      <c r="F48">
        <f>+'Product 2026'!F10</f>
        <v>0</v>
      </c>
      <c r="G48" t="str">
        <f>+'Product 2026'!G10</f>
        <v>Invoice</v>
      </c>
      <c r="H48" t="str">
        <f>+'Product 2026'!H10</f>
        <v>Invoice</v>
      </c>
      <c r="I48" t="str">
        <f>+'Product 2026'!I10</f>
        <v>Invoice</v>
      </c>
      <c r="J48" t="str">
        <f>+'Product 2026'!J10</f>
        <v>603.64.001</v>
      </c>
      <c r="K48" t="str">
        <f>+'Product 2026'!K10</f>
        <v>Servicios de Informatica</v>
      </c>
      <c r="L48" t="str">
        <f>+'Product 2026'!L10</f>
        <v>Servicios</v>
      </c>
      <c r="M48" t="str">
        <f>+'Product 2026'!M10</f>
        <v>USD</v>
      </c>
      <c r="N48">
        <f>+'Product 2026'!N10</f>
        <v>29000</v>
      </c>
      <c r="O48">
        <f>+'Product 2026'!O10</f>
        <v>29000</v>
      </c>
      <c r="P48">
        <f>+'Product 2026'!P10</f>
        <v>0</v>
      </c>
      <c r="Q48">
        <f>+'Product 2026'!Q10</f>
        <v>29000</v>
      </c>
      <c r="R48">
        <f>+'Product 2026'!R10</f>
        <v>0</v>
      </c>
      <c r="S48">
        <f>+'Product 2026'!S10</f>
        <v>0</v>
      </c>
      <c r="T48">
        <f>+'Product 2026'!T10</f>
        <v>0</v>
      </c>
      <c r="U48">
        <f>+'Product 2026'!U10</f>
        <v>0</v>
      </c>
      <c r="V48">
        <f>+'Product 2026'!V10</f>
        <v>0</v>
      </c>
      <c r="W48">
        <f>+'Product 2026'!W10</f>
        <v>0</v>
      </c>
      <c r="X48">
        <f>+'Product 2026'!X10</f>
        <v>0</v>
      </c>
      <c r="Y48">
        <f>+'Product 2026'!Y10</f>
        <v>0</v>
      </c>
      <c r="Z48">
        <f>+'Product 2026'!Z10</f>
        <v>0</v>
      </c>
      <c r="AA48">
        <f>+'Product 2026'!AA10</f>
        <v>0</v>
      </c>
      <c r="AB48">
        <f t="shared" si="25"/>
        <v>1</v>
      </c>
      <c r="AC48" s="34">
        <f t="shared" si="38"/>
        <v>29000</v>
      </c>
      <c r="AD48" s="34">
        <f t="shared" si="26"/>
        <v>0</v>
      </c>
      <c r="AE48" s="34">
        <f t="shared" si="27"/>
        <v>29000</v>
      </c>
      <c r="AF48" s="34">
        <f t="shared" si="28"/>
        <v>0</v>
      </c>
      <c r="AG48" s="34">
        <f t="shared" si="29"/>
        <v>0</v>
      </c>
      <c r="AH48" s="34">
        <f t="shared" si="30"/>
        <v>0</v>
      </c>
      <c r="AI48" s="34">
        <f t="shared" si="31"/>
        <v>0</v>
      </c>
      <c r="AJ48" s="34">
        <f t="shared" si="32"/>
        <v>0</v>
      </c>
      <c r="AK48" s="34">
        <f t="shared" si="33"/>
        <v>0</v>
      </c>
      <c r="AL48" s="34">
        <f t="shared" si="34"/>
        <v>0</v>
      </c>
      <c r="AM48" s="34">
        <f t="shared" si="35"/>
        <v>0</v>
      </c>
      <c r="AN48" s="34">
        <f t="shared" si="36"/>
        <v>0</v>
      </c>
      <c r="AO48" s="34">
        <f t="shared" si="37"/>
        <v>0</v>
      </c>
      <c r="AP48">
        <f t="shared" si="15"/>
        <v>1</v>
      </c>
      <c r="AQ48" s="652">
        <f t="shared" si="18"/>
        <v>29000.000000000004</v>
      </c>
      <c r="AR48" s="652">
        <f t="shared" si="19"/>
        <v>2416.6666666666665</v>
      </c>
      <c r="AS48" s="652">
        <f t="shared" si="24"/>
        <v>2416.6666666666665</v>
      </c>
      <c r="AT48" s="652">
        <f t="shared" si="24"/>
        <v>2416.6666666666665</v>
      </c>
      <c r="AU48" s="652">
        <f t="shared" si="24"/>
        <v>2416.6666666666665</v>
      </c>
      <c r="AV48" s="652">
        <f t="shared" si="24"/>
        <v>2416.6666666666665</v>
      </c>
      <c r="AW48" s="652">
        <f t="shared" si="24"/>
        <v>2416.6666666666665</v>
      </c>
      <c r="AX48" s="652">
        <f t="shared" si="24"/>
        <v>2416.6666666666665</v>
      </c>
      <c r="AY48" s="652">
        <f t="shared" si="24"/>
        <v>2416.6666666666665</v>
      </c>
      <c r="AZ48" s="652">
        <f t="shared" si="24"/>
        <v>2416.6666666666665</v>
      </c>
      <c r="BA48" s="652">
        <f t="shared" si="24"/>
        <v>2416.6666666666665</v>
      </c>
      <c r="BB48" s="652">
        <f t="shared" si="24"/>
        <v>2416.6666666666665</v>
      </c>
      <c r="BC48" s="652">
        <f t="shared" si="24"/>
        <v>2416.6666666666665</v>
      </c>
    </row>
    <row r="49" spans="1:55">
      <c r="A49" t="str">
        <f>+'Product 2026'!A13</f>
        <v>INC</v>
      </c>
      <c r="B49" t="str">
        <f>+'Product 2026'!B13</f>
        <v>PRO</v>
      </c>
      <c r="C49" t="str">
        <f>+'Product 2026'!C13</f>
        <v>Mariana Kalifa</v>
      </c>
      <c r="D49" t="str">
        <f>+'Product 2026'!D13</f>
        <v>Payroll</v>
      </c>
      <c r="E49" t="str">
        <f>+'Product 2026'!E13</f>
        <v>Mariana Kalifa</v>
      </c>
      <c r="F49" t="str">
        <f>+'Product 2026'!F13</f>
        <v>Director of Product and Engineering</v>
      </c>
      <c r="G49" t="str">
        <f>+'Product 2026'!G13</f>
        <v>Gusto</v>
      </c>
      <c r="H49">
        <f>+'Product 2026'!H13</f>
        <v>0</v>
      </c>
      <c r="I49">
        <f>+'Product 2026'!I13</f>
        <v>0</v>
      </c>
      <c r="J49" t="str">
        <f>+'Product 2026'!J13</f>
        <v>603.01.001</v>
      </c>
      <c r="K49" t="str">
        <f>+'Product 2026'!K13</f>
        <v>Sueldos y salarios</v>
      </c>
      <c r="L49" t="str">
        <f>+'Product 2026'!L13</f>
        <v>Sueldos y Salarios</v>
      </c>
      <c r="M49" t="str">
        <f>+'Product 2026'!M13</f>
        <v>MXN</v>
      </c>
      <c r="N49">
        <f>+'Product 2026'!N13</f>
        <v>58736.432432432433</v>
      </c>
      <c r="O49">
        <f>+'Product 2026'!O13</f>
        <v>1086624</v>
      </c>
      <c r="P49">
        <f>+'Product 2026'!P13</f>
        <v>90552</v>
      </c>
      <c r="Q49">
        <f>+'Product 2026'!Q13</f>
        <v>90552</v>
      </c>
      <c r="R49">
        <f>+'Product 2026'!R13</f>
        <v>90552</v>
      </c>
      <c r="S49">
        <f>+'Product 2026'!S13</f>
        <v>90552</v>
      </c>
      <c r="T49">
        <f>+'Product 2026'!T13</f>
        <v>90552</v>
      </c>
      <c r="U49">
        <f>+'Product 2026'!U13</f>
        <v>90552</v>
      </c>
      <c r="V49">
        <f>+'Product 2026'!V13</f>
        <v>90552</v>
      </c>
      <c r="W49">
        <f>+'Product 2026'!W13</f>
        <v>90552</v>
      </c>
      <c r="X49">
        <f>+'Product 2026'!X13</f>
        <v>90552</v>
      </c>
      <c r="Y49">
        <f>+'Product 2026'!Y13</f>
        <v>90552</v>
      </c>
      <c r="Z49">
        <f>+'Product 2026'!Z13</f>
        <v>90552</v>
      </c>
      <c r="AA49">
        <f>+'Product 2026'!AA13</f>
        <v>90552</v>
      </c>
      <c r="AB49">
        <f t="shared" si="25"/>
        <v>1</v>
      </c>
      <c r="AC49" s="34">
        <f t="shared" si="38"/>
        <v>58736.432432432419</v>
      </c>
      <c r="AD49" s="34">
        <f t="shared" si="26"/>
        <v>4894.7027027027025</v>
      </c>
      <c r="AE49" s="34">
        <f t="shared" si="27"/>
        <v>4894.7027027027025</v>
      </c>
      <c r="AF49" s="34">
        <f t="shared" si="28"/>
        <v>4894.7027027027025</v>
      </c>
      <c r="AG49" s="34">
        <f t="shared" si="29"/>
        <v>4894.7027027027025</v>
      </c>
      <c r="AH49" s="34">
        <f t="shared" si="30"/>
        <v>4894.7027027027025</v>
      </c>
      <c r="AI49" s="34">
        <f t="shared" si="31"/>
        <v>4894.7027027027025</v>
      </c>
      <c r="AJ49" s="34">
        <f t="shared" si="32"/>
        <v>4894.7027027027025</v>
      </c>
      <c r="AK49" s="34">
        <f t="shared" si="33"/>
        <v>4894.7027027027025</v>
      </c>
      <c r="AL49" s="34">
        <f t="shared" si="34"/>
        <v>4894.7027027027025</v>
      </c>
      <c r="AM49" s="34">
        <f t="shared" si="35"/>
        <v>4894.7027027027025</v>
      </c>
      <c r="AN49" s="34">
        <f t="shared" si="36"/>
        <v>4894.7027027027025</v>
      </c>
      <c r="AO49" s="34">
        <f t="shared" si="37"/>
        <v>4894.7027027027025</v>
      </c>
      <c r="AP49">
        <f t="shared" si="15"/>
        <v>1</v>
      </c>
      <c r="AQ49" s="652">
        <f t="shared" si="18"/>
        <v>58736.432432432419</v>
      </c>
      <c r="AR49" s="652">
        <f t="shared" si="19"/>
        <v>4894.7027027027025</v>
      </c>
      <c r="AS49" s="652">
        <f t="shared" si="24"/>
        <v>4894.7027027027025</v>
      </c>
      <c r="AT49" s="652">
        <f t="shared" si="24"/>
        <v>4894.7027027027025</v>
      </c>
      <c r="AU49" s="652">
        <f t="shared" si="24"/>
        <v>4894.7027027027025</v>
      </c>
      <c r="AV49" s="652">
        <f t="shared" si="24"/>
        <v>4894.7027027027025</v>
      </c>
      <c r="AW49" s="652">
        <f t="shared" si="24"/>
        <v>4894.7027027027025</v>
      </c>
      <c r="AX49" s="652">
        <f t="shared" si="24"/>
        <v>4894.7027027027025</v>
      </c>
      <c r="AY49" s="652">
        <f t="shared" si="24"/>
        <v>4894.7027027027025</v>
      </c>
      <c r="AZ49" s="652">
        <f t="shared" si="24"/>
        <v>4894.7027027027025</v>
      </c>
      <c r="BA49" s="652">
        <f t="shared" si="24"/>
        <v>4894.7027027027025</v>
      </c>
      <c r="BB49" s="652">
        <f t="shared" si="24"/>
        <v>4894.7027027027025</v>
      </c>
      <c r="BC49" s="652">
        <f t="shared" si="24"/>
        <v>4894.7027027027025</v>
      </c>
    </row>
    <row r="50" spans="1:55">
      <c r="A50" t="str">
        <f>+'Product 2026'!A14</f>
        <v>INC</v>
      </c>
      <c r="B50" t="str">
        <f>+'Product 2026'!B14</f>
        <v>PRO</v>
      </c>
      <c r="C50" t="str">
        <f>+'Product 2026'!C14</f>
        <v>Mariana Kalifa</v>
      </c>
      <c r="D50" t="str">
        <f>+'Product 2026'!D14</f>
        <v>Payroll</v>
      </c>
      <c r="E50" t="str">
        <f>+'Product 2026'!E14</f>
        <v>Maria Jose Reyes</v>
      </c>
      <c r="F50" t="str">
        <f>+'Product 2026'!F14</f>
        <v>Mid Product Manager</v>
      </c>
      <c r="G50" t="str">
        <f>+'Product 2026'!G14</f>
        <v>Gusto</v>
      </c>
      <c r="H50">
        <f>+'Product 2026'!H14</f>
        <v>0</v>
      </c>
      <c r="I50">
        <f>+'Product 2026'!I14</f>
        <v>0</v>
      </c>
      <c r="J50" t="str">
        <f>+'Product 2026'!J14</f>
        <v>603.01.001</v>
      </c>
      <c r="K50" t="str">
        <f>+'Product 2026'!K14</f>
        <v>Sueldos y salarios</v>
      </c>
      <c r="L50" t="str">
        <f>+'Product 2026'!L14</f>
        <v>Sueldos y Salarios</v>
      </c>
      <c r="M50" t="str">
        <f>+'Product 2026'!M14</f>
        <v>MXN</v>
      </c>
      <c r="N50">
        <f>+'Product 2026'!N14</f>
        <v>39366.486486486487</v>
      </c>
      <c r="O50">
        <f>+'Product 2026'!O14</f>
        <v>728280</v>
      </c>
      <c r="P50">
        <f>+'Product 2026'!P14</f>
        <v>60690</v>
      </c>
      <c r="Q50">
        <f>+'Product 2026'!Q14</f>
        <v>60690</v>
      </c>
      <c r="R50">
        <f>+'Product 2026'!R14</f>
        <v>60690</v>
      </c>
      <c r="S50">
        <f>+'Product 2026'!S14</f>
        <v>60690</v>
      </c>
      <c r="T50">
        <f>+'Product 2026'!T14</f>
        <v>60690</v>
      </c>
      <c r="U50">
        <f>+'Product 2026'!U14</f>
        <v>60690</v>
      </c>
      <c r="V50">
        <f>+'Product 2026'!V14</f>
        <v>60690</v>
      </c>
      <c r="W50">
        <f>+'Product 2026'!W14</f>
        <v>60690</v>
      </c>
      <c r="X50">
        <f>+'Product 2026'!X14</f>
        <v>60690</v>
      </c>
      <c r="Y50">
        <f>+'Product 2026'!Y14</f>
        <v>60690</v>
      </c>
      <c r="Z50">
        <f>+'Product 2026'!Z14</f>
        <v>60690</v>
      </c>
      <c r="AA50">
        <f>+'Product 2026'!AA14</f>
        <v>60690</v>
      </c>
      <c r="AB50">
        <f t="shared" si="25"/>
        <v>1</v>
      </c>
      <c r="AC50" s="34">
        <f t="shared" si="38"/>
        <v>39366.486486486487</v>
      </c>
      <c r="AD50" s="34">
        <f t="shared" si="26"/>
        <v>3280.5405405405404</v>
      </c>
      <c r="AE50" s="34">
        <f t="shared" si="27"/>
        <v>3280.5405405405404</v>
      </c>
      <c r="AF50" s="34">
        <f t="shared" si="28"/>
        <v>3280.5405405405404</v>
      </c>
      <c r="AG50" s="34">
        <f t="shared" si="29"/>
        <v>3280.5405405405404</v>
      </c>
      <c r="AH50" s="34">
        <f t="shared" si="30"/>
        <v>3280.5405405405404</v>
      </c>
      <c r="AI50" s="34">
        <f t="shared" si="31"/>
        <v>3280.5405405405404</v>
      </c>
      <c r="AJ50" s="34">
        <f t="shared" si="32"/>
        <v>3280.5405405405404</v>
      </c>
      <c r="AK50" s="34">
        <f t="shared" si="33"/>
        <v>3280.5405405405404</v>
      </c>
      <c r="AL50" s="34">
        <f t="shared" si="34"/>
        <v>3280.5405405405404</v>
      </c>
      <c r="AM50" s="34">
        <f t="shared" si="35"/>
        <v>3280.5405405405404</v>
      </c>
      <c r="AN50" s="34">
        <f t="shared" si="36"/>
        <v>3280.5405405405404</v>
      </c>
      <c r="AO50" s="34">
        <f t="shared" si="37"/>
        <v>3280.5405405405404</v>
      </c>
      <c r="AP50">
        <f t="shared" si="15"/>
        <v>1</v>
      </c>
      <c r="AQ50" s="652">
        <f t="shared" si="18"/>
        <v>39366.486486486487</v>
      </c>
      <c r="AR50" s="652">
        <f t="shared" si="19"/>
        <v>3280.5405405405404</v>
      </c>
      <c r="AS50" s="652">
        <f t="shared" si="24"/>
        <v>3280.5405405405404</v>
      </c>
      <c r="AT50" s="652">
        <f t="shared" si="24"/>
        <v>3280.5405405405404</v>
      </c>
      <c r="AU50" s="652">
        <f t="shared" si="24"/>
        <v>3280.5405405405404</v>
      </c>
      <c r="AV50" s="652">
        <f t="shared" si="24"/>
        <v>3280.5405405405404</v>
      </c>
      <c r="AW50" s="652">
        <f t="shared" si="24"/>
        <v>3280.5405405405404</v>
      </c>
      <c r="AX50" s="652">
        <f t="shared" si="24"/>
        <v>3280.5405405405404</v>
      </c>
      <c r="AY50" s="652">
        <f t="shared" si="24"/>
        <v>3280.5405405405404</v>
      </c>
      <c r="AZ50" s="652">
        <f t="shared" si="24"/>
        <v>3280.5405405405404</v>
      </c>
      <c r="BA50" s="652">
        <f t="shared" si="24"/>
        <v>3280.5405405405404</v>
      </c>
      <c r="BB50" s="652">
        <f t="shared" si="24"/>
        <v>3280.5405405405404</v>
      </c>
      <c r="BC50" s="652">
        <f t="shared" si="24"/>
        <v>3280.5405405405404</v>
      </c>
    </row>
    <row r="51" spans="1:55">
      <c r="A51" t="str">
        <f>+'Product 2026'!A15</f>
        <v>INC</v>
      </c>
      <c r="B51" t="str">
        <f>+'Product 2026'!B15</f>
        <v>PRO</v>
      </c>
      <c r="C51" t="str">
        <f>+'Product 2026'!C15</f>
        <v>Mariana Kalifa</v>
      </c>
      <c r="D51" t="str">
        <f>+'Product 2026'!D15</f>
        <v>Payroll</v>
      </c>
      <c r="E51" t="str">
        <f>+'Product 2026'!E15</f>
        <v>Paola Villarreal</v>
      </c>
      <c r="F51" t="str">
        <f>+'Product 2026'!F15</f>
        <v>Junior Product Owner</v>
      </c>
      <c r="G51" t="str">
        <f>+'Product 2026'!G15</f>
        <v>Gusto</v>
      </c>
      <c r="H51">
        <f>+'Product 2026'!H15</f>
        <v>0</v>
      </c>
      <c r="I51">
        <f>+'Product 2026'!I15</f>
        <v>0</v>
      </c>
      <c r="J51" t="str">
        <f>+'Product 2026'!J15</f>
        <v>603.01.001</v>
      </c>
      <c r="K51" t="str">
        <f>+'Product 2026'!K15</f>
        <v>Sueldos y salarios</v>
      </c>
      <c r="L51" t="str">
        <f>+'Product 2026'!L15</f>
        <v>Sueldos y Salarios</v>
      </c>
      <c r="M51" t="str">
        <f>+'Product 2026'!M15</f>
        <v>MXN</v>
      </c>
      <c r="N51">
        <f>+'Product 2026'!N15</f>
        <v>22268.54054054054</v>
      </c>
      <c r="O51">
        <f>+'Product 2026'!O15</f>
        <v>411968</v>
      </c>
      <c r="P51">
        <f>+'Product 2026'!P15</f>
        <v>32800</v>
      </c>
      <c r="Q51">
        <f>+'Product 2026'!Q15</f>
        <v>32800</v>
      </c>
      <c r="R51">
        <f>+'Product 2026'!R15</f>
        <v>32800</v>
      </c>
      <c r="S51">
        <f>+'Product 2026'!S15</f>
        <v>32800</v>
      </c>
      <c r="T51">
        <f>+'Product 2026'!T15</f>
        <v>32800</v>
      </c>
      <c r="U51">
        <f>+'Product 2026'!U15</f>
        <v>35424</v>
      </c>
      <c r="V51">
        <f>+'Product 2026'!V15</f>
        <v>35424</v>
      </c>
      <c r="W51">
        <f>+'Product 2026'!W15</f>
        <v>35424</v>
      </c>
      <c r="X51">
        <f>+'Product 2026'!X15</f>
        <v>35424</v>
      </c>
      <c r="Y51">
        <f>+'Product 2026'!Y15</f>
        <v>35424</v>
      </c>
      <c r="Z51">
        <f>+'Product 2026'!Z15</f>
        <v>35424</v>
      </c>
      <c r="AA51">
        <f>+'Product 2026'!AA15</f>
        <v>35424</v>
      </c>
      <c r="AB51">
        <f t="shared" si="25"/>
        <v>1</v>
      </c>
      <c r="AC51" s="34">
        <f t="shared" si="38"/>
        <v>22268.540540540536</v>
      </c>
      <c r="AD51" s="34">
        <f t="shared" si="26"/>
        <v>1772.9729729729729</v>
      </c>
      <c r="AE51" s="34">
        <f t="shared" si="27"/>
        <v>1772.9729729729729</v>
      </c>
      <c r="AF51" s="34">
        <f t="shared" si="28"/>
        <v>1772.9729729729729</v>
      </c>
      <c r="AG51" s="34">
        <f t="shared" si="29"/>
        <v>1772.9729729729729</v>
      </c>
      <c r="AH51" s="34">
        <f t="shared" si="30"/>
        <v>1772.9729729729729</v>
      </c>
      <c r="AI51" s="34">
        <f t="shared" si="31"/>
        <v>1914.8108108108108</v>
      </c>
      <c r="AJ51" s="34">
        <f t="shared" si="32"/>
        <v>1914.8108108108108</v>
      </c>
      <c r="AK51" s="34">
        <f t="shared" si="33"/>
        <v>1914.8108108108108</v>
      </c>
      <c r="AL51" s="34">
        <f t="shared" si="34"/>
        <v>1914.8108108108108</v>
      </c>
      <c r="AM51" s="34">
        <f t="shared" si="35"/>
        <v>1914.8108108108108</v>
      </c>
      <c r="AN51" s="34">
        <f t="shared" si="36"/>
        <v>1914.8108108108108</v>
      </c>
      <c r="AO51" s="34">
        <f t="shared" si="37"/>
        <v>1914.8108108108108</v>
      </c>
      <c r="AP51">
        <f t="shared" si="15"/>
        <v>1</v>
      </c>
      <c r="AQ51" s="652">
        <f t="shared" si="18"/>
        <v>22268.540540540544</v>
      </c>
      <c r="AR51" s="652">
        <f t="shared" si="19"/>
        <v>1855.7117117117116</v>
      </c>
      <c r="AS51" s="652">
        <f t="shared" si="24"/>
        <v>1855.7117117117116</v>
      </c>
      <c r="AT51" s="652">
        <f t="shared" si="24"/>
        <v>1855.7117117117116</v>
      </c>
      <c r="AU51" s="652">
        <f t="shared" si="24"/>
        <v>1855.7117117117116</v>
      </c>
      <c r="AV51" s="652">
        <f t="shared" si="24"/>
        <v>1855.7117117117116</v>
      </c>
      <c r="AW51" s="652">
        <f t="shared" si="24"/>
        <v>1855.7117117117116</v>
      </c>
      <c r="AX51" s="652">
        <f t="shared" si="24"/>
        <v>1855.7117117117116</v>
      </c>
      <c r="AY51" s="652">
        <f t="shared" si="24"/>
        <v>1855.7117117117116</v>
      </c>
      <c r="AZ51" s="652">
        <f t="shared" si="24"/>
        <v>1855.7117117117116</v>
      </c>
      <c r="BA51" s="652">
        <f t="shared" si="24"/>
        <v>1855.7117117117116</v>
      </c>
      <c r="BB51" s="652">
        <f t="shared" si="24"/>
        <v>1855.7117117117116</v>
      </c>
      <c r="BC51" s="652">
        <f t="shared" si="24"/>
        <v>1855.7117117117116</v>
      </c>
    </row>
    <row r="52" spans="1:55">
      <c r="A52" t="str">
        <f>+'Product 2026'!A17</f>
        <v>SAPI</v>
      </c>
      <c r="B52" t="str">
        <f>+'Product 2026'!B17</f>
        <v>PRO</v>
      </c>
      <c r="C52" t="str">
        <f>+'Product 2026'!C17</f>
        <v>Mariana Kalifa</v>
      </c>
      <c r="D52" t="str">
        <f>+'Product 2026'!D17</f>
        <v>Payroll</v>
      </c>
      <c r="E52" t="str">
        <f>+'Product 2026'!E17</f>
        <v>Maria Fernanda Alvarez</v>
      </c>
      <c r="F52" t="str">
        <f>+'Product 2026'!F17</f>
        <v>Mid UX/UI Designer</v>
      </c>
      <c r="G52" t="str">
        <f>+'Product 2026'!G17</f>
        <v>QSPayroll</v>
      </c>
      <c r="H52">
        <f>+'Product 2026'!H17</f>
        <v>0</v>
      </c>
      <c r="I52">
        <f>+'Product 2026'!I17</f>
        <v>0</v>
      </c>
      <c r="J52" t="str">
        <f>+'Product 2026'!J17</f>
        <v>603.01.001</v>
      </c>
      <c r="K52" t="str">
        <f>+'Product 2026'!K17</f>
        <v>Sueldos y salarios</v>
      </c>
      <c r="L52" t="str">
        <f>+'Product 2026'!L17</f>
        <v>Sueldos y Salarios</v>
      </c>
      <c r="M52" t="str">
        <f>+'Product 2026'!M17</f>
        <v>MXN</v>
      </c>
      <c r="N52">
        <f>+'Product 2026'!N17</f>
        <v>21016.21621621622</v>
      </c>
      <c r="O52">
        <f>+'Product 2026'!O17</f>
        <v>388800.00000000006</v>
      </c>
      <c r="P52">
        <f>+'Product 2026'!P17</f>
        <v>32400.000000000004</v>
      </c>
      <c r="Q52">
        <f>+'Product 2026'!Q17</f>
        <v>32400.000000000004</v>
      </c>
      <c r="R52">
        <f>+'Product 2026'!R17</f>
        <v>32400.000000000004</v>
      </c>
      <c r="S52">
        <f>+'Product 2026'!S17</f>
        <v>32400.000000000004</v>
      </c>
      <c r="T52">
        <f>+'Product 2026'!T17</f>
        <v>32400.000000000004</v>
      </c>
      <c r="U52">
        <f>+'Product 2026'!U17</f>
        <v>32400.000000000004</v>
      </c>
      <c r="V52">
        <f>+'Product 2026'!V17</f>
        <v>32400.000000000004</v>
      </c>
      <c r="W52">
        <f>+'Product 2026'!W17</f>
        <v>32400.000000000004</v>
      </c>
      <c r="X52">
        <f>+'Product 2026'!X17</f>
        <v>32400.000000000004</v>
      </c>
      <c r="Y52">
        <f>+'Product 2026'!Y17</f>
        <v>32400.000000000004</v>
      </c>
      <c r="Z52">
        <f>+'Product 2026'!Z17</f>
        <v>32400.000000000004</v>
      </c>
      <c r="AA52">
        <f>+'Product 2026'!AA17</f>
        <v>32400.000000000004</v>
      </c>
      <c r="AB52">
        <f t="shared" si="25"/>
        <v>1</v>
      </c>
      <c r="AC52" s="34">
        <f t="shared" si="38"/>
        <v>21016.216216216213</v>
      </c>
      <c r="AD52" s="34">
        <f t="shared" si="26"/>
        <v>1751.3513513513515</v>
      </c>
      <c r="AE52" s="34">
        <f t="shared" si="27"/>
        <v>1751.3513513513515</v>
      </c>
      <c r="AF52" s="34">
        <f t="shared" si="28"/>
        <v>1751.3513513513515</v>
      </c>
      <c r="AG52" s="34">
        <f t="shared" si="29"/>
        <v>1751.3513513513515</v>
      </c>
      <c r="AH52" s="34">
        <f t="shared" si="30"/>
        <v>1751.3513513513515</v>
      </c>
      <c r="AI52" s="34">
        <f t="shared" si="31"/>
        <v>1751.3513513513515</v>
      </c>
      <c r="AJ52" s="34">
        <f t="shared" si="32"/>
        <v>1751.3513513513515</v>
      </c>
      <c r="AK52" s="34">
        <f t="shared" si="33"/>
        <v>1751.3513513513515</v>
      </c>
      <c r="AL52" s="34">
        <f t="shared" si="34"/>
        <v>1751.3513513513515</v>
      </c>
      <c r="AM52" s="34">
        <f t="shared" si="35"/>
        <v>1751.3513513513515</v>
      </c>
      <c r="AN52" s="34">
        <f t="shared" si="36"/>
        <v>1751.3513513513515</v>
      </c>
      <c r="AO52" s="34">
        <f t="shared" si="37"/>
        <v>1751.3513513513515</v>
      </c>
      <c r="AP52">
        <f t="shared" si="15"/>
        <v>1</v>
      </c>
      <c r="AQ52" s="652">
        <f t="shared" si="18"/>
        <v>21016.21621621622</v>
      </c>
      <c r="AR52" s="652">
        <f t="shared" si="19"/>
        <v>1751.3513513513517</v>
      </c>
      <c r="AS52" s="652">
        <f t="shared" si="24"/>
        <v>1751.3513513513517</v>
      </c>
      <c r="AT52" s="652">
        <f t="shared" si="24"/>
        <v>1751.3513513513517</v>
      </c>
      <c r="AU52" s="652">
        <f t="shared" si="24"/>
        <v>1751.3513513513517</v>
      </c>
      <c r="AV52" s="652">
        <f t="shared" si="24"/>
        <v>1751.3513513513517</v>
      </c>
      <c r="AW52" s="652">
        <f t="shared" si="24"/>
        <v>1751.3513513513517</v>
      </c>
      <c r="AX52" s="652">
        <f t="shared" si="24"/>
        <v>1751.3513513513517</v>
      </c>
      <c r="AY52" s="652">
        <f t="shared" si="24"/>
        <v>1751.3513513513517</v>
      </c>
      <c r="AZ52" s="652">
        <f t="shared" si="24"/>
        <v>1751.3513513513517</v>
      </c>
      <c r="BA52" s="652">
        <f t="shared" si="24"/>
        <v>1751.3513513513517</v>
      </c>
      <c r="BB52" s="652">
        <f t="shared" si="24"/>
        <v>1751.3513513513517</v>
      </c>
      <c r="BC52" s="652">
        <f t="shared" si="24"/>
        <v>1751.3513513513517</v>
      </c>
    </row>
    <row r="53" spans="1:55">
      <c r="A53" t="str">
        <f>+'Product 2026'!A20</f>
        <v>SAPI</v>
      </c>
      <c r="B53" t="str">
        <f>+'Product 2026'!B20</f>
        <v>PRO</v>
      </c>
      <c r="C53" t="str">
        <f>+'Product 2026'!C20</f>
        <v>Mariana Kalifa</v>
      </c>
      <c r="D53" t="str">
        <f>+'Product 2026'!D20</f>
        <v>Benefits</v>
      </c>
      <c r="E53" t="str">
        <f>+'Product 2026'!E20</f>
        <v>SiVale</v>
      </c>
      <c r="F53" t="str">
        <f>+'Product 2026'!F20</f>
        <v>1 empleado</v>
      </c>
      <c r="G53" t="str">
        <f>+'Product 2026'!G20</f>
        <v>Invoice</v>
      </c>
      <c r="H53">
        <f>+'Product 2026'!H20</f>
        <v>0</v>
      </c>
      <c r="I53">
        <f>+'Product 2026'!I20</f>
        <v>0</v>
      </c>
      <c r="J53" t="str">
        <f>+'Product 2026'!J20</f>
        <v>603.15.001</v>
      </c>
      <c r="K53" t="str">
        <f>+'Product 2026'!K20</f>
        <v>Despensa</v>
      </c>
      <c r="L53" t="str">
        <f>+'Product 2026'!L20</f>
        <v>Sueldos y Salarios</v>
      </c>
      <c r="M53" t="str">
        <f>+'Product 2026'!M20</f>
        <v>MXN</v>
      </c>
      <c r="N53">
        <f>+'Product 2026'!N20</f>
        <v>518.91891891891896</v>
      </c>
      <c r="O53">
        <f>+'Product 2026'!O20</f>
        <v>9600</v>
      </c>
      <c r="P53">
        <f>+'Product 2026'!P20</f>
        <v>800</v>
      </c>
      <c r="Q53">
        <f>+'Product 2026'!Q20</f>
        <v>800</v>
      </c>
      <c r="R53">
        <f>+'Product 2026'!R20</f>
        <v>800</v>
      </c>
      <c r="S53">
        <f>+'Product 2026'!S20</f>
        <v>800</v>
      </c>
      <c r="T53">
        <f>+'Product 2026'!T20</f>
        <v>800</v>
      </c>
      <c r="U53">
        <f>+'Product 2026'!U20</f>
        <v>800</v>
      </c>
      <c r="V53">
        <f>+'Product 2026'!V20</f>
        <v>800</v>
      </c>
      <c r="W53">
        <f>+'Product 2026'!W20</f>
        <v>800</v>
      </c>
      <c r="X53">
        <f>+'Product 2026'!X20</f>
        <v>800</v>
      </c>
      <c r="Y53">
        <f>+'Product 2026'!Y20</f>
        <v>800</v>
      </c>
      <c r="Z53">
        <f>+'Product 2026'!Z20</f>
        <v>800</v>
      </c>
      <c r="AA53">
        <f>+'Product 2026'!AA20</f>
        <v>800</v>
      </c>
      <c r="AB53">
        <f t="shared" si="25"/>
        <v>1</v>
      </c>
      <c r="AC53" s="34">
        <f t="shared" si="38"/>
        <v>518.91891891891885</v>
      </c>
      <c r="AD53" s="34">
        <f t="shared" si="26"/>
        <v>43.243243243243242</v>
      </c>
      <c r="AE53" s="34">
        <f t="shared" si="27"/>
        <v>43.243243243243242</v>
      </c>
      <c r="AF53" s="34">
        <f t="shared" si="28"/>
        <v>43.243243243243242</v>
      </c>
      <c r="AG53" s="34">
        <f t="shared" si="29"/>
        <v>43.243243243243242</v>
      </c>
      <c r="AH53" s="34">
        <f t="shared" si="30"/>
        <v>43.243243243243242</v>
      </c>
      <c r="AI53" s="34">
        <f t="shared" si="31"/>
        <v>43.243243243243242</v>
      </c>
      <c r="AJ53" s="34">
        <f t="shared" si="32"/>
        <v>43.243243243243242</v>
      </c>
      <c r="AK53" s="34">
        <f t="shared" si="33"/>
        <v>43.243243243243242</v>
      </c>
      <c r="AL53" s="34">
        <f t="shared" si="34"/>
        <v>43.243243243243242</v>
      </c>
      <c r="AM53" s="34">
        <f t="shared" si="35"/>
        <v>43.243243243243242</v>
      </c>
      <c r="AN53" s="34">
        <f t="shared" si="36"/>
        <v>43.243243243243242</v>
      </c>
      <c r="AO53" s="34">
        <f t="shared" si="37"/>
        <v>43.243243243243242</v>
      </c>
      <c r="AP53">
        <f t="shared" si="15"/>
        <v>1</v>
      </c>
      <c r="AQ53" s="652">
        <f t="shared" si="18"/>
        <v>518.91891891891885</v>
      </c>
      <c r="AR53" s="652">
        <f t="shared" si="19"/>
        <v>43.243243243243249</v>
      </c>
      <c r="AS53" s="652">
        <f t="shared" si="24"/>
        <v>43.243243243243249</v>
      </c>
      <c r="AT53" s="652">
        <f t="shared" si="24"/>
        <v>43.243243243243249</v>
      </c>
      <c r="AU53" s="652">
        <f t="shared" si="24"/>
        <v>43.243243243243249</v>
      </c>
      <c r="AV53" s="652">
        <f t="shared" si="24"/>
        <v>43.243243243243249</v>
      </c>
      <c r="AW53" s="652">
        <f t="shared" si="24"/>
        <v>43.243243243243249</v>
      </c>
      <c r="AX53" s="652">
        <f t="shared" si="24"/>
        <v>43.243243243243249</v>
      </c>
      <c r="AY53" s="652">
        <f t="shared" si="24"/>
        <v>43.243243243243249</v>
      </c>
      <c r="AZ53" s="652">
        <f t="shared" si="24"/>
        <v>43.243243243243249</v>
      </c>
      <c r="BA53" s="652">
        <f t="shared" si="24"/>
        <v>43.243243243243249</v>
      </c>
      <c r="BB53" s="652">
        <f t="shared" si="24"/>
        <v>43.243243243243249</v>
      </c>
      <c r="BC53" s="652">
        <f t="shared" si="24"/>
        <v>43.243243243243249</v>
      </c>
    </row>
    <row r="54" spans="1:55">
      <c r="A54" t="str">
        <f>+'Product 2026'!A21</f>
        <v>SAPI</v>
      </c>
      <c r="B54" t="str">
        <f>+'Product 2026'!B21</f>
        <v>PRO</v>
      </c>
      <c r="C54" t="str">
        <f>+'Product 2026'!C21</f>
        <v>Mariana Kalifa</v>
      </c>
      <c r="D54" t="str">
        <f>+'Product 2026'!D21</f>
        <v>Benefits</v>
      </c>
      <c r="E54" t="str">
        <f>+'Product 2026'!E21</f>
        <v>Aguinaldo - Payroll SAPI</v>
      </c>
      <c r="F54" t="str">
        <f>+'Product 2026'!F21</f>
        <v>Aguinaldo</v>
      </c>
      <c r="G54" t="str">
        <f>+'Product 2026'!G21</f>
        <v>Invoice</v>
      </c>
      <c r="H54">
        <f>+'Product 2026'!H21</f>
        <v>0</v>
      </c>
      <c r="I54">
        <f>+'Product 2026'!I21</f>
        <v>0</v>
      </c>
      <c r="J54" t="str">
        <f>+'Product 2026'!J21</f>
        <v>603.12.001</v>
      </c>
      <c r="K54" t="str">
        <f>+'Product 2026'!K21</f>
        <v>Aguinaldo</v>
      </c>
      <c r="L54" t="str">
        <f>+'Product 2026'!L21</f>
        <v>Sueldos y Salarios</v>
      </c>
      <c r="M54" t="str">
        <f>+'Product 2026'!M21</f>
        <v>MXN</v>
      </c>
      <c r="N54">
        <f>+'Product 2026'!N21</f>
        <v>875.67567567567573</v>
      </c>
      <c r="O54">
        <f>+'Product 2026'!O21</f>
        <v>16200.000000000002</v>
      </c>
      <c r="P54">
        <f>+'Product 2026'!P21</f>
        <v>0</v>
      </c>
      <c r="Q54">
        <f>+'Product 2026'!Q21</f>
        <v>0</v>
      </c>
      <c r="R54">
        <f>+'Product 2026'!R21</f>
        <v>0</v>
      </c>
      <c r="S54">
        <f>+'Product 2026'!S21</f>
        <v>0</v>
      </c>
      <c r="T54">
        <f>+'Product 2026'!T21</f>
        <v>0</v>
      </c>
      <c r="U54">
        <f>+'Product 2026'!U21</f>
        <v>0</v>
      </c>
      <c r="V54">
        <f>+'Product 2026'!V21</f>
        <v>0</v>
      </c>
      <c r="W54">
        <f>+'Product 2026'!W21</f>
        <v>0</v>
      </c>
      <c r="X54">
        <f>+'Product 2026'!X21</f>
        <v>0</v>
      </c>
      <c r="Y54">
        <f>+'Product 2026'!Y21</f>
        <v>0</v>
      </c>
      <c r="Z54">
        <f>+'Product 2026'!Z21</f>
        <v>0</v>
      </c>
      <c r="AA54">
        <f>+'Product 2026'!AA21</f>
        <v>16200.000000000002</v>
      </c>
      <c r="AB54">
        <f t="shared" si="25"/>
        <v>1</v>
      </c>
      <c r="AC54" s="34">
        <f t="shared" si="38"/>
        <v>875.67567567567573</v>
      </c>
      <c r="AD54" s="34">
        <f t="shared" si="26"/>
        <v>0</v>
      </c>
      <c r="AE54" s="34">
        <f t="shared" si="27"/>
        <v>0</v>
      </c>
      <c r="AF54" s="34">
        <f t="shared" si="28"/>
        <v>0</v>
      </c>
      <c r="AG54" s="34">
        <f t="shared" si="29"/>
        <v>0</v>
      </c>
      <c r="AH54" s="34">
        <f t="shared" si="30"/>
        <v>0</v>
      </c>
      <c r="AI54" s="34">
        <f t="shared" si="31"/>
        <v>0</v>
      </c>
      <c r="AJ54" s="34">
        <f t="shared" si="32"/>
        <v>0</v>
      </c>
      <c r="AK54" s="34">
        <f t="shared" si="33"/>
        <v>0</v>
      </c>
      <c r="AL54" s="34">
        <f t="shared" si="34"/>
        <v>0</v>
      </c>
      <c r="AM54" s="34">
        <f t="shared" si="35"/>
        <v>0</v>
      </c>
      <c r="AN54" s="34">
        <f t="shared" si="36"/>
        <v>0</v>
      </c>
      <c r="AO54" s="34">
        <f t="shared" si="37"/>
        <v>875.67567567567573</v>
      </c>
      <c r="AP54">
        <f t="shared" si="15"/>
        <v>1</v>
      </c>
      <c r="AQ54" s="652">
        <f t="shared" si="18"/>
        <v>875.67567567567596</v>
      </c>
      <c r="AR54" s="652">
        <f t="shared" si="19"/>
        <v>72.972972972972983</v>
      </c>
      <c r="AS54" s="652">
        <f t="shared" si="24"/>
        <v>72.972972972972983</v>
      </c>
      <c r="AT54" s="652">
        <f t="shared" si="24"/>
        <v>72.972972972972983</v>
      </c>
      <c r="AU54" s="652">
        <f t="shared" si="24"/>
        <v>72.972972972972983</v>
      </c>
      <c r="AV54" s="652">
        <f t="shared" si="24"/>
        <v>72.972972972972983</v>
      </c>
      <c r="AW54" s="652">
        <f t="shared" si="24"/>
        <v>72.972972972972983</v>
      </c>
      <c r="AX54" s="652">
        <f t="shared" si="24"/>
        <v>72.972972972972983</v>
      </c>
      <c r="AY54" s="652">
        <f t="shared" si="24"/>
        <v>72.972972972972983</v>
      </c>
      <c r="AZ54" s="652">
        <f t="shared" si="24"/>
        <v>72.972972972972983</v>
      </c>
      <c r="BA54" s="652">
        <f t="shared" si="24"/>
        <v>72.972972972972983</v>
      </c>
      <c r="BB54" s="652">
        <f t="shared" si="24"/>
        <v>72.972972972972983</v>
      </c>
      <c r="BC54" s="652">
        <f t="shared" si="24"/>
        <v>72.972972972972983</v>
      </c>
    </row>
    <row r="55" spans="1:55">
      <c r="A55" t="str">
        <f>+'Product 2026'!A22</f>
        <v>INC</v>
      </c>
      <c r="B55" t="str">
        <f>+'Product 2026'!B22</f>
        <v>PRO</v>
      </c>
      <c r="C55" t="str">
        <f>+'Product 2026'!C22</f>
        <v>Mariana Kalifa</v>
      </c>
      <c r="D55" t="str">
        <f>+'Product 2026'!D22</f>
        <v>Benefits</v>
      </c>
      <c r="E55" t="str">
        <f>+'Product 2026'!E22</f>
        <v>Aguinaldo - RESICO</v>
      </c>
      <c r="F55" t="str">
        <f>+'Product 2026'!F22</f>
        <v>Aguinaldo</v>
      </c>
      <c r="G55" t="str">
        <f>+'Product 2026'!G22</f>
        <v>Invoice</v>
      </c>
      <c r="H55">
        <f>+'Product 2026'!H22</f>
        <v>0</v>
      </c>
      <c r="I55">
        <f>+'Product 2026'!I22</f>
        <v>0</v>
      </c>
      <c r="J55" t="str">
        <f>+'Product 2026'!J22</f>
        <v>603.12.001</v>
      </c>
      <c r="K55" t="str">
        <f>+'Product 2026'!K22</f>
        <v>Aguinaldo</v>
      </c>
      <c r="L55" t="str">
        <f>+'Product 2026'!L22</f>
        <v>Sueldos y Salarios</v>
      </c>
      <c r="M55" t="str">
        <f>+'Product 2026'!M22</f>
        <v>MXN</v>
      </c>
      <c r="N55">
        <f>+'Product 2026'!N22</f>
        <v>7063.0378378378373</v>
      </c>
      <c r="O55">
        <f>+'Product 2026'!O22</f>
        <v>130666.2</v>
      </c>
      <c r="P55">
        <f>+'Product 2026'!P22</f>
        <v>0</v>
      </c>
      <c r="Q55">
        <f>+'Product 2026'!Q22</f>
        <v>0</v>
      </c>
      <c r="R55">
        <f>+'Product 2026'!R22</f>
        <v>0</v>
      </c>
      <c r="S55">
        <f>+'Product 2026'!S22</f>
        <v>0</v>
      </c>
      <c r="T55">
        <f>+'Product 2026'!T22</f>
        <v>0</v>
      </c>
      <c r="U55">
        <f>+'Product 2026'!U22</f>
        <v>0</v>
      </c>
      <c r="V55">
        <f>+'Product 2026'!V22</f>
        <v>0</v>
      </c>
      <c r="W55">
        <f>+'Product 2026'!W22</f>
        <v>0</v>
      </c>
      <c r="X55">
        <f>+'Product 2026'!X22</f>
        <v>0</v>
      </c>
      <c r="Y55">
        <f>+'Product 2026'!Y22</f>
        <v>0</v>
      </c>
      <c r="Z55">
        <f>+'Product 2026'!Z22</f>
        <v>0</v>
      </c>
      <c r="AA55">
        <f>+'Product 2026'!AA22</f>
        <v>130666.2</v>
      </c>
      <c r="AB55">
        <f t="shared" si="25"/>
        <v>1</v>
      </c>
      <c r="AC55" s="34">
        <f t="shared" si="38"/>
        <v>7063.0378378378373</v>
      </c>
      <c r="AD55" s="34">
        <f t="shared" si="26"/>
        <v>0</v>
      </c>
      <c r="AE55" s="34">
        <f t="shared" si="27"/>
        <v>0</v>
      </c>
      <c r="AF55" s="34">
        <f t="shared" si="28"/>
        <v>0</v>
      </c>
      <c r="AG55" s="34">
        <f t="shared" si="29"/>
        <v>0</v>
      </c>
      <c r="AH55" s="34">
        <f t="shared" si="30"/>
        <v>0</v>
      </c>
      <c r="AI55" s="34">
        <f t="shared" si="31"/>
        <v>0</v>
      </c>
      <c r="AJ55" s="34">
        <f t="shared" si="32"/>
        <v>0</v>
      </c>
      <c r="AK55" s="34">
        <f t="shared" si="33"/>
        <v>0</v>
      </c>
      <c r="AL55" s="34">
        <f t="shared" si="34"/>
        <v>0</v>
      </c>
      <c r="AM55" s="34">
        <f t="shared" si="35"/>
        <v>0</v>
      </c>
      <c r="AN55" s="34">
        <f t="shared" si="36"/>
        <v>0</v>
      </c>
      <c r="AO55" s="34">
        <f t="shared" si="37"/>
        <v>7063.0378378378373</v>
      </c>
      <c r="AP55">
        <f t="shared" si="15"/>
        <v>1</v>
      </c>
      <c r="AQ55" s="652">
        <f t="shared" si="18"/>
        <v>7063.0378378378364</v>
      </c>
      <c r="AR55" s="652">
        <f t="shared" si="19"/>
        <v>588.58648648648648</v>
      </c>
      <c r="AS55" s="652">
        <f t="shared" si="24"/>
        <v>588.58648648648648</v>
      </c>
      <c r="AT55" s="652">
        <f t="shared" si="24"/>
        <v>588.58648648648648</v>
      </c>
      <c r="AU55" s="652">
        <f t="shared" si="24"/>
        <v>588.58648648648648</v>
      </c>
      <c r="AV55" s="652">
        <f t="shared" si="24"/>
        <v>588.58648648648648</v>
      </c>
      <c r="AW55" s="652">
        <f t="shared" si="24"/>
        <v>588.58648648648648</v>
      </c>
      <c r="AX55" s="652">
        <f t="shared" si="24"/>
        <v>588.58648648648648</v>
      </c>
      <c r="AY55" s="652">
        <f t="shared" si="24"/>
        <v>588.58648648648648</v>
      </c>
      <c r="AZ55" s="652">
        <f t="shared" si="24"/>
        <v>588.58648648648648</v>
      </c>
      <c r="BA55" s="652">
        <f t="shared" si="24"/>
        <v>588.58648648648648</v>
      </c>
      <c r="BB55" s="652">
        <f t="shared" si="24"/>
        <v>588.58648648648648</v>
      </c>
      <c r="BC55" s="652">
        <f t="shared" si="24"/>
        <v>588.58648648648648</v>
      </c>
    </row>
    <row r="56" spans="1:55">
      <c r="A56" t="str">
        <f>+'Product 2026'!A23</f>
        <v>SAPI</v>
      </c>
      <c r="B56" t="str">
        <f>+'Product 2026'!B23</f>
        <v>PRO</v>
      </c>
      <c r="C56" t="str">
        <f>+'Product 2026'!C23</f>
        <v>Mariana Kalifa</v>
      </c>
      <c r="D56" t="str">
        <f>+'Product 2026'!D23</f>
        <v>Benefits</v>
      </c>
      <c r="E56" t="str">
        <f>+'Product 2026'!E23</f>
        <v>Prima Vacacional (prom. 8 días de vacaciones)</v>
      </c>
      <c r="F56" t="str">
        <f>+'Product 2026'!F23</f>
        <v>Prima Vacacional (prom. 8 días de vacaciones)</v>
      </c>
      <c r="G56" t="str">
        <f>+'Product 2026'!G23</f>
        <v>Invoice</v>
      </c>
      <c r="H56">
        <f>+'Product 2026'!H23</f>
        <v>0</v>
      </c>
      <c r="I56">
        <f>+'Product 2026'!I23</f>
        <v>0</v>
      </c>
      <c r="J56" t="str">
        <f>+'Product 2026'!J23</f>
        <v>603.07.001</v>
      </c>
      <c r="K56" t="str">
        <f>+'Product 2026'!K23</f>
        <v>Prima vacacional</v>
      </c>
      <c r="L56" t="str">
        <f>+'Product 2026'!L23</f>
        <v>Sueldos y Salarios</v>
      </c>
      <c r="M56" t="str">
        <f>+'Product 2026'!M23</f>
        <v>MXN</v>
      </c>
      <c r="N56">
        <f>+'Product 2026'!N23</f>
        <v>36.486486486486491</v>
      </c>
      <c r="O56">
        <f>+'Product 2026'!O23</f>
        <v>675.00000000000011</v>
      </c>
      <c r="P56">
        <f>+'Product 2026'!P23</f>
        <v>0</v>
      </c>
      <c r="Q56">
        <f>+'Product 2026'!Q23</f>
        <v>0</v>
      </c>
      <c r="R56">
        <f>+'Product 2026'!R23</f>
        <v>0</v>
      </c>
      <c r="S56">
        <f>+'Product 2026'!S23</f>
        <v>0</v>
      </c>
      <c r="T56">
        <f>+'Product 2026'!T23</f>
        <v>0</v>
      </c>
      <c r="U56">
        <f>+'Product 2026'!U23</f>
        <v>675.00000000000011</v>
      </c>
      <c r="V56">
        <f>+'Product 2026'!V23</f>
        <v>0</v>
      </c>
      <c r="W56">
        <f>+'Product 2026'!W23</f>
        <v>0</v>
      </c>
      <c r="X56">
        <f>+'Product 2026'!X23</f>
        <v>0</v>
      </c>
      <c r="Y56">
        <f>+'Product 2026'!Y23</f>
        <v>0</v>
      </c>
      <c r="Z56">
        <f>+'Product 2026'!Z23</f>
        <v>0</v>
      </c>
      <c r="AA56">
        <f>+'Product 2026'!AA23</f>
        <v>0</v>
      </c>
      <c r="AB56">
        <f t="shared" si="25"/>
        <v>1</v>
      </c>
      <c r="AC56" s="34">
        <f t="shared" si="38"/>
        <v>36.486486486486491</v>
      </c>
      <c r="AD56" s="34">
        <f t="shared" si="26"/>
        <v>0</v>
      </c>
      <c r="AE56" s="34">
        <f t="shared" si="27"/>
        <v>0</v>
      </c>
      <c r="AF56" s="34">
        <f t="shared" si="28"/>
        <v>0</v>
      </c>
      <c r="AG56" s="34">
        <f t="shared" si="29"/>
        <v>0</v>
      </c>
      <c r="AH56" s="34">
        <f t="shared" si="30"/>
        <v>0</v>
      </c>
      <c r="AI56" s="34">
        <f t="shared" si="31"/>
        <v>36.486486486486491</v>
      </c>
      <c r="AJ56" s="34">
        <f t="shared" si="32"/>
        <v>0</v>
      </c>
      <c r="AK56" s="34">
        <f t="shared" si="33"/>
        <v>0</v>
      </c>
      <c r="AL56" s="34">
        <f t="shared" si="34"/>
        <v>0</v>
      </c>
      <c r="AM56" s="34">
        <f t="shared" si="35"/>
        <v>0</v>
      </c>
      <c r="AN56" s="34">
        <f t="shared" si="36"/>
        <v>0</v>
      </c>
      <c r="AO56" s="34">
        <f t="shared" si="37"/>
        <v>0</v>
      </c>
      <c r="AP56">
        <f t="shared" si="15"/>
        <v>1</v>
      </c>
      <c r="AQ56" s="652">
        <f t="shared" si="18"/>
        <v>36.486486486486491</v>
      </c>
      <c r="AR56" s="652">
        <f t="shared" si="19"/>
        <v>3.0405405405405408</v>
      </c>
      <c r="AS56" s="652">
        <f t="shared" si="24"/>
        <v>3.0405405405405408</v>
      </c>
      <c r="AT56" s="652">
        <f t="shared" si="24"/>
        <v>3.0405405405405408</v>
      </c>
      <c r="AU56" s="652">
        <f t="shared" si="24"/>
        <v>3.0405405405405408</v>
      </c>
      <c r="AV56" s="652">
        <f t="shared" si="24"/>
        <v>3.0405405405405408</v>
      </c>
      <c r="AW56" s="652">
        <f t="shared" si="24"/>
        <v>3.0405405405405408</v>
      </c>
      <c r="AX56" s="652">
        <f t="shared" si="24"/>
        <v>3.0405405405405408</v>
      </c>
      <c r="AY56" s="652">
        <f t="shared" si="24"/>
        <v>3.0405405405405408</v>
      </c>
      <c r="AZ56" s="652">
        <f t="shared" si="24"/>
        <v>3.0405405405405408</v>
      </c>
      <c r="BA56" s="652">
        <f t="shared" si="24"/>
        <v>3.0405405405405408</v>
      </c>
      <c r="BB56" s="652">
        <f t="shared" si="24"/>
        <v>3.0405405405405408</v>
      </c>
      <c r="BC56" s="652">
        <f t="shared" si="24"/>
        <v>3.0405405405405408</v>
      </c>
    </row>
    <row r="57" spans="1:55">
      <c r="A57" t="str">
        <f>+'Product 2026'!A24</f>
        <v>SAPI</v>
      </c>
      <c r="B57" t="str">
        <f>+'Product 2026'!B24</f>
        <v>PRO</v>
      </c>
      <c r="C57" t="str">
        <f>+'Product 2026'!C24</f>
        <v>Mariana Kalifa</v>
      </c>
      <c r="D57" t="str">
        <f>+'Product 2026'!D24</f>
        <v>Payroll</v>
      </c>
      <c r="E57" t="str">
        <f>+'Product 2026'!E24</f>
        <v>Impuestos</v>
      </c>
      <c r="F57" t="str">
        <f>+'Product 2026'!F24</f>
        <v>ISN 3%</v>
      </c>
      <c r="G57" t="str">
        <f>+'Product 2026'!G24</f>
        <v>Invoice</v>
      </c>
      <c r="H57">
        <f>+'Product 2026'!H24</f>
        <v>0</v>
      </c>
      <c r="I57">
        <f>+'Product 2026'!I24</f>
        <v>0</v>
      </c>
      <c r="J57" t="str">
        <f>+'Product 2026'!J24</f>
        <v>603.01.001</v>
      </c>
      <c r="K57" t="str">
        <f>+'Product 2026'!K24</f>
        <v>Sueldos y salarios</v>
      </c>
      <c r="L57" t="str">
        <f>+'Product 2026'!L24</f>
        <v>Sueldos y Salarios</v>
      </c>
      <c r="M57" t="str">
        <f>+'Product 2026'!M24</f>
        <v>MXN</v>
      </c>
      <c r="N57">
        <f>+'Product 2026'!N24</f>
        <v>630.48648648648657</v>
      </c>
      <c r="O57">
        <f>+'Product 2026'!O24</f>
        <v>11664.000000000002</v>
      </c>
      <c r="P57">
        <f>+'Product 2026'!P24</f>
        <v>972.00000000000011</v>
      </c>
      <c r="Q57">
        <f>+'Product 2026'!Q24</f>
        <v>972.00000000000011</v>
      </c>
      <c r="R57">
        <f>+'Product 2026'!R24</f>
        <v>972.00000000000011</v>
      </c>
      <c r="S57">
        <f>+'Product 2026'!S24</f>
        <v>972.00000000000011</v>
      </c>
      <c r="T57">
        <f>+'Product 2026'!T24</f>
        <v>972.00000000000011</v>
      </c>
      <c r="U57">
        <f>+'Product 2026'!U24</f>
        <v>972.00000000000011</v>
      </c>
      <c r="V57">
        <f>+'Product 2026'!V24</f>
        <v>972.00000000000011</v>
      </c>
      <c r="W57">
        <f>+'Product 2026'!W24</f>
        <v>972.00000000000011</v>
      </c>
      <c r="X57">
        <f>+'Product 2026'!X24</f>
        <v>972.00000000000011</v>
      </c>
      <c r="Y57">
        <f>+'Product 2026'!Y24</f>
        <v>972.00000000000011</v>
      </c>
      <c r="Z57">
        <f>+'Product 2026'!Z24</f>
        <v>972.00000000000011</v>
      </c>
      <c r="AA57">
        <f>+'Product 2026'!AA24</f>
        <v>972.00000000000011</v>
      </c>
      <c r="AB57" t="b">
        <f t="shared" si="25"/>
        <v>0</v>
      </c>
      <c r="AC57" s="34">
        <f t="shared" si="38"/>
        <v>630.48648648648634</v>
      </c>
      <c r="AD57" s="34">
        <f t="shared" si="26"/>
        <v>52.540540540540547</v>
      </c>
      <c r="AE57" s="34">
        <f t="shared" si="27"/>
        <v>52.540540540540547</v>
      </c>
      <c r="AF57" s="34">
        <f t="shared" si="28"/>
        <v>52.540540540540547</v>
      </c>
      <c r="AG57" s="34">
        <f t="shared" si="29"/>
        <v>52.540540540540547</v>
      </c>
      <c r="AH57" s="34">
        <f t="shared" si="30"/>
        <v>52.540540540540547</v>
      </c>
      <c r="AI57" s="34">
        <f t="shared" si="31"/>
        <v>52.540540540540547</v>
      </c>
      <c r="AJ57" s="34">
        <f t="shared" si="32"/>
        <v>52.540540540540547</v>
      </c>
      <c r="AK57" s="34">
        <f t="shared" si="33"/>
        <v>52.540540540540547</v>
      </c>
      <c r="AL57" s="34">
        <f t="shared" si="34"/>
        <v>52.540540540540547</v>
      </c>
      <c r="AM57" s="34">
        <f t="shared" si="35"/>
        <v>52.540540540540547</v>
      </c>
      <c r="AN57" s="34">
        <f t="shared" si="36"/>
        <v>52.540540540540547</v>
      </c>
      <c r="AO57" s="34">
        <f t="shared" si="37"/>
        <v>52.540540540540547</v>
      </c>
      <c r="AP57" t="b">
        <f t="shared" si="15"/>
        <v>0</v>
      </c>
      <c r="AQ57" s="652">
        <f t="shared" si="18"/>
        <v>630.48648648648634</v>
      </c>
      <c r="AR57" s="652">
        <f t="shared" si="19"/>
        <v>52.540540540540547</v>
      </c>
      <c r="AS57" s="652">
        <f t="shared" si="24"/>
        <v>52.540540540540547</v>
      </c>
      <c r="AT57" s="652">
        <f t="shared" si="24"/>
        <v>52.540540540540547</v>
      </c>
      <c r="AU57" s="652">
        <f t="shared" si="24"/>
        <v>52.540540540540547</v>
      </c>
      <c r="AV57" s="652">
        <f t="shared" si="24"/>
        <v>52.540540540540547</v>
      </c>
      <c r="AW57" s="652">
        <f t="shared" si="24"/>
        <v>52.540540540540547</v>
      </c>
      <c r="AX57" s="652">
        <f t="shared" si="24"/>
        <v>52.540540540540547</v>
      </c>
      <c r="AY57" s="652">
        <f t="shared" si="24"/>
        <v>52.540540540540547</v>
      </c>
      <c r="AZ57" s="652">
        <f t="shared" si="24"/>
        <v>52.540540540540547</v>
      </c>
      <c r="BA57" s="652">
        <f t="shared" si="24"/>
        <v>52.540540540540547</v>
      </c>
      <c r="BB57" s="652">
        <f t="shared" si="24"/>
        <v>52.540540540540547</v>
      </c>
      <c r="BC57" s="652">
        <f t="shared" si="24"/>
        <v>52.540540540540547</v>
      </c>
    </row>
    <row r="58" spans="1:55">
      <c r="A58" t="str">
        <f>+'Product 2026'!A27</f>
        <v>SAPI</v>
      </c>
      <c r="B58" t="str">
        <f>+'Product 2026'!B27</f>
        <v>PRO</v>
      </c>
      <c r="C58" t="str">
        <f>+'Product 2026'!C27</f>
        <v>Mariana Kalifa</v>
      </c>
      <c r="D58" t="str">
        <f>+'Product 2026'!D27</f>
        <v>Hotel</v>
      </c>
      <c r="E58" t="str">
        <f>+'Product 2026'!E27</f>
        <v>Multiple</v>
      </c>
      <c r="F58" t="str">
        <f>+'Product 2026'!F27</f>
        <v>2 viajes --&gt; 5,000 MXN noche promedio (2 noches)</v>
      </c>
      <c r="G58" t="str">
        <f>+'Product 2026'!G27</f>
        <v>Invoice</v>
      </c>
      <c r="H58">
        <f>+'Product 2026'!H27</f>
        <v>0</v>
      </c>
      <c r="I58">
        <f>+'Product 2026'!I27</f>
        <v>0</v>
      </c>
      <c r="J58" t="str">
        <f>+'Product 2026'!J27</f>
        <v>603.49.001</v>
      </c>
      <c r="K58" t="str">
        <f>+'Product 2026'!K27</f>
        <v>Viaticos Hotel</v>
      </c>
      <c r="L58" t="str">
        <f>+'Product 2026'!L27</f>
        <v>Gastos de Viaje</v>
      </c>
      <c r="M58" t="str">
        <f>+'Product 2026'!M27</f>
        <v>MXN</v>
      </c>
      <c r="N58">
        <f>+'Product 2026'!N27</f>
        <v>1081.081081081081</v>
      </c>
      <c r="O58">
        <f>+'Product 2026'!O27</f>
        <v>20000</v>
      </c>
      <c r="P58">
        <f>+'Product 2026'!P27</f>
        <v>0</v>
      </c>
      <c r="Q58">
        <f>+'Product 2026'!Q27</f>
        <v>0</v>
      </c>
      <c r="R58">
        <f>+'Product 2026'!R27</f>
        <v>10000</v>
      </c>
      <c r="S58">
        <f>+'Product 2026'!S27</f>
        <v>0</v>
      </c>
      <c r="T58">
        <f>+'Product 2026'!T27</f>
        <v>0</v>
      </c>
      <c r="U58">
        <f>+'Product 2026'!U27</f>
        <v>0</v>
      </c>
      <c r="V58">
        <f>+'Product 2026'!V27</f>
        <v>0</v>
      </c>
      <c r="W58">
        <f>+'Product 2026'!W27</f>
        <v>10000</v>
      </c>
      <c r="X58">
        <f>+'Product 2026'!X27</f>
        <v>0</v>
      </c>
      <c r="Y58">
        <f>+'Product 2026'!Y27</f>
        <v>0</v>
      </c>
      <c r="Z58">
        <f>+'Product 2026'!Z27</f>
        <v>0</v>
      </c>
      <c r="AA58">
        <f>+'Product 2026'!AA27</f>
        <v>0</v>
      </c>
      <c r="AB58">
        <f t="shared" si="25"/>
        <v>1</v>
      </c>
      <c r="AC58" s="34">
        <f t="shared" si="38"/>
        <v>1081.081081081081</v>
      </c>
      <c r="AD58" s="34">
        <f t="shared" si="26"/>
        <v>0</v>
      </c>
      <c r="AE58" s="34">
        <f t="shared" si="27"/>
        <v>0</v>
      </c>
      <c r="AF58" s="34">
        <f t="shared" si="28"/>
        <v>540.54054054054052</v>
      </c>
      <c r="AG58" s="34">
        <f t="shared" si="29"/>
        <v>0</v>
      </c>
      <c r="AH58" s="34">
        <f t="shared" si="30"/>
        <v>0</v>
      </c>
      <c r="AI58" s="34">
        <f t="shared" si="31"/>
        <v>0</v>
      </c>
      <c r="AJ58" s="34">
        <f t="shared" si="32"/>
        <v>0</v>
      </c>
      <c r="AK58" s="34">
        <f t="shared" si="33"/>
        <v>540.54054054054052</v>
      </c>
      <c r="AL58" s="34">
        <f t="shared" si="34"/>
        <v>0</v>
      </c>
      <c r="AM58" s="34">
        <f t="shared" si="35"/>
        <v>0</v>
      </c>
      <c r="AN58" s="34">
        <f t="shared" si="36"/>
        <v>0</v>
      </c>
      <c r="AO58" s="34">
        <f t="shared" si="37"/>
        <v>0</v>
      </c>
      <c r="AP58">
        <f t="shared" si="15"/>
        <v>1</v>
      </c>
      <c r="AQ58" s="652">
        <f t="shared" si="18"/>
        <v>1081.0810810810813</v>
      </c>
      <c r="AR58" s="652">
        <f t="shared" si="19"/>
        <v>90.090090090090087</v>
      </c>
      <c r="AS58" s="652">
        <f t="shared" si="24"/>
        <v>90.090090090090087</v>
      </c>
      <c r="AT58" s="652">
        <f t="shared" si="24"/>
        <v>90.090090090090087</v>
      </c>
      <c r="AU58" s="652">
        <f t="shared" si="24"/>
        <v>90.090090090090087</v>
      </c>
      <c r="AV58" s="652">
        <f t="shared" si="24"/>
        <v>90.090090090090087</v>
      </c>
      <c r="AW58" s="652">
        <f t="shared" si="24"/>
        <v>90.090090090090087</v>
      </c>
      <c r="AX58" s="652">
        <f t="shared" si="24"/>
        <v>90.090090090090087</v>
      </c>
      <c r="AY58" s="652">
        <f t="shared" si="24"/>
        <v>90.090090090090087</v>
      </c>
      <c r="AZ58" s="652">
        <f t="shared" si="24"/>
        <v>90.090090090090087</v>
      </c>
      <c r="BA58" s="652">
        <f t="shared" si="24"/>
        <v>90.090090090090087</v>
      </c>
      <c r="BB58" s="652">
        <f t="shared" si="24"/>
        <v>90.090090090090087</v>
      </c>
      <c r="BC58" s="652">
        <f t="shared" si="24"/>
        <v>90.090090090090087</v>
      </c>
    </row>
    <row r="59" spans="1:55">
      <c r="A59" t="str">
        <f>+'Product 2026'!A28</f>
        <v>SAPI</v>
      </c>
      <c r="B59" t="str">
        <f>+'Product 2026'!B28</f>
        <v>PRO</v>
      </c>
      <c r="C59" t="str">
        <f>+'Product 2026'!C28</f>
        <v>Mariana Kalifa</v>
      </c>
      <c r="D59" t="str">
        <f>+'Product 2026'!D28</f>
        <v>Taxi</v>
      </c>
      <c r="E59" t="str">
        <f>+'Product 2026'!E28</f>
        <v>Multiple</v>
      </c>
      <c r="F59" t="str">
        <f>+'Product 2026'!F28</f>
        <v>1000 transporte p viaje (2 días)</v>
      </c>
      <c r="G59" t="str">
        <f>+'Product 2026'!G28</f>
        <v>Invoice</v>
      </c>
      <c r="H59">
        <f>+'Product 2026'!H28</f>
        <v>0</v>
      </c>
      <c r="I59">
        <f>+'Product 2026'!I28</f>
        <v>0</v>
      </c>
      <c r="J59" t="str">
        <f>+'Product 2026'!J28</f>
        <v>603.49.002</v>
      </c>
      <c r="K59" t="str">
        <f>+'Product 2026'!K28</f>
        <v>Vaticos Taxi</v>
      </c>
      <c r="L59" t="str">
        <f>+'Product 2026'!L28</f>
        <v>Gastos de Viaje</v>
      </c>
      <c r="M59" t="str">
        <f>+'Product 2026'!M28</f>
        <v>MXN</v>
      </c>
      <c r="N59">
        <f>+'Product 2026'!N28</f>
        <v>108.10810810810811</v>
      </c>
      <c r="O59">
        <f>+'Product 2026'!O28</f>
        <v>2000</v>
      </c>
      <c r="P59">
        <f>+'Product 2026'!P28</f>
        <v>0</v>
      </c>
      <c r="Q59">
        <f>+'Product 2026'!Q28</f>
        <v>0</v>
      </c>
      <c r="R59">
        <f>+'Product 2026'!R28</f>
        <v>1000</v>
      </c>
      <c r="S59">
        <f>+'Product 2026'!S28</f>
        <v>0</v>
      </c>
      <c r="T59">
        <f>+'Product 2026'!T28</f>
        <v>0</v>
      </c>
      <c r="U59">
        <f>+'Product 2026'!U28</f>
        <v>0</v>
      </c>
      <c r="V59">
        <f>+'Product 2026'!V28</f>
        <v>0</v>
      </c>
      <c r="W59">
        <f>+'Product 2026'!W28</f>
        <v>1000</v>
      </c>
      <c r="X59">
        <f>+'Product 2026'!X28</f>
        <v>0</v>
      </c>
      <c r="Y59">
        <f>+'Product 2026'!Y28</f>
        <v>0</v>
      </c>
      <c r="Z59">
        <f>+'Product 2026'!Z28</f>
        <v>0</v>
      </c>
      <c r="AA59">
        <f>+'Product 2026'!AA28</f>
        <v>0</v>
      </c>
      <c r="AB59">
        <f t="shared" si="25"/>
        <v>1</v>
      </c>
      <c r="AC59" s="34">
        <f t="shared" si="38"/>
        <v>108.10810810810811</v>
      </c>
      <c r="AD59" s="34">
        <f t="shared" si="26"/>
        <v>0</v>
      </c>
      <c r="AE59" s="34">
        <f t="shared" si="27"/>
        <v>0</v>
      </c>
      <c r="AF59" s="34">
        <f t="shared" si="28"/>
        <v>54.054054054054056</v>
      </c>
      <c r="AG59" s="34">
        <f t="shared" si="29"/>
        <v>0</v>
      </c>
      <c r="AH59" s="34">
        <f t="shared" si="30"/>
        <v>0</v>
      </c>
      <c r="AI59" s="34">
        <f t="shared" si="31"/>
        <v>0</v>
      </c>
      <c r="AJ59" s="34">
        <f t="shared" si="32"/>
        <v>0</v>
      </c>
      <c r="AK59" s="34">
        <f t="shared" si="33"/>
        <v>54.054054054054056</v>
      </c>
      <c r="AL59" s="34">
        <f t="shared" si="34"/>
        <v>0</v>
      </c>
      <c r="AM59" s="34">
        <f t="shared" si="35"/>
        <v>0</v>
      </c>
      <c r="AN59" s="34">
        <f t="shared" si="36"/>
        <v>0</v>
      </c>
      <c r="AO59" s="34">
        <f t="shared" si="37"/>
        <v>0</v>
      </c>
      <c r="AP59">
        <f t="shared" si="15"/>
        <v>1</v>
      </c>
      <c r="AQ59" s="652">
        <f t="shared" si="18"/>
        <v>108.10810810810808</v>
      </c>
      <c r="AR59" s="652">
        <f t="shared" si="19"/>
        <v>9.0090090090090094</v>
      </c>
      <c r="AS59" s="652">
        <f t="shared" si="24"/>
        <v>9.0090090090090094</v>
      </c>
      <c r="AT59" s="652">
        <f t="shared" si="24"/>
        <v>9.0090090090090094</v>
      </c>
      <c r="AU59" s="652">
        <f t="shared" si="24"/>
        <v>9.0090090090090094</v>
      </c>
      <c r="AV59" s="652">
        <f t="shared" si="24"/>
        <v>9.0090090090090094</v>
      </c>
      <c r="AW59" s="652">
        <f t="shared" si="24"/>
        <v>9.0090090090090094</v>
      </c>
      <c r="AX59" s="652">
        <f t="shared" si="24"/>
        <v>9.0090090090090094</v>
      </c>
      <c r="AY59" s="652">
        <f t="shared" si="24"/>
        <v>9.0090090090090094</v>
      </c>
      <c r="AZ59" s="652">
        <f t="shared" si="24"/>
        <v>9.0090090090090094</v>
      </c>
      <c r="BA59" s="652">
        <f t="shared" si="24"/>
        <v>9.0090090090090094</v>
      </c>
      <c r="BB59" s="652">
        <f t="shared" si="24"/>
        <v>9.0090090090090094</v>
      </c>
      <c r="BC59" s="652">
        <f t="shared" si="24"/>
        <v>9.0090090090090094</v>
      </c>
    </row>
    <row r="60" spans="1:55">
      <c r="A60" t="str">
        <f>+'Product 2026'!A29</f>
        <v>SAPI</v>
      </c>
      <c r="B60" t="str">
        <f>+'Product 2026'!B29</f>
        <v>PRO</v>
      </c>
      <c r="C60" t="str">
        <f>+'Product 2026'!C29</f>
        <v>Mariana Kalifa</v>
      </c>
      <c r="D60" t="str">
        <f>+'Product 2026'!D29</f>
        <v>Plane</v>
      </c>
      <c r="E60" t="str">
        <f>+'Product 2026'!E29</f>
        <v>Multiple</v>
      </c>
      <c r="F60" t="str">
        <f>+'Product 2026'!F29</f>
        <v>2 viajes --&gt; 8,000 p vuelo</v>
      </c>
      <c r="G60" t="str">
        <f>+'Product 2026'!G29</f>
        <v>Invoice</v>
      </c>
      <c r="H60">
        <f>+'Product 2026'!H29</f>
        <v>0</v>
      </c>
      <c r="I60">
        <f>+'Product 2026'!I29</f>
        <v>0</v>
      </c>
      <c r="J60" t="str">
        <f>+'Product 2026'!J29</f>
        <v>603.49.003</v>
      </c>
      <c r="K60" t="str">
        <f>+'Product 2026'!K29</f>
        <v>Viaticos Avion</v>
      </c>
      <c r="L60" t="str">
        <f>+'Product 2026'!L29</f>
        <v>Gastos de Viaje</v>
      </c>
      <c r="M60" t="str">
        <f>+'Product 2026'!M29</f>
        <v>MXN</v>
      </c>
      <c r="N60">
        <f>+'Product 2026'!N29</f>
        <v>864.8648648648649</v>
      </c>
      <c r="O60">
        <f>+'Product 2026'!O29</f>
        <v>16000</v>
      </c>
      <c r="P60">
        <f>+'Product 2026'!P29</f>
        <v>0</v>
      </c>
      <c r="Q60">
        <f>+'Product 2026'!Q29</f>
        <v>0</v>
      </c>
      <c r="R60">
        <f>+'Product 2026'!R29</f>
        <v>8000</v>
      </c>
      <c r="S60">
        <f>+'Product 2026'!S29</f>
        <v>0</v>
      </c>
      <c r="T60">
        <f>+'Product 2026'!T29</f>
        <v>0</v>
      </c>
      <c r="U60">
        <f>+'Product 2026'!U29</f>
        <v>0</v>
      </c>
      <c r="V60">
        <f>+'Product 2026'!V29</f>
        <v>0</v>
      </c>
      <c r="W60">
        <f>+'Product 2026'!W29</f>
        <v>8000</v>
      </c>
      <c r="X60">
        <f>+'Product 2026'!X29</f>
        <v>0</v>
      </c>
      <c r="Y60">
        <f>+'Product 2026'!Y29</f>
        <v>0</v>
      </c>
      <c r="Z60">
        <f>+'Product 2026'!Z29</f>
        <v>0</v>
      </c>
      <c r="AA60">
        <f>+'Product 2026'!AA29</f>
        <v>0</v>
      </c>
      <c r="AB60">
        <f t="shared" si="25"/>
        <v>1</v>
      </c>
      <c r="AC60" s="34">
        <f t="shared" si="38"/>
        <v>864.8648648648649</v>
      </c>
      <c r="AD60" s="34">
        <f t="shared" si="26"/>
        <v>0</v>
      </c>
      <c r="AE60" s="34">
        <f t="shared" si="27"/>
        <v>0</v>
      </c>
      <c r="AF60" s="34">
        <f t="shared" si="28"/>
        <v>432.43243243243245</v>
      </c>
      <c r="AG60" s="34">
        <f t="shared" si="29"/>
        <v>0</v>
      </c>
      <c r="AH60" s="34">
        <f t="shared" si="30"/>
        <v>0</v>
      </c>
      <c r="AI60" s="34">
        <f t="shared" si="31"/>
        <v>0</v>
      </c>
      <c r="AJ60" s="34">
        <f t="shared" si="32"/>
        <v>0</v>
      </c>
      <c r="AK60" s="34">
        <f t="shared" si="33"/>
        <v>432.43243243243245</v>
      </c>
      <c r="AL60" s="34">
        <f t="shared" si="34"/>
        <v>0</v>
      </c>
      <c r="AM60" s="34">
        <f t="shared" si="35"/>
        <v>0</v>
      </c>
      <c r="AN60" s="34">
        <f t="shared" si="36"/>
        <v>0</v>
      </c>
      <c r="AO60" s="34">
        <f t="shared" si="37"/>
        <v>0</v>
      </c>
      <c r="AP60">
        <f t="shared" si="15"/>
        <v>1</v>
      </c>
      <c r="AQ60" s="652">
        <f t="shared" si="18"/>
        <v>864.86486486486467</v>
      </c>
      <c r="AR60" s="652">
        <f t="shared" si="19"/>
        <v>72.072072072072075</v>
      </c>
      <c r="AS60" s="652">
        <f t="shared" si="24"/>
        <v>72.072072072072075</v>
      </c>
      <c r="AT60" s="652">
        <f t="shared" si="24"/>
        <v>72.072072072072075</v>
      </c>
      <c r="AU60" s="652">
        <f t="shared" si="24"/>
        <v>72.072072072072075</v>
      </c>
      <c r="AV60" s="652">
        <f t="shared" si="24"/>
        <v>72.072072072072075</v>
      </c>
      <c r="AW60" s="652">
        <f t="shared" si="24"/>
        <v>72.072072072072075</v>
      </c>
      <c r="AX60" s="652">
        <f t="shared" si="24"/>
        <v>72.072072072072075</v>
      </c>
      <c r="AY60" s="652">
        <f t="shared" si="24"/>
        <v>72.072072072072075</v>
      </c>
      <c r="AZ60" s="652">
        <f t="shared" si="24"/>
        <v>72.072072072072075</v>
      </c>
      <c r="BA60" s="652">
        <f t="shared" si="24"/>
        <v>72.072072072072075</v>
      </c>
      <c r="BB60" s="652">
        <f t="shared" si="24"/>
        <v>72.072072072072075</v>
      </c>
      <c r="BC60" s="652">
        <f t="shared" si="24"/>
        <v>72.072072072072075</v>
      </c>
    </row>
    <row r="61" spans="1:55">
      <c r="A61" t="str">
        <f>+'Product 2026'!A30</f>
        <v>SAPI</v>
      </c>
      <c r="B61" t="str">
        <f>+'Product 2026'!B30</f>
        <v>PRO</v>
      </c>
      <c r="C61" t="str">
        <f>+'Product 2026'!C30</f>
        <v>Mariana Kalifa</v>
      </c>
      <c r="D61" t="str">
        <f>+'Product 2026'!D30</f>
        <v>Food</v>
      </c>
      <c r="E61" t="str">
        <f>+'Product 2026'!E30</f>
        <v>Multiple</v>
      </c>
      <c r="F61" t="str">
        <f>+'Product 2026'!F30</f>
        <v>4,000 MXN comidas p viaje (2 días)</v>
      </c>
      <c r="G61" t="str">
        <f>+'Product 2026'!G30</f>
        <v>Invoice</v>
      </c>
      <c r="H61">
        <f>+'Product 2026'!H30</f>
        <v>0</v>
      </c>
      <c r="I61">
        <f>+'Product 2026'!I30</f>
        <v>0</v>
      </c>
      <c r="J61" t="str">
        <f>+'Product 2026'!J30</f>
        <v>603.49.004</v>
      </c>
      <c r="K61" t="str">
        <f>+'Product 2026'!K30</f>
        <v>Viaticos Comidas</v>
      </c>
      <c r="L61" t="str">
        <f>+'Product 2026'!L30</f>
        <v>Gastos de Viaje</v>
      </c>
      <c r="M61" t="str">
        <f>+'Product 2026'!M30</f>
        <v>MXN</v>
      </c>
      <c r="N61">
        <f>+'Product 2026'!N30</f>
        <v>432.43243243243245</v>
      </c>
      <c r="O61">
        <f>+'Product 2026'!O30</f>
        <v>8000</v>
      </c>
      <c r="P61">
        <f>+'Product 2026'!P30</f>
        <v>0</v>
      </c>
      <c r="Q61">
        <f>+'Product 2026'!Q30</f>
        <v>0</v>
      </c>
      <c r="R61">
        <f>+'Product 2026'!R30</f>
        <v>4000</v>
      </c>
      <c r="S61">
        <f>+'Product 2026'!S30</f>
        <v>0</v>
      </c>
      <c r="T61">
        <f>+'Product 2026'!T30</f>
        <v>0</v>
      </c>
      <c r="U61">
        <f>+'Product 2026'!U30</f>
        <v>0</v>
      </c>
      <c r="V61">
        <f>+'Product 2026'!V30</f>
        <v>0</v>
      </c>
      <c r="W61">
        <f>+'Product 2026'!W30</f>
        <v>4000</v>
      </c>
      <c r="X61">
        <f>+'Product 2026'!X30</f>
        <v>0</v>
      </c>
      <c r="Y61">
        <f>+'Product 2026'!Y30</f>
        <v>0</v>
      </c>
      <c r="Z61">
        <f>+'Product 2026'!Z30</f>
        <v>0</v>
      </c>
      <c r="AA61">
        <f>+'Product 2026'!AA30</f>
        <v>0</v>
      </c>
      <c r="AB61">
        <f t="shared" si="25"/>
        <v>1</v>
      </c>
      <c r="AC61" s="34">
        <f t="shared" si="38"/>
        <v>432.43243243243245</v>
      </c>
      <c r="AD61" s="34">
        <f t="shared" si="26"/>
        <v>0</v>
      </c>
      <c r="AE61" s="34">
        <f t="shared" si="27"/>
        <v>0</v>
      </c>
      <c r="AF61" s="34">
        <f t="shared" si="28"/>
        <v>216.21621621621622</v>
      </c>
      <c r="AG61" s="34">
        <f t="shared" si="29"/>
        <v>0</v>
      </c>
      <c r="AH61" s="34">
        <f t="shared" si="30"/>
        <v>0</v>
      </c>
      <c r="AI61" s="34">
        <f t="shared" si="31"/>
        <v>0</v>
      </c>
      <c r="AJ61" s="34">
        <f t="shared" si="32"/>
        <v>0</v>
      </c>
      <c r="AK61" s="34">
        <f t="shared" si="33"/>
        <v>216.21621621621622</v>
      </c>
      <c r="AL61" s="34">
        <f t="shared" si="34"/>
        <v>0</v>
      </c>
      <c r="AM61" s="34">
        <f t="shared" si="35"/>
        <v>0</v>
      </c>
      <c r="AN61" s="34">
        <f t="shared" si="36"/>
        <v>0</v>
      </c>
      <c r="AO61" s="34">
        <f t="shared" si="37"/>
        <v>0</v>
      </c>
      <c r="AP61">
        <f t="shared" si="15"/>
        <v>1</v>
      </c>
      <c r="AQ61" s="652">
        <f t="shared" si="18"/>
        <v>432.43243243243234</v>
      </c>
      <c r="AR61" s="652">
        <f t="shared" si="19"/>
        <v>36.036036036036037</v>
      </c>
      <c r="AS61" s="652">
        <f t="shared" si="24"/>
        <v>36.036036036036037</v>
      </c>
      <c r="AT61" s="652">
        <f t="shared" si="24"/>
        <v>36.036036036036037</v>
      </c>
      <c r="AU61" s="652">
        <f t="shared" si="24"/>
        <v>36.036036036036037</v>
      </c>
      <c r="AV61" s="652">
        <f t="shared" si="24"/>
        <v>36.036036036036037</v>
      </c>
      <c r="AW61" s="652">
        <f t="shared" si="24"/>
        <v>36.036036036036037</v>
      </c>
      <c r="AX61" s="652">
        <f t="shared" si="24"/>
        <v>36.036036036036037</v>
      </c>
      <c r="AY61" s="652">
        <f t="shared" ref="AS61:BC84" si="39">+$N61/12</f>
        <v>36.036036036036037</v>
      </c>
      <c r="AZ61" s="652">
        <f t="shared" si="39"/>
        <v>36.036036036036037</v>
      </c>
      <c r="BA61" s="652">
        <f t="shared" si="39"/>
        <v>36.036036036036037</v>
      </c>
      <c r="BB61" s="652">
        <f t="shared" si="39"/>
        <v>36.036036036036037</v>
      </c>
      <c r="BC61" s="652">
        <f t="shared" si="39"/>
        <v>36.036036036036037</v>
      </c>
    </row>
    <row r="62" spans="1:55">
      <c r="A62" s="175" t="str">
        <f>+'Tech 2026'!A9</f>
        <v>INC</v>
      </c>
      <c r="B62" s="175" t="str">
        <f>+'Tech 2026'!B9</f>
        <v>TEC</v>
      </c>
      <c r="C62" s="175" t="str">
        <f>+'Tech 2026'!C9</f>
        <v>Mariana Kalifa</v>
      </c>
      <c r="D62" s="175" t="str">
        <f>+'Tech 2026'!D9</f>
        <v>Tools</v>
      </c>
      <c r="E62" s="175" t="str">
        <f>+'Tech 2026'!E9</f>
        <v>Atlassian (Bitbucket)</v>
      </c>
      <c r="F62" s="175" t="str">
        <f>+'Tech 2026'!F9</f>
        <v>Project Repositories 9 usuarios $3.3</v>
      </c>
      <c r="G62" s="175" t="str">
        <f>+'Tech 2026'!G9</f>
        <v>Brex</v>
      </c>
      <c r="H62" s="175" t="str">
        <f>+'Tech 2026'!H9</f>
        <v>BREX - 5449 (Viviana Deschamps)</v>
      </c>
      <c r="I62" s="175">
        <f>+'Tech 2026'!I9</f>
        <v>0</v>
      </c>
      <c r="J62" s="175" t="str">
        <f>+'Tech 2026'!J9</f>
        <v>603.64.001</v>
      </c>
      <c r="K62" s="175" t="str">
        <f>+'Tech 2026'!K9</f>
        <v>Servicios de Informatica</v>
      </c>
      <c r="L62" s="175" t="str">
        <f>+'Tech 2026'!L9</f>
        <v>Servicios</v>
      </c>
      <c r="M62" s="175" t="str">
        <f>+'Tech 2026'!M9</f>
        <v>USD</v>
      </c>
      <c r="N62" s="175">
        <f>+'Tech 2026'!N9</f>
        <v>432</v>
      </c>
      <c r="O62" s="175">
        <f>+'Tech 2026'!O9</f>
        <v>432</v>
      </c>
      <c r="P62" s="175">
        <f>+'Tech 2026'!P9</f>
        <v>36</v>
      </c>
      <c r="Q62" s="175">
        <f>+'Tech 2026'!Q9</f>
        <v>36</v>
      </c>
      <c r="R62" s="175">
        <f>+'Tech 2026'!R9</f>
        <v>36</v>
      </c>
      <c r="S62" s="175">
        <f>+'Tech 2026'!S9</f>
        <v>36</v>
      </c>
      <c r="T62" s="175">
        <f>+'Tech 2026'!T9</f>
        <v>36</v>
      </c>
      <c r="U62" s="175">
        <f>+'Tech 2026'!U9</f>
        <v>36</v>
      </c>
      <c r="V62" s="175">
        <f>+'Tech 2026'!V9</f>
        <v>36</v>
      </c>
      <c r="W62" s="175">
        <f>+'Tech 2026'!W9</f>
        <v>36</v>
      </c>
      <c r="X62" s="175">
        <f>+'Tech 2026'!X9</f>
        <v>36</v>
      </c>
      <c r="Y62" s="175">
        <f>+'Tech 2026'!Y9</f>
        <v>36</v>
      </c>
      <c r="Z62" s="175">
        <f>+'Tech 2026'!Z9</f>
        <v>36</v>
      </c>
      <c r="AA62" s="175">
        <f>+'Tech 2026'!AA9</f>
        <v>36</v>
      </c>
      <c r="AB62">
        <f t="shared" si="25"/>
        <v>1</v>
      </c>
      <c r="AC62" s="34">
        <f t="shared" si="38"/>
        <v>432</v>
      </c>
      <c r="AD62" s="34">
        <f t="shared" si="26"/>
        <v>36</v>
      </c>
      <c r="AE62" s="34">
        <f t="shared" si="27"/>
        <v>36</v>
      </c>
      <c r="AF62" s="34">
        <f t="shared" si="28"/>
        <v>36</v>
      </c>
      <c r="AG62" s="34">
        <f t="shared" si="29"/>
        <v>36</v>
      </c>
      <c r="AH62" s="34">
        <f t="shared" si="30"/>
        <v>36</v>
      </c>
      <c r="AI62" s="34">
        <f t="shared" si="31"/>
        <v>36</v>
      </c>
      <c r="AJ62" s="34">
        <f t="shared" si="32"/>
        <v>36</v>
      </c>
      <c r="AK62" s="34">
        <f t="shared" si="33"/>
        <v>36</v>
      </c>
      <c r="AL62" s="34">
        <f t="shared" si="34"/>
        <v>36</v>
      </c>
      <c r="AM62" s="34">
        <f t="shared" si="35"/>
        <v>36</v>
      </c>
      <c r="AN62" s="34">
        <f t="shared" si="36"/>
        <v>36</v>
      </c>
      <c r="AO62" s="34">
        <f t="shared" si="37"/>
        <v>36</v>
      </c>
      <c r="AP62">
        <f t="shared" si="15"/>
        <v>1</v>
      </c>
      <c r="AQ62" s="652">
        <f t="shared" si="18"/>
        <v>432</v>
      </c>
      <c r="AR62" s="652">
        <f t="shared" si="19"/>
        <v>36</v>
      </c>
      <c r="AS62" s="652">
        <f t="shared" si="39"/>
        <v>36</v>
      </c>
      <c r="AT62" s="652">
        <f t="shared" si="39"/>
        <v>36</v>
      </c>
      <c r="AU62" s="652">
        <f t="shared" si="39"/>
        <v>36</v>
      </c>
      <c r="AV62" s="652">
        <f t="shared" si="39"/>
        <v>36</v>
      </c>
      <c r="AW62" s="652">
        <f t="shared" si="39"/>
        <v>36</v>
      </c>
      <c r="AX62" s="652">
        <f t="shared" si="39"/>
        <v>36</v>
      </c>
      <c r="AY62" s="652">
        <f t="shared" si="39"/>
        <v>36</v>
      </c>
      <c r="AZ62" s="652">
        <f t="shared" si="39"/>
        <v>36</v>
      </c>
      <c r="BA62" s="652">
        <f t="shared" si="39"/>
        <v>36</v>
      </c>
      <c r="BB62" s="652">
        <f t="shared" si="39"/>
        <v>36</v>
      </c>
      <c r="BC62" s="652">
        <f t="shared" si="39"/>
        <v>36</v>
      </c>
    </row>
    <row r="63" spans="1:55">
      <c r="A63" s="175" t="str">
        <f>+'Tech 2026'!A10</f>
        <v>SAPI</v>
      </c>
      <c r="B63" s="175" t="str">
        <f>+'Tech 2026'!B10</f>
        <v>TEC</v>
      </c>
      <c r="C63" s="175" t="str">
        <f>+'Tech 2026'!C10</f>
        <v>Mariana Kalifa</v>
      </c>
      <c r="D63" s="175" t="str">
        <f>+'Tech 2026'!D10</f>
        <v>Tools</v>
      </c>
      <c r="E63" s="175" t="str">
        <f>+'Tech 2026'!E10</f>
        <v>Cronitor</v>
      </c>
      <c r="F63" s="175" t="str">
        <f>+'Tech 2026'!F10</f>
        <v>Monitor Cronjobs</v>
      </c>
      <c r="G63" s="175" t="str">
        <f>+'Tech 2026'!G10</f>
        <v>Jeeves</v>
      </c>
      <c r="H63" s="175" t="str">
        <f>+'Tech 2026'!H10</f>
        <v>PRO&amp;TECH 7811</v>
      </c>
      <c r="I63" s="175" t="str">
        <f>+'Tech 2026'!I10</f>
        <v>Product &amp; Tech JVS - 4145</v>
      </c>
      <c r="J63" s="175" t="str">
        <f>+'Tech 2026'!J10</f>
        <v>603.64.001</v>
      </c>
      <c r="K63" s="175" t="str">
        <f>+'Tech 2026'!K10</f>
        <v>Servicios de Informatica</v>
      </c>
      <c r="L63" s="175" t="str">
        <f>+'Tech 2026'!L10</f>
        <v>Servicios</v>
      </c>
      <c r="M63" s="175" t="str">
        <f>+'Tech 2026'!M10</f>
        <v>USD</v>
      </c>
      <c r="N63" s="175">
        <f>+'Tech 2026'!N10</f>
        <v>83.88</v>
      </c>
      <c r="O63" s="175">
        <f>+'Tech 2026'!O10</f>
        <v>83.88</v>
      </c>
      <c r="P63" s="175">
        <f>+'Tech 2026'!P10</f>
        <v>6.99</v>
      </c>
      <c r="Q63" s="175">
        <f>+'Tech 2026'!Q10</f>
        <v>6.99</v>
      </c>
      <c r="R63" s="175">
        <f>+'Tech 2026'!R10</f>
        <v>6.99</v>
      </c>
      <c r="S63" s="175">
        <f>+'Tech 2026'!S10</f>
        <v>6.99</v>
      </c>
      <c r="T63" s="175">
        <f>+'Tech 2026'!T10</f>
        <v>6.99</v>
      </c>
      <c r="U63" s="175">
        <f>+'Tech 2026'!U10</f>
        <v>6.99</v>
      </c>
      <c r="V63" s="175">
        <f>+'Tech 2026'!V10</f>
        <v>6.99</v>
      </c>
      <c r="W63" s="175">
        <f>+'Tech 2026'!W10</f>
        <v>6.99</v>
      </c>
      <c r="X63" s="175">
        <f>+'Tech 2026'!X10</f>
        <v>6.99</v>
      </c>
      <c r="Y63" s="175">
        <f>+'Tech 2026'!Y10</f>
        <v>6.99</v>
      </c>
      <c r="Z63" s="175">
        <f>+'Tech 2026'!Z10</f>
        <v>6.99</v>
      </c>
      <c r="AA63" s="175">
        <f>+'Tech 2026'!AA10</f>
        <v>6.99</v>
      </c>
      <c r="AB63">
        <f t="shared" si="25"/>
        <v>1</v>
      </c>
      <c r="AC63" s="34">
        <f t="shared" si="38"/>
        <v>83.88</v>
      </c>
      <c r="AD63" s="34">
        <f t="shared" si="26"/>
        <v>6.99</v>
      </c>
      <c r="AE63" s="34">
        <f t="shared" si="27"/>
        <v>6.99</v>
      </c>
      <c r="AF63" s="34">
        <f t="shared" si="28"/>
        <v>6.99</v>
      </c>
      <c r="AG63" s="34">
        <f t="shared" si="29"/>
        <v>6.99</v>
      </c>
      <c r="AH63" s="34">
        <f t="shared" si="30"/>
        <v>6.99</v>
      </c>
      <c r="AI63" s="34">
        <f t="shared" si="31"/>
        <v>6.99</v>
      </c>
      <c r="AJ63" s="34">
        <f t="shared" si="32"/>
        <v>6.99</v>
      </c>
      <c r="AK63" s="34">
        <f t="shared" si="33"/>
        <v>6.99</v>
      </c>
      <c r="AL63" s="34">
        <f t="shared" si="34"/>
        <v>6.99</v>
      </c>
      <c r="AM63" s="34">
        <f t="shared" si="35"/>
        <v>6.99</v>
      </c>
      <c r="AN63" s="34">
        <f t="shared" si="36"/>
        <v>6.99</v>
      </c>
      <c r="AO63" s="34">
        <f t="shared" si="37"/>
        <v>6.99</v>
      </c>
      <c r="AP63">
        <f t="shared" si="15"/>
        <v>1</v>
      </c>
      <c r="AQ63" s="652">
        <f t="shared" si="18"/>
        <v>83.88</v>
      </c>
      <c r="AR63" s="652">
        <f t="shared" si="19"/>
        <v>6.9899999999999993</v>
      </c>
      <c r="AS63" s="652">
        <f t="shared" si="39"/>
        <v>6.9899999999999993</v>
      </c>
      <c r="AT63" s="652">
        <f t="shared" si="39"/>
        <v>6.9899999999999993</v>
      </c>
      <c r="AU63" s="652">
        <f t="shared" si="39"/>
        <v>6.9899999999999993</v>
      </c>
      <c r="AV63" s="652">
        <f t="shared" si="39"/>
        <v>6.9899999999999993</v>
      </c>
      <c r="AW63" s="652">
        <f t="shared" si="39"/>
        <v>6.9899999999999993</v>
      </c>
      <c r="AX63" s="652">
        <f t="shared" si="39"/>
        <v>6.9899999999999993</v>
      </c>
      <c r="AY63" s="652">
        <f t="shared" si="39"/>
        <v>6.9899999999999993</v>
      </c>
      <c r="AZ63" s="652">
        <f t="shared" si="39"/>
        <v>6.9899999999999993</v>
      </c>
      <c r="BA63" s="652">
        <f t="shared" si="39"/>
        <v>6.9899999999999993</v>
      </c>
      <c r="BB63" s="652">
        <f t="shared" si="39"/>
        <v>6.9899999999999993</v>
      </c>
      <c r="BC63" s="652">
        <f t="shared" si="39"/>
        <v>6.9899999999999993</v>
      </c>
    </row>
    <row r="64" spans="1:55">
      <c r="A64" s="175" t="str">
        <f>+'Tech 2026'!A11</f>
        <v>SAPI</v>
      </c>
      <c r="B64" s="175" t="str">
        <f>+'Tech 2026'!B11</f>
        <v>TEC</v>
      </c>
      <c r="C64" s="175" t="str">
        <f>+'Tech 2026'!C11</f>
        <v>Mariana Kalifa</v>
      </c>
      <c r="D64" s="175" t="str">
        <f>+'Tech 2026'!D11</f>
        <v>Tools</v>
      </c>
      <c r="E64" s="175" t="str">
        <f>+'Tech 2026'!E11</f>
        <v>GoDaddy</v>
      </c>
      <c r="F64" s="175" t="str">
        <f>+'Tech 2026'!F11</f>
        <v>Domain renewals</v>
      </c>
      <c r="G64" s="175" t="str">
        <f>+'Tech 2026'!G11</f>
        <v>Jeeves</v>
      </c>
      <c r="H64" s="175">
        <f>+'Tech 2026'!H11</f>
        <v>0</v>
      </c>
      <c r="I64" s="175" t="str">
        <f>+'Tech 2026'!I11</f>
        <v>Product &amp; Tech JVS - 4145</v>
      </c>
      <c r="J64" s="175" t="str">
        <f>+'Tech 2026'!J11</f>
        <v>603.64.001</v>
      </c>
      <c r="K64" s="175" t="str">
        <f>+'Tech 2026'!K11</f>
        <v>Servicios de Informatica</v>
      </c>
      <c r="L64" s="175" t="str">
        <f>+'Tech 2026'!L11</f>
        <v>Servicios</v>
      </c>
      <c r="M64" s="175" t="str">
        <f>+'Tech 2026'!M11</f>
        <v>MXN</v>
      </c>
      <c r="N64" s="175">
        <f>+'Tech 2026'!N11</f>
        <v>1.1351351351351351</v>
      </c>
      <c r="O64" s="175">
        <f>+'Tech 2026'!O11</f>
        <v>21</v>
      </c>
      <c r="P64" s="175">
        <f>+'Tech 2026'!P11</f>
        <v>0</v>
      </c>
      <c r="Q64" s="175">
        <f>+'Tech 2026'!Q11</f>
        <v>21</v>
      </c>
      <c r="R64" s="175">
        <f>+'Tech 2026'!R11</f>
        <v>0</v>
      </c>
      <c r="S64" s="175">
        <f>+'Tech 2026'!S11</f>
        <v>0</v>
      </c>
      <c r="T64" s="175">
        <f>+'Tech 2026'!T11</f>
        <v>0</v>
      </c>
      <c r="U64" s="175">
        <f>+'Tech 2026'!U11</f>
        <v>0</v>
      </c>
      <c r="V64" s="175">
        <f>+'Tech 2026'!V11</f>
        <v>0</v>
      </c>
      <c r="W64" s="175">
        <f>+'Tech 2026'!W11</f>
        <v>0</v>
      </c>
      <c r="X64" s="175">
        <f>+'Tech 2026'!X11</f>
        <v>0</v>
      </c>
      <c r="Y64" s="175">
        <f>+'Tech 2026'!Y11</f>
        <v>0</v>
      </c>
      <c r="Z64" s="175">
        <f>+'Tech 2026'!Z11</f>
        <v>0</v>
      </c>
      <c r="AA64" s="175">
        <f>+'Tech 2026'!AA11</f>
        <v>0</v>
      </c>
      <c r="AB64">
        <f t="shared" si="25"/>
        <v>1</v>
      </c>
      <c r="AC64" s="34">
        <f t="shared" si="38"/>
        <v>1.1351351351351351</v>
      </c>
      <c r="AD64" s="34">
        <f t="shared" si="26"/>
        <v>0</v>
      </c>
      <c r="AE64" s="34">
        <f t="shared" si="27"/>
        <v>1.1351351351351351</v>
      </c>
      <c r="AF64" s="34">
        <f t="shared" si="28"/>
        <v>0</v>
      </c>
      <c r="AG64" s="34">
        <f t="shared" si="29"/>
        <v>0</v>
      </c>
      <c r="AH64" s="34">
        <f t="shared" si="30"/>
        <v>0</v>
      </c>
      <c r="AI64" s="34">
        <f t="shared" si="31"/>
        <v>0</v>
      </c>
      <c r="AJ64" s="34">
        <f t="shared" si="32"/>
        <v>0</v>
      </c>
      <c r="AK64" s="34">
        <f t="shared" si="33"/>
        <v>0</v>
      </c>
      <c r="AL64" s="34">
        <f t="shared" si="34"/>
        <v>0</v>
      </c>
      <c r="AM64" s="34">
        <f t="shared" si="35"/>
        <v>0</v>
      </c>
      <c r="AN64" s="34">
        <f t="shared" si="36"/>
        <v>0</v>
      </c>
      <c r="AO64" s="34">
        <f t="shared" si="37"/>
        <v>0</v>
      </c>
      <c r="AP64">
        <f t="shared" si="15"/>
        <v>1</v>
      </c>
      <c r="AQ64" s="652">
        <f t="shared" si="18"/>
        <v>1.1351351351351351</v>
      </c>
      <c r="AR64" s="652">
        <f t="shared" si="19"/>
        <v>9.4594594594594586E-2</v>
      </c>
      <c r="AS64" s="652">
        <f t="shared" si="39"/>
        <v>9.4594594594594586E-2</v>
      </c>
      <c r="AT64" s="652">
        <f t="shared" si="39"/>
        <v>9.4594594594594586E-2</v>
      </c>
      <c r="AU64" s="652">
        <f t="shared" si="39"/>
        <v>9.4594594594594586E-2</v>
      </c>
      <c r="AV64" s="652">
        <f t="shared" si="39"/>
        <v>9.4594594594594586E-2</v>
      </c>
      <c r="AW64" s="652">
        <f t="shared" si="39"/>
        <v>9.4594594594594586E-2</v>
      </c>
      <c r="AX64" s="652">
        <f t="shared" si="39"/>
        <v>9.4594594594594586E-2</v>
      </c>
      <c r="AY64" s="652">
        <f t="shared" si="39"/>
        <v>9.4594594594594586E-2</v>
      </c>
      <c r="AZ64" s="652">
        <f t="shared" si="39"/>
        <v>9.4594594594594586E-2</v>
      </c>
      <c r="BA64" s="652">
        <f t="shared" si="39"/>
        <v>9.4594594594594586E-2</v>
      </c>
      <c r="BB64" s="652">
        <f t="shared" si="39"/>
        <v>9.4594594594594586E-2</v>
      </c>
      <c r="BC64" s="652">
        <f t="shared" si="39"/>
        <v>9.4594594594594586E-2</v>
      </c>
    </row>
    <row r="65" spans="1:55">
      <c r="A65" s="175" t="str">
        <f>+'Tech 2026'!A12</f>
        <v>SAPI</v>
      </c>
      <c r="B65" s="175" t="str">
        <f>+'Tech 2026'!B12</f>
        <v>TEC</v>
      </c>
      <c r="C65" s="175" t="str">
        <f>+'Tech 2026'!C12</f>
        <v>Mariana Kalifa</v>
      </c>
      <c r="D65" s="175" t="str">
        <f>+'Tech 2026'!D12</f>
        <v>Tools</v>
      </c>
      <c r="E65" s="175" t="str">
        <f>+'Tech 2026'!E12</f>
        <v>Postman</v>
      </c>
      <c r="F65" s="175" t="str">
        <f>+'Tech 2026'!F12</f>
        <v>336 anuales agosto</v>
      </c>
      <c r="G65" s="175" t="str">
        <f>+'Tech 2026'!G12</f>
        <v>Jeeves</v>
      </c>
      <c r="H65" s="175" t="str">
        <f>+'Tech 2026'!H12</f>
        <v>Affiliates JVS 0864</v>
      </c>
      <c r="I65" s="175" t="str">
        <f>+'Tech 2026'!I12</f>
        <v>Product &amp; Tech JVS - 4145</v>
      </c>
      <c r="J65" s="175" t="str">
        <f>+'Tech 2026'!J12</f>
        <v>603.64.001</v>
      </c>
      <c r="K65" s="175" t="str">
        <f>+'Tech 2026'!K12</f>
        <v>Servicios de Informatica</v>
      </c>
      <c r="L65" s="175" t="str">
        <f>+'Tech 2026'!L12</f>
        <v>Servicios</v>
      </c>
      <c r="M65" s="175" t="str">
        <f>+'Tech 2026'!M12</f>
        <v>USD</v>
      </c>
      <c r="N65" s="175">
        <f>+'Tech 2026'!N12</f>
        <v>336</v>
      </c>
      <c r="O65" s="175">
        <f>+'Tech 2026'!O12</f>
        <v>336</v>
      </c>
      <c r="P65" s="175">
        <f>+'Tech 2026'!P12</f>
        <v>0</v>
      </c>
      <c r="Q65" s="175">
        <f>+'Tech 2026'!Q12</f>
        <v>0</v>
      </c>
      <c r="R65" s="175">
        <f>+'Tech 2026'!R12</f>
        <v>0</v>
      </c>
      <c r="S65" s="175">
        <f>+'Tech 2026'!S12</f>
        <v>0</v>
      </c>
      <c r="T65" s="175">
        <f>+'Tech 2026'!T12</f>
        <v>0</v>
      </c>
      <c r="U65" s="175">
        <f>+'Tech 2026'!U12</f>
        <v>0</v>
      </c>
      <c r="V65" s="175">
        <f>+'Tech 2026'!V12</f>
        <v>0</v>
      </c>
      <c r="W65" s="175">
        <f>+'Tech 2026'!W12</f>
        <v>336</v>
      </c>
      <c r="X65" s="175">
        <f>+'Tech 2026'!X12</f>
        <v>0</v>
      </c>
      <c r="Y65" s="175">
        <f>+'Tech 2026'!Y12</f>
        <v>0</v>
      </c>
      <c r="Z65" s="175">
        <f>+'Tech 2026'!Z12</f>
        <v>0</v>
      </c>
      <c r="AA65" s="175">
        <f>+'Tech 2026'!AA12</f>
        <v>0</v>
      </c>
      <c r="AB65">
        <f t="shared" si="25"/>
        <v>1</v>
      </c>
      <c r="AC65" s="34">
        <f t="shared" si="38"/>
        <v>336</v>
      </c>
      <c r="AD65" s="34">
        <f t="shared" si="26"/>
        <v>0</v>
      </c>
      <c r="AE65" s="34">
        <f t="shared" si="27"/>
        <v>0</v>
      </c>
      <c r="AF65" s="34">
        <f t="shared" si="28"/>
        <v>0</v>
      </c>
      <c r="AG65" s="34">
        <f t="shared" si="29"/>
        <v>0</v>
      </c>
      <c r="AH65" s="34">
        <f t="shared" si="30"/>
        <v>0</v>
      </c>
      <c r="AI65" s="34">
        <f t="shared" si="31"/>
        <v>0</v>
      </c>
      <c r="AJ65" s="34">
        <f t="shared" si="32"/>
        <v>0</v>
      </c>
      <c r="AK65" s="34">
        <f t="shared" si="33"/>
        <v>336</v>
      </c>
      <c r="AL65" s="34">
        <f t="shared" si="34"/>
        <v>0</v>
      </c>
      <c r="AM65" s="34">
        <f t="shared" si="35"/>
        <v>0</v>
      </c>
      <c r="AN65" s="34">
        <f t="shared" si="36"/>
        <v>0</v>
      </c>
      <c r="AO65" s="34">
        <f t="shared" si="37"/>
        <v>0</v>
      </c>
      <c r="AP65">
        <f t="shared" si="15"/>
        <v>1</v>
      </c>
      <c r="AQ65" s="652">
        <f t="shared" si="18"/>
        <v>336</v>
      </c>
      <c r="AR65" s="652">
        <f t="shared" si="19"/>
        <v>28</v>
      </c>
      <c r="AS65" s="652">
        <f t="shared" si="39"/>
        <v>28</v>
      </c>
      <c r="AT65" s="652">
        <f t="shared" si="39"/>
        <v>28</v>
      </c>
      <c r="AU65" s="652">
        <f t="shared" si="39"/>
        <v>28</v>
      </c>
      <c r="AV65" s="652">
        <f t="shared" si="39"/>
        <v>28</v>
      </c>
      <c r="AW65" s="652">
        <f t="shared" si="39"/>
        <v>28</v>
      </c>
      <c r="AX65" s="652">
        <f t="shared" si="39"/>
        <v>28</v>
      </c>
      <c r="AY65" s="652">
        <f t="shared" si="39"/>
        <v>28</v>
      </c>
      <c r="AZ65" s="652">
        <f t="shared" si="39"/>
        <v>28</v>
      </c>
      <c r="BA65" s="652">
        <f t="shared" si="39"/>
        <v>28</v>
      </c>
      <c r="BB65" s="652">
        <f t="shared" si="39"/>
        <v>28</v>
      </c>
      <c r="BC65" s="652">
        <f t="shared" si="39"/>
        <v>28</v>
      </c>
    </row>
    <row r="66" spans="1:55">
      <c r="A66" s="175" t="str">
        <f>+'Tech 2026'!A13</f>
        <v>INC</v>
      </c>
      <c r="B66" s="175" t="str">
        <f>+'Tech 2026'!B13</f>
        <v>TEC</v>
      </c>
      <c r="C66" s="175" t="str">
        <f>+'Tech 2026'!C13</f>
        <v>Mariana Kalifa</v>
      </c>
      <c r="D66" s="175" t="str">
        <f>+'Tech 2026'!D13</f>
        <v>Tools</v>
      </c>
      <c r="E66" s="175" t="str">
        <f>+'Tech 2026'!E13</f>
        <v>Rollbar</v>
      </c>
      <c r="F66" s="175" t="str">
        <f>+'Tech 2026'!F13</f>
        <v>100,000 events per month por 49 a month</v>
      </c>
      <c r="G66" s="175" t="str">
        <f>+'Tech 2026'!G13</f>
        <v>Brex</v>
      </c>
      <c r="H66" s="175" t="str">
        <f>+'Tech 2026'!H13</f>
        <v>BREX 7440 - Luis Garza</v>
      </c>
      <c r="I66" s="175" t="str">
        <f>+'Tech 2026'!I13</f>
        <v>N/A</v>
      </c>
      <c r="J66" s="175" t="str">
        <f>+'Tech 2026'!J13</f>
        <v>603.64.001</v>
      </c>
      <c r="K66" s="175" t="str">
        <f>+'Tech 2026'!K13</f>
        <v>Servicios de Informatica</v>
      </c>
      <c r="L66" s="175" t="str">
        <f>+'Tech 2026'!L13</f>
        <v>Servicios</v>
      </c>
      <c r="M66" s="175" t="str">
        <f>+'Tech 2026'!M13</f>
        <v>USD</v>
      </c>
      <c r="N66" s="175">
        <f>+'Tech 2026'!N13</f>
        <v>588</v>
      </c>
      <c r="O66" s="175">
        <f>+'Tech 2026'!O13</f>
        <v>588</v>
      </c>
      <c r="P66" s="175">
        <f>+'Tech 2026'!P13</f>
        <v>49</v>
      </c>
      <c r="Q66" s="175">
        <f>+'Tech 2026'!Q13</f>
        <v>49</v>
      </c>
      <c r="R66" s="175">
        <f>+'Tech 2026'!R13</f>
        <v>49</v>
      </c>
      <c r="S66" s="175">
        <f>+'Tech 2026'!S13</f>
        <v>49</v>
      </c>
      <c r="T66" s="175">
        <f>+'Tech 2026'!T13</f>
        <v>49</v>
      </c>
      <c r="U66" s="175">
        <f>+'Tech 2026'!U13</f>
        <v>49</v>
      </c>
      <c r="V66" s="175">
        <f>+'Tech 2026'!V13</f>
        <v>49</v>
      </c>
      <c r="W66" s="175">
        <f>+'Tech 2026'!W13</f>
        <v>49</v>
      </c>
      <c r="X66" s="175">
        <f>+'Tech 2026'!X13</f>
        <v>49</v>
      </c>
      <c r="Y66" s="175">
        <f>+'Tech 2026'!Y13</f>
        <v>49</v>
      </c>
      <c r="Z66" s="175">
        <f>+'Tech 2026'!Z13</f>
        <v>49</v>
      </c>
      <c r="AA66" s="175">
        <f>+'Tech 2026'!AA13</f>
        <v>49</v>
      </c>
      <c r="AB66">
        <f t="shared" si="25"/>
        <v>1</v>
      </c>
      <c r="AC66" s="34">
        <f t="shared" si="38"/>
        <v>588</v>
      </c>
      <c r="AD66" s="34">
        <f t="shared" si="26"/>
        <v>49</v>
      </c>
      <c r="AE66" s="34">
        <f t="shared" si="27"/>
        <v>49</v>
      </c>
      <c r="AF66" s="34">
        <f t="shared" si="28"/>
        <v>49</v>
      </c>
      <c r="AG66" s="34">
        <f t="shared" si="29"/>
        <v>49</v>
      </c>
      <c r="AH66" s="34">
        <f t="shared" si="30"/>
        <v>49</v>
      </c>
      <c r="AI66" s="34">
        <f t="shared" si="31"/>
        <v>49</v>
      </c>
      <c r="AJ66" s="34">
        <f t="shared" si="32"/>
        <v>49</v>
      </c>
      <c r="AK66" s="34">
        <f t="shared" si="33"/>
        <v>49</v>
      </c>
      <c r="AL66" s="34">
        <f t="shared" si="34"/>
        <v>49</v>
      </c>
      <c r="AM66" s="34">
        <f t="shared" si="35"/>
        <v>49</v>
      </c>
      <c r="AN66" s="34">
        <f t="shared" si="36"/>
        <v>49</v>
      </c>
      <c r="AO66" s="34">
        <f t="shared" si="37"/>
        <v>49</v>
      </c>
      <c r="AP66">
        <f t="shared" si="15"/>
        <v>1</v>
      </c>
      <c r="AQ66" s="652">
        <f t="shared" si="18"/>
        <v>588</v>
      </c>
      <c r="AR66" s="652">
        <f t="shared" si="19"/>
        <v>49</v>
      </c>
      <c r="AS66" s="652">
        <f t="shared" si="39"/>
        <v>49</v>
      </c>
      <c r="AT66" s="652">
        <f t="shared" si="39"/>
        <v>49</v>
      </c>
      <c r="AU66" s="652">
        <f t="shared" si="39"/>
        <v>49</v>
      </c>
      <c r="AV66" s="652">
        <f t="shared" si="39"/>
        <v>49</v>
      </c>
      <c r="AW66" s="652">
        <f t="shared" si="39"/>
        <v>49</v>
      </c>
      <c r="AX66" s="652">
        <f t="shared" si="39"/>
        <v>49</v>
      </c>
      <c r="AY66" s="652">
        <f t="shared" si="39"/>
        <v>49</v>
      </c>
      <c r="AZ66" s="652">
        <f t="shared" si="39"/>
        <v>49</v>
      </c>
      <c r="BA66" s="652">
        <f t="shared" si="39"/>
        <v>49</v>
      </c>
      <c r="BB66" s="652">
        <f t="shared" si="39"/>
        <v>49</v>
      </c>
      <c r="BC66" s="652">
        <f t="shared" si="39"/>
        <v>49</v>
      </c>
    </row>
    <row r="67" spans="1:55">
      <c r="A67" s="175" t="str">
        <f>+'Tech 2026'!A14</f>
        <v>SAPI</v>
      </c>
      <c r="B67" s="175" t="str">
        <f>+'Tech 2026'!B14</f>
        <v>TEC</v>
      </c>
      <c r="C67" s="175" t="str">
        <f>+'Tech 2026'!C14</f>
        <v>Mariana Kalifa</v>
      </c>
      <c r="D67" s="175" t="str">
        <f>+'Tech 2026'!D14</f>
        <v>Tools</v>
      </c>
      <c r="E67" s="175" t="str">
        <f>+'Tech 2026'!E14</f>
        <v xml:space="preserve">Hevo </v>
      </c>
      <c r="F67" s="175" t="str">
        <f>+'Tech 2026'!F14</f>
        <v>2 pagos semestrales de 6,864 (200M events a month)</v>
      </c>
      <c r="G67" s="175" t="str">
        <f>+'Tech 2026'!G14</f>
        <v>Jeeves</v>
      </c>
      <c r="H67" s="175" t="str">
        <f>+'Tech 2026'!H14</f>
        <v>PRO&amp;TECH 7811</v>
      </c>
      <c r="I67" s="175" t="str">
        <f>+'Tech 2026'!I14</f>
        <v>Product &amp; Tech JVS - 4145</v>
      </c>
      <c r="J67" s="175" t="str">
        <f>+'Tech 2026'!J14</f>
        <v>603.64.001</v>
      </c>
      <c r="K67" s="175" t="str">
        <f>+'Tech 2026'!K14</f>
        <v>Servicios de Informatica</v>
      </c>
      <c r="L67" s="175" t="str">
        <f>+'Tech 2026'!L14</f>
        <v>Servicios</v>
      </c>
      <c r="M67" s="175" t="str">
        <f>+'Tech 2026'!M14</f>
        <v>USD</v>
      </c>
      <c r="N67" s="175">
        <f>+'Tech 2026'!N14</f>
        <v>13728</v>
      </c>
      <c r="O67" s="175">
        <f>+'Tech 2026'!O14</f>
        <v>13728</v>
      </c>
      <c r="P67" s="175">
        <f>+'Tech 2026'!P14</f>
        <v>0</v>
      </c>
      <c r="Q67" s="175">
        <f>+'Tech 2026'!Q14</f>
        <v>6864</v>
      </c>
      <c r="R67" s="175">
        <f>+'Tech 2026'!R14</f>
        <v>0</v>
      </c>
      <c r="S67" s="175">
        <f>+'Tech 2026'!S14</f>
        <v>0</v>
      </c>
      <c r="T67" s="175">
        <f>+'Tech 2026'!T14</f>
        <v>0</v>
      </c>
      <c r="U67" s="175">
        <f>+'Tech 2026'!U14</f>
        <v>0</v>
      </c>
      <c r="V67" s="175">
        <f>+'Tech 2026'!V14</f>
        <v>0</v>
      </c>
      <c r="W67" s="175">
        <f>+'Tech 2026'!W14</f>
        <v>6864</v>
      </c>
      <c r="X67" s="175">
        <f>+'Tech 2026'!X14</f>
        <v>0</v>
      </c>
      <c r="Y67" s="175">
        <f>+'Tech 2026'!Y14</f>
        <v>0</v>
      </c>
      <c r="Z67" s="175">
        <f>+'Tech 2026'!Z14</f>
        <v>0</v>
      </c>
      <c r="AA67" s="175">
        <f>+'Tech 2026'!AA14</f>
        <v>0</v>
      </c>
      <c r="AB67">
        <f t="shared" si="25"/>
        <v>1</v>
      </c>
      <c r="AC67" s="34">
        <f t="shared" si="38"/>
        <v>13728</v>
      </c>
      <c r="AD67" s="34">
        <f t="shared" si="26"/>
        <v>0</v>
      </c>
      <c r="AE67" s="34">
        <f t="shared" si="27"/>
        <v>6864</v>
      </c>
      <c r="AF67" s="34">
        <f t="shared" si="28"/>
        <v>0</v>
      </c>
      <c r="AG67" s="34">
        <f t="shared" si="29"/>
        <v>0</v>
      </c>
      <c r="AH67" s="34">
        <f t="shared" si="30"/>
        <v>0</v>
      </c>
      <c r="AI67" s="34">
        <f t="shared" si="31"/>
        <v>0</v>
      </c>
      <c r="AJ67" s="34">
        <f t="shared" si="32"/>
        <v>0</v>
      </c>
      <c r="AK67" s="34">
        <f t="shared" si="33"/>
        <v>6864</v>
      </c>
      <c r="AL67" s="34">
        <f t="shared" si="34"/>
        <v>0</v>
      </c>
      <c r="AM67" s="34">
        <f t="shared" si="35"/>
        <v>0</v>
      </c>
      <c r="AN67" s="34">
        <f t="shared" si="36"/>
        <v>0</v>
      </c>
      <c r="AO67" s="34">
        <f t="shared" si="37"/>
        <v>0</v>
      </c>
      <c r="AP67">
        <f t="shared" si="15"/>
        <v>1</v>
      </c>
      <c r="AQ67" s="652">
        <f t="shared" si="18"/>
        <v>13728</v>
      </c>
      <c r="AR67" s="652">
        <f t="shared" si="19"/>
        <v>1144</v>
      </c>
      <c r="AS67" s="652">
        <f t="shared" si="39"/>
        <v>1144</v>
      </c>
      <c r="AT67" s="652">
        <f t="shared" si="39"/>
        <v>1144</v>
      </c>
      <c r="AU67" s="652">
        <f t="shared" si="39"/>
        <v>1144</v>
      </c>
      <c r="AV67" s="652">
        <f t="shared" si="39"/>
        <v>1144</v>
      </c>
      <c r="AW67" s="652">
        <f t="shared" si="39"/>
        <v>1144</v>
      </c>
      <c r="AX67" s="652">
        <f t="shared" si="39"/>
        <v>1144</v>
      </c>
      <c r="AY67" s="652">
        <f t="shared" si="39"/>
        <v>1144</v>
      </c>
      <c r="AZ67" s="652">
        <f t="shared" si="39"/>
        <v>1144</v>
      </c>
      <c r="BA67" s="652">
        <f t="shared" si="39"/>
        <v>1144</v>
      </c>
      <c r="BB67" s="652">
        <f t="shared" si="39"/>
        <v>1144</v>
      </c>
      <c r="BC67" s="652">
        <f t="shared" si="39"/>
        <v>1144</v>
      </c>
    </row>
    <row r="68" spans="1:55">
      <c r="A68" s="175" t="str">
        <f>+'Tech 2026'!A15</f>
        <v>SAPI</v>
      </c>
      <c r="B68" s="175" t="str">
        <f>+'Tech 2026'!B15</f>
        <v>TEC</v>
      </c>
      <c r="C68" s="175" t="str">
        <f>+'Tech 2026'!C15</f>
        <v>Mariana Kalifa</v>
      </c>
      <c r="D68" s="175" t="str">
        <f>+'Tech 2026'!D15</f>
        <v>Tools</v>
      </c>
      <c r="E68" s="175" t="str">
        <f>+'Tech 2026'!E15</f>
        <v>Algolia</v>
      </c>
      <c r="F68" s="175" t="str">
        <f>+'Tech 2026'!F15</f>
        <v>Variable dependiendo de usabilidad (entre 10-14 usd) OJO esto se debe de reemplazar con el costo de chat gpt ya que liberemos search y el costo de chat va a subir</v>
      </c>
      <c r="G68" s="175" t="str">
        <f>+'Tech 2026'!G15</f>
        <v>Jeeves</v>
      </c>
      <c r="H68" s="175" t="str">
        <f>+'Tech 2026'!H15</f>
        <v>Algolia</v>
      </c>
      <c r="I68" s="175" t="str">
        <f>+'Tech 2026'!I15</f>
        <v>Product &amp; Tech JVS - 4145</v>
      </c>
      <c r="J68" s="175" t="str">
        <f>+'Tech 2026'!J15</f>
        <v>603.64.001</v>
      </c>
      <c r="K68" s="175" t="str">
        <f>+'Tech 2026'!K15</f>
        <v>Servicios de Informatica</v>
      </c>
      <c r="L68" s="175" t="str">
        <f>+'Tech 2026'!L15</f>
        <v>Servicios</v>
      </c>
      <c r="M68" s="175" t="str">
        <f>+'Tech 2026'!M15</f>
        <v>USD</v>
      </c>
      <c r="N68" s="175">
        <f>+'Tech 2026'!N15</f>
        <v>120</v>
      </c>
      <c r="O68" s="175">
        <f>+'Tech 2026'!O15</f>
        <v>120</v>
      </c>
      <c r="P68" s="175">
        <f>+'Tech 2026'!P15</f>
        <v>10</v>
      </c>
      <c r="Q68" s="175">
        <f>+'Tech 2026'!Q15</f>
        <v>10</v>
      </c>
      <c r="R68" s="175">
        <f>+'Tech 2026'!R15</f>
        <v>10</v>
      </c>
      <c r="S68" s="175">
        <f>+'Tech 2026'!S15</f>
        <v>10</v>
      </c>
      <c r="T68" s="175">
        <f>+'Tech 2026'!T15</f>
        <v>10</v>
      </c>
      <c r="U68" s="175">
        <f>+'Tech 2026'!U15</f>
        <v>10</v>
      </c>
      <c r="V68" s="175">
        <f>+'Tech 2026'!V15</f>
        <v>10</v>
      </c>
      <c r="W68" s="175">
        <f>+'Tech 2026'!W15</f>
        <v>10</v>
      </c>
      <c r="X68" s="175">
        <f>+'Tech 2026'!X15</f>
        <v>10</v>
      </c>
      <c r="Y68" s="175">
        <f>+'Tech 2026'!Y15</f>
        <v>10</v>
      </c>
      <c r="Z68" s="175">
        <f>+'Tech 2026'!Z15</f>
        <v>10</v>
      </c>
      <c r="AA68" s="175">
        <f>+'Tech 2026'!AA15</f>
        <v>10</v>
      </c>
      <c r="AB68">
        <f t="shared" si="25"/>
        <v>1</v>
      </c>
      <c r="AC68" s="34">
        <f t="shared" si="38"/>
        <v>120</v>
      </c>
      <c r="AD68" s="34">
        <f t="shared" si="26"/>
        <v>10</v>
      </c>
      <c r="AE68" s="34">
        <f t="shared" si="27"/>
        <v>10</v>
      </c>
      <c r="AF68" s="34">
        <f t="shared" si="28"/>
        <v>10</v>
      </c>
      <c r="AG68" s="34">
        <f t="shared" si="29"/>
        <v>10</v>
      </c>
      <c r="AH68" s="34">
        <f t="shared" si="30"/>
        <v>10</v>
      </c>
      <c r="AI68" s="34">
        <f t="shared" si="31"/>
        <v>10</v>
      </c>
      <c r="AJ68" s="34">
        <f t="shared" si="32"/>
        <v>10</v>
      </c>
      <c r="AK68" s="34">
        <f t="shared" si="33"/>
        <v>10</v>
      </c>
      <c r="AL68" s="34">
        <f t="shared" si="34"/>
        <v>10</v>
      </c>
      <c r="AM68" s="34">
        <f t="shared" si="35"/>
        <v>10</v>
      </c>
      <c r="AN68" s="34">
        <f t="shared" si="36"/>
        <v>10</v>
      </c>
      <c r="AO68" s="34">
        <f t="shared" si="37"/>
        <v>10</v>
      </c>
      <c r="AP68">
        <f t="shared" si="15"/>
        <v>1</v>
      </c>
      <c r="AQ68" s="652">
        <f t="shared" si="18"/>
        <v>120</v>
      </c>
      <c r="AR68" s="652">
        <f t="shared" si="19"/>
        <v>10</v>
      </c>
      <c r="AS68" s="652">
        <f t="shared" si="39"/>
        <v>10</v>
      </c>
      <c r="AT68" s="652">
        <f t="shared" si="39"/>
        <v>10</v>
      </c>
      <c r="AU68" s="652">
        <f t="shared" si="39"/>
        <v>10</v>
      </c>
      <c r="AV68" s="652">
        <f t="shared" si="39"/>
        <v>10</v>
      </c>
      <c r="AW68" s="652">
        <f t="shared" si="39"/>
        <v>10</v>
      </c>
      <c r="AX68" s="652">
        <f t="shared" si="39"/>
        <v>10</v>
      </c>
      <c r="AY68" s="652">
        <f t="shared" si="39"/>
        <v>10</v>
      </c>
      <c r="AZ68" s="652">
        <f t="shared" si="39"/>
        <v>10</v>
      </c>
      <c r="BA68" s="652">
        <f t="shared" si="39"/>
        <v>10</v>
      </c>
      <c r="BB68" s="652">
        <f t="shared" si="39"/>
        <v>10</v>
      </c>
      <c r="BC68" s="652">
        <f t="shared" si="39"/>
        <v>10</v>
      </c>
    </row>
    <row r="69" spans="1:55">
      <c r="A69" s="175" t="str">
        <f>+'Tech 2026'!A16</f>
        <v>SAPI</v>
      </c>
      <c r="B69" s="175" t="str">
        <f>+'Tech 2026'!B16</f>
        <v>TEC</v>
      </c>
      <c r="C69" s="175" t="str">
        <f>+'Tech 2026'!C16</f>
        <v>Mariana Kalifa</v>
      </c>
      <c r="D69" s="175" t="str">
        <f>+'Tech 2026'!D16</f>
        <v>Tools</v>
      </c>
      <c r="E69" s="175" t="str">
        <f>+'Tech 2026'!E16</f>
        <v>Github/Copilot</v>
      </c>
      <c r="F69" s="175" t="str">
        <f>+'Tech 2026'!F16</f>
        <v>Se paga Copiot 10 usd al mes</v>
      </c>
      <c r="G69" s="175" t="str">
        <f>+'Tech 2026'!G16</f>
        <v>Jeeves</v>
      </c>
      <c r="H69" s="175" t="str">
        <f>+'Tech 2026'!H16</f>
        <v>PRO&amp;TECH 7811</v>
      </c>
      <c r="I69" s="175" t="str">
        <f>+'Tech 2026'!I16</f>
        <v>Product &amp; Tech JVS - 4145</v>
      </c>
      <c r="J69" s="175" t="str">
        <f>+'Tech 2026'!J16</f>
        <v>603.64.001</v>
      </c>
      <c r="K69" s="175" t="str">
        <f>+'Tech 2026'!K16</f>
        <v>Servicios de Informatica</v>
      </c>
      <c r="L69" s="175" t="str">
        <f>+'Tech 2026'!L16</f>
        <v>Servicios</v>
      </c>
      <c r="M69" s="175" t="str">
        <f>+'Tech 2026'!M16</f>
        <v>USD</v>
      </c>
      <c r="N69" s="175">
        <f>+'Tech 2026'!N16</f>
        <v>120</v>
      </c>
      <c r="O69" s="175">
        <f>+'Tech 2026'!O16</f>
        <v>120</v>
      </c>
      <c r="P69" s="175">
        <f>+'Tech 2026'!P16</f>
        <v>10</v>
      </c>
      <c r="Q69" s="175">
        <f>+'Tech 2026'!Q16</f>
        <v>10</v>
      </c>
      <c r="R69" s="175">
        <f>+'Tech 2026'!R16</f>
        <v>10</v>
      </c>
      <c r="S69" s="175">
        <f>+'Tech 2026'!S16</f>
        <v>10</v>
      </c>
      <c r="T69" s="175">
        <f>+'Tech 2026'!T16</f>
        <v>10</v>
      </c>
      <c r="U69" s="175">
        <f>+'Tech 2026'!U16</f>
        <v>10</v>
      </c>
      <c r="V69" s="175">
        <f>+'Tech 2026'!V16</f>
        <v>10</v>
      </c>
      <c r="W69" s="175">
        <f>+'Tech 2026'!W16</f>
        <v>10</v>
      </c>
      <c r="X69" s="175">
        <f>+'Tech 2026'!X16</f>
        <v>10</v>
      </c>
      <c r="Y69" s="175">
        <f>+'Tech 2026'!Y16</f>
        <v>10</v>
      </c>
      <c r="Z69" s="175">
        <f>+'Tech 2026'!Z16</f>
        <v>10</v>
      </c>
      <c r="AA69" s="175">
        <f>+'Tech 2026'!AA16</f>
        <v>10</v>
      </c>
      <c r="AB69">
        <f t="shared" si="25"/>
        <v>1</v>
      </c>
      <c r="AC69" s="34">
        <f t="shared" si="38"/>
        <v>120</v>
      </c>
      <c r="AD69" s="34">
        <f t="shared" si="26"/>
        <v>10</v>
      </c>
      <c r="AE69" s="34">
        <f t="shared" si="27"/>
        <v>10</v>
      </c>
      <c r="AF69" s="34">
        <f t="shared" si="28"/>
        <v>10</v>
      </c>
      <c r="AG69" s="34">
        <f t="shared" si="29"/>
        <v>10</v>
      </c>
      <c r="AH69" s="34">
        <f t="shared" si="30"/>
        <v>10</v>
      </c>
      <c r="AI69" s="34">
        <f t="shared" si="31"/>
        <v>10</v>
      </c>
      <c r="AJ69" s="34">
        <f t="shared" si="32"/>
        <v>10</v>
      </c>
      <c r="AK69" s="34">
        <f t="shared" si="33"/>
        <v>10</v>
      </c>
      <c r="AL69" s="34">
        <f t="shared" si="34"/>
        <v>10</v>
      </c>
      <c r="AM69" s="34">
        <f t="shared" si="35"/>
        <v>10</v>
      </c>
      <c r="AN69" s="34">
        <f t="shared" si="36"/>
        <v>10</v>
      </c>
      <c r="AO69" s="34">
        <f t="shared" si="37"/>
        <v>10</v>
      </c>
      <c r="AP69">
        <f t="shared" si="15"/>
        <v>1</v>
      </c>
      <c r="AQ69" s="652">
        <f t="shared" si="18"/>
        <v>120</v>
      </c>
      <c r="AR69" s="652">
        <f t="shared" si="19"/>
        <v>10</v>
      </c>
      <c r="AS69" s="652">
        <f t="shared" si="39"/>
        <v>10</v>
      </c>
      <c r="AT69" s="652">
        <f t="shared" si="39"/>
        <v>10</v>
      </c>
      <c r="AU69" s="652">
        <f t="shared" si="39"/>
        <v>10</v>
      </c>
      <c r="AV69" s="652">
        <f t="shared" si="39"/>
        <v>10</v>
      </c>
      <c r="AW69" s="652">
        <f t="shared" si="39"/>
        <v>10</v>
      </c>
      <c r="AX69" s="652">
        <f t="shared" si="39"/>
        <v>10</v>
      </c>
      <c r="AY69" s="652">
        <f t="shared" si="39"/>
        <v>10</v>
      </c>
      <c r="AZ69" s="652">
        <f t="shared" si="39"/>
        <v>10</v>
      </c>
      <c r="BA69" s="652">
        <f t="shared" si="39"/>
        <v>10</v>
      </c>
      <c r="BB69" s="652">
        <f t="shared" si="39"/>
        <v>10</v>
      </c>
      <c r="BC69" s="652">
        <f t="shared" si="39"/>
        <v>10</v>
      </c>
    </row>
    <row r="70" spans="1:55">
      <c r="A70" s="175" t="str">
        <f>+'Tech 2026'!A19</f>
        <v>SAPI</v>
      </c>
      <c r="B70" s="175" t="str">
        <f>+'Tech 2026'!B19</f>
        <v>TEC</v>
      </c>
      <c r="C70" s="175" t="str">
        <f>+'Tech 2026'!C19</f>
        <v>Mariana Kalifa</v>
      </c>
      <c r="D70" s="175" t="str">
        <f>+'Tech 2026'!D19</f>
        <v>Payroll</v>
      </c>
      <c r="E70" s="175" t="str">
        <f>+'Tech 2026'!E19</f>
        <v>Coba Reyes, Luis</v>
      </c>
      <c r="F70" s="175" t="str">
        <f>+'Tech 2026'!F19</f>
        <v>Jr. Back-End Developer</v>
      </c>
      <c r="G70" s="175" t="str">
        <f>+'Tech 2026'!G19</f>
        <v>QS Payroll</v>
      </c>
      <c r="H70" s="175">
        <f>+'Tech 2026'!H19</f>
        <v>0</v>
      </c>
      <c r="I70" s="175">
        <f>+'Tech 2026'!I19</f>
        <v>0</v>
      </c>
      <c r="J70" s="175" t="str">
        <f>+'Tech 2026'!J19</f>
        <v>603.01.001</v>
      </c>
      <c r="K70" s="175" t="str">
        <f>+'Tech 2026'!K19</f>
        <v>Sueldos y salarios</v>
      </c>
      <c r="L70" s="175" t="str">
        <f>+'Tech 2026'!L19</f>
        <v>Sueldos y Salarios</v>
      </c>
      <c r="M70" s="175" t="str">
        <f>+'Tech 2026'!M19</f>
        <v>MXN</v>
      </c>
      <c r="N70" s="34">
        <f>+'Tech 2026'!N19</f>
        <v>24032.432432432433</v>
      </c>
      <c r="O70" s="34">
        <f>+'Tech 2026'!O19</f>
        <v>444600</v>
      </c>
      <c r="P70" s="34">
        <f>+'Tech 2026'!P19</f>
        <v>36000</v>
      </c>
      <c r="Q70" s="34">
        <f>+'Tech 2026'!Q19</f>
        <v>36000</v>
      </c>
      <c r="R70" s="34">
        <f>+'Tech 2026'!R19</f>
        <v>36000</v>
      </c>
      <c r="S70" s="34">
        <f>+'Tech 2026'!S19</f>
        <v>36000</v>
      </c>
      <c r="T70" s="34">
        <f>+'Tech 2026'!T19</f>
        <v>36000</v>
      </c>
      <c r="U70" s="34">
        <f>+'Tech 2026'!U19</f>
        <v>37800</v>
      </c>
      <c r="V70" s="34">
        <f>+'Tech 2026'!V19</f>
        <v>37800</v>
      </c>
      <c r="W70" s="34">
        <f>+'Tech 2026'!W19</f>
        <v>37800</v>
      </c>
      <c r="X70" s="34">
        <f>+'Tech 2026'!X19</f>
        <v>37800</v>
      </c>
      <c r="Y70" s="34">
        <f>+'Tech 2026'!Y19</f>
        <v>37800</v>
      </c>
      <c r="Z70" s="34">
        <f>+'Tech 2026'!Z19</f>
        <v>37800</v>
      </c>
      <c r="AA70" s="34">
        <f>+'Tech 2026'!AA19</f>
        <v>37800</v>
      </c>
      <c r="AB70">
        <f t="shared" si="25"/>
        <v>1</v>
      </c>
      <c r="AC70" s="34">
        <f t="shared" si="38"/>
        <v>24032.432432432433</v>
      </c>
      <c r="AD70" s="34">
        <f t="shared" si="26"/>
        <v>1945.9459459459461</v>
      </c>
      <c r="AE70" s="34">
        <f t="shared" si="27"/>
        <v>1945.9459459459461</v>
      </c>
      <c r="AF70" s="34">
        <f t="shared" si="28"/>
        <v>1945.9459459459461</v>
      </c>
      <c r="AG70" s="34">
        <f t="shared" si="29"/>
        <v>1945.9459459459461</v>
      </c>
      <c r="AH70" s="34">
        <f t="shared" si="30"/>
        <v>1945.9459459459461</v>
      </c>
      <c r="AI70" s="34">
        <f t="shared" si="31"/>
        <v>2043.2432432432433</v>
      </c>
      <c r="AJ70" s="34">
        <f t="shared" si="32"/>
        <v>2043.2432432432433</v>
      </c>
      <c r="AK70" s="34">
        <f t="shared" si="33"/>
        <v>2043.2432432432433</v>
      </c>
      <c r="AL70" s="34">
        <f t="shared" si="34"/>
        <v>2043.2432432432433</v>
      </c>
      <c r="AM70" s="34">
        <f t="shared" si="35"/>
        <v>2043.2432432432433</v>
      </c>
      <c r="AN70" s="34">
        <f t="shared" si="36"/>
        <v>2043.2432432432433</v>
      </c>
      <c r="AO70" s="34">
        <f t="shared" si="37"/>
        <v>2043.2432432432433</v>
      </c>
      <c r="AP70">
        <f t="shared" si="15"/>
        <v>1</v>
      </c>
      <c r="AQ70" s="652">
        <f t="shared" si="18"/>
        <v>24032.432432432437</v>
      </c>
      <c r="AR70" s="652">
        <f t="shared" si="19"/>
        <v>2002.7027027027027</v>
      </c>
      <c r="AS70" s="652">
        <f t="shared" si="39"/>
        <v>2002.7027027027027</v>
      </c>
      <c r="AT70" s="652">
        <f t="shared" si="39"/>
        <v>2002.7027027027027</v>
      </c>
      <c r="AU70" s="652">
        <f t="shared" si="39"/>
        <v>2002.7027027027027</v>
      </c>
      <c r="AV70" s="652">
        <f t="shared" si="39"/>
        <v>2002.7027027027027</v>
      </c>
      <c r="AW70" s="652">
        <f t="shared" si="39"/>
        <v>2002.7027027027027</v>
      </c>
      <c r="AX70" s="652">
        <f t="shared" si="39"/>
        <v>2002.7027027027027</v>
      </c>
      <c r="AY70" s="652">
        <f t="shared" si="39"/>
        <v>2002.7027027027027</v>
      </c>
      <c r="AZ70" s="652">
        <f t="shared" si="39"/>
        <v>2002.7027027027027</v>
      </c>
      <c r="BA70" s="652">
        <f t="shared" si="39"/>
        <v>2002.7027027027027</v>
      </c>
      <c r="BB70" s="652">
        <f t="shared" si="39"/>
        <v>2002.7027027027027</v>
      </c>
      <c r="BC70" s="652">
        <f t="shared" si="39"/>
        <v>2002.7027027027027</v>
      </c>
    </row>
    <row r="71" spans="1:55">
      <c r="A71" s="175" t="str">
        <f>+'Tech 2026'!A20</f>
        <v>SAPI</v>
      </c>
      <c r="B71" s="175" t="str">
        <f>+'Tech 2026'!B20</f>
        <v>TEC</v>
      </c>
      <c r="C71" s="175" t="str">
        <f>+'Tech 2026'!C20</f>
        <v>Mariana Kalifa</v>
      </c>
      <c r="D71" s="175" t="str">
        <f>+'Tech 2026'!D20</f>
        <v>Payroll</v>
      </c>
      <c r="E71" s="175" t="str">
        <f>+'Tech 2026'!E20</f>
        <v>Juárez Negrete, Daniel Misael</v>
      </c>
      <c r="F71" s="175" t="str">
        <f>+'Tech 2026'!F20</f>
        <v>Backend Lead - Servers</v>
      </c>
      <c r="G71" s="175" t="str">
        <f>+'Tech 2026'!G20</f>
        <v>QS Payroll</v>
      </c>
      <c r="H71" s="175">
        <f>+'Tech 2026'!H20</f>
        <v>0</v>
      </c>
      <c r="I71" s="175">
        <f>+'Tech 2026'!I20</f>
        <v>0</v>
      </c>
      <c r="J71" s="175" t="str">
        <f>+'Tech 2026'!J20</f>
        <v>603.01.001</v>
      </c>
      <c r="K71" s="175" t="str">
        <f>+'Tech 2026'!K20</f>
        <v>Sueldos y salarios</v>
      </c>
      <c r="L71" s="175" t="str">
        <f>+'Tech 2026'!L20</f>
        <v>Sueldos y Salarios</v>
      </c>
      <c r="M71" s="175" t="str">
        <f>+'Tech 2026'!M20</f>
        <v>MXN</v>
      </c>
      <c r="N71" s="175">
        <f>+'Tech 2026'!N20</f>
        <v>41513.513513513513</v>
      </c>
      <c r="O71" s="175">
        <f>+'Tech 2026'!O20</f>
        <v>768000</v>
      </c>
      <c r="P71" s="175">
        <f>+'Tech 2026'!P20</f>
        <v>64000</v>
      </c>
      <c r="Q71" s="175">
        <f>+'Tech 2026'!Q20</f>
        <v>64000</v>
      </c>
      <c r="R71" s="175">
        <f>+'Tech 2026'!R20</f>
        <v>64000</v>
      </c>
      <c r="S71" s="175">
        <f>+'Tech 2026'!S20</f>
        <v>64000</v>
      </c>
      <c r="T71" s="175">
        <f>+'Tech 2026'!T20</f>
        <v>64000</v>
      </c>
      <c r="U71" s="175">
        <f>+'Tech 2026'!U20</f>
        <v>64000</v>
      </c>
      <c r="V71" s="175">
        <f>+'Tech 2026'!V20</f>
        <v>64000</v>
      </c>
      <c r="W71" s="175">
        <f>+'Tech 2026'!W20</f>
        <v>64000</v>
      </c>
      <c r="X71" s="175">
        <f>+'Tech 2026'!X20</f>
        <v>64000</v>
      </c>
      <c r="Y71" s="175">
        <f>+'Tech 2026'!Y20</f>
        <v>64000</v>
      </c>
      <c r="Z71" s="175">
        <f>+'Tech 2026'!Z20</f>
        <v>64000</v>
      </c>
      <c r="AA71" s="175">
        <f>+'Tech 2026'!AA20</f>
        <v>64000</v>
      </c>
      <c r="AB71">
        <f t="shared" ref="AB71:AB98" si="40">+IF(AC71=N71,1)</f>
        <v>1</v>
      </c>
      <c r="AC71" s="34">
        <f t="shared" si="38"/>
        <v>41513.513513513513</v>
      </c>
      <c r="AD71" s="34">
        <f t="shared" ref="AD71:AD102" si="41">+IF($M71="MXN",P71/$AC$2,IF($M71="BRL",P71/$AC$3,IF($M71="EUR",P71*$AC$1,P71)))</f>
        <v>3459.4594594594596</v>
      </c>
      <c r="AE71" s="34">
        <f t="shared" ref="AE71:AE102" si="42">+IF($M71="MXN",Q71/$AC$2,IF($M71="BRL",Q71/$AC$3,IF($M71="EUR",Q71*$AC$1,Q71)))</f>
        <v>3459.4594594594596</v>
      </c>
      <c r="AF71" s="34">
        <f t="shared" ref="AF71:AF102" si="43">+IF($M71="MXN",R71/$AC$2,IF($M71="BRL",R71/$AC$3,IF($M71="EUR",R71*$AC$1,R71)))</f>
        <v>3459.4594594594596</v>
      </c>
      <c r="AG71" s="34">
        <f t="shared" ref="AG71:AG102" si="44">+IF($M71="MXN",S71/$AC$2,IF($M71="BRL",S71/$AC$3,IF($M71="EUR",S71*$AC$1,S71)))</f>
        <v>3459.4594594594596</v>
      </c>
      <c r="AH71" s="34">
        <f t="shared" ref="AH71:AH102" si="45">+IF($M71="MXN",T71/$AC$2,IF($M71="BRL",T71/$AC$3,IF($M71="EUR",T71*$AC$1,T71)))</f>
        <v>3459.4594594594596</v>
      </c>
      <c r="AI71" s="34">
        <f t="shared" ref="AI71:AI102" si="46">+IF($M71="MXN",U71/$AC$2,IF($M71="BRL",U71/$AC$3,IF($M71="EUR",U71*$AC$1,U71)))</f>
        <v>3459.4594594594596</v>
      </c>
      <c r="AJ71" s="34">
        <f t="shared" ref="AJ71:AJ102" si="47">+IF($M71="MXN",V71/$AC$2,IF($M71="BRL",V71/$AC$3,IF($M71="EUR",V71*$AC$1,V71)))</f>
        <v>3459.4594594594596</v>
      </c>
      <c r="AK71" s="34">
        <f t="shared" ref="AK71:AK102" si="48">+IF($M71="MXN",W71/$AC$2,IF($M71="BRL",W71/$AC$3,IF($M71="EUR",W71*$AC$1,W71)))</f>
        <v>3459.4594594594596</v>
      </c>
      <c r="AL71" s="34">
        <f t="shared" ref="AL71:AL102" si="49">+IF($M71="MXN",X71/$AC$2,IF($M71="BRL",X71/$AC$3,IF($M71="EUR",X71*$AC$1,X71)))</f>
        <v>3459.4594594594596</v>
      </c>
      <c r="AM71" s="34">
        <f t="shared" ref="AM71:AM102" si="50">+IF($M71="MXN",Y71/$AC$2,IF($M71="BRL",Y71/$AC$3,IF($M71="EUR",Y71*$AC$1,Y71)))</f>
        <v>3459.4594594594596</v>
      </c>
      <c r="AN71" s="34">
        <f t="shared" ref="AN71:AN102" si="51">+IF($M71="MXN",Z71/$AC$2,IF($M71="BRL",Z71/$AC$3,IF($M71="EUR",Z71*$AC$1,Z71)))</f>
        <v>3459.4594594594596</v>
      </c>
      <c r="AO71" s="34">
        <f t="shared" ref="AO71:AO102" si="52">+IF($M71="MXN",AA71/$AC$2,IF($M71="BRL",AA71/$AC$3,IF($M71="EUR",AA71*$AC$1,AA71)))</f>
        <v>3459.4594594594596</v>
      </c>
      <c r="AP71">
        <f t="shared" ref="AP71:AP134" si="53">+IF(AQ71=N71,1)</f>
        <v>1</v>
      </c>
      <c r="AQ71" s="652">
        <f t="shared" si="18"/>
        <v>41513.513513513513</v>
      </c>
      <c r="AR71" s="652">
        <f t="shared" si="19"/>
        <v>3459.4594594594596</v>
      </c>
      <c r="AS71" s="652">
        <f t="shared" si="39"/>
        <v>3459.4594594594596</v>
      </c>
      <c r="AT71" s="652">
        <f t="shared" si="39"/>
        <v>3459.4594594594596</v>
      </c>
      <c r="AU71" s="652">
        <f t="shared" si="39"/>
        <v>3459.4594594594596</v>
      </c>
      <c r="AV71" s="652">
        <f t="shared" si="39"/>
        <v>3459.4594594594596</v>
      </c>
      <c r="AW71" s="652">
        <f t="shared" si="39"/>
        <v>3459.4594594594596</v>
      </c>
      <c r="AX71" s="652">
        <f t="shared" si="39"/>
        <v>3459.4594594594596</v>
      </c>
      <c r="AY71" s="652">
        <f t="shared" si="39"/>
        <v>3459.4594594594596</v>
      </c>
      <c r="AZ71" s="652">
        <f t="shared" si="39"/>
        <v>3459.4594594594596</v>
      </c>
      <c r="BA71" s="652">
        <f t="shared" si="39"/>
        <v>3459.4594594594596</v>
      </c>
      <c r="BB71" s="652">
        <f t="shared" si="39"/>
        <v>3459.4594594594596</v>
      </c>
      <c r="BC71" s="652">
        <f t="shared" si="39"/>
        <v>3459.4594594594596</v>
      </c>
    </row>
    <row r="72" spans="1:55">
      <c r="A72" s="175" t="str">
        <f>+'Tech 2026'!A21</f>
        <v>SAPI</v>
      </c>
      <c r="B72" s="175" t="str">
        <f>+'Tech 2026'!B21</f>
        <v>TEC</v>
      </c>
      <c r="C72" s="175" t="str">
        <f>+'Tech 2026'!C21</f>
        <v>Mariana Kalifa</v>
      </c>
      <c r="D72" s="175" t="str">
        <f>+'Tech 2026'!D21</f>
        <v>Payroll</v>
      </c>
      <c r="E72" s="175" t="str">
        <f>+'Tech 2026'!E21</f>
        <v>Mauricio Cortés Alanís</v>
      </c>
      <c r="F72" s="175" t="str">
        <f>+'Tech 2026'!F21</f>
        <v>Jr. Back-End Developer</v>
      </c>
      <c r="G72" s="175" t="str">
        <f>+'Tech 2026'!G21</f>
        <v>QS Payroll</v>
      </c>
      <c r="H72" s="175">
        <f>+'Tech 2026'!H21</f>
        <v>0</v>
      </c>
      <c r="I72" s="175">
        <f>+'Tech 2026'!I21</f>
        <v>0</v>
      </c>
      <c r="J72" s="175" t="str">
        <f>+'Tech 2026'!J21</f>
        <v>603.01.001</v>
      </c>
      <c r="K72" s="175" t="str">
        <f>+'Tech 2026'!K21</f>
        <v>Sueldos y salarios</v>
      </c>
      <c r="L72" s="175" t="str">
        <f>+'Tech 2026'!L21</f>
        <v>Sueldos y Salarios</v>
      </c>
      <c r="M72" s="175" t="str">
        <f>+'Tech 2026'!M21</f>
        <v>MXN</v>
      </c>
      <c r="N72" s="175">
        <f>+'Tech 2026'!N21</f>
        <v>21016.21621621622</v>
      </c>
      <c r="O72" s="175">
        <f>+'Tech 2026'!O21</f>
        <v>388800.00000000006</v>
      </c>
      <c r="P72" s="175">
        <f>+'Tech 2026'!P21</f>
        <v>32400.000000000004</v>
      </c>
      <c r="Q72" s="175">
        <f>+'Tech 2026'!Q21</f>
        <v>32400.000000000004</v>
      </c>
      <c r="R72" s="175">
        <f>+'Tech 2026'!R21</f>
        <v>32400.000000000004</v>
      </c>
      <c r="S72" s="175">
        <f>+'Tech 2026'!S21</f>
        <v>32400.000000000004</v>
      </c>
      <c r="T72" s="175">
        <f>+'Tech 2026'!T21</f>
        <v>32400.000000000004</v>
      </c>
      <c r="U72" s="175">
        <f>+'Tech 2026'!U21</f>
        <v>32400.000000000004</v>
      </c>
      <c r="V72" s="175">
        <f>+'Tech 2026'!V21</f>
        <v>32400.000000000004</v>
      </c>
      <c r="W72" s="175">
        <f>+'Tech 2026'!W21</f>
        <v>32400.000000000004</v>
      </c>
      <c r="X72" s="175">
        <f>+'Tech 2026'!X21</f>
        <v>32400.000000000004</v>
      </c>
      <c r="Y72" s="175">
        <f>+'Tech 2026'!Y21</f>
        <v>32400.000000000004</v>
      </c>
      <c r="Z72" s="175">
        <f>+'Tech 2026'!Z21</f>
        <v>32400.000000000004</v>
      </c>
      <c r="AA72" s="175">
        <f>+'Tech 2026'!AA21</f>
        <v>32400.000000000004</v>
      </c>
      <c r="AB72">
        <f t="shared" si="40"/>
        <v>1</v>
      </c>
      <c r="AC72" s="34">
        <f t="shared" si="38"/>
        <v>21016.216216216213</v>
      </c>
      <c r="AD72" s="34">
        <f t="shared" si="41"/>
        <v>1751.3513513513515</v>
      </c>
      <c r="AE72" s="34">
        <f t="shared" si="42"/>
        <v>1751.3513513513515</v>
      </c>
      <c r="AF72" s="34">
        <f t="shared" si="43"/>
        <v>1751.3513513513515</v>
      </c>
      <c r="AG72" s="34">
        <f t="shared" si="44"/>
        <v>1751.3513513513515</v>
      </c>
      <c r="AH72" s="34">
        <f t="shared" si="45"/>
        <v>1751.3513513513515</v>
      </c>
      <c r="AI72" s="34">
        <f t="shared" si="46"/>
        <v>1751.3513513513515</v>
      </c>
      <c r="AJ72" s="34">
        <f t="shared" si="47"/>
        <v>1751.3513513513515</v>
      </c>
      <c r="AK72" s="34">
        <f t="shared" si="48"/>
        <v>1751.3513513513515</v>
      </c>
      <c r="AL72" s="34">
        <f t="shared" si="49"/>
        <v>1751.3513513513515</v>
      </c>
      <c r="AM72" s="34">
        <f t="shared" si="50"/>
        <v>1751.3513513513515</v>
      </c>
      <c r="AN72" s="34">
        <f t="shared" si="51"/>
        <v>1751.3513513513515</v>
      </c>
      <c r="AO72" s="34">
        <f t="shared" si="52"/>
        <v>1751.3513513513515</v>
      </c>
      <c r="AP72">
        <f t="shared" si="53"/>
        <v>1</v>
      </c>
      <c r="AQ72" s="652">
        <f t="shared" ref="AQ72:AQ135" si="54">+SUM(AR72:BC72)</f>
        <v>21016.21621621622</v>
      </c>
      <c r="AR72" s="652">
        <f t="shared" ref="AR72:AR135" si="55">+$N72/12</f>
        <v>1751.3513513513517</v>
      </c>
      <c r="AS72" s="652">
        <f t="shared" si="39"/>
        <v>1751.3513513513517</v>
      </c>
      <c r="AT72" s="652">
        <f t="shared" si="39"/>
        <v>1751.3513513513517</v>
      </c>
      <c r="AU72" s="652">
        <f t="shared" si="39"/>
        <v>1751.3513513513517</v>
      </c>
      <c r="AV72" s="652">
        <f t="shared" si="39"/>
        <v>1751.3513513513517</v>
      </c>
      <c r="AW72" s="652">
        <f t="shared" si="39"/>
        <v>1751.3513513513517</v>
      </c>
      <c r="AX72" s="652">
        <f t="shared" si="39"/>
        <v>1751.3513513513517</v>
      </c>
      <c r="AY72" s="652">
        <f t="shared" si="39"/>
        <v>1751.3513513513517</v>
      </c>
      <c r="AZ72" s="652">
        <f t="shared" si="39"/>
        <v>1751.3513513513517</v>
      </c>
      <c r="BA72" s="652">
        <f t="shared" si="39"/>
        <v>1751.3513513513517</v>
      </c>
      <c r="BB72" s="652">
        <f t="shared" si="39"/>
        <v>1751.3513513513517</v>
      </c>
      <c r="BC72" s="652">
        <f t="shared" si="39"/>
        <v>1751.3513513513517</v>
      </c>
    </row>
    <row r="73" spans="1:55">
      <c r="A73" s="175" t="str">
        <f>+'Tech 2026'!A22</f>
        <v>SAPI</v>
      </c>
      <c r="B73" s="175" t="str">
        <f>+'Tech 2026'!B22</f>
        <v>TEC</v>
      </c>
      <c r="C73" s="175" t="str">
        <f>+'Tech 2026'!C22</f>
        <v>Mariana Kalifa</v>
      </c>
      <c r="D73" s="175" t="str">
        <f>+'Tech 2026'!D22</f>
        <v>Payroll</v>
      </c>
      <c r="E73" s="175" t="str">
        <f>+'Tech 2026'!E22</f>
        <v>Navarro Gonzalez, Cristian</v>
      </c>
      <c r="F73" s="175" t="str">
        <f>+'Tech 2026'!F22</f>
        <v>Android Dev</v>
      </c>
      <c r="G73" s="175" t="str">
        <f>+'Tech 2026'!G22</f>
        <v>QS Payroll</v>
      </c>
      <c r="H73" s="175">
        <f>+'Tech 2026'!H22</f>
        <v>0</v>
      </c>
      <c r="I73" s="175">
        <f>+'Tech 2026'!I22</f>
        <v>0</v>
      </c>
      <c r="J73" s="175" t="str">
        <f>+'Tech 2026'!J22</f>
        <v>603.01.001</v>
      </c>
      <c r="K73" s="175" t="str">
        <f>+'Tech 2026'!K22</f>
        <v>Sueldos y salarios</v>
      </c>
      <c r="L73" s="175" t="str">
        <f>+'Tech 2026'!L22</f>
        <v>Sueldos y Salarios</v>
      </c>
      <c r="M73" s="175" t="str">
        <f>+'Tech 2026'!M22</f>
        <v>MXN</v>
      </c>
      <c r="N73" s="175">
        <f>+'Tech 2026'!N22</f>
        <v>38718.91891891892</v>
      </c>
      <c r="O73" s="175">
        <f>+'Tech 2026'!O22</f>
        <v>716300</v>
      </c>
      <c r="P73" s="175">
        <f>+'Tech 2026'!P22</f>
        <v>58000</v>
      </c>
      <c r="Q73" s="175">
        <f>+'Tech 2026'!Q22</f>
        <v>58000</v>
      </c>
      <c r="R73" s="175">
        <f>+'Tech 2026'!R22</f>
        <v>58000</v>
      </c>
      <c r="S73" s="175">
        <f>+'Tech 2026'!S22</f>
        <v>58000</v>
      </c>
      <c r="T73" s="175">
        <f>+'Tech 2026'!T22</f>
        <v>58000</v>
      </c>
      <c r="U73" s="175">
        <f>+'Tech 2026'!U22</f>
        <v>60900</v>
      </c>
      <c r="V73" s="175">
        <f>+'Tech 2026'!V22</f>
        <v>60900</v>
      </c>
      <c r="W73" s="175">
        <f>+'Tech 2026'!W22</f>
        <v>60900</v>
      </c>
      <c r="X73" s="175">
        <f>+'Tech 2026'!X22</f>
        <v>60900</v>
      </c>
      <c r="Y73" s="175">
        <f>+'Tech 2026'!Y22</f>
        <v>60900</v>
      </c>
      <c r="Z73" s="175">
        <f>+'Tech 2026'!Z22</f>
        <v>60900</v>
      </c>
      <c r="AA73" s="175">
        <f>+'Tech 2026'!AA22</f>
        <v>60900</v>
      </c>
      <c r="AB73">
        <f t="shared" si="40"/>
        <v>1</v>
      </c>
      <c r="AC73" s="34">
        <f t="shared" si="38"/>
        <v>38718.918918918927</v>
      </c>
      <c r="AD73" s="34">
        <f t="shared" si="41"/>
        <v>3135.135135135135</v>
      </c>
      <c r="AE73" s="34">
        <f t="shared" si="42"/>
        <v>3135.135135135135</v>
      </c>
      <c r="AF73" s="34">
        <f t="shared" si="43"/>
        <v>3135.135135135135</v>
      </c>
      <c r="AG73" s="34">
        <f t="shared" si="44"/>
        <v>3135.135135135135</v>
      </c>
      <c r="AH73" s="34">
        <f t="shared" si="45"/>
        <v>3135.135135135135</v>
      </c>
      <c r="AI73" s="34">
        <f t="shared" si="46"/>
        <v>3291.8918918918921</v>
      </c>
      <c r="AJ73" s="34">
        <f t="shared" si="47"/>
        <v>3291.8918918918921</v>
      </c>
      <c r="AK73" s="34">
        <f t="shared" si="48"/>
        <v>3291.8918918918921</v>
      </c>
      <c r="AL73" s="34">
        <f t="shared" si="49"/>
        <v>3291.8918918918921</v>
      </c>
      <c r="AM73" s="34">
        <f t="shared" si="50"/>
        <v>3291.8918918918921</v>
      </c>
      <c r="AN73" s="34">
        <f t="shared" si="51"/>
        <v>3291.8918918918921</v>
      </c>
      <c r="AO73" s="34">
        <f t="shared" si="52"/>
        <v>3291.8918918918921</v>
      </c>
      <c r="AP73">
        <f t="shared" si="53"/>
        <v>1</v>
      </c>
      <c r="AQ73" s="652">
        <f t="shared" si="54"/>
        <v>38718.918918918913</v>
      </c>
      <c r="AR73" s="652">
        <f t="shared" si="55"/>
        <v>3226.5765765765768</v>
      </c>
      <c r="AS73" s="652">
        <f t="shared" si="39"/>
        <v>3226.5765765765768</v>
      </c>
      <c r="AT73" s="652">
        <f t="shared" si="39"/>
        <v>3226.5765765765768</v>
      </c>
      <c r="AU73" s="652">
        <f t="shared" si="39"/>
        <v>3226.5765765765768</v>
      </c>
      <c r="AV73" s="652">
        <f t="shared" si="39"/>
        <v>3226.5765765765768</v>
      </c>
      <c r="AW73" s="652">
        <f t="shared" si="39"/>
        <v>3226.5765765765768</v>
      </c>
      <c r="AX73" s="652">
        <f t="shared" si="39"/>
        <v>3226.5765765765768</v>
      </c>
      <c r="AY73" s="652">
        <f t="shared" si="39"/>
        <v>3226.5765765765768</v>
      </c>
      <c r="AZ73" s="652">
        <f t="shared" si="39"/>
        <v>3226.5765765765768</v>
      </c>
      <c r="BA73" s="652">
        <f t="shared" si="39"/>
        <v>3226.5765765765768</v>
      </c>
      <c r="BB73" s="652">
        <f t="shared" si="39"/>
        <v>3226.5765765765768</v>
      </c>
      <c r="BC73" s="652">
        <f t="shared" si="39"/>
        <v>3226.5765765765768</v>
      </c>
    </row>
    <row r="74" spans="1:55">
      <c r="A74" s="175" t="str">
        <f>+'Tech 2026'!A23</f>
        <v>SAPI</v>
      </c>
      <c r="B74" s="175" t="str">
        <f>+'Tech 2026'!B23</f>
        <v>TEC</v>
      </c>
      <c r="C74" s="175" t="str">
        <f>+'Tech 2026'!C23</f>
        <v>Mariana Kalifa</v>
      </c>
      <c r="D74" s="175" t="str">
        <f>+'Tech 2026'!D23</f>
        <v>Payroll</v>
      </c>
      <c r="E74" s="175" t="str">
        <f>+'Tech 2026'!E23</f>
        <v>Nazariega Barcelos, Roberto</v>
      </c>
      <c r="F74" s="175" t="str">
        <f>+'Tech 2026'!F23</f>
        <v>NAZARIEGA BARCELOS ROBERTO</v>
      </c>
      <c r="G74" s="175" t="str">
        <f>+'Tech 2026'!G23</f>
        <v>QS Payroll</v>
      </c>
      <c r="H74" s="175">
        <f>+'Tech 2026'!H23</f>
        <v>0</v>
      </c>
      <c r="I74" s="175">
        <f>+'Tech 2026'!I23</f>
        <v>0</v>
      </c>
      <c r="J74" s="175" t="str">
        <f>+'Tech 2026'!J23</f>
        <v>603.01.001</v>
      </c>
      <c r="K74" s="175" t="str">
        <f>+'Tech 2026'!K23</f>
        <v>Sueldos y salarios</v>
      </c>
      <c r="L74" s="175" t="str">
        <f>+'Tech 2026'!L23</f>
        <v>Sueldos y Salarios</v>
      </c>
      <c r="M74" s="175" t="str">
        <f>+'Tech 2026'!M23</f>
        <v>MXN</v>
      </c>
      <c r="N74" s="34">
        <f>+'Tech 2026'!N23</f>
        <v>51805.945945945947</v>
      </c>
      <c r="O74" s="34">
        <f>+'Tech 2026'!O23</f>
        <v>958410</v>
      </c>
      <c r="P74" s="34">
        <f>+'Tech 2026'!P23</f>
        <v>79867.5</v>
      </c>
      <c r="Q74" s="34">
        <f>+'Tech 2026'!Q23</f>
        <v>79867.5</v>
      </c>
      <c r="R74" s="34">
        <f>+'Tech 2026'!R23</f>
        <v>79867.5</v>
      </c>
      <c r="S74" s="34">
        <f>+'Tech 2026'!S23</f>
        <v>79867.5</v>
      </c>
      <c r="T74" s="34">
        <f>+'Tech 2026'!T23</f>
        <v>79867.5</v>
      </c>
      <c r="U74" s="34">
        <f>+'Tech 2026'!U23</f>
        <v>79867.5</v>
      </c>
      <c r="V74" s="34">
        <f>+'Tech 2026'!V23</f>
        <v>79867.5</v>
      </c>
      <c r="W74" s="34">
        <f>+'Tech 2026'!W23</f>
        <v>79867.5</v>
      </c>
      <c r="X74" s="34">
        <f>+'Tech 2026'!X23</f>
        <v>79867.5</v>
      </c>
      <c r="Y74" s="34">
        <f>+'Tech 2026'!Y23</f>
        <v>79867.5</v>
      </c>
      <c r="Z74" s="34">
        <f>+'Tech 2026'!Z23</f>
        <v>79867.5</v>
      </c>
      <c r="AA74" s="34">
        <f>+'Tech 2026'!AA23</f>
        <v>79867.5</v>
      </c>
      <c r="AB74">
        <f t="shared" si="40"/>
        <v>1</v>
      </c>
      <c r="AC74" s="34">
        <f t="shared" si="38"/>
        <v>51805.945945945939</v>
      </c>
      <c r="AD74" s="34">
        <f t="shared" si="41"/>
        <v>4317.1621621621625</v>
      </c>
      <c r="AE74" s="34">
        <f t="shared" si="42"/>
        <v>4317.1621621621625</v>
      </c>
      <c r="AF74" s="34">
        <f t="shared" si="43"/>
        <v>4317.1621621621625</v>
      </c>
      <c r="AG74" s="34">
        <f t="shared" si="44"/>
        <v>4317.1621621621625</v>
      </c>
      <c r="AH74" s="34">
        <f t="shared" si="45"/>
        <v>4317.1621621621625</v>
      </c>
      <c r="AI74" s="34">
        <f t="shared" si="46"/>
        <v>4317.1621621621625</v>
      </c>
      <c r="AJ74" s="34">
        <f t="shared" si="47"/>
        <v>4317.1621621621625</v>
      </c>
      <c r="AK74" s="34">
        <f t="shared" si="48"/>
        <v>4317.1621621621625</v>
      </c>
      <c r="AL74" s="34">
        <f t="shared" si="49"/>
        <v>4317.1621621621625</v>
      </c>
      <c r="AM74" s="34">
        <f t="shared" si="50"/>
        <v>4317.1621621621625</v>
      </c>
      <c r="AN74" s="34">
        <f t="shared" si="51"/>
        <v>4317.1621621621625</v>
      </c>
      <c r="AO74" s="34">
        <f t="shared" si="52"/>
        <v>4317.1621621621625</v>
      </c>
      <c r="AP74">
        <f t="shared" si="53"/>
        <v>1</v>
      </c>
      <c r="AQ74" s="652">
        <f t="shared" si="54"/>
        <v>51805.945945945939</v>
      </c>
      <c r="AR74" s="652">
        <f t="shared" si="55"/>
        <v>4317.1621621621625</v>
      </c>
      <c r="AS74" s="652">
        <f t="shared" si="39"/>
        <v>4317.1621621621625</v>
      </c>
      <c r="AT74" s="652">
        <f t="shared" si="39"/>
        <v>4317.1621621621625</v>
      </c>
      <c r="AU74" s="652">
        <f t="shared" si="39"/>
        <v>4317.1621621621625</v>
      </c>
      <c r="AV74" s="652">
        <f t="shared" si="39"/>
        <v>4317.1621621621625</v>
      </c>
      <c r="AW74" s="652">
        <f t="shared" si="39"/>
        <v>4317.1621621621625</v>
      </c>
      <c r="AX74" s="652">
        <f t="shared" si="39"/>
        <v>4317.1621621621625</v>
      </c>
      <c r="AY74" s="652">
        <f t="shared" si="39"/>
        <v>4317.1621621621625</v>
      </c>
      <c r="AZ74" s="652">
        <f t="shared" si="39"/>
        <v>4317.1621621621625</v>
      </c>
      <c r="BA74" s="652">
        <f t="shared" si="39"/>
        <v>4317.1621621621625</v>
      </c>
      <c r="BB74" s="652">
        <f t="shared" si="39"/>
        <v>4317.1621621621625</v>
      </c>
      <c r="BC74" s="652">
        <f t="shared" si="39"/>
        <v>4317.1621621621625</v>
      </c>
    </row>
    <row r="75" spans="1:55">
      <c r="A75" s="175" t="str">
        <f>+'Tech 2026'!A24</f>
        <v>SAPI</v>
      </c>
      <c r="B75" s="175" t="str">
        <f>+'Tech 2026'!B24</f>
        <v>TEC</v>
      </c>
      <c r="C75" s="175" t="str">
        <f>+'Tech 2026'!C24</f>
        <v>Mariana Kalifa</v>
      </c>
      <c r="D75" s="175" t="str">
        <f>+'Tech 2026'!D24</f>
        <v>Payroll</v>
      </c>
      <c r="E75" s="175" t="str">
        <f>+'Tech 2026'!E24</f>
        <v>Olan, Jairo</v>
      </c>
      <c r="F75" s="175" t="str">
        <f>+'Tech 2026'!F24</f>
        <v>Jr. Back-End Developer</v>
      </c>
      <c r="G75" s="175" t="str">
        <f>+'Tech 2026'!G24</f>
        <v>QS Payroll</v>
      </c>
      <c r="H75" s="175">
        <f>+'Tech 2026'!H24</f>
        <v>0</v>
      </c>
      <c r="I75" s="175">
        <f>+'Tech 2026'!I24</f>
        <v>0</v>
      </c>
      <c r="J75" s="175" t="str">
        <f>+'Tech 2026'!J24</f>
        <v>603.01.001</v>
      </c>
      <c r="K75" s="175" t="str">
        <f>+'Tech 2026'!K24</f>
        <v>Sueldos y salarios</v>
      </c>
      <c r="L75" s="175" t="str">
        <f>+'Tech 2026'!L24</f>
        <v>Sueldos y Salarios</v>
      </c>
      <c r="M75" s="175" t="str">
        <f>+'Tech 2026'!M24</f>
        <v>MXN</v>
      </c>
      <c r="N75" s="175">
        <f>+'Tech 2026'!N24</f>
        <v>20432.432432432433</v>
      </c>
      <c r="O75" s="175">
        <f>+'Tech 2026'!O24</f>
        <v>378000</v>
      </c>
      <c r="P75" s="175">
        <f>+'Tech 2026'!P24</f>
        <v>31500</v>
      </c>
      <c r="Q75" s="175">
        <f>+'Tech 2026'!Q24</f>
        <v>31500</v>
      </c>
      <c r="R75" s="175">
        <f>+'Tech 2026'!R24</f>
        <v>31500</v>
      </c>
      <c r="S75" s="175">
        <f>+'Tech 2026'!S24</f>
        <v>31500</v>
      </c>
      <c r="T75" s="175">
        <f>+'Tech 2026'!T24</f>
        <v>31500</v>
      </c>
      <c r="U75" s="175">
        <f>+'Tech 2026'!U24</f>
        <v>31500</v>
      </c>
      <c r="V75" s="175">
        <f>+'Tech 2026'!V24</f>
        <v>31500</v>
      </c>
      <c r="W75" s="175">
        <f>+'Tech 2026'!W24</f>
        <v>31500</v>
      </c>
      <c r="X75" s="175">
        <f>+'Tech 2026'!X24</f>
        <v>31500</v>
      </c>
      <c r="Y75" s="175">
        <f>+'Tech 2026'!Y24</f>
        <v>31500</v>
      </c>
      <c r="Z75" s="175">
        <f>+'Tech 2026'!Z24</f>
        <v>31500</v>
      </c>
      <c r="AA75" s="175">
        <f>+'Tech 2026'!AA24</f>
        <v>31500</v>
      </c>
      <c r="AB75">
        <f t="shared" si="40"/>
        <v>1</v>
      </c>
      <c r="AC75" s="34">
        <f t="shared" si="38"/>
        <v>20432.432432432437</v>
      </c>
      <c r="AD75" s="34">
        <f t="shared" si="41"/>
        <v>1702.7027027027027</v>
      </c>
      <c r="AE75" s="34">
        <f t="shared" si="42"/>
        <v>1702.7027027027027</v>
      </c>
      <c r="AF75" s="34">
        <f t="shared" si="43"/>
        <v>1702.7027027027027</v>
      </c>
      <c r="AG75" s="34">
        <f t="shared" si="44"/>
        <v>1702.7027027027027</v>
      </c>
      <c r="AH75" s="34">
        <f t="shared" si="45"/>
        <v>1702.7027027027027</v>
      </c>
      <c r="AI75" s="34">
        <f t="shared" si="46"/>
        <v>1702.7027027027027</v>
      </c>
      <c r="AJ75" s="34">
        <f t="shared" si="47"/>
        <v>1702.7027027027027</v>
      </c>
      <c r="AK75" s="34">
        <f t="shared" si="48"/>
        <v>1702.7027027027027</v>
      </c>
      <c r="AL75" s="34">
        <f t="shared" si="49"/>
        <v>1702.7027027027027</v>
      </c>
      <c r="AM75" s="34">
        <f t="shared" si="50"/>
        <v>1702.7027027027027</v>
      </c>
      <c r="AN75" s="34">
        <f t="shared" si="51"/>
        <v>1702.7027027027027</v>
      </c>
      <c r="AO75" s="34">
        <f t="shared" si="52"/>
        <v>1702.7027027027027</v>
      </c>
      <c r="AP75">
        <f t="shared" si="53"/>
        <v>1</v>
      </c>
      <c r="AQ75" s="652">
        <f t="shared" si="54"/>
        <v>20432.432432432437</v>
      </c>
      <c r="AR75" s="652">
        <f t="shared" si="55"/>
        <v>1702.7027027027027</v>
      </c>
      <c r="AS75" s="652">
        <f t="shared" si="39"/>
        <v>1702.7027027027027</v>
      </c>
      <c r="AT75" s="652">
        <f t="shared" si="39"/>
        <v>1702.7027027027027</v>
      </c>
      <c r="AU75" s="652">
        <f t="shared" si="39"/>
        <v>1702.7027027027027</v>
      </c>
      <c r="AV75" s="652">
        <f t="shared" si="39"/>
        <v>1702.7027027027027</v>
      </c>
      <c r="AW75" s="652">
        <f t="shared" si="39"/>
        <v>1702.7027027027027</v>
      </c>
      <c r="AX75" s="652">
        <f t="shared" si="39"/>
        <v>1702.7027027027027</v>
      </c>
      <c r="AY75" s="652">
        <f t="shared" si="39"/>
        <v>1702.7027027027027</v>
      </c>
      <c r="AZ75" s="652">
        <f t="shared" si="39"/>
        <v>1702.7027027027027</v>
      </c>
      <c r="BA75" s="652">
        <f t="shared" si="39"/>
        <v>1702.7027027027027</v>
      </c>
      <c r="BB75" s="652">
        <f t="shared" si="39"/>
        <v>1702.7027027027027</v>
      </c>
      <c r="BC75" s="652">
        <f t="shared" si="39"/>
        <v>1702.7027027027027</v>
      </c>
    </row>
    <row r="76" spans="1:55">
      <c r="A76" s="175" t="str">
        <f>+'Tech 2026'!A25</f>
        <v>SAPI</v>
      </c>
      <c r="B76" s="175" t="str">
        <f>+'Tech 2026'!B25</f>
        <v>TEC</v>
      </c>
      <c r="C76" s="175" t="str">
        <f>+'Tech 2026'!C25</f>
        <v>Mariana Kalifa</v>
      </c>
      <c r="D76" s="175" t="str">
        <f>+'Tech 2026'!D25</f>
        <v>Payroll</v>
      </c>
      <c r="E76" s="175" t="str">
        <f>+'Tech 2026'!E25</f>
        <v>Pérez Moncada, Araceli</v>
      </c>
      <c r="F76" s="175" t="str">
        <f>+'Tech 2026'!F25</f>
        <v>Mobile iOS Lead</v>
      </c>
      <c r="G76" s="175" t="str">
        <f>+'Tech 2026'!G25</f>
        <v>QS Payroll</v>
      </c>
      <c r="H76" s="175">
        <f>+'Tech 2026'!H25</f>
        <v>0</v>
      </c>
      <c r="I76" s="175">
        <f>+'Tech 2026'!I25</f>
        <v>0</v>
      </c>
      <c r="J76" s="175" t="str">
        <f>+'Tech 2026'!J25</f>
        <v>603.01.001</v>
      </c>
      <c r="K76" s="175" t="str">
        <f>+'Tech 2026'!K25</f>
        <v>Sueldos y salarios</v>
      </c>
      <c r="L76" s="175" t="str">
        <f>+'Tech 2026'!L25</f>
        <v>Sueldos y Salarios</v>
      </c>
      <c r="M76" s="175" t="str">
        <f>+'Tech 2026'!M25</f>
        <v>MXN</v>
      </c>
      <c r="N76" s="175">
        <f>+'Tech 2026'!N25</f>
        <v>43929.729729729726</v>
      </c>
      <c r="O76" s="175">
        <f>+'Tech 2026'!O25</f>
        <v>812700</v>
      </c>
      <c r="P76" s="175">
        <f>+'Tech 2026'!P25</f>
        <v>67725</v>
      </c>
      <c r="Q76" s="175">
        <f>+'Tech 2026'!Q25</f>
        <v>67725</v>
      </c>
      <c r="R76" s="175">
        <f>+'Tech 2026'!R25</f>
        <v>67725</v>
      </c>
      <c r="S76" s="175">
        <f>+'Tech 2026'!S25</f>
        <v>67725</v>
      </c>
      <c r="T76" s="175">
        <f>+'Tech 2026'!T25</f>
        <v>67725</v>
      </c>
      <c r="U76" s="175">
        <f>+'Tech 2026'!U25</f>
        <v>67725</v>
      </c>
      <c r="V76" s="175">
        <f>+'Tech 2026'!V25</f>
        <v>67725</v>
      </c>
      <c r="W76" s="175">
        <f>+'Tech 2026'!W25</f>
        <v>67725</v>
      </c>
      <c r="X76" s="175">
        <f>+'Tech 2026'!X25</f>
        <v>67725</v>
      </c>
      <c r="Y76" s="175">
        <f>+'Tech 2026'!Y25</f>
        <v>67725</v>
      </c>
      <c r="Z76" s="175">
        <f>+'Tech 2026'!Z25</f>
        <v>67725</v>
      </c>
      <c r="AA76" s="175">
        <f>+'Tech 2026'!AA25</f>
        <v>67725</v>
      </c>
      <c r="AB76">
        <f t="shared" si="40"/>
        <v>1</v>
      </c>
      <c r="AC76" s="34">
        <f t="shared" si="38"/>
        <v>43929.729729729734</v>
      </c>
      <c r="AD76" s="34">
        <f t="shared" si="41"/>
        <v>3660.8108108108108</v>
      </c>
      <c r="AE76" s="34">
        <f t="shared" si="42"/>
        <v>3660.8108108108108</v>
      </c>
      <c r="AF76" s="34">
        <f t="shared" si="43"/>
        <v>3660.8108108108108</v>
      </c>
      <c r="AG76" s="34">
        <f t="shared" si="44"/>
        <v>3660.8108108108108</v>
      </c>
      <c r="AH76" s="34">
        <f t="shared" si="45"/>
        <v>3660.8108108108108</v>
      </c>
      <c r="AI76" s="34">
        <f t="shared" si="46"/>
        <v>3660.8108108108108</v>
      </c>
      <c r="AJ76" s="34">
        <f t="shared" si="47"/>
        <v>3660.8108108108108</v>
      </c>
      <c r="AK76" s="34">
        <f t="shared" si="48"/>
        <v>3660.8108108108108</v>
      </c>
      <c r="AL76" s="34">
        <f t="shared" si="49"/>
        <v>3660.8108108108108</v>
      </c>
      <c r="AM76" s="34">
        <f t="shared" si="50"/>
        <v>3660.8108108108108</v>
      </c>
      <c r="AN76" s="34">
        <f t="shared" si="51"/>
        <v>3660.8108108108108</v>
      </c>
      <c r="AO76" s="34">
        <f t="shared" si="52"/>
        <v>3660.8108108108108</v>
      </c>
      <c r="AP76">
        <f t="shared" si="53"/>
        <v>1</v>
      </c>
      <c r="AQ76" s="652">
        <f t="shared" si="54"/>
        <v>43929.729729729734</v>
      </c>
      <c r="AR76" s="652">
        <f t="shared" si="55"/>
        <v>3660.8108108108104</v>
      </c>
      <c r="AS76" s="652">
        <f t="shared" si="39"/>
        <v>3660.8108108108104</v>
      </c>
      <c r="AT76" s="652">
        <f t="shared" si="39"/>
        <v>3660.8108108108104</v>
      </c>
      <c r="AU76" s="652">
        <f t="shared" si="39"/>
        <v>3660.8108108108104</v>
      </c>
      <c r="AV76" s="652">
        <f t="shared" si="39"/>
        <v>3660.8108108108104</v>
      </c>
      <c r="AW76" s="652">
        <f t="shared" si="39"/>
        <v>3660.8108108108104</v>
      </c>
      <c r="AX76" s="652">
        <f t="shared" si="39"/>
        <v>3660.8108108108104</v>
      </c>
      <c r="AY76" s="652">
        <f t="shared" si="39"/>
        <v>3660.8108108108104</v>
      </c>
      <c r="AZ76" s="652">
        <f t="shared" si="39"/>
        <v>3660.8108108108104</v>
      </c>
      <c r="BA76" s="652">
        <f t="shared" si="39"/>
        <v>3660.8108108108104</v>
      </c>
      <c r="BB76" s="652">
        <f t="shared" si="39"/>
        <v>3660.8108108108104</v>
      </c>
      <c r="BC76" s="652">
        <f t="shared" si="39"/>
        <v>3660.8108108108104</v>
      </c>
    </row>
    <row r="77" spans="1:55">
      <c r="A77" s="175" t="str">
        <f>+'Tech 2026'!A26</f>
        <v>SAPI</v>
      </c>
      <c r="B77" s="175" t="str">
        <f>+'Tech 2026'!B26</f>
        <v>TEC</v>
      </c>
      <c r="C77" s="175" t="str">
        <f>+'Tech 2026'!C26</f>
        <v>Mariana Kalifa</v>
      </c>
      <c r="D77" s="175" t="str">
        <f>+'Tech 2026'!D26</f>
        <v>Payroll</v>
      </c>
      <c r="E77" s="175" t="str">
        <f>+'Tech 2026'!E26</f>
        <v>Rodriguez Rubio, Alejandra</v>
      </c>
      <c r="F77" s="175" t="str">
        <f>+'Tech 2026'!F26</f>
        <v>Jr. Back-End Developer - Servers</v>
      </c>
      <c r="G77" s="175" t="str">
        <f>+'Tech 2026'!G26</f>
        <v>QS Payroll</v>
      </c>
      <c r="H77" s="175">
        <f>+'Tech 2026'!H26</f>
        <v>0</v>
      </c>
      <c r="I77" s="175">
        <f>+'Tech 2026'!I26</f>
        <v>0</v>
      </c>
      <c r="J77" s="175" t="str">
        <f>+'Tech 2026'!J26</f>
        <v>603.01.001</v>
      </c>
      <c r="K77" s="175" t="str">
        <f>+'Tech 2026'!K26</f>
        <v>Sueldos y salarios</v>
      </c>
      <c r="L77" s="175" t="str">
        <f>+'Tech 2026'!L26</f>
        <v>Sueldos y Salarios</v>
      </c>
      <c r="M77" s="175" t="str">
        <f>+'Tech 2026'!M26</f>
        <v>MXN</v>
      </c>
      <c r="N77" s="175">
        <f>+'Tech 2026'!N26</f>
        <v>22067.027027027027</v>
      </c>
      <c r="O77" s="175">
        <f>+'Tech 2026'!O26</f>
        <v>408240</v>
      </c>
      <c r="P77" s="175">
        <f>+'Tech 2026'!P26</f>
        <v>34020</v>
      </c>
      <c r="Q77" s="175">
        <f>+'Tech 2026'!Q26</f>
        <v>34020</v>
      </c>
      <c r="R77" s="175">
        <f>+'Tech 2026'!R26</f>
        <v>34020</v>
      </c>
      <c r="S77" s="175">
        <f>+'Tech 2026'!S26</f>
        <v>34020</v>
      </c>
      <c r="T77" s="175">
        <f>+'Tech 2026'!T26</f>
        <v>34020</v>
      </c>
      <c r="U77" s="175">
        <f>+'Tech 2026'!U26</f>
        <v>34020</v>
      </c>
      <c r="V77" s="175">
        <f>+'Tech 2026'!V26</f>
        <v>34020</v>
      </c>
      <c r="W77" s="175">
        <f>+'Tech 2026'!W26</f>
        <v>34020</v>
      </c>
      <c r="X77" s="175">
        <f>+'Tech 2026'!X26</f>
        <v>34020</v>
      </c>
      <c r="Y77" s="175">
        <f>+'Tech 2026'!Y26</f>
        <v>34020</v>
      </c>
      <c r="Z77" s="175">
        <f>+'Tech 2026'!Z26</f>
        <v>34020</v>
      </c>
      <c r="AA77" s="175">
        <f>+'Tech 2026'!AA26</f>
        <v>34020</v>
      </c>
      <c r="AB77">
        <f t="shared" si="40"/>
        <v>1</v>
      </c>
      <c r="AC77" s="34">
        <f t="shared" si="38"/>
        <v>22067.02702702703</v>
      </c>
      <c r="AD77" s="34">
        <f t="shared" si="41"/>
        <v>1838.918918918919</v>
      </c>
      <c r="AE77" s="34">
        <f t="shared" si="42"/>
        <v>1838.918918918919</v>
      </c>
      <c r="AF77" s="34">
        <f t="shared" si="43"/>
        <v>1838.918918918919</v>
      </c>
      <c r="AG77" s="34">
        <f t="shared" si="44"/>
        <v>1838.918918918919</v>
      </c>
      <c r="AH77" s="34">
        <f t="shared" si="45"/>
        <v>1838.918918918919</v>
      </c>
      <c r="AI77" s="34">
        <f t="shared" si="46"/>
        <v>1838.918918918919</v>
      </c>
      <c r="AJ77" s="34">
        <f t="shared" si="47"/>
        <v>1838.918918918919</v>
      </c>
      <c r="AK77" s="34">
        <f t="shared" si="48"/>
        <v>1838.918918918919</v>
      </c>
      <c r="AL77" s="34">
        <f t="shared" si="49"/>
        <v>1838.918918918919</v>
      </c>
      <c r="AM77" s="34">
        <f t="shared" si="50"/>
        <v>1838.918918918919</v>
      </c>
      <c r="AN77" s="34">
        <f t="shared" si="51"/>
        <v>1838.918918918919</v>
      </c>
      <c r="AO77" s="34">
        <f t="shared" si="52"/>
        <v>1838.918918918919</v>
      </c>
      <c r="AP77">
        <f t="shared" si="53"/>
        <v>1</v>
      </c>
      <c r="AQ77" s="652">
        <f t="shared" si="54"/>
        <v>22067.02702702703</v>
      </c>
      <c r="AR77" s="652">
        <f t="shared" si="55"/>
        <v>1838.918918918919</v>
      </c>
      <c r="AS77" s="652">
        <f t="shared" si="39"/>
        <v>1838.918918918919</v>
      </c>
      <c r="AT77" s="652">
        <f t="shared" si="39"/>
        <v>1838.918918918919</v>
      </c>
      <c r="AU77" s="652">
        <f t="shared" si="39"/>
        <v>1838.918918918919</v>
      </c>
      <c r="AV77" s="652">
        <f t="shared" si="39"/>
        <v>1838.918918918919</v>
      </c>
      <c r="AW77" s="652">
        <f t="shared" si="39"/>
        <v>1838.918918918919</v>
      </c>
      <c r="AX77" s="652">
        <f t="shared" si="39"/>
        <v>1838.918918918919</v>
      </c>
      <c r="AY77" s="652">
        <f t="shared" si="39"/>
        <v>1838.918918918919</v>
      </c>
      <c r="AZ77" s="652">
        <f t="shared" si="39"/>
        <v>1838.918918918919</v>
      </c>
      <c r="BA77" s="652">
        <f t="shared" si="39"/>
        <v>1838.918918918919</v>
      </c>
      <c r="BB77" s="652">
        <f t="shared" si="39"/>
        <v>1838.918918918919</v>
      </c>
      <c r="BC77" s="652">
        <f t="shared" si="39"/>
        <v>1838.918918918919</v>
      </c>
    </row>
    <row r="78" spans="1:55">
      <c r="A78" s="175" t="str">
        <f>+'Tech 2026'!A27</f>
        <v>SAPI</v>
      </c>
      <c r="B78" s="175" t="str">
        <f>+'Tech 2026'!B27</f>
        <v>TEC</v>
      </c>
      <c r="C78" s="175" t="str">
        <f>+'Tech 2026'!C27</f>
        <v>Mariana Kalifa</v>
      </c>
      <c r="D78" s="175" t="str">
        <f>+'Tech 2026'!D27</f>
        <v>Payroll</v>
      </c>
      <c r="E78" s="175" t="str">
        <f>+'Tech 2026'!E27</f>
        <v>Tenorio Guzmán, Jorge</v>
      </c>
      <c r="F78" s="175" t="str">
        <f>+'Tech 2026'!F27</f>
        <v>Android Dev</v>
      </c>
      <c r="G78" s="175" t="str">
        <f>+'Tech 2026'!G27</f>
        <v>QS Payroll</v>
      </c>
      <c r="H78" s="175">
        <f>+'Tech 2026'!H27</f>
        <v>0</v>
      </c>
      <c r="I78" s="175">
        <f>+'Tech 2026'!I27</f>
        <v>0</v>
      </c>
      <c r="J78" s="175" t="str">
        <f>+'Tech 2026'!J27</f>
        <v>603.01.001</v>
      </c>
      <c r="K78" s="175" t="str">
        <f>+'Tech 2026'!K27</f>
        <v>Sueldos y salarios</v>
      </c>
      <c r="L78" s="175" t="str">
        <f>+'Tech 2026'!L27</f>
        <v>Sueldos y Salarios</v>
      </c>
      <c r="M78" s="175" t="str">
        <f>+'Tech 2026'!M27</f>
        <v>MXN</v>
      </c>
      <c r="N78" s="34">
        <f>+'Tech 2026'!N27</f>
        <v>25945.945945945947</v>
      </c>
      <c r="O78" s="34">
        <f>+'Tech 2026'!O27</f>
        <v>480000</v>
      </c>
      <c r="P78" s="34">
        <f>+'Tech 2026'!P27</f>
        <v>40000</v>
      </c>
      <c r="Q78" s="34">
        <f>+'Tech 2026'!Q27</f>
        <v>40000</v>
      </c>
      <c r="R78" s="34">
        <f>+'Tech 2026'!R27</f>
        <v>40000</v>
      </c>
      <c r="S78" s="34">
        <f>+'Tech 2026'!S27</f>
        <v>40000</v>
      </c>
      <c r="T78" s="34">
        <f>+'Tech 2026'!T27</f>
        <v>40000</v>
      </c>
      <c r="U78" s="34">
        <f>+'Tech 2026'!U27</f>
        <v>40000</v>
      </c>
      <c r="V78" s="34">
        <f>+'Tech 2026'!V27</f>
        <v>40000</v>
      </c>
      <c r="W78" s="34">
        <f>+'Tech 2026'!W27</f>
        <v>40000</v>
      </c>
      <c r="X78" s="34">
        <f>+'Tech 2026'!X27</f>
        <v>40000</v>
      </c>
      <c r="Y78" s="34">
        <f>+'Tech 2026'!Y27</f>
        <v>40000</v>
      </c>
      <c r="Z78" s="34">
        <f>+'Tech 2026'!Z27</f>
        <v>40000</v>
      </c>
      <c r="AA78" s="34">
        <f>+'Tech 2026'!AA27</f>
        <v>40000</v>
      </c>
      <c r="AB78" t="b">
        <f t="shared" si="40"/>
        <v>0</v>
      </c>
      <c r="AC78" s="34">
        <f t="shared" si="38"/>
        <v>25945.94594594595</v>
      </c>
      <c r="AD78" s="34">
        <f t="shared" si="41"/>
        <v>2162.1621621621621</v>
      </c>
      <c r="AE78" s="34">
        <f t="shared" si="42"/>
        <v>2162.1621621621621</v>
      </c>
      <c r="AF78" s="34">
        <f t="shared" si="43"/>
        <v>2162.1621621621621</v>
      </c>
      <c r="AG78" s="34">
        <f t="shared" si="44"/>
        <v>2162.1621621621621</v>
      </c>
      <c r="AH78" s="34">
        <f t="shared" si="45"/>
        <v>2162.1621621621621</v>
      </c>
      <c r="AI78" s="34">
        <f t="shared" si="46"/>
        <v>2162.1621621621621</v>
      </c>
      <c r="AJ78" s="34">
        <f t="shared" si="47"/>
        <v>2162.1621621621621</v>
      </c>
      <c r="AK78" s="34">
        <f t="shared" si="48"/>
        <v>2162.1621621621621</v>
      </c>
      <c r="AL78" s="34">
        <f t="shared" si="49"/>
        <v>2162.1621621621621</v>
      </c>
      <c r="AM78" s="34">
        <f t="shared" si="50"/>
        <v>2162.1621621621621</v>
      </c>
      <c r="AN78" s="34">
        <f t="shared" si="51"/>
        <v>2162.1621621621621</v>
      </c>
      <c r="AO78" s="34">
        <f t="shared" si="52"/>
        <v>2162.1621621621621</v>
      </c>
      <c r="AP78" t="b">
        <f t="shared" si="53"/>
        <v>0</v>
      </c>
      <c r="AQ78" s="652">
        <f t="shared" si="54"/>
        <v>25945.94594594595</v>
      </c>
      <c r="AR78" s="652">
        <f t="shared" si="55"/>
        <v>2162.1621621621621</v>
      </c>
      <c r="AS78" s="652">
        <f t="shared" si="39"/>
        <v>2162.1621621621621</v>
      </c>
      <c r="AT78" s="652">
        <f t="shared" si="39"/>
        <v>2162.1621621621621</v>
      </c>
      <c r="AU78" s="652">
        <f t="shared" si="39"/>
        <v>2162.1621621621621</v>
      </c>
      <c r="AV78" s="652">
        <f t="shared" si="39"/>
        <v>2162.1621621621621</v>
      </c>
      <c r="AW78" s="652">
        <f t="shared" si="39"/>
        <v>2162.1621621621621</v>
      </c>
      <c r="AX78" s="652">
        <f t="shared" si="39"/>
        <v>2162.1621621621621</v>
      </c>
      <c r="AY78" s="652">
        <f t="shared" si="39"/>
        <v>2162.1621621621621</v>
      </c>
      <c r="AZ78" s="652">
        <f t="shared" si="39"/>
        <v>2162.1621621621621</v>
      </c>
      <c r="BA78" s="652">
        <f t="shared" si="39"/>
        <v>2162.1621621621621</v>
      </c>
      <c r="BB78" s="652">
        <f t="shared" si="39"/>
        <v>2162.1621621621621</v>
      </c>
      <c r="BC78" s="652">
        <f t="shared" si="39"/>
        <v>2162.1621621621621</v>
      </c>
    </row>
    <row r="79" spans="1:55">
      <c r="A79" s="175" t="str">
        <f>+'Tech 2026'!A30</f>
        <v>SAPI</v>
      </c>
      <c r="B79" s="175" t="str">
        <f>+'Tech 2026'!B30</f>
        <v>TEC</v>
      </c>
      <c r="C79" s="175" t="str">
        <f>+'Tech 2026'!C30</f>
        <v>Mariana Kalifa</v>
      </c>
      <c r="D79" s="175" t="str">
        <f>+'Tech 2026'!D30</f>
        <v>Payroll</v>
      </c>
      <c r="E79" s="175" t="str">
        <f>+'Tech 2026'!E30</f>
        <v>Flores Espinoza, Christian</v>
      </c>
      <c r="F79" s="175" t="str">
        <f>+'Tech 2026'!F30</f>
        <v>iOS Dev</v>
      </c>
      <c r="G79" s="175" t="str">
        <f>+'Tech 2026'!G30</f>
        <v>QS Payroll</v>
      </c>
      <c r="H79" s="175">
        <f>+'Tech 2026'!H30</f>
        <v>0</v>
      </c>
      <c r="I79" s="175">
        <f>+'Tech 2026'!I30</f>
        <v>0</v>
      </c>
      <c r="J79" s="175" t="str">
        <f>+'Tech 2026'!J30</f>
        <v>603.01.001</v>
      </c>
      <c r="K79" s="175" t="str">
        <f>+'Tech 2026'!K30</f>
        <v>Sueldos y salarios</v>
      </c>
      <c r="L79" s="175" t="str">
        <f>+'Tech 2026'!L30</f>
        <v>Sueldos y Salarios</v>
      </c>
      <c r="M79" s="175" t="str">
        <f>+'Tech 2026'!M30</f>
        <v>USD</v>
      </c>
      <c r="N79" s="175">
        <f>+'Tech 2026'!N30</f>
        <v>27216</v>
      </c>
      <c r="O79" s="175">
        <f>+'Tech 2026'!O30</f>
        <v>27216</v>
      </c>
      <c r="P79" s="175">
        <f>+'Tech 2026'!P30</f>
        <v>2268</v>
      </c>
      <c r="Q79" s="175">
        <f>+'Tech 2026'!Q30</f>
        <v>2268</v>
      </c>
      <c r="R79" s="175">
        <f>+'Tech 2026'!R30</f>
        <v>2268</v>
      </c>
      <c r="S79" s="175">
        <f>+'Tech 2026'!S30</f>
        <v>2268</v>
      </c>
      <c r="T79" s="175">
        <f>+'Tech 2026'!T30</f>
        <v>2268</v>
      </c>
      <c r="U79" s="175">
        <f>+'Tech 2026'!U30</f>
        <v>2268</v>
      </c>
      <c r="V79" s="175">
        <f>+'Tech 2026'!V30</f>
        <v>2268</v>
      </c>
      <c r="W79" s="175">
        <f>+'Tech 2026'!W30</f>
        <v>2268</v>
      </c>
      <c r="X79" s="175">
        <f>+'Tech 2026'!X30</f>
        <v>2268</v>
      </c>
      <c r="Y79" s="175">
        <f>+'Tech 2026'!Y30</f>
        <v>2268</v>
      </c>
      <c r="Z79" s="175">
        <f>+'Tech 2026'!Z30</f>
        <v>2268</v>
      </c>
      <c r="AA79" s="175">
        <f>+'Tech 2026'!AA30</f>
        <v>2268</v>
      </c>
      <c r="AB79">
        <f t="shared" si="40"/>
        <v>1</v>
      </c>
      <c r="AC79" s="34">
        <f t="shared" si="38"/>
        <v>27216</v>
      </c>
      <c r="AD79" s="34">
        <f t="shared" si="41"/>
        <v>2268</v>
      </c>
      <c r="AE79" s="34">
        <f t="shared" si="42"/>
        <v>2268</v>
      </c>
      <c r="AF79" s="34">
        <f t="shared" si="43"/>
        <v>2268</v>
      </c>
      <c r="AG79" s="34">
        <f t="shared" si="44"/>
        <v>2268</v>
      </c>
      <c r="AH79" s="34">
        <f t="shared" si="45"/>
        <v>2268</v>
      </c>
      <c r="AI79" s="34">
        <f t="shared" si="46"/>
        <v>2268</v>
      </c>
      <c r="AJ79" s="34">
        <f t="shared" si="47"/>
        <v>2268</v>
      </c>
      <c r="AK79" s="34">
        <f t="shared" si="48"/>
        <v>2268</v>
      </c>
      <c r="AL79" s="34">
        <f t="shared" si="49"/>
        <v>2268</v>
      </c>
      <c r="AM79" s="34">
        <f t="shared" si="50"/>
        <v>2268</v>
      </c>
      <c r="AN79" s="34">
        <f t="shared" si="51"/>
        <v>2268</v>
      </c>
      <c r="AO79" s="34">
        <f t="shared" si="52"/>
        <v>2268</v>
      </c>
      <c r="AP79">
        <f t="shared" si="53"/>
        <v>1</v>
      </c>
      <c r="AQ79" s="652">
        <f t="shared" si="54"/>
        <v>27216</v>
      </c>
      <c r="AR79" s="652">
        <f t="shared" si="55"/>
        <v>2268</v>
      </c>
      <c r="AS79" s="652">
        <f t="shared" si="39"/>
        <v>2268</v>
      </c>
      <c r="AT79" s="652">
        <f t="shared" si="39"/>
        <v>2268</v>
      </c>
      <c r="AU79" s="652">
        <f t="shared" si="39"/>
        <v>2268</v>
      </c>
      <c r="AV79" s="652">
        <f t="shared" si="39"/>
        <v>2268</v>
      </c>
      <c r="AW79" s="652">
        <f t="shared" si="39"/>
        <v>2268</v>
      </c>
      <c r="AX79" s="652">
        <f t="shared" si="39"/>
        <v>2268</v>
      </c>
      <c r="AY79" s="652">
        <f t="shared" si="39"/>
        <v>2268</v>
      </c>
      <c r="AZ79" s="652">
        <f t="shared" si="39"/>
        <v>2268</v>
      </c>
      <c r="BA79" s="652">
        <f t="shared" si="39"/>
        <v>2268</v>
      </c>
      <c r="BB79" s="652">
        <f t="shared" si="39"/>
        <v>2268</v>
      </c>
      <c r="BC79" s="652">
        <f t="shared" si="39"/>
        <v>2268</v>
      </c>
    </row>
    <row r="80" spans="1:55">
      <c r="A80" s="175" t="str">
        <f>+'Tech 2026'!A32</f>
        <v>SAPI</v>
      </c>
      <c r="B80" s="175" t="str">
        <f>+'Tech 2026'!B32</f>
        <v>TEC</v>
      </c>
      <c r="C80" s="175" t="str">
        <f>+'Tech 2026'!C32</f>
        <v>Mariana Kalifa</v>
      </c>
      <c r="D80" s="175" t="str">
        <f>+'Tech 2026'!D32</f>
        <v>Benefits</v>
      </c>
      <c r="E80" s="175" t="str">
        <f>+'Tech 2026'!E32</f>
        <v>SiVale</v>
      </c>
      <c r="F80" s="175" t="str">
        <f>+'Tech 2026'!F32</f>
        <v>10 empleados</v>
      </c>
      <c r="G80" s="175" t="str">
        <f>+'Tech 2026'!G32</f>
        <v>Invoice</v>
      </c>
      <c r="H80" s="175">
        <f>+'Tech 2026'!H32</f>
        <v>0</v>
      </c>
      <c r="I80" s="175">
        <f>+'Tech 2026'!I32</f>
        <v>0</v>
      </c>
      <c r="J80" s="175" t="str">
        <f>+'Tech 2026'!J32</f>
        <v>603.15.001</v>
      </c>
      <c r="K80" s="175" t="str">
        <f>+'Tech 2026'!K32</f>
        <v>Despensa</v>
      </c>
      <c r="L80" s="175" t="str">
        <f>+'Tech 2026'!L32</f>
        <v>Sueldos y Salarios</v>
      </c>
      <c r="M80" s="175" t="str">
        <f>+'Tech 2026'!M32</f>
        <v>MXN</v>
      </c>
      <c r="N80" s="175">
        <f>+'Tech 2026'!N32</f>
        <v>4670.27027027027</v>
      </c>
      <c r="O80" s="175">
        <f>+'Tech 2026'!O32</f>
        <v>86400</v>
      </c>
      <c r="P80" s="175">
        <f>+'Tech 2026'!P32</f>
        <v>7200</v>
      </c>
      <c r="Q80" s="175">
        <f>+'Tech 2026'!Q32</f>
        <v>7200</v>
      </c>
      <c r="R80" s="175">
        <f>+'Tech 2026'!R32</f>
        <v>7200</v>
      </c>
      <c r="S80" s="175">
        <f>+'Tech 2026'!S32</f>
        <v>7200</v>
      </c>
      <c r="T80" s="175">
        <f>+'Tech 2026'!T32</f>
        <v>7200</v>
      </c>
      <c r="U80" s="175">
        <f>+'Tech 2026'!U32</f>
        <v>7200</v>
      </c>
      <c r="V80" s="175">
        <f>+'Tech 2026'!V32</f>
        <v>7200</v>
      </c>
      <c r="W80" s="175">
        <f>+'Tech 2026'!W32</f>
        <v>7200</v>
      </c>
      <c r="X80" s="175">
        <f>+'Tech 2026'!X32</f>
        <v>7200</v>
      </c>
      <c r="Y80" s="175">
        <f>+'Tech 2026'!Y32</f>
        <v>7200</v>
      </c>
      <c r="Z80" s="175">
        <f>+'Tech 2026'!Z32</f>
        <v>7200</v>
      </c>
      <c r="AA80" s="175">
        <f>+'Tech 2026'!AA32</f>
        <v>7200</v>
      </c>
      <c r="AB80">
        <f t="shared" si="40"/>
        <v>1</v>
      </c>
      <c r="AC80" s="34">
        <f t="shared" si="38"/>
        <v>4670.27027027027</v>
      </c>
      <c r="AD80" s="34">
        <f t="shared" si="41"/>
        <v>389.18918918918916</v>
      </c>
      <c r="AE80" s="34">
        <f t="shared" si="42"/>
        <v>389.18918918918916</v>
      </c>
      <c r="AF80" s="34">
        <f t="shared" si="43"/>
        <v>389.18918918918916</v>
      </c>
      <c r="AG80" s="34">
        <f t="shared" si="44"/>
        <v>389.18918918918916</v>
      </c>
      <c r="AH80" s="34">
        <f t="shared" si="45"/>
        <v>389.18918918918916</v>
      </c>
      <c r="AI80" s="34">
        <f t="shared" si="46"/>
        <v>389.18918918918916</v>
      </c>
      <c r="AJ80" s="34">
        <f t="shared" si="47"/>
        <v>389.18918918918916</v>
      </c>
      <c r="AK80" s="34">
        <f t="shared" si="48"/>
        <v>389.18918918918916</v>
      </c>
      <c r="AL80" s="34">
        <f t="shared" si="49"/>
        <v>389.18918918918916</v>
      </c>
      <c r="AM80" s="34">
        <f t="shared" si="50"/>
        <v>389.18918918918916</v>
      </c>
      <c r="AN80" s="34">
        <f t="shared" si="51"/>
        <v>389.18918918918916</v>
      </c>
      <c r="AO80" s="34">
        <f t="shared" si="52"/>
        <v>389.18918918918916</v>
      </c>
      <c r="AP80">
        <f t="shared" si="53"/>
        <v>1</v>
      </c>
      <c r="AQ80" s="652">
        <f t="shared" si="54"/>
        <v>4670.27027027027</v>
      </c>
      <c r="AR80" s="652">
        <f t="shared" si="55"/>
        <v>389.18918918918916</v>
      </c>
      <c r="AS80" s="652">
        <f t="shared" si="39"/>
        <v>389.18918918918916</v>
      </c>
      <c r="AT80" s="652">
        <f t="shared" si="39"/>
        <v>389.18918918918916</v>
      </c>
      <c r="AU80" s="652">
        <f t="shared" si="39"/>
        <v>389.18918918918916</v>
      </c>
      <c r="AV80" s="652">
        <f t="shared" si="39"/>
        <v>389.18918918918916</v>
      </c>
      <c r="AW80" s="652">
        <f t="shared" si="39"/>
        <v>389.18918918918916</v>
      </c>
      <c r="AX80" s="652">
        <f t="shared" si="39"/>
        <v>389.18918918918916</v>
      </c>
      <c r="AY80" s="652">
        <f t="shared" si="39"/>
        <v>389.18918918918916</v>
      </c>
      <c r="AZ80" s="652">
        <f t="shared" si="39"/>
        <v>389.18918918918916</v>
      </c>
      <c r="BA80" s="652">
        <f t="shared" si="39"/>
        <v>389.18918918918916</v>
      </c>
      <c r="BB80" s="652">
        <f t="shared" si="39"/>
        <v>389.18918918918916</v>
      </c>
      <c r="BC80" s="652">
        <f t="shared" si="39"/>
        <v>389.18918918918916</v>
      </c>
    </row>
    <row r="81" spans="1:55">
      <c r="A81" s="175" t="str">
        <f>+'Tech 2026'!A33</f>
        <v>SAPI</v>
      </c>
      <c r="B81" s="175" t="str">
        <f>+'Tech 2026'!B33</f>
        <v>TEC</v>
      </c>
      <c r="C81" s="175" t="str">
        <f>+'Tech 2026'!C33</f>
        <v>Mariana Kalifa</v>
      </c>
      <c r="D81" s="175" t="str">
        <f>+'Tech 2026'!D33</f>
        <v>Benefits</v>
      </c>
      <c r="E81" s="175" t="str">
        <f>+'Tech 2026'!E33</f>
        <v>Aguinaldo - Payroll SAPI</v>
      </c>
      <c r="F81" s="175" t="str">
        <f>+'Tech 2026'!F33</f>
        <v>Aguinaldo</v>
      </c>
      <c r="G81" s="175" t="str">
        <f>+'Tech 2026'!G33</f>
        <v>Invoice</v>
      </c>
      <c r="H81" s="175">
        <f>+'Tech 2026'!H33</f>
        <v>0</v>
      </c>
      <c r="I81" s="175">
        <f>+'Tech 2026'!I33</f>
        <v>0</v>
      </c>
      <c r="J81" s="175" t="str">
        <f>+'Tech 2026'!J33</f>
        <v>603.12.001</v>
      </c>
      <c r="K81" s="175" t="str">
        <f>+'Tech 2026'!K33</f>
        <v>Aguinaldo</v>
      </c>
      <c r="L81" s="175" t="str">
        <f>+'Tech 2026'!L33</f>
        <v>Sueldos y Salarios</v>
      </c>
      <c r="M81" s="175" t="str">
        <f>+'Tech 2026'!M33</f>
        <v>MXN</v>
      </c>
      <c r="N81" s="175">
        <f>+'Tech 2026'!N33</f>
        <v>12113.851351351352</v>
      </c>
      <c r="O81" s="175">
        <f>+'Tech 2026'!O33</f>
        <v>224106.25</v>
      </c>
      <c r="P81" s="175">
        <f>+'Tech 2026'!P33</f>
        <v>0</v>
      </c>
      <c r="Q81" s="175">
        <f>+'Tech 2026'!Q33</f>
        <v>0</v>
      </c>
      <c r="R81" s="175">
        <f>+'Tech 2026'!R33</f>
        <v>0</v>
      </c>
      <c r="S81" s="175">
        <f>+'Tech 2026'!S33</f>
        <v>0</v>
      </c>
      <c r="T81" s="175">
        <f>+'Tech 2026'!T33</f>
        <v>0</v>
      </c>
      <c r="U81" s="175">
        <f>+'Tech 2026'!U33</f>
        <v>0</v>
      </c>
      <c r="V81" s="175">
        <f>+'Tech 2026'!V33</f>
        <v>0</v>
      </c>
      <c r="W81" s="175">
        <f>+'Tech 2026'!W33</f>
        <v>0</v>
      </c>
      <c r="X81" s="175">
        <f>+'Tech 2026'!X33</f>
        <v>0</v>
      </c>
      <c r="Y81" s="175">
        <f>+'Tech 2026'!Y33</f>
        <v>0</v>
      </c>
      <c r="Z81" s="175">
        <f>+'Tech 2026'!Z33</f>
        <v>0</v>
      </c>
      <c r="AA81" s="175">
        <f>+'Tech 2026'!AA33</f>
        <v>224106.25</v>
      </c>
      <c r="AB81">
        <f t="shared" si="40"/>
        <v>1</v>
      </c>
      <c r="AC81" s="34">
        <f t="shared" si="38"/>
        <v>12113.851351351352</v>
      </c>
      <c r="AD81" s="34">
        <f t="shared" si="41"/>
        <v>0</v>
      </c>
      <c r="AE81" s="34">
        <f t="shared" si="42"/>
        <v>0</v>
      </c>
      <c r="AF81" s="34">
        <f t="shared" si="43"/>
        <v>0</v>
      </c>
      <c r="AG81" s="34">
        <f t="shared" si="44"/>
        <v>0</v>
      </c>
      <c r="AH81" s="34">
        <f t="shared" si="45"/>
        <v>0</v>
      </c>
      <c r="AI81" s="34">
        <f t="shared" si="46"/>
        <v>0</v>
      </c>
      <c r="AJ81" s="34">
        <f t="shared" si="47"/>
        <v>0</v>
      </c>
      <c r="AK81" s="34">
        <f t="shared" si="48"/>
        <v>0</v>
      </c>
      <c r="AL81" s="34">
        <f t="shared" si="49"/>
        <v>0</v>
      </c>
      <c r="AM81" s="34">
        <f t="shared" si="50"/>
        <v>0</v>
      </c>
      <c r="AN81" s="34">
        <f t="shared" si="51"/>
        <v>0</v>
      </c>
      <c r="AO81" s="34">
        <f t="shared" si="52"/>
        <v>12113.851351351352</v>
      </c>
      <c r="AP81">
        <f t="shared" si="53"/>
        <v>1</v>
      </c>
      <c r="AQ81" s="652">
        <f t="shared" si="54"/>
        <v>12113.851351351352</v>
      </c>
      <c r="AR81" s="652">
        <f t="shared" si="55"/>
        <v>1009.4876126126127</v>
      </c>
      <c r="AS81" s="652">
        <f t="shared" si="39"/>
        <v>1009.4876126126127</v>
      </c>
      <c r="AT81" s="652">
        <f t="shared" si="39"/>
        <v>1009.4876126126127</v>
      </c>
      <c r="AU81" s="652">
        <f t="shared" si="39"/>
        <v>1009.4876126126127</v>
      </c>
      <c r="AV81" s="652">
        <f t="shared" si="39"/>
        <v>1009.4876126126127</v>
      </c>
      <c r="AW81" s="652">
        <f t="shared" si="39"/>
        <v>1009.4876126126127</v>
      </c>
      <c r="AX81" s="652">
        <f t="shared" si="39"/>
        <v>1009.4876126126127</v>
      </c>
      <c r="AY81" s="652">
        <f t="shared" si="39"/>
        <v>1009.4876126126127</v>
      </c>
      <c r="AZ81" s="652">
        <f t="shared" si="39"/>
        <v>1009.4876126126127</v>
      </c>
      <c r="BA81" s="652">
        <f t="shared" si="39"/>
        <v>1009.4876126126127</v>
      </c>
      <c r="BB81" s="652">
        <f t="shared" si="39"/>
        <v>1009.4876126126127</v>
      </c>
      <c r="BC81" s="652">
        <f t="shared" si="39"/>
        <v>1009.4876126126127</v>
      </c>
    </row>
    <row r="82" spans="1:55">
      <c r="A82" s="175" t="str">
        <f>+'Tech 2026'!A34</f>
        <v>SAPI</v>
      </c>
      <c r="B82" s="175" t="str">
        <f>+'Tech 2026'!B34</f>
        <v>TEC</v>
      </c>
      <c r="C82" s="175" t="str">
        <f>+'Tech 2026'!C34</f>
        <v>Mariana Kalifa</v>
      </c>
      <c r="D82" s="175" t="str">
        <f>+'Tech 2026'!D34</f>
        <v>Benefits</v>
      </c>
      <c r="E82" s="175" t="str">
        <f>+'Tech 2026'!E34</f>
        <v>Prima Vacacional (prom. 8 días de vacaciones)</v>
      </c>
      <c r="F82" s="175" t="str">
        <f>+'Tech 2026'!F34</f>
        <v>Prima Vacacional (prom. 8 días de vacaciones)</v>
      </c>
      <c r="G82" s="175" t="str">
        <f>+'Tech 2026'!G34</f>
        <v>Invoice</v>
      </c>
      <c r="H82" s="175">
        <f>+'Tech 2026'!H34</f>
        <v>0</v>
      </c>
      <c r="I82" s="175">
        <f>+'Tech 2026'!I34</f>
        <v>0</v>
      </c>
      <c r="J82" s="175" t="str">
        <f>+'Tech 2026'!J34</f>
        <v>603.07.001</v>
      </c>
      <c r="K82" s="175" t="str">
        <f>+'Tech 2026'!K34</f>
        <v>Prima vacacional</v>
      </c>
      <c r="L82" s="175" t="str">
        <f>+'Tech 2026'!L34</f>
        <v>Sueldos y Salarios</v>
      </c>
      <c r="M82" s="175" t="str">
        <f>+'Tech 2026'!M34</f>
        <v>MXN</v>
      </c>
      <c r="N82" s="175">
        <f>+'Tech 2026'!N34</f>
        <v>504.74380630630628</v>
      </c>
      <c r="O82" s="175">
        <f>+'Tech 2026'!O34</f>
        <v>9337.7604166666661</v>
      </c>
      <c r="P82" s="175">
        <f>+'Tech 2026'!P34</f>
        <v>0</v>
      </c>
      <c r="Q82" s="175">
        <f>+'Tech 2026'!Q34</f>
        <v>0</v>
      </c>
      <c r="R82" s="175">
        <f>+'Tech 2026'!R34</f>
        <v>0</v>
      </c>
      <c r="S82" s="175">
        <f>+'Tech 2026'!S34</f>
        <v>0</v>
      </c>
      <c r="T82" s="175">
        <f>+'Tech 2026'!T34</f>
        <v>0</v>
      </c>
      <c r="U82" s="175">
        <f>+'Tech 2026'!U34</f>
        <v>9337.7604166666661</v>
      </c>
      <c r="V82" s="175">
        <f>+'Tech 2026'!V34</f>
        <v>0</v>
      </c>
      <c r="W82" s="175">
        <f>+'Tech 2026'!W34</f>
        <v>0</v>
      </c>
      <c r="X82" s="175">
        <f>+'Tech 2026'!X34</f>
        <v>0</v>
      </c>
      <c r="Y82" s="175">
        <f>+'Tech 2026'!Y34</f>
        <v>0</v>
      </c>
      <c r="Z82" s="175">
        <f>+'Tech 2026'!Z34</f>
        <v>0</v>
      </c>
      <c r="AA82" s="175">
        <f>+'Tech 2026'!AA34</f>
        <v>0</v>
      </c>
      <c r="AB82">
        <f t="shared" si="40"/>
        <v>1</v>
      </c>
      <c r="AC82" s="34">
        <f t="shared" si="38"/>
        <v>504.74380630630628</v>
      </c>
      <c r="AD82" s="34">
        <f t="shared" si="41"/>
        <v>0</v>
      </c>
      <c r="AE82" s="34">
        <f t="shared" si="42"/>
        <v>0</v>
      </c>
      <c r="AF82" s="34">
        <f t="shared" si="43"/>
        <v>0</v>
      </c>
      <c r="AG82" s="34">
        <f t="shared" si="44"/>
        <v>0</v>
      </c>
      <c r="AH82" s="34">
        <f t="shared" si="45"/>
        <v>0</v>
      </c>
      <c r="AI82" s="34">
        <f t="shared" si="46"/>
        <v>504.74380630630628</v>
      </c>
      <c r="AJ82" s="34">
        <f t="shared" si="47"/>
        <v>0</v>
      </c>
      <c r="AK82" s="34">
        <f t="shared" si="48"/>
        <v>0</v>
      </c>
      <c r="AL82" s="34">
        <f t="shared" si="49"/>
        <v>0</v>
      </c>
      <c r="AM82" s="34">
        <f t="shared" si="50"/>
        <v>0</v>
      </c>
      <c r="AN82" s="34">
        <f t="shared" si="51"/>
        <v>0</v>
      </c>
      <c r="AO82" s="34">
        <f t="shared" si="52"/>
        <v>0</v>
      </c>
      <c r="AP82">
        <f t="shared" si="53"/>
        <v>1</v>
      </c>
      <c r="AQ82" s="652">
        <f t="shared" si="54"/>
        <v>504.74380630630634</v>
      </c>
      <c r="AR82" s="652">
        <f t="shared" si="55"/>
        <v>42.061983858858859</v>
      </c>
      <c r="AS82" s="652">
        <f t="shared" si="39"/>
        <v>42.061983858858859</v>
      </c>
      <c r="AT82" s="652">
        <f t="shared" si="39"/>
        <v>42.061983858858859</v>
      </c>
      <c r="AU82" s="652">
        <f t="shared" si="39"/>
        <v>42.061983858858859</v>
      </c>
      <c r="AV82" s="652">
        <f t="shared" si="39"/>
        <v>42.061983858858859</v>
      </c>
      <c r="AW82" s="652">
        <f t="shared" si="39"/>
        <v>42.061983858858859</v>
      </c>
      <c r="AX82" s="652">
        <f t="shared" si="39"/>
        <v>42.061983858858859</v>
      </c>
      <c r="AY82" s="652">
        <f t="shared" si="39"/>
        <v>42.061983858858859</v>
      </c>
      <c r="AZ82" s="652">
        <f t="shared" si="39"/>
        <v>42.061983858858859</v>
      </c>
      <c r="BA82" s="652">
        <f t="shared" si="39"/>
        <v>42.061983858858859</v>
      </c>
      <c r="BB82" s="652">
        <f t="shared" si="39"/>
        <v>42.061983858858859</v>
      </c>
      <c r="BC82" s="652">
        <f t="shared" si="39"/>
        <v>42.061983858858859</v>
      </c>
    </row>
    <row r="83" spans="1:55">
      <c r="A83" s="175" t="str">
        <f>+'Tech 2026'!A36</f>
        <v>SAPI</v>
      </c>
      <c r="B83" s="175" t="str">
        <f>+'Tech 2026'!B36</f>
        <v>TEC</v>
      </c>
      <c r="C83" s="175" t="str">
        <f>+'Tech 2026'!C36</f>
        <v>Mariana Kalifa</v>
      </c>
      <c r="D83" s="175" t="str">
        <f>+'Tech 2026'!D36</f>
        <v>Payroll</v>
      </c>
      <c r="E83" s="175" t="str">
        <f>+'Tech 2026'!E36</f>
        <v>Impuestos</v>
      </c>
      <c r="F83" s="175" t="str">
        <f>+'Tech 2026'!F36</f>
        <v>SIPARE (SAR, IMSS, INFONAVIT (avg. 22%))</v>
      </c>
      <c r="G83" s="175" t="str">
        <f>+'Tech 2026'!G36</f>
        <v>Invoice</v>
      </c>
      <c r="H83" s="175">
        <f>+'Tech 2026'!H36</f>
        <v>0</v>
      </c>
      <c r="I83" s="175">
        <f>+'Tech 2026'!I36</f>
        <v>0</v>
      </c>
      <c r="J83" s="175" t="str">
        <f>+'Tech 2026'!J36</f>
        <v>603.01.001</v>
      </c>
      <c r="K83" s="175" t="str">
        <f>+'Tech 2026'!K36</f>
        <v>Sueldos y salarios</v>
      </c>
      <c r="L83" s="175" t="str">
        <f>+'Tech 2026'!L36</f>
        <v>Sueldos y Salarios</v>
      </c>
      <c r="M83" s="175" t="str">
        <f>+'Tech 2026'!M36</f>
        <v>MXN</v>
      </c>
      <c r="N83" s="175">
        <f>+'Tech 2026'!N36</f>
        <v>63625.783783783787</v>
      </c>
      <c r="O83" s="175">
        <f>+'Tech 2026'!O36</f>
        <v>1177077</v>
      </c>
      <c r="P83" s="175">
        <f>+'Tech 2026'!P36</f>
        <v>195145.5</v>
      </c>
      <c r="Q83" s="175">
        <f>+'Tech 2026'!Q36</f>
        <v>0</v>
      </c>
      <c r="R83" s="175">
        <f>+'Tech 2026'!R36</f>
        <v>195145.5</v>
      </c>
      <c r="S83" s="175">
        <f>+'Tech 2026'!S36</f>
        <v>0</v>
      </c>
      <c r="T83" s="175">
        <f>+'Tech 2026'!T36</f>
        <v>195145.5</v>
      </c>
      <c r="U83" s="175">
        <f>+'Tech 2026'!U36</f>
        <v>0</v>
      </c>
      <c r="V83" s="175">
        <f>+'Tech 2026'!V36</f>
        <v>197213.5</v>
      </c>
      <c r="W83" s="175">
        <f>+'Tech 2026'!W36</f>
        <v>0</v>
      </c>
      <c r="X83" s="175">
        <f>+'Tech 2026'!X36</f>
        <v>197213.5</v>
      </c>
      <c r="Y83" s="175">
        <f>+'Tech 2026'!Y36</f>
        <v>0</v>
      </c>
      <c r="Z83" s="175">
        <f>+'Tech 2026'!Z36</f>
        <v>197213.5</v>
      </c>
      <c r="AA83" s="175">
        <f>+'Tech 2026'!AA36</f>
        <v>0</v>
      </c>
      <c r="AB83">
        <f t="shared" si="40"/>
        <v>1</v>
      </c>
      <c r="AC83" s="34">
        <f t="shared" si="38"/>
        <v>63625.783783783772</v>
      </c>
      <c r="AD83" s="34">
        <f t="shared" si="41"/>
        <v>10548.405405405405</v>
      </c>
      <c r="AE83" s="34">
        <f t="shared" si="42"/>
        <v>0</v>
      </c>
      <c r="AF83" s="34">
        <f t="shared" si="43"/>
        <v>10548.405405405405</v>
      </c>
      <c r="AG83" s="34">
        <f t="shared" si="44"/>
        <v>0</v>
      </c>
      <c r="AH83" s="34">
        <f t="shared" si="45"/>
        <v>10548.405405405405</v>
      </c>
      <c r="AI83" s="34">
        <f t="shared" si="46"/>
        <v>0</v>
      </c>
      <c r="AJ83" s="34">
        <f t="shared" si="47"/>
        <v>10660.18918918919</v>
      </c>
      <c r="AK83" s="34">
        <f t="shared" si="48"/>
        <v>0</v>
      </c>
      <c r="AL83" s="34">
        <f t="shared" si="49"/>
        <v>10660.18918918919</v>
      </c>
      <c r="AM83" s="34">
        <f t="shared" si="50"/>
        <v>0</v>
      </c>
      <c r="AN83" s="34">
        <f t="shared" si="51"/>
        <v>10660.18918918919</v>
      </c>
      <c r="AO83" s="34">
        <f t="shared" si="52"/>
        <v>0</v>
      </c>
      <c r="AP83">
        <f t="shared" si="53"/>
        <v>1</v>
      </c>
      <c r="AQ83" s="652">
        <f t="shared" si="54"/>
        <v>63625.78378378378</v>
      </c>
      <c r="AR83" s="652">
        <f t="shared" si="55"/>
        <v>5302.1486486486492</v>
      </c>
      <c r="AS83" s="652">
        <f t="shared" si="39"/>
        <v>5302.1486486486492</v>
      </c>
      <c r="AT83" s="652">
        <f t="shared" si="39"/>
        <v>5302.1486486486492</v>
      </c>
      <c r="AU83" s="652">
        <f t="shared" si="39"/>
        <v>5302.1486486486492</v>
      </c>
      <c r="AV83" s="652">
        <f t="shared" si="39"/>
        <v>5302.1486486486492</v>
      </c>
      <c r="AW83" s="652">
        <f t="shared" si="39"/>
        <v>5302.1486486486492</v>
      </c>
      <c r="AX83" s="652">
        <f t="shared" si="39"/>
        <v>5302.1486486486492</v>
      </c>
      <c r="AY83" s="652">
        <f t="shared" si="39"/>
        <v>5302.1486486486492</v>
      </c>
      <c r="AZ83" s="652">
        <f t="shared" si="39"/>
        <v>5302.1486486486492</v>
      </c>
      <c r="BA83" s="652">
        <f t="shared" si="39"/>
        <v>5302.1486486486492</v>
      </c>
      <c r="BB83" s="652">
        <f t="shared" si="39"/>
        <v>5302.1486486486492</v>
      </c>
      <c r="BC83" s="652">
        <f t="shared" si="39"/>
        <v>5302.1486486486492</v>
      </c>
    </row>
    <row r="84" spans="1:55">
      <c r="A84" s="175" t="str">
        <f>+'Marketing 2025'!A11</f>
        <v>SAPI</v>
      </c>
      <c r="B84" s="175" t="str">
        <f>+'Marketing 2025'!B11</f>
        <v>CREC</v>
      </c>
      <c r="C84" s="175" t="str">
        <f>+'Marketing 2025'!C11</f>
        <v>Martha Gutierrez</v>
      </c>
      <c r="D84" s="175" t="str">
        <f>+'Marketing 2025'!D11</f>
        <v>Tools</v>
      </c>
      <c r="E84" s="175" t="str">
        <f>+'Marketing 2025'!E11</f>
        <v>Adobe</v>
      </c>
      <c r="F84" s="175" t="str">
        <f>+'Marketing 2025'!F11</f>
        <v>Suscripcción anual</v>
      </c>
      <c r="G84" s="175" t="str">
        <f>+'Marketing 2025'!G11</f>
        <v>Jeeves</v>
      </c>
      <c r="H84" s="175" t="str">
        <f>+'Marketing 2025'!H11</f>
        <v>Marketing JVS - 7209</v>
      </c>
      <c r="I84" s="175" t="str">
        <f>+'Marketing 2025'!I11</f>
        <v>Marketing JVS - 7209</v>
      </c>
      <c r="J84" s="175" t="str">
        <f>+'Marketing 2025'!J11</f>
        <v>603.64.001</v>
      </c>
      <c r="K84" s="175" t="str">
        <f>+'Marketing 2025'!K11</f>
        <v>Servicios de Informatica</v>
      </c>
      <c r="L84" s="175" t="str">
        <f>+'Marketing 2025'!L11</f>
        <v>Servicios</v>
      </c>
      <c r="M84" s="175" t="str">
        <f>+'Marketing 2025'!M11</f>
        <v>MXN</v>
      </c>
      <c r="N84" s="175">
        <f>+'Marketing 2025'!N11</f>
        <v>1016.2162162162163</v>
      </c>
      <c r="O84" s="175">
        <f>+'Marketing 2025'!O11</f>
        <v>18800</v>
      </c>
      <c r="P84" s="175">
        <f>+'Marketing 2025'!P11</f>
        <v>0</v>
      </c>
      <c r="Q84" s="175">
        <f>+'Marketing 2025'!Q11</f>
        <v>0</v>
      </c>
      <c r="R84" s="175">
        <f>+'Marketing 2025'!R11</f>
        <v>0</v>
      </c>
      <c r="S84" s="175">
        <f>+'Marketing 2025'!S11</f>
        <v>0</v>
      </c>
      <c r="T84" s="175">
        <f>+'Marketing 2025'!T11</f>
        <v>0</v>
      </c>
      <c r="U84" s="175">
        <f>+'Marketing 2025'!U11</f>
        <v>0</v>
      </c>
      <c r="V84" s="175">
        <f>+'Marketing 2025'!V11</f>
        <v>0</v>
      </c>
      <c r="W84" s="175">
        <f>+'Marketing 2025'!W11</f>
        <v>0</v>
      </c>
      <c r="X84" s="175">
        <f>+'Marketing 2025'!X11</f>
        <v>0</v>
      </c>
      <c r="Y84" s="175">
        <f>+'Marketing 2025'!Y11</f>
        <v>18800</v>
      </c>
      <c r="Z84" s="175">
        <f>+'Marketing 2025'!Z11</f>
        <v>0</v>
      </c>
      <c r="AA84" s="175">
        <f>+'Marketing 2025'!AA11</f>
        <v>0</v>
      </c>
      <c r="AB84">
        <f t="shared" si="40"/>
        <v>1</v>
      </c>
      <c r="AC84" s="34">
        <f t="shared" si="38"/>
        <v>1016.2162162162163</v>
      </c>
      <c r="AD84" s="34">
        <f t="shared" si="41"/>
        <v>0</v>
      </c>
      <c r="AE84" s="34">
        <f t="shared" si="42"/>
        <v>0</v>
      </c>
      <c r="AF84" s="34">
        <f t="shared" si="43"/>
        <v>0</v>
      </c>
      <c r="AG84" s="34">
        <f t="shared" si="44"/>
        <v>0</v>
      </c>
      <c r="AH84" s="34">
        <f t="shared" si="45"/>
        <v>0</v>
      </c>
      <c r="AI84" s="34">
        <f t="shared" si="46"/>
        <v>0</v>
      </c>
      <c r="AJ84" s="34">
        <f t="shared" si="47"/>
        <v>0</v>
      </c>
      <c r="AK84" s="34">
        <f t="shared" si="48"/>
        <v>0</v>
      </c>
      <c r="AL84" s="34">
        <f t="shared" si="49"/>
        <v>0</v>
      </c>
      <c r="AM84" s="34">
        <f t="shared" si="50"/>
        <v>1016.2162162162163</v>
      </c>
      <c r="AN84" s="34">
        <f t="shared" si="51"/>
        <v>0</v>
      </c>
      <c r="AO84" s="34">
        <f t="shared" si="52"/>
        <v>0</v>
      </c>
      <c r="AP84">
        <f t="shared" si="53"/>
        <v>1</v>
      </c>
      <c r="AQ84" s="652">
        <f t="shared" si="54"/>
        <v>1016.2162162162164</v>
      </c>
      <c r="AR84" s="652">
        <f t="shared" si="55"/>
        <v>84.684684684684683</v>
      </c>
      <c r="AS84" s="652">
        <f t="shared" si="39"/>
        <v>84.684684684684683</v>
      </c>
      <c r="AT84" s="652">
        <f t="shared" si="39"/>
        <v>84.684684684684683</v>
      </c>
      <c r="AU84" s="652">
        <f t="shared" si="39"/>
        <v>84.684684684684683</v>
      </c>
      <c r="AV84" s="652">
        <f t="shared" si="39"/>
        <v>84.684684684684683</v>
      </c>
      <c r="AW84" s="652">
        <f t="shared" si="39"/>
        <v>84.684684684684683</v>
      </c>
      <c r="AX84" s="652">
        <f t="shared" si="39"/>
        <v>84.684684684684683</v>
      </c>
      <c r="AY84" s="652">
        <f t="shared" si="39"/>
        <v>84.684684684684683</v>
      </c>
      <c r="AZ84" s="652">
        <f t="shared" si="39"/>
        <v>84.684684684684683</v>
      </c>
      <c r="BA84" s="652">
        <f t="shared" ref="AS84:BC107" si="56">+$N84/12</f>
        <v>84.684684684684683</v>
      </c>
      <c r="BB84" s="652">
        <f t="shared" si="56"/>
        <v>84.684684684684683</v>
      </c>
      <c r="BC84" s="652">
        <f t="shared" si="56"/>
        <v>84.684684684684683</v>
      </c>
    </row>
    <row r="85" spans="1:55">
      <c r="A85" s="175" t="str">
        <f>+'Marketing 2025'!A12</f>
        <v>SAPI</v>
      </c>
      <c r="B85" s="175" t="str">
        <f>+'Marketing 2025'!B12</f>
        <v>CREC</v>
      </c>
      <c r="C85" s="175" t="str">
        <f>+'Marketing 2025'!C12</f>
        <v>Martha Gutierrez</v>
      </c>
      <c r="D85" s="175" t="str">
        <f>+'Marketing 2025'!D12</f>
        <v>Tools</v>
      </c>
      <c r="E85" s="175" t="str">
        <f>+'Marketing 2025'!E12</f>
        <v>Supermetrics</v>
      </c>
      <c r="F85" s="175" t="str">
        <f>+'Marketing 2025'!F12</f>
        <v>Licencia para pasar datos de back a Google Data Studio</v>
      </c>
      <c r="G85" s="175" t="str">
        <f>+'Marketing 2025'!G12</f>
        <v>Jeeves</v>
      </c>
      <c r="H85" s="175" t="str">
        <f>+'Marketing 2025'!H12</f>
        <v>Marketing 1186</v>
      </c>
      <c r="I85" s="175" t="str">
        <f>+'Marketing 2025'!I12</f>
        <v>Marketing JVS - 7209</v>
      </c>
      <c r="J85" s="175" t="str">
        <f>+'Marketing 2025'!J12</f>
        <v>603.64.001</v>
      </c>
      <c r="K85" s="175" t="str">
        <f>+'Marketing 2025'!K12</f>
        <v>Servicios de Informatica</v>
      </c>
      <c r="L85" s="175" t="str">
        <f>+'Marketing 2025'!L12</f>
        <v>Servicios</v>
      </c>
      <c r="M85" s="175" t="str">
        <f>+'Marketing 2025'!M12</f>
        <v>USD</v>
      </c>
      <c r="N85" s="175">
        <f>+'Marketing 2025'!N12</f>
        <v>1044</v>
      </c>
      <c r="O85" s="175">
        <f>+'Marketing 2025'!O12</f>
        <v>1044</v>
      </c>
      <c r="P85" s="175">
        <f>+'Marketing 2025'!P12</f>
        <v>87</v>
      </c>
      <c r="Q85" s="175">
        <f>+'Marketing 2025'!Q12</f>
        <v>87</v>
      </c>
      <c r="R85" s="175">
        <f>+'Marketing 2025'!R12</f>
        <v>87</v>
      </c>
      <c r="S85" s="175">
        <f>+'Marketing 2025'!S12</f>
        <v>87</v>
      </c>
      <c r="T85" s="175">
        <f>+'Marketing 2025'!T12</f>
        <v>87</v>
      </c>
      <c r="U85" s="175">
        <f>+'Marketing 2025'!U12</f>
        <v>87</v>
      </c>
      <c r="V85" s="175">
        <f>+'Marketing 2025'!V12</f>
        <v>87</v>
      </c>
      <c r="W85" s="175">
        <f>+'Marketing 2025'!W12</f>
        <v>87</v>
      </c>
      <c r="X85" s="175">
        <f>+'Marketing 2025'!X12</f>
        <v>87</v>
      </c>
      <c r="Y85" s="175">
        <f>+'Marketing 2025'!Y12</f>
        <v>87</v>
      </c>
      <c r="Z85" s="175">
        <f>+'Marketing 2025'!Z12</f>
        <v>87</v>
      </c>
      <c r="AA85" s="175">
        <f>+'Marketing 2025'!AA12</f>
        <v>87</v>
      </c>
      <c r="AB85">
        <f t="shared" si="40"/>
        <v>1</v>
      </c>
      <c r="AC85" s="34">
        <f t="shared" ref="AC85:AC90" si="57">+SUM(AD85:AO85)</f>
        <v>1044</v>
      </c>
      <c r="AD85" s="34">
        <f t="shared" si="41"/>
        <v>87</v>
      </c>
      <c r="AE85" s="34">
        <f t="shared" si="42"/>
        <v>87</v>
      </c>
      <c r="AF85" s="34">
        <f t="shared" si="43"/>
        <v>87</v>
      </c>
      <c r="AG85" s="34">
        <f t="shared" si="44"/>
        <v>87</v>
      </c>
      <c r="AH85" s="34">
        <f t="shared" si="45"/>
        <v>87</v>
      </c>
      <c r="AI85" s="34">
        <f t="shared" si="46"/>
        <v>87</v>
      </c>
      <c r="AJ85" s="34">
        <f t="shared" si="47"/>
        <v>87</v>
      </c>
      <c r="AK85" s="34">
        <f t="shared" si="48"/>
        <v>87</v>
      </c>
      <c r="AL85" s="34">
        <f t="shared" si="49"/>
        <v>87</v>
      </c>
      <c r="AM85" s="34">
        <f t="shared" si="50"/>
        <v>87</v>
      </c>
      <c r="AN85" s="34">
        <f t="shared" si="51"/>
        <v>87</v>
      </c>
      <c r="AO85" s="34">
        <f t="shared" si="52"/>
        <v>87</v>
      </c>
      <c r="AP85">
        <f t="shared" si="53"/>
        <v>1</v>
      </c>
      <c r="AQ85" s="652">
        <f t="shared" si="54"/>
        <v>1044</v>
      </c>
      <c r="AR85" s="652">
        <f t="shared" si="55"/>
        <v>87</v>
      </c>
      <c r="AS85" s="652">
        <f t="shared" si="56"/>
        <v>87</v>
      </c>
      <c r="AT85" s="652">
        <f t="shared" si="56"/>
        <v>87</v>
      </c>
      <c r="AU85" s="652">
        <f t="shared" si="56"/>
        <v>87</v>
      </c>
      <c r="AV85" s="652">
        <f t="shared" si="56"/>
        <v>87</v>
      </c>
      <c r="AW85" s="652">
        <f t="shared" si="56"/>
        <v>87</v>
      </c>
      <c r="AX85" s="652">
        <f t="shared" si="56"/>
        <v>87</v>
      </c>
      <c r="AY85" s="652">
        <f t="shared" si="56"/>
        <v>87</v>
      </c>
      <c r="AZ85" s="652">
        <f t="shared" si="56"/>
        <v>87</v>
      </c>
      <c r="BA85" s="652">
        <f t="shared" si="56"/>
        <v>87</v>
      </c>
      <c r="BB85" s="652">
        <f t="shared" si="56"/>
        <v>87</v>
      </c>
      <c r="BC85" s="652">
        <f t="shared" si="56"/>
        <v>87</v>
      </c>
    </row>
    <row r="86" spans="1:55">
      <c r="A86" s="175" t="str">
        <f>+'Marketing 2025'!A13</f>
        <v>SAPI</v>
      </c>
      <c r="B86" s="175" t="str">
        <f>+'Marketing 2025'!B13</f>
        <v>CREC</v>
      </c>
      <c r="C86" s="175" t="str">
        <f>+'Marketing 2025'!C13</f>
        <v>Martha Gutierrez</v>
      </c>
      <c r="D86" s="175" t="str">
        <f>+'Marketing 2025'!D13</f>
        <v>Tools</v>
      </c>
      <c r="E86" s="175" t="str">
        <f>+'Marketing 2025'!E13</f>
        <v>Kochava</v>
      </c>
      <c r="F86" s="175" t="str">
        <f>+'Marketing 2025'!F13</f>
        <v>Pago por usuario (tracking + Smartlinks) - estimado porque es pay per use</v>
      </c>
      <c r="G86" s="175" t="str">
        <f>+'Marketing 2025'!G13</f>
        <v>Jeeves</v>
      </c>
      <c r="H86" s="175" t="str">
        <f>+'Marketing 2025'!H13</f>
        <v>Marketing JVS - 7209</v>
      </c>
      <c r="I86" s="175" t="str">
        <f>+'Marketing 2025'!I13</f>
        <v>Marketing JVS - 7209</v>
      </c>
      <c r="J86" s="175" t="str">
        <f>+'Marketing 2025'!J13</f>
        <v>603.64.001</v>
      </c>
      <c r="K86" s="175" t="str">
        <f>+'Marketing 2025'!K13</f>
        <v>Servicios de Informatica</v>
      </c>
      <c r="L86" s="175" t="str">
        <f>+'Marketing 2025'!L13</f>
        <v>Servicios</v>
      </c>
      <c r="M86" s="175" t="str">
        <f>+'Marketing 2025'!M13</f>
        <v>USD</v>
      </c>
      <c r="N86" s="175">
        <f>+'Marketing 2025'!N13</f>
        <v>12000</v>
      </c>
      <c r="O86" s="175">
        <f>+'Marketing 2025'!O13</f>
        <v>12000</v>
      </c>
      <c r="P86" s="175">
        <f>+'Marketing 2025'!P13</f>
        <v>1000</v>
      </c>
      <c r="Q86" s="175">
        <f>+'Marketing 2025'!Q13</f>
        <v>1000</v>
      </c>
      <c r="R86" s="175">
        <f>+'Marketing 2025'!R13</f>
        <v>1000</v>
      </c>
      <c r="S86" s="175">
        <f>+'Marketing 2025'!S13</f>
        <v>1000</v>
      </c>
      <c r="T86" s="175">
        <f>+'Marketing 2025'!T13</f>
        <v>1000</v>
      </c>
      <c r="U86" s="175">
        <f>+'Marketing 2025'!U13</f>
        <v>1000</v>
      </c>
      <c r="V86" s="175">
        <f>+'Marketing 2025'!V13</f>
        <v>1000</v>
      </c>
      <c r="W86" s="175">
        <f>+'Marketing 2025'!W13</f>
        <v>1000</v>
      </c>
      <c r="X86" s="175">
        <f>+'Marketing 2025'!X13</f>
        <v>1000</v>
      </c>
      <c r="Y86" s="175">
        <f>+'Marketing 2025'!Y13</f>
        <v>1000</v>
      </c>
      <c r="Z86" s="175">
        <f>+'Marketing 2025'!Z13</f>
        <v>1000</v>
      </c>
      <c r="AA86" s="175">
        <f>+'Marketing 2025'!AA13</f>
        <v>1000</v>
      </c>
      <c r="AB86">
        <f t="shared" si="40"/>
        <v>1</v>
      </c>
      <c r="AC86" s="34">
        <f t="shared" si="57"/>
        <v>12000</v>
      </c>
      <c r="AD86" s="34">
        <f t="shared" si="41"/>
        <v>1000</v>
      </c>
      <c r="AE86" s="34">
        <f t="shared" si="42"/>
        <v>1000</v>
      </c>
      <c r="AF86" s="34">
        <f t="shared" si="43"/>
        <v>1000</v>
      </c>
      <c r="AG86" s="34">
        <f t="shared" si="44"/>
        <v>1000</v>
      </c>
      <c r="AH86" s="34">
        <f t="shared" si="45"/>
        <v>1000</v>
      </c>
      <c r="AI86" s="34">
        <f t="shared" si="46"/>
        <v>1000</v>
      </c>
      <c r="AJ86" s="34">
        <f t="shared" si="47"/>
        <v>1000</v>
      </c>
      <c r="AK86" s="34">
        <f t="shared" si="48"/>
        <v>1000</v>
      </c>
      <c r="AL86" s="34">
        <f t="shared" si="49"/>
        <v>1000</v>
      </c>
      <c r="AM86" s="34">
        <f t="shared" si="50"/>
        <v>1000</v>
      </c>
      <c r="AN86" s="34">
        <f t="shared" si="51"/>
        <v>1000</v>
      </c>
      <c r="AO86" s="34">
        <f t="shared" si="52"/>
        <v>1000</v>
      </c>
      <c r="AP86">
        <f t="shared" si="53"/>
        <v>1</v>
      </c>
      <c r="AQ86" s="652">
        <f t="shared" si="54"/>
        <v>12000</v>
      </c>
      <c r="AR86" s="652">
        <f t="shared" si="55"/>
        <v>1000</v>
      </c>
      <c r="AS86" s="652">
        <f t="shared" si="56"/>
        <v>1000</v>
      </c>
      <c r="AT86" s="652">
        <f t="shared" si="56"/>
        <v>1000</v>
      </c>
      <c r="AU86" s="652">
        <f t="shared" si="56"/>
        <v>1000</v>
      </c>
      <c r="AV86" s="652">
        <f t="shared" si="56"/>
        <v>1000</v>
      </c>
      <c r="AW86" s="652">
        <f t="shared" si="56"/>
        <v>1000</v>
      </c>
      <c r="AX86" s="652">
        <f t="shared" si="56"/>
        <v>1000</v>
      </c>
      <c r="AY86" s="652">
        <f t="shared" si="56"/>
        <v>1000</v>
      </c>
      <c r="AZ86" s="652">
        <f t="shared" si="56"/>
        <v>1000</v>
      </c>
      <c r="BA86" s="652">
        <f t="shared" si="56"/>
        <v>1000</v>
      </c>
      <c r="BB86" s="652">
        <f t="shared" si="56"/>
        <v>1000</v>
      </c>
      <c r="BC86" s="652">
        <f t="shared" si="56"/>
        <v>1000</v>
      </c>
    </row>
    <row r="87" spans="1:55">
      <c r="A87" s="175" t="str">
        <f>+'Marketing 2025'!A14</f>
        <v>SAPI</v>
      </c>
      <c r="B87" s="175" t="str">
        <f>+'Marketing 2025'!B14</f>
        <v>CREC</v>
      </c>
      <c r="C87" s="175" t="str">
        <f>+'Marketing 2025'!C14</f>
        <v>Martha Gutierrez</v>
      </c>
      <c r="D87" s="175" t="str">
        <f>+'Marketing 2025'!D14</f>
        <v>Tools</v>
      </c>
      <c r="E87" s="175" t="str">
        <f>+'Marketing 2025'!E14</f>
        <v>Envato</v>
      </c>
      <c r="F87" s="175" t="str">
        <f>+'Marketing 2025'!F14</f>
        <v>Licencia</v>
      </c>
      <c r="G87" s="175" t="str">
        <f>+'Marketing 2025'!G14</f>
        <v>Jeeves</v>
      </c>
      <c r="H87" s="175" t="str">
        <f>+'Marketing 2025'!H14</f>
        <v>Marketing JVS - 7209</v>
      </c>
      <c r="I87" s="175" t="str">
        <f>+'Marketing 2025'!I14</f>
        <v>Marketing JVS - 7209</v>
      </c>
      <c r="J87" s="175" t="str">
        <f>+'Marketing 2025'!J14</f>
        <v>603.64.001</v>
      </c>
      <c r="K87" s="175" t="str">
        <f>+'Marketing 2025'!K14</f>
        <v>Servicios de Informatica</v>
      </c>
      <c r="L87" s="175" t="str">
        <f>+'Marketing 2025'!L14</f>
        <v>Servicios</v>
      </c>
      <c r="M87" s="175" t="str">
        <f>+'Marketing 2025'!M14</f>
        <v>USD</v>
      </c>
      <c r="N87" s="175">
        <f>+'Marketing 2025'!N14</f>
        <v>230</v>
      </c>
      <c r="O87" s="175">
        <f>+'Marketing 2025'!O14</f>
        <v>230</v>
      </c>
      <c r="P87" s="175">
        <f>+'Marketing 2025'!P14</f>
        <v>0</v>
      </c>
      <c r="Q87" s="175">
        <f>+'Marketing 2025'!Q14</f>
        <v>0</v>
      </c>
      <c r="R87" s="175">
        <f>+'Marketing 2025'!R14</f>
        <v>230</v>
      </c>
      <c r="S87" s="175">
        <f>+'Marketing 2025'!S14</f>
        <v>0</v>
      </c>
      <c r="T87" s="175">
        <f>+'Marketing 2025'!T14</f>
        <v>0</v>
      </c>
      <c r="U87" s="175">
        <f>+'Marketing 2025'!U14</f>
        <v>0</v>
      </c>
      <c r="V87" s="175">
        <f>+'Marketing 2025'!V14</f>
        <v>0</v>
      </c>
      <c r="W87" s="175">
        <f>+'Marketing 2025'!W14</f>
        <v>0</v>
      </c>
      <c r="X87" s="175">
        <f>+'Marketing 2025'!X14</f>
        <v>0</v>
      </c>
      <c r="Y87" s="175">
        <f>+'Marketing 2025'!Y14</f>
        <v>0</v>
      </c>
      <c r="Z87" s="175">
        <f>+'Marketing 2025'!Z14</f>
        <v>0</v>
      </c>
      <c r="AA87" s="175">
        <f>+'Marketing 2025'!AA14</f>
        <v>0</v>
      </c>
      <c r="AB87">
        <f t="shared" si="40"/>
        <v>1</v>
      </c>
      <c r="AC87" s="34">
        <f t="shared" si="57"/>
        <v>230</v>
      </c>
      <c r="AD87" s="34">
        <f t="shared" si="41"/>
        <v>0</v>
      </c>
      <c r="AE87" s="34">
        <f t="shared" si="42"/>
        <v>0</v>
      </c>
      <c r="AF87" s="34">
        <f t="shared" si="43"/>
        <v>230</v>
      </c>
      <c r="AG87" s="34">
        <f t="shared" si="44"/>
        <v>0</v>
      </c>
      <c r="AH87" s="34">
        <f t="shared" si="45"/>
        <v>0</v>
      </c>
      <c r="AI87" s="34">
        <f t="shared" si="46"/>
        <v>0</v>
      </c>
      <c r="AJ87" s="34">
        <f t="shared" si="47"/>
        <v>0</v>
      </c>
      <c r="AK87" s="34">
        <f t="shared" si="48"/>
        <v>0</v>
      </c>
      <c r="AL87" s="34">
        <f t="shared" si="49"/>
        <v>0</v>
      </c>
      <c r="AM87" s="34">
        <f t="shared" si="50"/>
        <v>0</v>
      </c>
      <c r="AN87" s="34">
        <f t="shared" si="51"/>
        <v>0</v>
      </c>
      <c r="AO87" s="34">
        <f t="shared" si="52"/>
        <v>0</v>
      </c>
      <c r="AP87">
        <f t="shared" si="53"/>
        <v>1</v>
      </c>
      <c r="AQ87" s="652">
        <f t="shared" si="54"/>
        <v>229.99999999999997</v>
      </c>
      <c r="AR87" s="652">
        <f t="shared" si="55"/>
        <v>19.166666666666668</v>
      </c>
      <c r="AS87" s="652">
        <f t="shared" si="56"/>
        <v>19.166666666666668</v>
      </c>
      <c r="AT87" s="652">
        <f t="shared" si="56"/>
        <v>19.166666666666668</v>
      </c>
      <c r="AU87" s="652">
        <f t="shared" si="56"/>
        <v>19.166666666666668</v>
      </c>
      <c r="AV87" s="652">
        <f t="shared" si="56"/>
        <v>19.166666666666668</v>
      </c>
      <c r="AW87" s="652">
        <f t="shared" si="56"/>
        <v>19.166666666666668</v>
      </c>
      <c r="AX87" s="652">
        <f t="shared" si="56"/>
        <v>19.166666666666668</v>
      </c>
      <c r="AY87" s="652">
        <f t="shared" si="56"/>
        <v>19.166666666666668</v>
      </c>
      <c r="AZ87" s="652">
        <f t="shared" si="56"/>
        <v>19.166666666666668</v>
      </c>
      <c r="BA87" s="652">
        <f t="shared" si="56"/>
        <v>19.166666666666668</v>
      </c>
      <c r="BB87" s="652">
        <f t="shared" si="56"/>
        <v>19.166666666666668</v>
      </c>
      <c r="BC87" s="652">
        <f t="shared" si="56"/>
        <v>19.166666666666668</v>
      </c>
    </row>
    <row r="88" spans="1:55">
      <c r="A88" s="175" t="str">
        <f>+'Marketing 2025'!A15</f>
        <v>SAPI</v>
      </c>
      <c r="B88" s="175" t="str">
        <f>+'Marketing 2025'!B15</f>
        <v>CREC</v>
      </c>
      <c r="C88" s="175" t="str">
        <f>+'Marketing 2025'!C15</f>
        <v>Martha Gutierrez</v>
      </c>
      <c r="D88" s="175" t="str">
        <f>+'Marketing 2025'!D15</f>
        <v>Tools</v>
      </c>
      <c r="E88" s="175" t="str">
        <f>+'Marketing 2025'!E15</f>
        <v>Motion (creative cloud)</v>
      </c>
      <c r="F88" s="175" t="str">
        <f>+'Marketing 2025'!F15</f>
        <v>Pago mensual por Ads creatives tool</v>
      </c>
      <c r="G88" s="175" t="str">
        <f>+'Marketing 2025'!G15</f>
        <v>Jeeves</v>
      </c>
      <c r="H88" s="175" t="str">
        <f>+'Marketing 2025'!H15</f>
        <v>Marketing 1186</v>
      </c>
      <c r="I88" s="175" t="str">
        <f>+'Marketing 2025'!I15</f>
        <v>Marketing JVS - 7209</v>
      </c>
      <c r="J88" s="175" t="str">
        <f>+'Marketing 2025'!J15</f>
        <v>603.64.001</v>
      </c>
      <c r="K88" s="175" t="str">
        <f>+'Marketing 2025'!K15</f>
        <v>Servicios de Informatica</v>
      </c>
      <c r="L88" s="175" t="str">
        <f>+'Marketing 2025'!L15</f>
        <v>Servicios</v>
      </c>
      <c r="M88" s="175" t="str">
        <f>+'Marketing 2025'!M15</f>
        <v>USD</v>
      </c>
      <c r="N88" s="175">
        <f>+'Marketing 2025'!N15</f>
        <v>0</v>
      </c>
      <c r="O88" s="175">
        <f>+'Marketing 2025'!O15</f>
        <v>0</v>
      </c>
      <c r="P88" s="175">
        <f>+'Marketing 2025'!P15</f>
        <v>0</v>
      </c>
      <c r="Q88" s="175">
        <f>+'Marketing 2025'!Q15</f>
        <v>0</v>
      </c>
      <c r="R88" s="175">
        <f>+'Marketing 2025'!R15</f>
        <v>0</v>
      </c>
      <c r="S88" s="175">
        <f>+'Marketing 2025'!S15</f>
        <v>0</v>
      </c>
      <c r="T88" s="175">
        <f>+'Marketing 2025'!T15</f>
        <v>0</v>
      </c>
      <c r="U88" s="175">
        <f>+'Marketing 2025'!U15</f>
        <v>0</v>
      </c>
      <c r="V88" s="175">
        <f>+'Marketing 2025'!V15</f>
        <v>0</v>
      </c>
      <c r="W88" s="175">
        <f>+'Marketing 2025'!W15</f>
        <v>0</v>
      </c>
      <c r="X88" s="175">
        <f>+'Marketing 2025'!X15</f>
        <v>0</v>
      </c>
      <c r="Y88" s="175">
        <f>+'Marketing 2025'!Y15</f>
        <v>0</v>
      </c>
      <c r="Z88" s="175">
        <f>+'Marketing 2025'!Z15</f>
        <v>0</v>
      </c>
      <c r="AA88" s="175">
        <f>+'Marketing 2025'!AA15</f>
        <v>0</v>
      </c>
      <c r="AB88">
        <f t="shared" si="40"/>
        <v>1</v>
      </c>
      <c r="AC88" s="34">
        <f t="shared" si="57"/>
        <v>0</v>
      </c>
      <c r="AD88" s="34">
        <f t="shared" si="41"/>
        <v>0</v>
      </c>
      <c r="AE88" s="34">
        <f t="shared" si="42"/>
        <v>0</v>
      </c>
      <c r="AF88" s="34">
        <f t="shared" si="43"/>
        <v>0</v>
      </c>
      <c r="AG88" s="34">
        <f t="shared" si="44"/>
        <v>0</v>
      </c>
      <c r="AH88" s="34">
        <f t="shared" si="45"/>
        <v>0</v>
      </c>
      <c r="AI88" s="34">
        <f t="shared" si="46"/>
        <v>0</v>
      </c>
      <c r="AJ88" s="34">
        <f t="shared" si="47"/>
        <v>0</v>
      </c>
      <c r="AK88" s="34">
        <f t="shared" si="48"/>
        <v>0</v>
      </c>
      <c r="AL88" s="34">
        <f t="shared" si="49"/>
        <v>0</v>
      </c>
      <c r="AM88" s="34">
        <f t="shared" si="50"/>
        <v>0</v>
      </c>
      <c r="AN88" s="34">
        <f t="shared" si="51"/>
        <v>0</v>
      </c>
      <c r="AO88" s="34">
        <f t="shared" si="52"/>
        <v>0</v>
      </c>
      <c r="AP88">
        <f t="shared" si="53"/>
        <v>1</v>
      </c>
      <c r="AQ88" s="652">
        <f t="shared" si="54"/>
        <v>0</v>
      </c>
      <c r="AR88" s="652">
        <f t="shared" si="55"/>
        <v>0</v>
      </c>
      <c r="AS88" s="652">
        <f t="shared" si="56"/>
        <v>0</v>
      </c>
      <c r="AT88" s="652">
        <f t="shared" si="56"/>
        <v>0</v>
      </c>
      <c r="AU88" s="652">
        <f t="shared" si="56"/>
        <v>0</v>
      </c>
      <c r="AV88" s="652">
        <f t="shared" si="56"/>
        <v>0</v>
      </c>
      <c r="AW88" s="652">
        <f t="shared" si="56"/>
        <v>0</v>
      </c>
      <c r="AX88" s="652">
        <f t="shared" si="56"/>
        <v>0</v>
      </c>
      <c r="AY88" s="652">
        <f t="shared" si="56"/>
        <v>0</v>
      </c>
      <c r="AZ88" s="652">
        <f t="shared" si="56"/>
        <v>0</v>
      </c>
      <c r="BA88" s="652">
        <f t="shared" si="56"/>
        <v>0</v>
      </c>
      <c r="BB88" s="652">
        <f t="shared" si="56"/>
        <v>0</v>
      </c>
      <c r="BC88" s="652">
        <f t="shared" si="56"/>
        <v>0</v>
      </c>
    </row>
    <row r="89" spans="1:55">
      <c r="A89" s="175" t="str">
        <f>+'Marketing 2025'!A16</f>
        <v>SAPI</v>
      </c>
      <c r="B89" s="175" t="str">
        <f>+'Marketing 2025'!B16</f>
        <v>CREC</v>
      </c>
      <c r="C89" s="175" t="str">
        <f>+'Marketing 2025'!C16</f>
        <v>Martha Gutierrez</v>
      </c>
      <c r="D89" s="175" t="str">
        <f>+'Marketing 2025'!D16</f>
        <v>Tools</v>
      </c>
      <c r="E89" s="175" t="str">
        <f>+'Marketing 2025'!E16</f>
        <v>Admanage.ai</v>
      </c>
      <c r="F89" s="175" t="str">
        <f>+'Marketing 2025'!F16</f>
        <v>Pago mensual por Ads creatives tool</v>
      </c>
      <c r="G89" s="175" t="str">
        <f>+'Marketing 2025'!G16</f>
        <v>Jeeves</v>
      </c>
      <c r="H89" s="175" t="str">
        <f>+'Marketing 2025'!H16</f>
        <v>Marketing JVS - 7209</v>
      </c>
      <c r="I89" s="175" t="str">
        <f>+'Marketing 2025'!I16</f>
        <v>Marketing JVS - 7209</v>
      </c>
      <c r="J89" s="175" t="str">
        <f>+'Marketing 2025'!J16</f>
        <v>603.64.001</v>
      </c>
      <c r="K89" s="175" t="str">
        <f>+'Marketing 2025'!K16</f>
        <v>Servicios de Informatica</v>
      </c>
      <c r="L89" s="175" t="str">
        <f>+'Marketing 2025'!L16</f>
        <v>Servicios</v>
      </c>
      <c r="M89" s="175" t="str">
        <f>+'Marketing 2025'!M16</f>
        <v>USD</v>
      </c>
      <c r="N89" s="175">
        <f>+'Marketing 2025'!N16</f>
        <v>7759</v>
      </c>
      <c r="O89" s="175">
        <f>+'Marketing 2025'!O16</f>
        <v>7759</v>
      </c>
      <c r="P89" s="175">
        <f>+'Marketing 2025'!P16</f>
        <v>499</v>
      </c>
      <c r="Q89" s="175">
        <f>+'Marketing 2025'!Q16</f>
        <v>660</v>
      </c>
      <c r="R89" s="175">
        <f>+'Marketing 2025'!R16</f>
        <v>660</v>
      </c>
      <c r="S89" s="175">
        <f>+'Marketing 2025'!S16</f>
        <v>660</v>
      </c>
      <c r="T89" s="175">
        <f>+'Marketing 2025'!T16</f>
        <v>660</v>
      </c>
      <c r="U89" s="175">
        <f>+'Marketing 2025'!U16</f>
        <v>660</v>
      </c>
      <c r="V89" s="175">
        <f>+'Marketing 2025'!V16</f>
        <v>660</v>
      </c>
      <c r="W89" s="175">
        <f>+'Marketing 2025'!W16</f>
        <v>660</v>
      </c>
      <c r="X89" s="175">
        <f>+'Marketing 2025'!X16</f>
        <v>660</v>
      </c>
      <c r="Y89" s="175">
        <f>+'Marketing 2025'!Y16</f>
        <v>660</v>
      </c>
      <c r="Z89" s="175">
        <f>+'Marketing 2025'!Z16</f>
        <v>660</v>
      </c>
      <c r="AA89" s="175">
        <f>+'Marketing 2025'!AA16</f>
        <v>660</v>
      </c>
      <c r="AB89">
        <f t="shared" si="40"/>
        <v>1</v>
      </c>
      <c r="AC89" s="34">
        <f t="shared" si="57"/>
        <v>7759</v>
      </c>
      <c r="AD89" s="34">
        <f t="shared" si="41"/>
        <v>499</v>
      </c>
      <c r="AE89" s="34">
        <f t="shared" si="42"/>
        <v>660</v>
      </c>
      <c r="AF89" s="34">
        <f t="shared" si="43"/>
        <v>660</v>
      </c>
      <c r="AG89" s="34">
        <f t="shared" si="44"/>
        <v>660</v>
      </c>
      <c r="AH89" s="34">
        <f t="shared" si="45"/>
        <v>660</v>
      </c>
      <c r="AI89" s="34">
        <f t="shared" si="46"/>
        <v>660</v>
      </c>
      <c r="AJ89" s="34">
        <f t="shared" si="47"/>
        <v>660</v>
      </c>
      <c r="AK89" s="34">
        <f t="shared" si="48"/>
        <v>660</v>
      </c>
      <c r="AL89" s="34">
        <f t="shared" si="49"/>
        <v>660</v>
      </c>
      <c r="AM89" s="34">
        <f t="shared" si="50"/>
        <v>660</v>
      </c>
      <c r="AN89" s="34">
        <f t="shared" si="51"/>
        <v>660</v>
      </c>
      <c r="AO89" s="34">
        <f t="shared" si="52"/>
        <v>660</v>
      </c>
      <c r="AP89">
        <f t="shared" si="53"/>
        <v>1</v>
      </c>
      <c r="AQ89" s="652">
        <f t="shared" si="54"/>
        <v>7758.9999999999991</v>
      </c>
      <c r="AR89" s="652">
        <f t="shared" si="55"/>
        <v>646.58333333333337</v>
      </c>
      <c r="AS89" s="652">
        <f t="shared" si="56"/>
        <v>646.58333333333337</v>
      </c>
      <c r="AT89" s="652">
        <f t="shared" si="56"/>
        <v>646.58333333333337</v>
      </c>
      <c r="AU89" s="652">
        <f t="shared" si="56"/>
        <v>646.58333333333337</v>
      </c>
      <c r="AV89" s="652">
        <f t="shared" si="56"/>
        <v>646.58333333333337</v>
      </c>
      <c r="AW89" s="652">
        <f t="shared" si="56"/>
        <v>646.58333333333337</v>
      </c>
      <c r="AX89" s="652">
        <f t="shared" si="56"/>
        <v>646.58333333333337</v>
      </c>
      <c r="AY89" s="652">
        <f t="shared" si="56"/>
        <v>646.58333333333337</v>
      </c>
      <c r="AZ89" s="652">
        <f t="shared" si="56"/>
        <v>646.58333333333337</v>
      </c>
      <c r="BA89" s="652">
        <f t="shared" si="56"/>
        <v>646.58333333333337</v>
      </c>
      <c r="BB89" s="652">
        <f t="shared" si="56"/>
        <v>646.58333333333337</v>
      </c>
      <c r="BC89" s="652">
        <f t="shared" si="56"/>
        <v>646.58333333333337</v>
      </c>
    </row>
    <row r="90" spans="1:55">
      <c r="A90" s="175" t="str">
        <f>+'Marketing 2025'!A17</f>
        <v>SAPI</v>
      </c>
      <c r="B90" s="175" t="str">
        <f>+'Marketing 2025'!B17</f>
        <v>CREC</v>
      </c>
      <c r="C90" s="175" t="str">
        <f>+'Marketing 2025'!C17</f>
        <v>Martha Gutierrez</v>
      </c>
      <c r="D90" s="175" t="str">
        <f>+'Marketing 2025'!D17</f>
        <v>Tools</v>
      </c>
      <c r="E90" s="175" t="str">
        <f>+'Marketing 2025'!E17</f>
        <v>Elementor</v>
      </c>
      <c r="F90" s="175" t="str">
        <f>+'Marketing 2025'!F17</f>
        <v>Pago anual</v>
      </c>
      <c r="G90" s="175" t="str">
        <f>+'Marketing 2025'!G17</f>
        <v>Jeeves</v>
      </c>
      <c r="H90" s="175" t="str">
        <f>+'Marketing 2025'!H17</f>
        <v>Marketing 1186</v>
      </c>
      <c r="I90" s="175" t="str">
        <f>+'Marketing 2025'!I17</f>
        <v>Marketing JVS - 7209</v>
      </c>
      <c r="J90" s="175" t="str">
        <f>+'Marketing 2025'!J17</f>
        <v>603.64.001</v>
      </c>
      <c r="K90" s="175" t="str">
        <f>+'Marketing 2025'!K17</f>
        <v>Servicios de Informatica</v>
      </c>
      <c r="L90" s="175" t="str">
        <f>+'Marketing 2025'!L17</f>
        <v>Servicios</v>
      </c>
      <c r="M90" s="175" t="str">
        <f>+'Marketing 2025'!M17</f>
        <v>USD</v>
      </c>
      <c r="N90" s="175">
        <f>+'Marketing 2025'!N17</f>
        <v>99</v>
      </c>
      <c r="O90" s="175">
        <f>+'Marketing 2025'!O17</f>
        <v>99</v>
      </c>
      <c r="P90" s="175">
        <f>+'Marketing 2025'!P17</f>
        <v>0</v>
      </c>
      <c r="Q90" s="175">
        <f>+'Marketing 2025'!Q17</f>
        <v>0</v>
      </c>
      <c r="R90" s="175">
        <f>+'Marketing 2025'!R17</f>
        <v>0</v>
      </c>
      <c r="S90" s="175">
        <f>+'Marketing 2025'!S17</f>
        <v>0</v>
      </c>
      <c r="T90" s="175">
        <f>+'Marketing 2025'!T17</f>
        <v>0</v>
      </c>
      <c r="U90" s="175">
        <f>+'Marketing 2025'!U17</f>
        <v>0</v>
      </c>
      <c r="V90" s="175">
        <f>+'Marketing 2025'!V17</f>
        <v>0</v>
      </c>
      <c r="W90" s="175">
        <f>+'Marketing 2025'!W17</f>
        <v>99</v>
      </c>
      <c r="X90" s="175">
        <f>+'Marketing 2025'!X17</f>
        <v>0</v>
      </c>
      <c r="Y90" s="175">
        <f>+'Marketing 2025'!Y17</f>
        <v>0</v>
      </c>
      <c r="Z90" s="175">
        <f>+'Marketing 2025'!Z17</f>
        <v>0</v>
      </c>
      <c r="AA90" s="175">
        <f>+'Marketing 2025'!AA17</f>
        <v>0</v>
      </c>
      <c r="AB90">
        <f t="shared" si="40"/>
        <v>1</v>
      </c>
      <c r="AC90" s="34">
        <f t="shared" si="57"/>
        <v>99</v>
      </c>
      <c r="AD90" s="34">
        <f t="shared" si="41"/>
        <v>0</v>
      </c>
      <c r="AE90" s="34">
        <f t="shared" si="42"/>
        <v>0</v>
      </c>
      <c r="AF90" s="34">
        <f t="shared" si="43"/>
        <v>0</v>
      </c>
      <c r="AG90" s="34">
        <f t="shared" si="44"/>
        <v>0</v>
      </c>
      <c r="AH90" s="34">
        <f t="shared" si="45"/>
        <v>0</v>
      </c>
      <c r="AI90" s="34">
        <f t="shared" si="46"/>
        <v>0</v>
      </c>
      <c r="AJ90" s="34">
        <f t="shared" si="47"/>
        <v>0</v>
      </c>
      <c r="AK90" s="34">
        <f t="shared" si="48"/>
        <v>99</v>
      </c>
      <c r="AL90" s="34">
        <f t="shared" si="49"/>
        <v>0</v>
      </c>
      <c r="AM90" s="34">
        <f t="shared" si="50"/>
        <v>0</v>
      </c>
      <c r="AN90" s="34">
        <f t="shared" si="51"/>
        <v>0</v>
      </c>
      <c r="AO90" s="34">
        <f t="shared" si="52"/>
        <v>0</v>
      </c>
      <c r="AP90">
        <f t="shared" si="53"/>
        <v>1</v>
      </c>
      <c r="AQ90" s="652">
        <f t="shared" si="54"/>
        <v>99</v>
      </c>
      <c r="AR90" s="652">
        <f t="shared" si="55"/>
        <v>8.25</v>
      </c>
      <c r="AS90" s="652">
        <f t="shared" si="56"/>
        <v>8.25</v>
      </c>
      <c r="AT90" s="652">
        <f t="shared" si="56"/>
        <v>8.25</v>
      </c>
      <c r="AU90" s="652">
        <f t="shared" si="56"/>
        <v>8.25</v>
      </c>
      <c r="AV90" s="652">
        <f t="shared" si="56"/>
        <v>8.25</v>
      </c>
      <c r="AW90" s="652">
        <f t="shared" si="56"/>
        <v>8.25</v>
      </c>
      <c r="AX90" s="652">
        <f t="shared" si="56"/>
        <v>8.25</v>
      </c>
      <c r="AY90" s="652">
        <f t="shared" si="56"/>
        <v>8.25</v>
      </c>
      <c r="AZ90" s="652">
        <f t="shared" si="56"/>
        <v>8.25</v>
      </c>
      <c r="BA90" s="652">
        <f t="shared" si="56"/>
        <v>8.25</v>
      </c>
      <c r="BB90" s="652">
        <f t="shared" si="56"/>
        <v>8.25</v>
      </c>
      <c r="BC90" s="652">
        <f t="shared" si="56"/>
        <v>8.25</v>
      </c>
    </row>
    <row r="91" spans="1:55">
      <c r="A91" s="175" t="str">
        <f>+'Marketing 2025'!A18</f>
        <v>SAPI</v>
      </c>
      <c r="B91" s="175" t="str">
        <f>+'Marketing 2025'!B18</f>
        <v>CREC</v>
      </c>
      <c r="C91" s="175" t="str">
        <f>+'Marketing 2025'!C18</f>
        <v>Martha Gutierrez</v>
      </c>
      <c r="D91" s="175" t="str">
        <f>+'Marketing 2025'!D18</f>
        <v>Tools</v>
      </c>
      <c r="E91" s="175" t="str">
        <f>+'Marketing 2025'!E18</f>
        <v>LeadPages</v>
      </c>
      <c r="F91" s="175" t="str">
        <f>+'Marketing 2025'!F18</f>
        <v>Pago mensual</v>
      </c>
      <c r="G91" s="175" t="str">
        <f>+'Marketing 2025'!G18</f>
        <v>Jeeves</v>
      </c>
      <c r="H91" s="175" t="str">
        <f>+'Marketing 2025'!H18</f>
        <v>Marketing JVS - 7209</v>
      </c>
      <c r="I91" s="175" t="str">
        <f>+'Marketing 2025'!I18</f>
        <v>Marketing JVS - 7209</v>
      </c>
      <c r="J91" s="175" t="str">
        <f>+'Marketing 2025'!J18</f>
        <v>603.64.001</v>
      </c>
      <c r="K91" s="175" t="str">
        <f>+'Marketing 2025'!K18</f>
        <v>Servicios de Informatica</v>
      </c>
      <c r="L91" s="175" t="str">
        <f>+'Marketing 2025'!L18</f>
        <v>Servicios</v>
      </c>
      <c r="M91" s="175" t="str">
        <f>+'Marketing 2025'!M18</f>
        <v>USD</v>
      </c>
      <c r="N91" s="175">
        <f>+'Marketing 2025'!N18</f>
        <v>1227</v>
      </c>
      <c r="O91" s="175">
        <f>+'Marketing 2025'!O18</f>
        <v>1227</v>
      </c>
      <c r="P91" s="175">
        <f>+'Marketing 2025'!P18</f>
        <v>15</v>
      </c>
      <c r="Q91" s="175">
        <f>+'Marketing 2025'!Q18</f>
        <v>15</v>
      </c>
      <c r="R91" s="175">
        <f>+'Marketing 2025'!R18</f>
        <v>15</v>
      </c>
      <c r="S91" s="175">
        <f>+'Marketing 2025'!S18</f>
        <v>15</v>
      </c>
      <c r="T91" s="175">
        <f>+'Marketing 2025'!T18</f>
        <v>15</v>
      </c>
      <c r="U91" s="175">
        <f>+'Marketing 2025'!U18</f>
        <v>15</v>
      </c>
      <c r="V91" s="175">
        <f>+'Marketing 2025'!V18</f>
        <v>15</v>
      </c>
      <c r="W91" s="175">
        <f>+'Marketing 2025'!W18</f>
        <v>15</v>
      </c>
      <c r="X91" s="175">
        <f>+'Marketing 2025'!X18</f>
        <v>15</v>
      </c>
      <c r="Y91" s="175">
        <f>+'Marketing 2025'!Y18</f>
        <v>15</v>
      </c>
      <c r="Z91" s="175">
        <f>+'Marketing 2025'!Z18</f>
        <v>15</v>
      </c>
      <c r="AA91" s="175">
        <f>+'Marketing 2025'!AA18</f>
        <v>1062</v>
      </c>
      <c r="AB91">
        <f t="shared" si="40"/>
        <v>1</v>
      </c>
      <c r="AC91" s="34">
        <f t="shared" ref="AC91:AC98" si="58">+SUM(AD91:AO91)</f>
        <v>1227</v>
      </c>
      <c r="AD91" s="34">
        <f t="shared" si="41"/>
        <v>15</v>
      </c>
      <c r="AE91" s="34">
        <f t="shared" si="42"/>
        <v>15</v>
      </c>
      <c r="AF91" s="34">
        <f t="shared" si="43"/>
        <v>15</v>
      </c>
      <c r="AG91" s="34">
        <f t="shared" si="44"/>
        <v>15</v>
      </c>
      <c r="AH91" s="34">
        <f t="shared" si="45"/>
        <v>15</v>
      </c>
      <c r="AI91" s="34">
        <f t="shared" si="46"/>
        <v>15</v>
      </c>
      <c r="AJ91" s="34">
        <f t="shared" si="47"/>
        <v>15</v>
      </c>
      <c r="AK91" s="34">
        <f t="shared" si="48"/>
        <v>15</v>
      </c>
      <c r="AL91" s="34">
        <f t="shared" si="49"/>
        <v>15</v>
      </c>
      <c r="AM91" s="34">
        <f t="shared" si="50"/>
        <v>15</v>
      </c>
      <c r="AN91" s="34">
        <f t="shared" si="51"/>
        <v>15</v>
      </c>
      <c r="AO91" s="34">
        <f t="shared" si="52"/>
        <v>1062</v>
      </c>
      <c r="AP91">
        <f t="shared" si="53"/>
        <v>1</v>
      </c>
      <c r="AQ91" s="652">
        <f t="shared" si="54"/>
        <v>1227</v>
      </c>
      <c r="AR91" s="652">
        <f t="shared" si="55"/>
        <v>102.25</v>
      </c>
      <c r="AS91" s="652">
        <f t="shared" si="56"/>
        <v>102.25</v>
      </c>
      <c r="AT91" s="652">
        <f t="shared" si="56"/>
        <v>102.25</v>
      </c>
      <c r="AU91" s="652">
        <f t="shared" si="56"/>
        <v>102.25</v>
      </c>
      <c r="AV91" s="652">
        <f t="shared" si="56"/>
        <v>102.25</v>
      </c>
      <c r="AW91" s="652">
        <f t="shared" si="56"/>
        <v>102.25</v>
      </c>
      <c r="AX91" s="652">
        <f t="shared" si="56"/>
        <v>102.25</v>
      </c>
      <c r="AY91" s="652">
        <f t="shared" si="56"/>
        <v>102.25</v>
      </c>
      <c r="AZ91" s="652">
        <f t="shared" si="56"/>
        <v>102.25</v>
      </c>
      <c r="BA91" s="652">
        <f t="shared" si="56"/>
        <v>102.25</v>
      </c>
      <c r="BB91" s="652">
        <f t="shared" si="56"/>
        <v>102.25</v>
      </c>
      <c r="BC91" s="652">
        <f t="shared" si="56"/>
        <v>102.25</v>
      </c>
    </row>
    <row r="92" spans="1:55">
      <c r="A92" s="175" t="str">
        <f>+'Marketing 2025'!A19</f>
        <v>INC</v>
      </c>
      <c r="B92" s="175" t="str">
        <f>+'Marketing 2025'!B19</f>
        <v>CREC</v>
      </c>
      <c r="C92" s="175" t="str">
        <f>+'Marketing 2025'!C19</f>
        <v>Martha Gutierrez</v>
      </c>
      <c r="D92" s="175" t="str">
        <f>+'Marketing 2025'!D19</f>
        <v>Tools</v>
      </c>
      <c r="E92" s="175" t="str">
        <f>+'Marketing 2025'!E19</f>
        <v>Leanplum</v>
      </c>
      <c r="F92" s="175" t="str">
        <f>+'Marketing 2025'!F19</f>
        <v>Email Campaigns</v>
      </c>
      <c r="G92" s="175" t="str">
        <f>+'Marketing 2025'!G19</f>
        <v>Invoice</v>
      </c>
      <c r="H92" s="175" t="str">
        <f>+'Marketing 2025'!H19</f>
        <v>Invoice</v>
      </c>
      <c r="I92" s="175" t="str">
        <f>+'Marketing 2025'!I19</f>
        <v>Invoice</v>
      </c>
      <c r="J92" s="175" t="str">
        <f>+'Marketing 2025'!J19</f>
        <v>603.64.001</v>
      </c>
      <c r="K92" s="175" t="str">
        <f>+'Marketing 2025'!K19</f>
        <v>Servicios de Informatica</v>
      </c>
      <c r="L92" s="175" t="str">
        <f>+'Marketing 2025'!L19</f>
        <v>Servicios</v>
      </c>
      <c r="M92" s="175" t="str">
        <f>+'Marketing 2025'!M19</f>
        <v>USD</v>
      </c>
      <c r="N92" s="175">
        <f>+'Marketing 2025'!N19</f>
        <v>40000</v>
      </c>
      <c r="O92" s="175">
        <f>+'Marketing 2025'!O19</f>
        <v>40000</v>
      </c>
      <c r="P92" s="175">
        <f>+'Marketing 2025'!P19</f>
        <v>0</v>
      </c>
      <c r="Q92" s="175">
        <f>+'Marketing 2025'!Q19</f>
        <v>40000</v>
      </c>
      <c r="R92" s="175">
        <f>+'Marketing 2025'!R19</f>
        <v>0</v>
      </c>
      <c r="S92" s="175">
        <f>+'Marketing 2025'!S19</f>
        <v>0</v>
      </c>
      <c r="T92" s="175">
        <f>+'Marketing 2025'!T19</f>
        <v>0</v>
      </c>
      <c r="U92" s="175">
        <f>+'Marketing 2025'!U19</f>
        <v>0</v>
      </c>
      <c r="V92" s="175">
        <f>+'Marketing 2025'!V19</f>
        <v>0</v>
      </c>
      <c r="W92" s="175">
        <f>+'Marketing 2025'!W19</f>
        <v>0</v>
      </c>
      <c r="X92" s="175">
        <f>+'Marketing 2025'!X19</f>
        <v>0</v>
      </c>
      <c r="Y92" s="175">
        <f>+'Marketing 2025'!Y19</f>
        <v>0</v>
      </c>
      <c r="Z92" s="175">
        <f>+'Marketing 2025'!Z19</f>
        <v>0</v>
      </c>
      <c r="AA92" s="175">
        <f>+'Marketing 2025'!AA19</f>
        <v>0</v>
      </c>
      <c r="AB92">
        <f t="shared" si="40"/>
        <v>1</v>
      </c>
      <c r="AC92" s="34">
        <f t="shared" si="58"/>
        <v>40000</v>
      </c>
      <c r="AD92" s="34">
        <f t="shared" si="41"/>
        <v>0</v>
      </c>
      <c r="AE92" s="34">
        <f t="shared" si="42"/>
        <v>40000</v>
      </c>
      <c r="AF92" s="34">
        <f t="shared" si="43"/>
        <v>0</v>
      </c>
      <c r="AG92" s="34">
        <f t="shared" si="44"/>
        <v>0</v>
      </c>
      <c r="AH92" s="34">
        <f t="shared" si="45"/>
        <v>0</v>
      </c>
      <c r="AI92" s="34">
        <f t="shared" si="46"/>
        <v>0</v>
      </c>
      <c r="AJ92" s="34">
        <f t="shared" si="47"/>
        <v>0</v>
      </c>
      <c r="AK92" s="34">
        <f t="shared" si="48"/>
        <v>0</v>
      </c>
      <c r="AL92" s="34">
        <f t="shared" si="49"/>
        <v>0</v>
      </c>
      <c r="AM92" s="34">
        <f t="shared" si="50"/>
        <v>0</v>
      </c>
      <c r="AN92" s="34">
        <f t="shared" si="51"/>
        <v>0</v>
      </c>
      <c r="AO92" s="34">
        <f t="shared" si="52"/>
        <v>0</v>
      </c>
      <c r="AP92">
        <f t="shared" si="53"/>
        <v>1</v>
      </c>
      <c r="AQ92" s="652">
        <f t="shared" si="54"/>
        <v>40000</v>
      </c>
      <c r="AR92" s="652">
        <f t="shared" si="55"/>
        <v>3333.3333333333335</v>
      </c>
      <c r="AS92" s="652">
        <f t="shared" si="56"/>
        <v>3333.3333333333335</v>
      </c>
      <c r="AT92" s="652">
        <f t="shared" si="56"/>
        <v>3333.3333333333335</v>
      </c>
      <c r="AU92" s="652">
        <f t="shared" si="56"/>
        <v>3333.3333333333335</v>
      </c>
      <c r="AV92" s="652">
        <f t="shared" si="56"/>
        <v>3333.3333333333335</v>
      </c>
      <c r="AW92" s="652">
        <f t="shared" si="56"/>
        <v>3333.3333333333335</v>
      </c>
      <c r="AX92" s="652">
        <f t="shared" si="56"/>
        <v>3333.3333333333335</v>
      </c>
      <c r="AY92" s="652">
        <f t="shared" si="56"/>
        <v>3333.3333333333335</v>
      </c>
      <c r="AZ92" s="652">
        <f t="shared" si="56"/>
        <v>3333.3333333333335</v>
      </c>
      <c r="BA92" s="652">
        <f t="shared" si="56"/>
        <v>3333.3333333333335</v>
      </c>
      <c r="BB92" s="652">
        <f t="shared" si="56"/>
        <v>3333.3333333333335</v>
      </c>
      <c r="BC92" s="652">
        <f t="shared" si="56"/>
        <v>3333.3333333333335</v>
      </c>
    </row>
    <row r="93" spans="1:55">
      <c r="A93" s="175" t="str">
        <f>+'Marketing 2025'!A20</f>
        <v>SAPI</v>
      </c>
      <c r="B93" s="175" t="str">
        <f>+'Marketing 2025'!B20</f>
        <v>CREC</v>
      </c>
      <c r="C93" s="175" t="str">
        <f>+'Marketing 2025'!C20</f>
        <v>Martha Gutierrez</v>
      </c>
      <c r="D93" s="175" t="str">
        <f>+'Marketing 2025'!D20</f>
        <v>Tools</v>
      </c>
      <c r="E93" s="175" t="str">
        <f>+'Marketing 2025'!E20</f>
        <v>Sketch</v>
      </c>
      <c r="F93" s="175" t="str">
        <f>+'Marketing 2025'!F20</f>
        <v>Licencia</v>
      </c>
      <c r="G93" s="175" t="str">
        <f>+'Marketing 2025'!G20</f>
        <v>Jeeves</v>
      </c>
      <c r="H93" s="175" t="str">
        <f>+'Marketing 2025'!H20</f>
        <v>Marketing JVS - 7209</v>
      </c>
      <c r="I93" s="175" t="str">
        <f>+'Marketing 2025'!I20</f>
        <v>Marketing JVS - 7209</v>
      </c>
      <c r="J93" s="175" t="str">
        <f>+'Marketing 2025'!J20</f>
        <v>603.64.001</v>
      </c>
      <c r="K93" s="175" t="str">
        <f>+'Marketing 2025'!K20</f>
        <v>Servicios de Informatica</v>
      </c>
      <c r="L93" s="175" t="str">
        <f>+'Marketing 2025'!L20</f>
        <v>Servicios</v>
      </c>
      <c r="M93" s="175" t="str">
        <f>+'Marketing 2025'!M20</f>
        <v>USD</v>
      </c>
      <c r="N93" s="175">
        <f>+'Marketing 2025'!N20</f>
        <v>708</v>
      </c>
      <c r="O93" s="175">
        <f>+'Marketing 2025'!O20</f>
        <v>708</v>
      </c>
      <c r="P93" s="175">
        <f>+'Marketing 2025'!P20</f>
        <v>0</v>
      </c>
      <c r="Q93" s="175">
        <f>+'Marketing 2025'!Q20</f>
        <v>0</v>
      </c>
      <c r="R93" s="175">
        <f>+'Marketing 2025'!R20</f>
        <v>708</v>
      </c>
      <c r="S93" s="175">
        <f>+'Marketing 2025'!S20</f>
        <v>0</v>
      </c>
      <c r="T93" s="175">
        <f>+'Marketing 2025'!T20</f>
        <v>0</v>
      </c>
      <c r="U93" s="175">
        <f>+'Marketing 2025'!U20</f>
        <v>0</v>
      </c>
      <c r="V93" s="175">
        <f>+'Marketing 2025'!V20</f>
        <v>0</v>
      </c>
      <c r="W93" s="175">
        <f>+'Marketing 2025'!W20</f>
        <v>0</v>
      </c>
      <c r="X93" s="175">
        <f>+'Marketing 2025'!X20</f>
        <v>0</v>
      </c>
      <c r="Y93" s="175">
        <f>+'Marketing 2025'!Y20</f>
        <v>0</v>
      </c>
      <c r="Z93" s="175">
        <f>+'Marketing 2025'!Z20</f>
        <v>0</v>
      </c>
      <c r="AA93" s="175">
        <f>+'Marketing 2025'!AA20</f>
        <v>0</v>
      </c>
      <c r="AB93">
        <f t="shared" si="40"/>
        <v>1</v>
      </c>
      <c r="AC93" s="34">
        <f t="shared" si="58"/>
        <v>708</v>
      </c>
      <c r="AD93" s="34">
        <f t="shared" si="41"/>
        <v>0</v>
      </c>
      <c r="AE93" s="34">
        <f t="shared" si="42"/>
        <v>0</v>
      </c>
      <c r="AF93" s="34">
        <f t="shared" si="43"/>
        <v>708</v>
      </c>
      <c r="AG93" s="34">
        <f t="shared" si="44"/>
        <v>0</v>
      </c>
      <c r="AH93" s="34">
        <f t="shared" si="45"/>
        <v>0</v>
      </c>
      <c r="AI93" s="34">
        <f t="shared" si="46"/>
        <v>0</v>
      </c>
      <c r="AJ93" s="34">
        <f t="shared" si="47"/>
        <v>0</v>
      </c>
      <c r="AK93" s="34">
        <f t="shared" si="48"/>
        <v>0</v>
      </c>
      <c r="AL93" s="34">
        <f t="shared" si="49"/>
        <v>0</v>
      </c>
      <c r="AM93" s="34">
        <f t="shared" si="50"/>
        <v>0</v>
      </c>
      <c r="AN93" s="34">
        <f t="shared" si="51"/>
        <v>0</v>
      </c>
      <c r="AO93" s="34">
        <f t="shared" si="52"/>
        <v>0</v>
      </c>
      <c r="AP93">
        <f t="shared" si="53"/>
        <v>1</v>
      </c>
      <c r="AQ93" s="652">
        <f t="shared" si="54"/>
        <v>708</v>
      </c>
      <c r="AR93" s="652">
        <f t="shared" si="55"/>
        <v>59</v>
      </c>
      <c r="AS93" s="652">
        <f t="shared" si="56"/>
        <v>59</v>
      </c>
      <c r="AT93" s="652">
        <f t="shared" si="56"/>
        <v>59</v>
      </c>
      <c r="AU93" s="652">
        <f t="shared" si="56"/>
        <v>59</v>
      </c>
      <c r="AV93" s="652">
        <f t="shared" si="56"/>
        <v>59</v>
      </c>
      <c r="AW93" s="652">
        <f t="shared" si="56"/>
        <v>59</v>
      </c>
      <c r="AX93" s="652">
        <f t="shared" si="56"/>
        <v>59</v>
      </c>
      <c r="AY93" s="652">
        <f t="shared" si="56"/>
        <v>59</v>
      </c>
      <c r="AZ93" s="652">
        <f t="shared" si="56"/>
        <v>59</v>
      </c>
      <c r="BA93" s="652">
        <f t="shared" si="56"/>
        <v>59</v>
      </c>
      <c r="BB93" s="652">
        <f t="shared" si="56"/>
        <v>59</v>
      </c>
      <c r="BC93" s="652">
        <f t="shared" si="56"/>
        <v>59</v>
      </c>
    </row>
    <row r="94" spans="1:55">
      <c r="A94" s="175" t="str">
        <f>+'Marketing 2025'!A21</f>
        <v>SAPI</v>
      </c>
      <c r="B94" s="175" t="str">
        <f>+'Marketing 2025'!B21</f>
        <v>CREC</v>
      </c>
      <c r="C94" s="175" t="str">
        <f>+'Marketing 2025'!C21</f>
        <v>Martha Gutierrez</v>
      </c>
      <c r="D94" s="175" t="str">
        <f>+'Marketing 2025'!D21</f>
        <v>Tools</v>
      </c>
      <c r="E94" s="175" t="str">
        <f>+'Marketing 2025'!E21</f>
        <v>Capcut</v>
      </c>
      <c r="F94" s="175" t="str">
        <f>+'Marketing 2025'!F21</f>
        <v>Tik tok videos</v>
      </c>
      <c r="G94" s="175" t="str">
        <f>+'Marketing 2025'!G21</f>
        <v>Paypal</v>
      </c>
      <c r="H94" s="175" t="str">
        <f>+'Marketing 2025'!H21</f>
        <v>Paypal content</v>
      </c>
      <c r="I94" s="175" t="str">
        <f>+'Marketing 2025'!I21</f>
        <v>Paypal content</v>
      </c>
      <c r="J94" s="175" t="str">
        <f>+'Marketing 2025'!J21</f>
        <v>603.64.001</v>
      </c>
      <c r="K94" s="175" t="str">
        <f>+'Marketing 2025'!K21</f>
        <v>Servicios de Informatica</v>
      </c>
      <c r="L94" s="175" t="str">
        <f>+'Marketing 2025'!L21</f>
        <v>Servicios</v>
      </c>
      <c r="M94" s="175" t="str">
        <f>+'Marketing 2025'!M21</f>
        <v>USD</v>
      </c>
      <c r="N94" s="175">
        <f>+'Marketing 2025'!N21</f>
        <v>204</v>
      </c>
      <c r="O94" s="175">
        <f>+'Marketing 2025'!O21</f>
        <v>204</v>
      </c>
      <c r="P94" s="175">
        <f>+'Marketing 2025'!P21</f>
        <v>17</v>
      </c>
      <c r="Q94" s="175">
        <f>+'Marketing 2025'!Q21</f>
        <v>17</v>
      </c>
      <c r="R94" s="175">
        <f>+'Marketing 2025'!R21</f>
        <v>17</v>
      </c>
      <c r="S94" s="175">
        <f>+'Marketing 2025'!S21</f>
        <v>17</v>
      </c>
      <c r="T94" s="175">
        <f>+'Marketing 2025'!T21</f>
        <v>17</v>
      </c>
      <c r="U94" s="175">
        <f>+'Marketing 2025'!U21</f>
        <v>17</v>
      </c>
      <c r="V94" s="175">
        <f>+'Marketing 2025'!V21</f>
        <v>17</v>
      </c>
      <c r="W94" s="175">
        <f>+'Marketing 2025'!W21</f>
        <v>17</v>
      </c>
      <c r="X94" s="175">
        <f>+'Marketing 2025'!X21</f>
        <v>17</v>
      </c>
      <c r="Y94" s="175">
        <f>+'Marketing 2025'!Y21</f>
        <v>17</v>
      </c>
      <c r="Z94" s="175">
        <f>+'Marketing 2025'!Z21</f>
        <v>17</v>
      </c>
      <c r="AA94" s="175">
        <f>+'Marketing 2025'!AA21</f>
        <v>17</v>
      </c>
      <c r="AB94">
        <f t="shared" si="40"/>
        <v>1</v>
      </c>
      <c r="AC94" s="34">
        <f t="shared" si="58"/>
        <v>204</v>
      </c>
      <c r="AD94" s="34">
        <f t="shared" si="41"/>
        <v>17</v>
      </c>
      <c r="AE94" s="34">
        <f t="shared" si="42"/>
        <v>17</v>
      </c>
      <c r="AF94" s="34">
        <f t="shared" si="43"/>
        <v>17</v>
      </c>
      <c r="AG94" s="34">
        <f t="shared" si="44"/>
        <v>17</v>
      </c>
      <c r="AH94" s="34">
        <f t="shared" si="45"/>
        <v>17</v>
      </c>
      <c r="AI94" s="34">
        <f t="shared" si="46"/>
        <v>17</v>
      </c>
      <c r="AJ94" s="34">
        <f t="shared" si="47"/>
        <v>17</v>
      </c>
      <c r="AK94" s="34">
        <f t="shared" si="48"/>
        <v>17</v>
      </c>
      <c r="AL94" s="34">
        <f t="shared" si="49"/>
        <v>17</v>
      </c>
      <c r="AM94" s="34">
        <f t="shared" si="50"/>
        <v>17</v>
      </c>
      <c r="AN94" s="34">
        <f t="shared" si="51"/>
        <v>17</v>
      </c>
      <c r="AO94" s="34">
        <f t="shared" si="52"/>
        <v>17</v>
      </c>
      <c r="AP94">
        <f t="shared" si="53"/>
        <v>1</v>
      </c>
      <c r="AQ94" s="652">
        <f t="shared" si="54"/>
        <v>204</v>
      </c>
      <c r="AR94" s="652">
        <f t="shared" si="55"/>
        <v>17</v>
      </c>
      <c r="AS94" s="652">
        <f t="shared" si="56"/>
        <v>17</v>
      </c>
      <c r="AT94" s="652">
        <f t="shared" si="56"/>
        <v>17</v>
      </c>
      <c r="AU94" s="652">
        <f t="shared" si="56"/>
        <v>17</v>
      </c>
      <c r="AV94" s="652">
        <f t="shared" si="56"/>
        <v>17</v>
      </c>
      <c r="AW94" s="652">
        <f t="shared" si="56"/>
        <v>17</v>
      </c>
      <c r="AX94" s="652">
        <f t="shared" si="56"/>
        <v>17</v>
      </c>
      <c r="AY94" s="652">
        <f t="shared" si="56"/>
        <v>17</v>
      </c>
      <c r="AZ94" s="652">
        <f t="shared" si="56"/>
        <v>17</v>
      </c>
      <c r="BA94" s="652">
        <f t="shared" si="56"/>
        <v>17</v>
      </c>
      <c r="BB94" s="652">
        <f t="shared" si="56"/>
        <v>17</v>
      </c>
      <c r="BC94" s="652">
        <f t="shared" si="56"/>
        <v>17</v>
      </c>
    </row>
    <row r="95" spans="1:55">
      <c r="A95" s="175" t="str">
        <f>+'Marketing 2025'!A22</f>
        <v>SAPI</v>
      </c>
      <c r="B95" s="175" t="str">
        <f>+'Marketing 2025'!B22</f>
        <v>CREC</v>
      </c>
      <c r="C95" s="175" t="str">
        <f>+'Marketing 2025'!C22</f>
        <v>Martha Gutierrez</v>
      </c>
      <c r="D95" s="175" t="str">
        <f>+'Marketing 2025'!D22</f>
        <v>Tools</v>
      </c>
      <c r="E95" s="175" t="str">
        <f>+'Marketing 2025'!E22</f>
        <v>Superwall</v>
      </c>
      <c r="F95" s="175" t="str">
        <f>+'Marketing 2025'!F22</f>
        <v>Paywall</v>
      </c>
      <c r="G95" s="175" t="str">
        <f>+'Marketing 2025'!G22</f>
        <v>Mercury</v>
      </c>
      <c r="H95" s="175">
        <f>+'Marketing 2025'!H22</f>
        <v>0</v>
      </c>
      <c r="I95" s="175">
        <f>+'Marketing 2025'!I22</f>
        <v>0</v>
      </c>
      <c r="J95" s="175" t="str">
        <f>+'Marketing 2025'!J22</f>
        <v>603.64.001</v>
      </c>
      <c r="K95" s="175" t="str">
        <f>+'Marketing 2025'!K22</f>
        <v>Servicios de Informatica</v>
      </c>
      <c r="L95" s="175" t="str">
        <f>+'Marketing 2025'!L22</f>
        <v>Servicios</v>
      </c>
      <c r="M95" s="175" t="str">
        <f>+'Marketing 2025'!M22</f>
        <v>USD</v>
      </c>
      <c r="N95" s="175">
        <f>+'Marketing 2025'!N22</f>
        <v>42000</v>
      </c>
      <c r="O95" s="175">
        <f>+'Marketing 2025'!O22</f>
        <v>42000</v>
      </c>
      <c r="P95" s="175">
        <f>+'Marketing 2025'!P22</f>
        <v>3500</v>
      </c>
      <c r="Q95" s="175">
        <f>+'Marketing 2025'!Q22</f>
        <v>3500</v>
      </c>
      <c r="R95" s="175">
        <f>+'Marketing 2025'!R22</f>
        <v>3500</v>
      </c>
      <c r="S95" s="175">
        <f>+'Marketing 2025'!S22</f>
        <v>3500</v>
      </c>
      <c r="T95" s="175">
        <f>+'Marketing 2025'!T22</f>
        <v>3500</v>
      </c>
      <c r="U95" s="175">
        <f>+'Marketing 2025'!U22</f>
        <v>3500</v>
      </c>
      <c r="V95" s="175">
        <f>+'Marketing 2025'!V22</f>
        <v>3500</v>
      </c>
      <c r="W95" s="175">
        <f>+'Marketing 2025'!W22</f>
        <v>3500</v>
      </c>
      <c r="X95" s="175">
        <f>+'Marketing 2025'!X22</f>
        <v>3500</v>
      </c>
      <c r="Y95" s="175">
        <f>+'Marketing 2025'!Y22</f>
        <v>3500</v>
      </c>
      <c r="Z95" s="175">
        <f>+'Marketing 2025'!Z22</f>
        <v>3500</v>
      </c>
      <c r="AA95" s="175">
        <f>+'Marketing 2025'!AA22</f>
        <v>3500</v>
      </c>
      <c r="AB95">
        <f t="shared" si="40"/>
        <v>1</v>
      </c>
      <c r="AC95" s="34">
        <f t="shared" si="58"/>
        <v>42000</v>
      </c>
      <c r="AD95" s="34">
        <f t="shared" si="41"/>
        <v>3500</v>
      </c>
      <c r="AE95" s="34">
        <f t="shared" si="42"/>
        <v>3500</v>
      </c>
      <c r="AF95" s="34">
        <f t="shared" si="43"/>
        <v>3500</v>
      </c>
      <c r="AG95" s="34">
        <f t="shared" si="44"/>
        <v>3500</v>
      </c>
      <c r="AH95" s="34">
        <f t="shared" si="45"/>
        <v>3500</v>
      </c>
      <c r="AI95" s="34">
        <f t="shared" si="46"/>
        <v>3500</v>
      </c>
      <c r="AJ95" s="34">
        <f t="shared" si="47"/>
        <v>3500</v>
      </c>
      <c r="AK95" s="34">
        <f t="shared" si="48"/>
        <v>3500</v>
      </c>
      <c r="AL95" s="34">
        <f t="shared" si="49"/>
        <v>3500</v>
      </c>
      <c r="AM95" s="34">
        <f t="shared" si="50"/>
        <v>3500</v>
      </c>
      <c r="AN95" s="34">
        <f t="shared" si="51"/>
        <v>3500</v>
      </c>
      <c r="AO95" s="34">
        <f t="shared" si="52"/>
        <v>3500</v>
      </c>
      <c r="AP95">
        <f t="shared" si="53"/>
        <v>1</v>
      </c>
      <c r="AQ95" s="652">
        <f t="shared" si="54"/>
        <v>42000</v>
      </c>
      <c r="AR95" s="652">
        <f t="shared" si="55"/>
        <v>3500</v>
      </c>
      <c r="AS95" s="652">
        <f t="shared" si="56"/>
        <v>3500</v>
      </c>
      <c r="AT95" s="652">
        <f t="shared" si="56"/>
        <v>3500</v>
      </c>
      <c r="AU95" s="652">
        <f t="shared" si="56"/>
        <v>3500</v>
      </c>
      <c r="AV95" s="652">
        <f t="shared" si="56"/>
        <v>3500</v>
      </c>
      <c r="AW95" s="652">
        <f t="shared" si="56"/>
        <v>3500</v>
      </c>
      <c r="AX95" s="652">
        <f t="shared" si="56"/>
        <v>3500</v>
      </c>
      <c r="AY95" s="652">
        <f t="shared" si="56"/>
        <v>3500</v>
      </c>
      <c r="AZ95" s="652">
        <f t="shared" si="56"/>
        <v>3500</v>
      </c>
      <c r="BA95" s="652">
        <f t="shared" si="56"/>
        <v>3500</v>
      </c>
      <c r="BB95" s="652">
        <f t="shared" si="56"/>
        <v>3500</v>
      </c>
      <c r="BC95" s="652">
        <f t="shared" si="56"/>
        <v>3500</v>
      </c>
    </row>
    <row r="96" spans="1:55">
      <c r="A96" s="175" t="str">
        <f>+'Marketing 2025'!A24</f>
        <v>SAPI</v>
      </c>
      <c r="B96" s="175" t="str">
        <f>+'Marketing 2025'!B24</f>
        <v>CREC</v>
      </c>
      <c r="C96" s="175" t="str">
        <f>+'Marketing 2025'!C24</f>
        <v>Martha Gutierrez</v>
      </c>
      <c r="D96" s="175" t="str">
        <f>+'Marketing 2025'!D24</f>
        <v>Payroll</v>
      </c>
      <c r="E96" s="175" t="str">
        <f>+'Marketing 2025'!E24</f>
        <v>External hire</v>
      </c>
      <c r="F96" s="175" t="str">
        <f>+'Marketing 2025'!F24</f>
        <v>TBD</v>
      </c>
      <c r="G96" s="175">
        <f>+'Marketing 2025'!G24</f>
        <v>0</v>
      </c>
      <c r="H96" s="175">
        <f>+'Marketing 2025'!H24</f>
        <v>0</v>
      </c>
      <c r="I96" s="175">
        <f>+'Marketing 2025'!I24</f>
        <v>0</v>
      </c>
      <c r="J96" s="175" t="str">
        <f>+'Marketing 2025'!J24</f>
        <v>603.38.001</v>
      </c>
      <c r="K96" s="175" t="str">
        <f>+'Marketing 2025'!K24</f>
        <v>Honorarios A Personas Morales Nacionales</v>
      </c>
      <c r="L96" s="175" t="str">
        <f>+'Marketing 2025'!L24</f>
        <v>Servicios Externos</v>
      </c>
      <c r="M96" s="175" t="str">
        <f>+'Marketing 2025'!M24</f>
        <v>MXN</v>
      </c>
      <c r="N96" s="34">
        <f>+'Marketing 2025'!N24</f>
        <v>0</v>
      </c>
      <c r="O96" s="34">
        <f>+'Marketing 2025'!O24</f>
        <v>0</v>
      </c>
      <c r="P96" s="34">
        <f>+'Marketing 2025'!P24</f>
        <v>0</v>
      </c>
      <c r="Q96" s="34">
        <f>+'Marketing 2025'!Q24</f>
        <v>0</v>
      </c>
      <c r="R96" s="34">
        <f>+'Marketing 2025'!R24</f>
        <v>0</v>
      </c>
      <c r="S96" s="34">
        <f>+'Marketing 2025'!S24</f>
        <v>0</v>
      </c>
      <c r="T96" s="34">
        <f>+'Marketing 2025'!T24</f>
        <v>0</v>
      </c>
      <c r="U96" s="34">
        <f>+'Marketing 2025'!U24</f>
        <v>0</v>
      </c>
      <c r="V96" s="34">
        <f>+'Marketing 2025'!V24</f>
        <v>0</v>
      </c>
      <c r="W96" s="34">
        <f>+'Marketing 2025'!W24</f>
        <v>0</v>
      </c>
      <c r="X96" s="34">
        <f>+'Marketing 2025'!X24</f>
        <v>0</v>
      </c>
      <c r="Y96" s="34">
        <f>+'Marketing 2025'!Y24</f>
        <v>0</v>
      </c>
      <c r="Z96" s="34">
        <f>+'Marketing 2025'!Z24</f>
        <v>0</v>
      </c>
      <c r="AA96" s="34">
        <f>+'Marketing 2025'!AA24</f>
        <v>0</v>
      </c>
      <c r="AB96">
        <f t="shared" si="40"/>
        <v>1</v>
      </c>
      <c r="AC96" s="34">
        <f t="shared" si="58"/>
        <v>0</v>
      </c>
      <c r="AD96" s="34">
        <f t="shared" si="41"/>
        <v>0</v>
      </c>
      <c r="AE96" s="34">
        <f t="shared" si="42"/>
        <v>0</v>
      </c>
      <c r="AF96" s="34">
        <f t="shared" si="43"/>
        <v>0</v>
      </c>
      <c r="AG96" s="34">
        <f t="shared" si="44"/>
        <v>0</v>
      </c>
      <c r="AH96" s="34">
        <f t="shared" si="45"/>
        <v>0</v>
      </c>
      <c r="AI96" s="34">
        <f t="shared" si="46"/>
        <v>0</v>
      </c>
      <c r="AJ96" s="34">
        <f t="shared" si="47"/>
        <v>0</v>
      </c>
      <c r="AK96" s="34">
        <f t="shared" si="48"/>
        <v>0</v>
      </c>
      <c r="AL96" s="34">
        <f t="shared" si="49"/>
        <v>0</v>
      </c>
      <c r="AM96" s="34">
        <f t="shared" si="50"/>
        <v>0</v>
      </c>
      <c r="AN96" s="34">
        <f t="shared" si="51"/>
        <v>0</v>
      </c>
      <c r="AO96" s="34">
        <f t="shared" si="52"/>
        <v>0</v>
      </c>
      <c r="AP96">
        <f t="shared" si="53"/>
        <v>1</v>
      </c>
      <c r="AQ96" s="652">
        <f t="shared" si="54"/>
        <v>0</v>
      </c>
      <c r="AR96" s="652">
        <f t="shared" si="55"/>
        <v>0</v>
      </c>
      <c r="AS96" s="652">
        <f t="shared" si="56"/>
        <v>0</v>
      </c>
      <c r="AT96" s="652">
        <f t="shared" si="56"/>
        <v>0</v>
      </c>
      <c r="AU96" s="652">
        <f t="shared" si="56"/>
        <v>0</v>
      </c>
      <c r="AV96" s="652">
        <f t="shared" si="56"/>
        <v>0</v>
      </c>
      <c r="AW96" s="652">
        <f t="shared" si="56"/>
        <v>0</v>
      </c>
      <c r="AX96" s="652">
        <f t="shared" si="56"/>
        <v>0</v>
      </c>
      <c r="AY96" s="652">
        <f t="shared" si="56"/>
        <v>0</v>
      </c>
      <c r="AZ96" s="652">
        <f t="shared" si="56"/>
        <v>0</v>
      </c>
      <c r="BA96" s="652">
        <f t="shared" si="56"/>
        <v>0</v>
      </c>
      <c r="BB96" s="652">
        <f t="shared" si="56"/>
        <v>0</v>
      </c>
      <c r="BC96" s="652">
        <f t="shared" si="56"/>
        <v>0</v>
      </c>
    </row>
    <row r="97" spans="1:55">
      <c r="A97" s="175" t="str">
        <f>+'Marketing 2025'!A27</f>
        <v>INC</v>
      </c>
      <c r="B97" s="175" t="str">
        <f>+'Marketing 2025'!B27</f>
        <v>CREC</v>
      </c>
      <c r="C97" s="175" t="str">
        <f>+'Marketing 2025'!C27</f>
        <v>Martha Gutierrez</v>
      </c>
      <c r="D97" s="175" t="str">
        <f>+'Marketing 2025'!D27</f>
        <v>Payroll</v>
      </c>
      <c r="E97" s="175" t="str">
        <f>+'Marketing 2025'!E27</f>
        <v xml:space="preserve">MARTHA GUTIERREZ SANCHEZ </v>
      </c>
      <c r="F97" s="175" t="str">
        <f>+'Marketing 2025'!F27</f>
        <v>Head of Marketing</v>
      </c>
      <c r="G97" s="175">
        <f>+'Marketing 2025'!G27</f>
        <v>0</v>
      </c>
      <c r="H97" s="175" t="str">
        <f>+'Marketing 2025'!H27</f>
        <v>Crecimiento - 40%</v>
      </c>
      <c r="I97" s="175">
        <f>+'Marketing 2025'!I27</f>
        <v>0</v>
      </c>
      <c r="J97" s="175" t="str">
        <f>+'Marketing 2025'!J27</f>
        <v>603.01.001</v>
      </c>
      <c r="K97" s="175" t="str">
        <f>+'Marketing 2025'!K27</f>
        <v>Sueldos y salarios</v>
      </c>
      <c r="L97" s="175" t="str">
        <f>+'Marketing 2025'!L27</f>
        <v>Sueldos y Salarios</v>
      </c>
      <c r="M97" s="175" t="str">
        <f>+'Marketing 2025'!M27</f>
        <v>MXN</v>
      </c>
      <c r="N97" s="175">
        <f>+'Marketing 2025'!N27</f>
        <v>73647.567567567574</v>
      </c>
      <c r="O97" s="175">
        <f>+'Marketing 2025'!O27</f>
        <v>1362480</v>
      </c>
      <c r="P97" s="175">
        <f>+'Marketing 2025'!P27</f>
        <v>113540</v>
      </c>
      <c r="Q97" s="175">
        <f>+'Marketing 2025'!Q27</f>
        <v>113540</v>
      </c>
      <c r="R97" s="175">
        <f>+'Marketing 2025'!R27</f>
        <v>113540</v>
      </c>
      <c r="S97" s="175">
        <f>+'Marketing 2025'!S27</f>
        <v>113540</v>
      </c>
      <c r="T97" s="175">
        <f>+'Marketing 2025'!T27</f>
        <v>113540</v>
      </c>
      <c r="U97" s="175">
        <f>+'Marketing 2025'!U27</f>
        <v>113540</v>
      </c>
      <c r="V97" s="175">
        <f>+'Marketing 2025'!V27</f>
        <v>113540</v>
      </c>
      <c r="W97" s="175">
        <f>+'Marketing 2025'!W27</f>
        <v>113540</v>
      </c>
      <c r="X97" s="175">
        <f>+'Marketing 2025'!X27</f>
        <v>113540</v>
      </c>
      <c r="Y97" s="175">
        <f>+'Marketing 2025'!Y27</f>
        <v>113540</v>
      </c>
      <c r="Z97" s="175">
        <f>+'Marketing 2025'!Z27</f>
        <v>113540</v>
      </c>
      <c r="AA97" s="175">
        <f>+'Marketing 2025'!AA27</f>
        <v>113540</v>
      </c>
      <c r="AB97">
        <f t="shared" si="40"/>
        <v>1</v>
      </c>
      <c r="AC97" s="34">
        <f t="shared" si="58"/>
        <v>73647.567567567574</v>
      </c>
      <c r="AD97" s="34">
        <f t="shared" si="41"/>
        <v>6137.2972972972975</v>
      </c>
      <c r="AE97" s="34">
        <f t="shared" si="42"/>
        <v>6137.2972972972975</v>
      </c>
      <c r="AF97" s="34">
        <f t="shared" si="43"/>
        <v>6137.2972972972975</v>
      </c>
      <c r="AG97" s="34">
        <f t="shared" si="44"/>
        <v>6137.2972972972975</v>
      </c>
      <c r="AH97" s="34">
        <f t="shared" si="45"/>
        <v>6137.2972972972975</v>
      </c>
      <c r="AI97" s="34">
        <f t="shared" si="46"/>
        <v>6137.2972972972975</v>
      </c>
      <c r="AJ97" s="34">
        <f t="shared" si="47"/>
        <v>6137.2972972972975</v>
      </c>
      <c r="AK97" s="34">
        <f t="shared" si="48"/>
        <v>6137.2972972972975</v>
      </c>
      <c r="AL97" s="34">
        <f t="shared" si="49"/>
        <v>6137.2972972972975</v>
      </c>
      <c r="AM97" s="34">
        <f t="shared" si="50"/>
        <v>6137.2972972972975</v>
      </c>
      <c r="AN97" s="34">
        <f t="shared" si="51"/>
        <v>6137.2972972972975</v>
      </c>
      <c r="AO97" s="34">
        <f t="shared" si="52"/>
        <v>6137.2972972972975</v>
      </c>
      <c r="AP97">
        <f t="shared" si="53"/>
        <v>1</v>
      </c>
      <c r="AQ97" s="652">
        <f t="shared" si="54"/>
        <v>73647.567567567574</v>
      </c>
      <c r="AR97" s="652">
        <f t="shared" si="55"/>
        <v>6137.2972972972975</v>
      </c>
      <c r="AS97" s="652">
        <f t="shared" si="56"/>
        <v>6137.2972972972975</v>
      </c>
      <c r="AT97" s="652">
        <f t="shared" si="56"/>
        <v>6137.2972972972975</v>
      </c>
      <c r="AU97" s="652">
        <f t="shared" si="56"/>
        <v>6137.2972972972975</v>
      </c>
      <c r="AV97" s="652">
        <f t="shared" si="56"/>
        <v>6137.2972972972975</v>
      </c>
      <c r="AW97" s="652">
        <f t="shared" si="56"/>
        <v>6137.2972972972975</v>
      </c>
      <c r="AX97" s="652">
        <f t="shared" si="56"/>
        <v>6137.2972972972975</v>
      </c>
      <c r="AY97" s="652">
        <f t="shared" si="56"/>
        <v>6137.2972972972975</v>
      </c>
      <c r="AZ97" s="652">
        <f t="shared" si="56"/>
        <v>6137.2972972972975</v>
      </c>
      <c r="BA97" s="652">
        <f t="shared" si="56"/>
        <v>6137.2972972972975</v>
      </c>
      <c r="BB97" s="652">
        <f t="shared" si="56"/>
        <v>6137.2972972972975</v>
      </c>
      <c r="BC97" s="652">
        <f t="shared" si="56"/>
        <v>6137.2972972972975</v>
      </c>
    </row>
    <row r="98" spans="1:55">
      <c r="A98" s="175" t="str">
        <f>+'Marketing 2025'!A29</f>
        <v>SAPI</v>
      </c>
      <c r="B98" s="175" t="str">
        <f>+'Marketing 2025'!B29</f>
        <v>CREC</v>
      </c>
      <c r="C98" s="175" t="str">
        <f>+'Marketing 2025'!C29</f>
        <v>Martha Gutierrez</v>
      </c>
      <c r="D98" s="175" t="str">
        <f>+'Marketing 2025'!D29</f>
        <v>Payroll</v>
      </c>
      <c r="E98" s="175" t="str">
        <f>+'Marketing 2025'!E29</f>
        <v>SILVA CRANTSCHANINOV LARISSA</v>
      </c>
      <c r="F98" s="175" t="str">
        <f>+'Marketing 2025'!F29</f>
        <v>Mkt Manager</v>
      </c>
      <c r="G98" s="175">
        <f>+'Marketing 2025'!G29</f>
        <v>0</v>
      </c>
      <c r="H98" s="175" t="str">
        <f>+'Marketing 2025'!H29</f>
        <v>promotion - 30%</v>
      </c>
      <c r="I98" s="175">
        <f>+'Marketing 2025'!I29</f>
        <v>0</v>
      </c>
      <c r="J98" s="175" t="str">
        <f>+'Marketing 2025'!J29</f>
        <v>603.01.001</v>
      </c>
      <c r="K98" s="175" t="str">
        <f>+'Marketing 2025'!K29</f>
        <v>Sueldos y salarios</v>
      </c>
      <c r="L98" s="175" t="str">
        <f>+'Marketing 2025'!L29</f>
        <v>Sueldos y Salarios</v>
      </c>
      <c r="M98" s="175" t="str">
        <f>+'Marketing 2025'!M29</f>
        <v>BRL</v>
      </c>
      <c r="N98" s="175">
        <f>+'Marketing 2025'!N29</f>
        <v>44474.181818181816</v>
      </c>
      <c r="O98" s="175">
        <f>+'Marketing 2025'!O29</f>
        <v>244608</v>
      </c>
      <c r="P98" s="175">
        <f>+'Marketing 2025'!P29</f>
        <v>20384</v>
      </c>
      <c r="Q98" s="175">
        <f>+'Marketing 2025'!Q29</f>
        <v>20384</v>
      </c>
      <c r="R98" s="175">
        <f>+'Marketing 2025'!R29</f>
        <v>20384</v>
      </c>
      <c r="S98" s="175">
        <f>+'Marketing 2025'!S29</f>
        <v>20384</v>
      </c>
      <c r="T98" s="175">
        <f>+'Marketing 2025'!T29</f>
        <v>20384</v>
      </c>
      <c r="U98" s="175">
        <f>+'Marketing 2025'!U29</f>
        <v>20384</v>
      </c>
      <c r="V98" s="175">
        <f>+'Marketing 2025'!V29</f>
        <v>20384</v>
      </c>
      <c r="W98" s="175">
        <f>+'Marketing 2025'!W29</f>
        <v>20384</v>
      </c>
      <c r="X98" s="175">
        <f>+'Marketing 2025'!X29</f>
        <v>20384</v>
      </c>
      <c r="Y98" s="175">
        <f>+'Marketing 2025'!Y29</f>
        <v>20384</v>
      </c>
      <c r="Z98" s="175">
        <f>+'Marketing 2025'!Z29</f>
        <v>20384</v>
      </c>
      <c r="AA98" s="175">
        <f>+'Marketing 2025'!AA29</f>
        <v>20384</v>
      </c>
      <c r="AB98">
        <f t="shared" si="40"/>
        <v>1</v>
      </c>
      <c r="AC98" s="34">
        <f t="shared" si="58"/>
        <v>44474.181818181802</v>
      </c>
      <c r="AD98" s="34">
        <f t="shared" si="41"/>
        <v>3706.181818181818</v>
      </c>
      <c r="AE98" s="34">
        <f t="shared" si="42"/>
        <v>3706.181818181818</v>
      </c>
      <c r="AF98" s="34">
        <f t="shared" si="43"/>
        <v>3706.181818181818</v>
      </c>
      <c r="AG98" s="34">
        <f t="shared" si="44"/>
        <v>3706.181818181818</v>
      </c>
      <c r="AH98" s="34">
        <f t="shared" si="45"/>
        <v>3706.181818181818</v>
      </c>
      <c r="AI98" s="34">
        <f t="shared" si="46"/>
        <v>3706.181818181818</v>
      </c>
      <c r="AJ98" s="34">
        <f t="shared" si="47"/>
        <v>3706.181818181818</v>
      </c>
      <c r="AK98" s="34">
        <f t="shared" si="48"/>
        <v>3706.181818181818</v>
      </c>
      <c r="AL98" s="34">
        <f t="shared" si="49"/>
        <v>3706.181818181818</v>
      </c>
      <c r="AM98" s="34">
        <f t="shared" si="50"/>
        <v>3706.181818181818</v>
      </c>
      <c r="AN98" s="34">
        <f t="shared" si="51"/>
        <v>3706.181818181818</v>
      </c>
      <c r="AO98" s="34">
        <f t="shared" si="52"/>
        <v>3706.181818181818</v>
      </c>
      <c r="AP98">
        <f t="shared" si="53"/>
        <v>1</v>
      </c>
      <c r="AQ98" s="652">
        <f t="shared" si="54"/>
        <v>44474.181818181802</v>
      </c>
      <c r="AR98" s="652">
        <f t="shared" si="55"/>
        <v>3706.181818181818</v>
      </c>
      <c r="AS98" s="652">
        <f t="shared" si="56"/>
        <v>3706.181818181818</v>
      </c>
      <c r="AT98" s="652">
        <f t="shared" si="56"/>
        <v>3706.181818181818</v>
      </c>
      <c r="AU98" s="652">
        <f t="shared" si="56"/>
        <v>3706.181818181818</v>
      </c>
      <c r="AV98" s="652">
        <f t="shared" si="56"/>
        <v>3706.181818181818</v>
      </c>
      <c r="AW98" s="652">
        <f t="shared" si="56"/>
        <v>3706.181818181818</v>
      </c>
      <c r="AX98" s="652">
        <f t="shared" si="56"/>
        <v>3706.181818181818</v>
      </c>
      <c r="AY98" s="652">
        <f t="shared" si="56"/>
        <v>3706.181818181818</v>
      </c>
      <c r="AZ98" s="652">
        <f t="shared" si="56"/>
        <v>3706.181818181818</v>
      </c>
      <c r="BA98" s="652">
        <f t="shared" si="56"/>
        <v>3706.181818181818</v>
      </c>
      <c r="BB98" s="652">
        <f t="shared" si="56"/>
        <v>3706.181818181818</v>
      </c>
      <c r="BC98" s="652">
        <f t="shared" si="56"/>
        <v>3706.181818181818</v>
      </c>
    </row>
    <row r="99" spans="1:55">
      <c r="A99" s="175" t="str">
        <f>+'Marketing 2025'!A31</f>
        <v>SAPI</v>
      </c>
      <c r="B99" s="175" t="str">
        <f>+'Marketing 2025'!B31</f>
        <v>CREC</v>
      </c>
      <c r="C99" s="175" t="str">
        <f>+'Marketing 2025'!C31</f>
        <v>Martha Gutierrez</v>
      </c>
      <c r="D99" s="175" t="str">
        <f>+'Marketing 2025'!D31</f>
        <v>Payroll</v>
      </c>
      <c r="E99" s="175" t="str">
        <f>+'Marketing 2025'!E31</f>
        <v>Ramirez Padilla, Laura</v>
      </c>
      <c r="F99" s="175" t="str">
        <f>+'Marketing 2025'!F31</f>
        <v>Lifecycles Mkt</v>
      </c>
      <c r="G99" s="175">
        <f>+'Marketing 2025'!G31</f>
        <v>0</v>
      </c>
      <c r="H99" s="175">
        <f>+'Marketing 2025'!H31</f>
        <v>0</v>
      </c>
      <c r="I99" s="175">
        <f>+'Marketing 2025'!I31</f>
        <v>0</v>
      </c>
      <c r="J99" s="175" t="str">
        <f>+'Marketing 2025'!J31</f>
        <v>603.01.001</v>
      </c>
      <c r="K99" s="175" t="str">
        <f>+'Marketing 2025'!K31</f>
        <v>Sueldos y salarios</v>
      </c>
      <c r="L99" s="175" t="str">
        <f>+'Marketing 2025'!L31</f>
        <v>Sueldos y Salarios</v>
      </c>
      <c r="M99" s="175" t="str">
        <f>+'Marketing 2025'!M31</f>
        <v>MXN</v>
      </c>
      <c r="N99" s="175">
        <f>+'Marketing 2025'!N31</f>
        <v>12940.54054054054</v>
      </c>
      <c r="O99" s="175">
        <f>+'Marketing 2025'!O31</f>
        <v>239400</v>
      </c>
      <c r="P99" s="175">
        <f>+'Marketing 2025'!P31</f>
        <v>19950</v>
      </c>
      <c r="Q99" s="175">
        <f>+'Marketing 2025'!Q31</f>
        <v>19950</v>
      </c>
      <c r="R99" s="175">
        <f>+'Marketing 2025'!R31</f>
        <v>19950</v>
      </c>
      <c r="S99" s="175">
        <f>+'Marketing 2025'!S31</f>
        <v>19950</v>
      </c>
      <c r="T99" s="175">
        <f>+'Marketing 2025'!T31</f>
        <v>19950</v>
      </c>
      <c r="U99" s="175">
        <f>+'Marketing 2025'!U31</f>
        <v>19950</v>
      </c>
      <c r="V99" s="175">
        <f>+'Marketing 2025'!V31</f>
        <v>19950</v>
      </c>
      <c r="W99" s="175">
        <f>+'Marketing 2025'!W31</f>
        <v>19950</v>
      </c>
      <c r="X99" s="175">
        <f>+'Marketing 2025'!X31</f>
        <v>19950</v>
      </c>
      <c r="Y99" s="175">
        <f>+'Marketing 2025'!Y31</f>
        <v>19950</v>
      </c>
      <c r="Z99" s="175">
        <f>+'Marketing 2025'!Z31</f>
        <v>19950</v>
      </c>
      <c r="AA99" s="175">
        <f>+'Marketing 2025'!AA31</f>
        <v>19950</v>
      </c>
      <c r="AB99" s="175"/>
      <c r="AC99" s="34">
        <f t="shared" ref="AC99:AC108" si="59">+SUM(AD99:AO99)</f>
        <v>12940.54054054054</v>
      </c>
      <c r="AD99" s="34">
        <f t="shared" si="41"/>
        <v>1078.3783783783783</v>
      </c>
      <c r="AE99" s="34">
        <f t="shared" si="42"/>
        <v>1078.3783783783783</v>
      </c>
      <c r="AF99" s="34">
        <f t="shared" si="43"/>
        <v>1078.3783783783783</v>
      </c>
      <c r="AG99" s="34">
        <f t="shared" si="44"/>
        <v>1078.3783783783783</v>
      </c>
      <c r="AH99" s="34">
        <f t="shared" si="45"/>
        <v>1078.3783783783783</v>
      </c>
      <c r="AI99" s="34">
        <f t="shared" si="46"/>
        <v>1078.3783783783783</v>
      </c>
      <c r="AJ99" s="34">
        <f t="shared" si="47"/>
        <v>1078.3783783783783</v>
      </c>
      <c r="AK99" s="34">
        <f t="shared" si="48"/>
        <v>1078.3783783783783</v>
      </c>
      <c r="AL99" s="34">
        <f t="shared" si="49"/>
        <v>1078.3783783783783</v>
      </c>
      <c r="AM99" s="34">
        <f t="shared" si="50"/>
        <v>1078.3783783783783</v>
      </c>
      <c r="AN99" s="34">
        <f t="shared" si="51"/>
        <v>1078.3783783783783</v>
      </c>
      <c r="AO99" s="34">
        <f t="shared" si="52"/>
        <v>1078.3783783783783</v>
      </c>
      <c r="AP99">
        <f t="shared" si="53"/>
        <v>1</v>
      </c>
      <c r="AQ99" s="652">
        <f t="shared" si="54"/>
        <v>12940.54054054054</v>
      </c>
      <c r="AR99" s="652">
        <f t="shared" si="55"/>
        <v>1078.3783783783783</v>
      </c>
      <c r="AS99" s="652">
        <f t="shared" si="56"/>
        <v>1078.3783783783783</v>
      </c>
      <c r="AT99" s="652">
        <f t="shared" si="56"/>
        <v>1078.3783783783783</v>
      </c>
      <c r="AU99" s="652">
        <f t="shared" si="56"/>
        <v>1078.3783783783783</v>
      </c>
      <c r="AV99" s="652">
        <f t="shared" si="56"/>
        <v>1078.3783783783783</v>
      </c>
      <c r="AW99" s="652">
        <f t="shared" si="56"/>
        <v>1078.3783783783783</v>
      </c>
      <c r="AX99" s="652">
        <f t="shared" si="56"/>
        <v>1078.3783783783783</v>
      </c>
      <c r="AY99" s="652">
        <f t="shared" si="56"/>
        <v>1078.3783783783783</v>
      </c>
      <c r="AZ99" s="652">
        <f t="shared" si="56"/>
        <v>1078.3783783783783</v>
      </c>
      <c r="BA99" s="652">
        <f t="shared" si="56"/>
        <v>1078.3783783783783</v>
      </c>
      <c r="BB99" s="652">
        <f t="shared" si="56"/>
        <v>1078.3783783783783</v>
      </c>
      <c r="BC99" s="652">
        <f t="shared" si="56"/>
        <v>1078.3783783783783</v>
      </c>
    </row>
    <row r="100" spans="1:55">
      <c r="A100" s="175" t="str">
        <f>+'Marketing 2025'!A32</f>
        <v>SAPI</v>
      </c>
      <c r="B100" s="175" t="str">
        <f>+'Marketing 2025'!B32</f>
        <v>CREC</v>
      </c>
      <c r="C100" s="175" t="str">
        <f>+'Marketing 2025'!C32</f>
        <v>Martha Gutierrez</v>
      </c>
      <c r="D100" s="175" t="str">
        <f>+'Marketing 2025'!D32</f>
        <v>Payroll</v>
      </c>
      <c r="E100" s="175" t="str">
        <f>+'Marketing 2025'!E32</f>
        <v>Sánchez, Samantha</v>
      </c>
      <c r="F100" s="175" t="str">
        <f>+'Marketing 2025'!F32</f>
        <v>Lifecycle Designer</v>
      </c>
      <c r="G100" s="175">
        <f>+'Marketing 2025'!G32</f>
        <v>0</v>
      </c>
      <c r="H100" s="175">
        <f>+'Marketing 2025'!H32</f>
        <v>0</v>
      </c>
      <c r="I100" s="175">
        <f>+'Marketing 2025'!I32</f>
        <v>0</v>
      </c>
      <c r="J100" s="175" t="str">
        <f>+'Marketing 2025'!J32</f>
        <v>603.01.001</v>
      </c>
      <c r="K100" s="175" t="str">
        <f>+'Marketing 2025'!K32</f>
        <v>Sueldos y salarios</v>
      </c>
      <c r="L100" s="175" t="str">
        <f>+'Marketing 2025'!L32</f>
        <v>Sueldos y Salarios</v>
      </c>
      <c r="M100" s="175" t="str">
        <f>+'Marketing 2025'!M32</f>
        <v>MXN</v>
      </c>
      <c r="N100" s="175">
        <f>+'Marketing 2025'!N32</f>
        <v>17027.027027027027</v>
      </c>
      <c r="O100" s="175">
        <f>+'Marketing 2025'!O32</f>
        <v>315000</v>
      </c>
      <c r="P100" s="175">
        <f>+'Marketing 2025'!P32</f>
        <v>26250</v>
      </c>
      <c r="Q100" s="175">
        <f>+'Marketing 2025'!Q32</f>
        <v>26250</v>
      </c>
      <c r="R100" s="175">
        <f>+'Marketing 2025'!R32</f>
        <v>26250</v>
      </c>
      <c r="S100" s="175">
        <f>+'Marketing 2025'!S32</f>
        <v>26250</v>
      </c>
      <c r="T100" s="175">
        <f>+'Marketing 2025'!T32</f>
        <v>26250</v>
      </c>
      <c r="U100" s="175">
        <f>+'Marketing 2025'!U32</f>
        <v>26250</v>
      </c>
      <c r="V100" s="175">
        <f>+'Marketing 2025'!V32</f>
        <v>26250</v>
      </c>
      <c r="W100" s="175">
        <f>+'Marketing 2025'!W32</f>
        <v>26250</v>
      </c>
      <c r="X100" s="175">
        <f>+'Marketing 2025'!X32</f>
        <v>26250</v>
      </c>
      <c r="Y100" s="175">
        <f>+'Marketing 2025'!Y32</f>
        <v>26250</v>
      </c>
      <c r="Z100" s="175">
        <f>+'Marketing 2025'!Z32</f>
        <v>26250</v>
      </c>
      <c r="AA100" s="175">
        <f>+'Marketing 2025'!AA32</f>
        <v>26250</v>
      </c>
      <c r="AB100" s="175"/>
      <c r="AC100" s="34">
        <f t="shared" si="59"/>
        <v>17027.027027027023</v>
      </c>
      <c r="AD100" s="34">
        <f t="shared" si="41"/>
        <v>1418.918918918919</v>
      </c>
      <c r="AE100" s="34">
        <f t="shared" si="42"/>
        <v>1418.918918918919</v>
      </c>
      <c r="AF100" s="34">
        <f t="shared" si="43"/>
        <v>1418.918918918919</v>
      </c>
      <c r="AG100" s="34">
        <f t="shared" si="44"/>
        <v>1418.918918918919</v>
      </c>
      <c r="AH100" s="34">
        <f t="shared" si="45"/>
        <v>1418.918918918919</v>
      </c>
      <c r="AI100" s="34">
        <f t="shared" si="46"/>
        <v>1418.918918918919</v>
      </c>
      <c r="AJ100" s="34">
        <f t="shared" si="47"/>
        <v>1418.918918918919</v>
      </c>
      <c r="AK100" s="34">
        <f t="shared" si="48"/>
        <v>1418.918918918919</v>
      </c>
      <c r="AL100" s="34">
        <f t="shared" si="49"/>
        <v>1418.918918918919</v>
      </c>
      <c r="AM100" s="34">
        <f t="shared" si="50"/>
        <v>1418.918918918919</v>
      </c>
      <c r="AN100" s="34">
        <f t="shared" si="51"/>
        <v>1418.918918918919</v>
      </c>
      <c r="AO100" s="34">
        <f t="shared" si="52"/>
        <v>1418.918918918919</v>
      </c>
      <c r="AP100">
        <f t="shared" si="53"/>
        <v>1</v>
      </c>
      <c r="AQ100" s="652">
        <f t="shared" si="54"/>
        <v>17027.027027027023</v>
      </c>
      <c r="AR100" s="652">
        <f t="shared" si="55"/>
        <v>1418.918918918919</v>
      </c>
      <c r="AS100" s="652">
        <f t="shared" si="56"/>
        <v>1418.918918918919</v>
      </c>
      <c r="AT100" s="652">
        <f t="shared" si="56"/>
        <v>1418.918918918919</v>
      </c>
      <c r="AU100" s="652">
        <f t="shared" si="56"/>
        <v>1418.918918918919</v>
      </c>
      <c r="AV100" s="652">
        <f t="shared" si="56"/>
        <v>1418.918918918919</v>
      </c>
      <c r="AW100" s="652">
        <f t="shared" si="56"/>
        <v>1418.918918918919</v>
      </c>
      <c r="AX100" s="652">
        <f t="shared" si="56"/>
        <v>1418.918918918919</v>
      </c>
      <c r="AY100" s="652">
        <f t="shared" si="56"/>
        <v>1418.918918918919</v>
      </c>
      <c r="AZ100" s="652">
        <f t="shared" si="56"/>
        <v>1418.918918918919</v>
      </c>
      <c r="BA100" s="652">
        <f t="shared" si="56"/>
        <v>1418.918918918919</v>
      </c>
      <c r="BB100" s="652">
        <f t="shared" si="56"/>
        <v>1418.918918918919</v>
      </c>
      <c r="BC100" s="652">
        <f t="shared" si="56"/>
        <v>1418.918918918919</v>
      </c>
    </row>
    <row r="101" spans="1:55">
      <c r="A101" s="175" t="str">
        <f>+'Marketing 2025'!A33</f>
        <v>SAPI</v>
      </c>
      <c r="B101" s="175" t="str">
        <f>+'Marketing 2025'!B33</f>
        <v>CREC</v>
      </c>
      <c r="C101" s="175" t="str">
        <f>+'Marketing 2025'!C33</f>
        <v>Martha Gutierrez</v>
      </c>
      <c r="D101" s="175" t="str">
        <f>+'Marketing 2025'!D33</f>
        <v>Payroll</v>
      </c>
      <c r="E101" s="175" t="str">
        <f>+'Marketing 2025'!E33</f>
        <v>Velázquez Mejía, Andrea</v>
      </c>
      <c r="F101" s="175" t="str">
        <f>+'Marketing 2025'!F33</f>
        <v>Lifecycles Manager</v>
      </c>
      <c r="G101" s="175">
        <f>+'Marketing 2025'!G33</f>
        <v>0</v>
      </c>
      <c r="H101" s="175">
        <f>+'Marketing 2025'!H33</f>
        <v>0</v>
      </c>
      <c r="I101" s="175">
        <f>+'Marketing 2025'!I33</f>
        <v>0</v>
      </c>
      <c r="J101" s="175" t="str">
        <f>+'Marketing 2025'!J33</f>
        <v>603.01.001</v>
      </c>
      <c r="K101" s="175" t="str">
        <f>+'Marketing 2025'!K33</f>
        <v>Sueldos y salarios</v>
      </c>
      <c r="L101" s="175" t="str">
        <f>+'Marketing 2025'!L33</f>
        <v>Sueldos y Salarios</v>
      </c>
      <c r="M101" s="175" t="str">
        <f>+'Marketing 2025'!M33</f>
        <v>MXN</v>
      </c>
      <c r="N101" s="175">
        <f>+'Marketing 2025'!N33</f>
        <v>30376.216216216217</v>
      </c>
      <c r="O101" s="175">
        <f>+'Marketing 2025'!O33</f>
        <v>561960</v>
      </c>
      <c r="P101" s="175">
        <f>+'Marketing 2025'!P33</f>
        <v>46830</v>
      </c>
      <c r="Q101" s="175">
        <f>+'Marketing 2025'!Q33</f>
        <v>46830</v>
      </c>
      <c r="R101" s="175">
        <f>+'Marketing 2025'!R33</f>
        <v>46830</v>
      </c>
      <c r="S101" s="175">
        <f>+'Marketing 2025'!S33</f>
        <v>46830</v>
      </c>
      <c r="T101" s="175">
        <f>+'Marketing 2025'!T33</f>
        <v>46830</v>
      </c>
      <c r="U101" s="175">
        <f>+'Marketing 2025'!U33</f>
        <v>46830</v>
      </c>
      <c r="V101" s="175">
        <f>+'Marketing 2025'!V33</f>
        <v>46830</v>
      </c>
      <c r="W101" s="175">
        <f>+'Marketing 2025'!W33</f>
        <v>46830</v>
      </c>
      <c r="X101" s="175">
        <f>+'Marketing 2025'!X33</f>
        <v>46830</v>
      </c>
      <c r="Y101" s="175">
        <f>+'Marketing 2025'!Y33</f>
        <v>46830</v>
      </c>
      <c r="Z101" s="175">
        <f>+'Marketing 2025'!Z33</f>
        <v>46830</v>
      </c>
      <c r="AA101" s="175">
        <f>+'Marketing 2025'!AA33</f>
        <v>46830</v>
      </c>
      <c r="AB101" s="175"/>
      <c r="AC101" s="34">
        <f t="shared" si="59"/>
        <v>30376.216216216209</v>
      </c>
      <c r="AD101" s="34">
        <f t="shared" si="41"/>
        <v>2531.3513513513512</v>
      </c>
      <c r="AE101" s="34">
        <f t="shared" si="42"/>
        <v>2531.3513513513512</v>
      </c>
      <c r="AF101" s="34">
        <f t="shared" si="43"/>
        <v>2531.3513513513512</v>
      </c>
      <c r="AG101" s="34">
        <f t="shared" si="44"/>
        <v>2531.3513513513512</v>
      </c>
      <c r="AH101" s="34">
        <f t="shared" si="45"/>
        <v>2531.3513513513512</v>
      </c>
      <c r="AI101" s="34">
        <f t="shared" si="46"/>
        <v>2531.3513513513512</v>
      </c>
      <c r="AJ101" s="34">
        <f t="shared" si="47"/>
        <v>2531.3513513513512</v>
      </c>
      <c r="AK101" s="34">
        <f t="shared" si="48"/>
        <v>2531.3513513513512</v>
      </c>
      <c r="AL101" s="34">
        <f t="shared" si="49"/>
        <v>2531.3513513513512</v>
      </c>
      <c r="AM101" s="34">
        <f t="shared" si="50"/>
        <v>2531.3513513513512</v>
      </c>
      <c r="AN101" s="34">
        <f t="shared" si="51"/>
        <v>2531.3513513513512</v>
      </c>
      <c r="AO101" s="34">
        <f t="shared" si="52"/>
        <v>2531.3513513513512</v>
      </c>
      <c r="AP101">
        <f t="shared" si="53"/>
        <v>1</v>
      </c>
      <c r="AQ101" s="652">
        <f t="shared" si="54"/>
        <v>30376.216216216209</v>
      </c>
      <c r="AR101" s="652">
        <f t="shared" si="55"/>
        <v>2531.3513513513512</v>
      </c>
      <c r="AS101" s="652">
        <f t="shared" si="56"/>
        <v>2531.3513513513512</v>
      </c>
      <c r="AT101" s="652">
        <f t="shared" si="56"/>
        <v>2531.3513513513512</v>
      </c>
      <c r="AU101" s="652">
        <f t="shared" si="56"/>
        <v>2531.3513513513512</v>
      </c>
      <c r="AV101" s="652">
        <f t="shared" si="56"/>
        <v>2531.3513513513512</v>
      </c>
      <c r="AW101" s="652">
        <f t="shared" si="56"/>
        <v>2531.3513513513512</v>
      </c>
      <c r="AX101" s="652">
        <f t="shared" si="56"/>
        <v>2531.3513513513512</v>
      </c>
      <c r="AY101" s="652">
        <f t="shared" si="56"/>
        <v>2531.3513513513512</v>
      </c>
      <c r="AZ101" s="652">
        <f t="shared" si="56"/>
        <v>2531.3513513513512</v>
      </c>
      <c r="BA101" s="652">
        <f t="shared" si="56"/>
        <v>2531.3513513513512</v>
      </c>
      <c r="BB101" s="652">
        <f t="shared" si="56"/>
        <v>2531.3513513513512</v>
      </c>
      <c r="BC101" s="652">
        <f t="shared" si="56"/>
        <v>2531.3513513513512</v>
      </c>
    </row>
    <row r="102" spans="1:55">
      <c r="A102" s="175" t="str">
        <f>+'Marketing 2025'!A34</f>
        <v>SAPI</v>
      </c>
      <c r="B102" s="175" t="str">
        <f>+'Marketing 2025'!B34</f>
        <v>CREC</v>
      </c>
      <c r="C102" s="175" t="str">
        <f>+'Marketing 2025'!C34</f>
        <v>Martha Gutierrez</v>
      </c>
      <c r="D102" s="175" t="str">
        <f>+'Marketing 2025'!D34</f>
        <v>Payroll</v>
      </c>
      <c r="E102" s="175" t="str">
        <f>+'Marketing 2025'!E34</f>
        <v>Letayf Valenzuela, Nicole</v>
      </c>
      <c r="F102" s="175" t="str">
        <f>+'Marketing 2025'!F34</f>
        <v>Designer - video editor</v>
      </c>
      <c r="G102" s="175" t="str">
        <f>+'Marketing 2025'!G34</f>
        <v>Capital becarios</v>
      </c>
      <c r="H102" s="175">
        <f>+'Marketing 2025'!H34</f>
        <v>0</v>
      </c>
      <c r="I102" s="175">
        <f>+'Marketing 2025'!I34</f>
        <v>0</v>
      </c>
      <c r="J102" s="175" t="str">
        <f>+'Marketing 2025'!J34</f>
        <v>603.01.001</v>
      </c>
      <c r="K102" s="175" t="str">
        <f>+'Marketing 2025'!K34</f>
        <v>Sueldos y salarios</v>
      </c>
      <c r="L102" s="175" t="str">
        <f>+'Marketing 2025'!L34</f>
        <v>Sueldos y Salarios</v>
      </c>
      <c r="M102" s="175" t="str">
        <f>+'Marketing 2025'!M34</f>
        <v>MXN</v>
      </c>
      <c r="N102" s="175">
        <f>+'Marketing 2025'!N34</f>
        <v>2594.5945945945946</v>
      </c>
      <c r="O102" s="175">
        <f>+'Marketing 2025'!O34</f>
        <v>48000</v>
      </c>
      <c r="P102" s="175">
        <f>+'Marketing 2025'!P34</f>
        <v>4000</v>
      </c>
      <c r="Q102" s="175">
        <f>+'Marketing 2025'!Q34</f>
        <v>4000</v>
      </c>
      <c r="R102" s="175">
        <f>+'Marketing 2025'!R34</f>
        <v>4000</v>
      </c>
      <c r="S102" s="175">
        <f>+'Marketing 2025'!S34</f>
        <v>4000</v>
      </c>
      <c r="T102" s="175">
        <f>+'Marketing 2025'!T34</f>
        <v>4000</v>
      </c>
      <c r="U102" s="175">
        <f>+'Marketing 2025'!U34</f>
        <v>4000</v>
      </c>
      <c r="V102" s="175">
        <f>+'Marketing 2025'!V34</f>
        <v>4000</v>
      </c>
      <c r="W102" s="175">
        <f>+'Marketing 2025'!W34</f>
        <v>4000</v>
      </c>
      <c r="X102" s="175">
        <f>+'Marketing 2025'!X34</f>
        <v>4000</v>
      </c>
      <c r="Y102" s="175">
        <f>+'Marketing 2025'!Y34</f>
        <v>4000</v>
      </c>
      <c r="Z102" s="175">
        <f>+'Marketing 2025'!Z34</f>
        <v>4000</v>
      </c>
      <c r="AA102" s="175">
        <f>+'Marketing 2025'!AA34</f>
        <v>4000</v>
      </c>
      <c r="AB102" s="175"/>
      <c r="AC102" s="34">
        <f t="shared" si="59"/>
        <v>2594.5945945945946</v>
      </c>
      <c r="AD102" s="34">
        <f t="shared" si="41"/>
        <v>216.21621621621622</v>
      </c>
      <c r="AE102" s="34">
        <f t="shared" si="42"/>
        <v>216.21621621621622</v>
      </c>
      <c r="AF102" s="34">
        <f t="shared" si="43"/>
        <v>216.21621621621622</v>
      </c>
      <c r="AG102" s="34">
        <f t="shared" si="44"/>
        <v>216.21621621621622</v>
      </c>
      <c r="AH102" s="34">
        <f t="shared" si="45"/>
        <v>216.21621621621622</v>
      </c>
      <c r="AI102" s="34">
        <f t="shared" si="46"/>
        <v>216.21621621621622</v>
      </c>
      <c r="AJ102" s="34">
        <f t="shared" si="47"/>
        <v>216.21621621621622</v>
      </c>
      <c r="AK102" s="34">
        <f t="shared" si="48"/>
        <v>216.21621621621622</v>
      </c>
      <c r="AL102" s="34">
        <f t="shared" si="49"/>
        <v>216.21621621621622</v>
      </c>
      <c r="AM102" s="34">
        <f t="shared" si="50"/>
        <v>216.21621621621622</v>
      </c>
      <c r="AN102" s="34">
        <f t="shared" si="51"/>
        <v>216.21621621621622</v>
      </c>
      <c r="AO102" s="34">
        <f t="shared" si="52"/>
        <v>216.21621621621622</v>
      </c>
      <c r="AP102">
        <f t="shared" si="53"/>
        <v>1</v>
      </c>
      <c r="AQ102" s="652">
        <f t="shared" si="54"/>
        <v>2594.5945945945946</v>
      </c>
      <c r="AR102" s="652">
        <f t="shared" si="55"/>
        <v>216.21621621621622</v>
      </c>
      <c r="AS102" s="652">
        <f t="shared" si="56"/>
        <v>216.21621621621622</v>
      </c>
      <c r="AT102" s="652">
        <f t="shared" si="56"/>
        <v>216.21621621621622</v>
      </c>
      <c r="AU102" s="652">
        <f t="shared" si="56"/>
        <v>216.21621621621622</v>
      </c>
      <c r="AV102" s="652">
        <f t="shared" si="56"/>
        <v>216.21621621621622</v>
      </c>
      <c r="AW102" s="652">
        <f t="shared" si="56"/>
        <v>216.21621621621622</v>
      </c>
      <c r="AX102" s="652">
        <f t="shared" si="56"/>
        <v>216.21621621621622</v>
      </c>
      <c r="AY102" s="652">
        <f t="shared" si="56"/>
        <v>216.21621621621622</v>
      </c>
      <c r="AZ102" s="652">
        <f t="shared" si="56"/>
        <v>216.21621621621622</v>
      </c>
      <c r="BA102" s="652">
        <f t="shared" si="56"/>
        <v>216.21621621621622</v>
      </c>
      <c r="BB102" s="652">
        <f t="shared" si="56"/>
        <v>216.21621621621622</v>
      </c>
      <c r="BC102" s="652">
        <f t="shared" si="56"/>
        <v>216.21621621621622</v>
      </c>
    </row>
    <row r="103" spans="1:55">
      <c r="A103" s="175" t="str">
        <f>+'Marketing 2025'!A36</f>
        <v>SAPI</v>
      </c>
      <c r="B103" s="175" t="str">
        <f>+'Marketing 2025'!B36</f>
        <v>CREC</v>
      </c>
      <c r="C103" s="175" t="str">
        <f>+'Marketing 2025'!C36</f>
        <v>Martha Gutierrez</v>
      </c>
      <c r="D103" s="175" t="str">
        <f>+'Marketing 2025'!D36</f>
        <v>Benefits</v>
      </c>
      <c r="E103" s="175" t="str">
        <f>+'Marketing 2025'!E36</f>
        <v>SiVale</v>
      </c>
      <c r="F103" s="175" t="str">
        <f>+'Marketing 2025'!F36</f>
        <v>3 empleados</v>
      </c>
      <c r="G103" s="175">
        <f>+'Marketing 2025'!G36</f>
        <v>0</v>
      </c>
      <c r="H103" s="175">
        <f>+'Marketing 2025'!H36</f>
        <v>0</v>
      </c>
      <c r="I103" s="175">
        <f>+'Marketing 2025'!I36</f>
        <v>0</v>
      </c>
      <c r="J103" s="175" t="str">
        <f>+'Marketing 2025'!J36</f>
        <v>603.15.001</v>
      </c>
      <c r="K103" s="175" t="str">
        <f>+'Marketing 2025'!K36</f>
        <v>Despensa</v>
      </c>
      <c r="L103" s="175" t="str">
        <f>+'Marketing 2025'!L36</f>
        <v>Sueldos y Salarios</v>
      </c>
      <c r="M103" s="175" t="str">
        <f>+'Marketing 2025'!M36</f>
        <v>MXN</v>
      </c>
      <c r="N103" s="175">
        <f>+'Marketing 2025'!N36</f>
        <v>1556.7567567567567</v>
      </c>
      <c r="O103" s="175">
        <f>+'Marketing 2025'!O36</f>
        <v>28800</v>
      </c>
      <c r="P103" s="175">
        <f>+'Marketing 2025'!P36</f>
        <v>2400</v>
      </c>
      <c r="Q103" s="175">
        <f>+'Marketing 2025'!Q36</f>
        <v>2400</v>
      </c>
      <c r="R103" s="175">
        <f>+'Marketing 2025'!R36</f>
        <v>2400</v>
      </c>
      <c r="S103" s="175">
        <f>+'Marketing 2025'!S36</f>
        <v>2400</v>
      </c>
      <c r="T103" s="175">
        <f>+'Marketing 2025'!T36</f>
        <v>2400</v>
      </c>
      <c r="U103" s="175">
        <f>+'Marketing 2025'!U36</f>
        <v>2400</v>
      </c>
      <c r="V103" s="175">
        <f>+'Marketing 2025'!V36</f>
        <v>2400</v>
      </c>
      <c r="W103" s="175">
        <f>+'Marketing 2025'!W36</f>
        <v>2400</v>
      </c>
      <c r="X103" s="175">
        <f>+'Marketing 2025'!X36</f>
        <v>2400</v>
      </c>
      <c r="Y103" s="175">
        <f>+'Marketing 2025'!Y36</f>
        <v>2400</v>
      </c>
      <c r="Z103" s="175">
        <f>+'Marketing 2025'!Z36</f>
        <v>2400</v>
      </c>
      <c r="AA103" s="175">
        <f>+'Marketing 2025'!AA36</f>
        <v>2400</v>
      </c>
      <c r="AB103" s="175"/>
      <c r="AC103" s="34">
        <f t="shared" si="59"/>
        <v>1556.7567567567573</v>
      </c>
      <c r="AD103" s="34">
        <f t="shared" ref="AD103:AD134" si="60">+IF($M103="MXN",P103/$AC$2,IF($M103="BRL",P103/$AC$3,IF($M103="EUR",P103*$AC$1,P103)))</f>
        <v>129.72972972972974</v>
      </c>
      <c r="AE103" s="34">
        <f t="shared" ref="AE103:AE134" si="61">+IF($M103="MXN",Q103/$AC$2,IF($M103="BRL",Q103/$AC$3,IF($M103="EUR",Q103*$AC$1,Q103)))</f>
        <v>129.72972972972974</v>
      </c>
      <c r="AF103" s="34">
        <f t="shared" ref="AF103:AF134" si="62">+IF($M103="MXN",R103/$AC$2,IF($M103="BRL",R103/$AC$3,IF($M103="EUR",R103*$AC$1,R103)))</f>
        <v>129.72972972972974</v>
      </c>
      <c r="AG103" s="34">
        <f t="shared" ref="AG103:AG134" si="63">+IF($M103="MXN",S103/$AC$2,IF($M103="BRL",S103/$AC$3,IF($M103="EUR",S103*$AC$1,S103)))</f>
        <v>129.72972972972974</v>
      </c>
      <c r="AH103" s="34">
        <f t="shared" ref="AH103:AH134" si="64">+IF($M103="MXN",T103/$AC$2,IF($M103="BRL",T103/$AC$3,IF($M103="EUR",T103*$AC$1,T103)))</f>
        <v>129.72972972972974</v>
      </c>
      <c r="AI103" s="34">
        <f t="shared" ref="AI103:AI134" si="65">+IF($M103="MXN",U103/$AC$2,IF($M103="BRL",U103/$AC$3,IF($M103="EUR",U103*$AC$1,U103)))</f>
        <v>129.72972972972974</v>
      </c>
      <c r="AJ103" s="34">
        <f t="shared" ref="AJ103:AJ134" si="66">+IF($M103="MXN",V103/$AC$2,IF($M103="BRL",V103/$AC$3,IF($M103="EUR",V103*$AC$1,V103)))</f>
        <v>129.72972972972974</v>
      </c>
      <c r="AK103" s="34">
        <f t="shared" ref="AK103:AK134" si="67">+IF($M103="MXN",W103/$AC$2,IF($M103="BRL",W103/$AC$3,IF($M103="EUR",W103*$AC$1,W103)))</f>
        <v>129.72972972972974</v>
      </c>
      <c r="AL103" s="34">
        <f t="shared" ref="AL103:AL134" si="68">+IF($M103="MXN",X103/$AC$2,IF($M103="BRL",X103/$AC$3,IF($M103="EUR",X103*$AC$1,X103)))</f>
        <v>129.72972972972974</v>
      </c>
      <c r="AM103" s="34">
        <f t="shared" ref="AM103:AM134" si="69">+IF($M103="MXN",Y103/$AC$2,IF($M103="BRL",Y103/$AC$3,IF($M103="EUR",Y103*$AC$1,Y103)))</f>
        <v>129.72972972972974</v>
      </c>
      <c r="AN103" s="34">
        <f t="shared" ref="AN103:AN134" si="70">+IF($M103="MXN",Z103/$AC$2,IF($M103="BRL",Z103/$AC$3,IF($M103="EUR",Z103*$AC$1,Z103)))</f>
        <v>129.72972972972974</v>
      </c>
      <c r="AO103" s="34">
        <f t="shared" ref="AO103:AO134" si="71">+IF($M103="MXN",AA103/$AC$2,IF($M103="BRL",AA103/$AC$3,IF($M103="EUR",AA103*$AC$1,AA103)))</f>
        <v>129.72972972972974</v>
      </c>
      <c r="AP103">
        <f t="shared" si="53"/>
        <v>1</v>
      </c>
      <c r="AQ103" s="652">
        <f t="shared" si="54"/>
        <v>1556.7567567567569</v>
      </c>
      <c r="AR103" s="652">
        <f t="shared" si="55"/>
        <v>129.72972972972971</v>
      </c>
      <c r="AS103" s="652">
        <f t="shared" si="56"/>
        <v>129.72972972972971</v>
      </c>
      <c r="AT103" s="652">
        <f t="shared" si="56"/>
        <v>129.72972972972971</v>
      </c>
      <c r="AU103" s="652">
        <f t="shared" si="56"/>
        <v>129.72972972972971</v>
      </c>
      <c r="AV103" s="652">
        <f t="shared" si="56"/>
        <v>129.72972972972971</v>
      </c>
      <c r="AW103" s="652">
        <f t="shared" si="56"/>
        <v>129.72972972972971</v>
      </c>
      <c r="AX103" s="652">
        <f t="shared" si="56"/>
        <v>129.72972972972971</v>
      </c>
      <c r="AY103" s="652">
        <f t="shared" si="56"/>
        <v>129.72972972972971</v>
      </c>
      <c r="AZ103" s="652">
        <f t="shared" si="56"/>
        <v>129.72972972972971</v>
      </c>
      <c r="BA103" s="652">
        <f t="shared" si="56"/>
        <v>129.72972972972971</v>
      </c>
      <c r="BB103" s="652">
        <f t="shared" si="56"/>
        <v>129.72972972972971</v>
      </c>
      <c r="BC103" s="652">
        <f t="shared" si="56"/>
        <v>129.72972972972971</v>
      </c>
    </row>
    <row r="104" spans="1:55">
      <c r="A104" s="175" t="str">
        <f>+'Marketing 2025'!A37</f>
        <v>SAPI</v>
      </c>
      <c r="B104" s="175" t="str">
        <f>+'Marketing 2025'!B37</f>
        <v>CREC</v>
      </c>
      <c r="C104" s="175" t="str">
        <f>+'Marketing 2025'!C37</f>
        <v>Martha Gutierrez</v>
      </c>
      <c r="D104" s="175" t="str">
        <f>+'Marketing 2025'!D37</f>
        <v>Benefits</v>
      </c>
      <c r="E104" s="175" t="str">
        <f>+'Marketing 2025'!E37</f>
        <v>Aguinaldo</v>
      </c>
      <c r="F104" s="175" t="str">
        <f>+'Marketing 2025'!F37</f>
        <v>Aguinaldo - PAYROLL</v>
      </c>
      <c r="G104" s="175">
        <f>+'Marketing 2025'!G37</f>
        <v>0</v>
      </c>
      <c r="H104" s="175">
        <f>+'Marketing 2025'!H37</f>
        <v>0</v>
      </c>
      <c r="I104" s="175">
        <f>+'Marketing 2025'!I37</f>
        <v>0</v>
      </c>
      <c r="J104" s="175" t="str">
        <f>+'Marketing 2025'!J37</f>
        <v>603.12.001</v>
      </c>
      <c r="K104" s="175" t="str">
        <f>+'Marketing 2025'!K37</f>
        <v>Aguinaldo</v>
      </c>
      <c r="L104" s="175" t="str">
        <f>+'Marketing 2025'!L37</f>
        <v>Sueldos y Salarios</v>
      </c>
      <c r="M104" s="175" t="str">
        <f>+'Marketing 2025'!M37</f>
        <v>MXN</v>
      </c>
      <c r="N104" s="175">
        <f>+'Marketing 2025'!N37</f>
        <v>2622.4324324324325</v>
      </c>
      <c r="O104" s="175">
        <f>+'Marketing 2025'!O37</f>
        <v>48515</v>
      </c>
      <c r="P104" s="175">
        <f>+'Marketing 2025'!P37</f>
        <v>0</v>
      </c>
      <c r="Q104" s="175">
        <f>+'Marketing 2025'!Q37</f>
        <v>0</v>
      </c>
      <c r="R104" s="175">
        <f>+'Marketing 2025'!R37</f>
        <v>0</v>
      </c>
      <c r="S104" s="175">
        <f>+'Marketing 2025'!S37</f>
        <v>0</v>
      </c>
      <c r="T104" s="175">
        <f>+'Marketing 2025'!T37</f>
        <v>0</v>
      </c>
      <c r="U104" s="175">
        <f>+'Marketing 2025'!U37</f>
        <v>0</v>
      </c>
      <c r="V104" s="175">
        <f>+'Marketing 2025'!V37</f>
        <v>0</v>
      </c>
      <c r="W104" s="175">
        <f>+'Marketing 2025'!W37</f>
        <v>0</v>
      </c>
      <c r="X104" s="175">
        <f>+'Marketing 2025'!X37</f>
        <v>0</v>
      </c>
      <c r="Y104" s="175">
        <f>+'Marketing 2025'!Y37</f>
        <v>0</v>
      </c>
      <c r="Z104" s="175">
        <f>+'Marketing 2025'!Z37</f>
        <v>0</v>
      </c>
      <c r="AA104" s="175">
        <f>+'Marketing 2025'!AA37</f>
        <v>48515</v>
      </c>
      <c r="AB104" s="175"/>
      <c r="AC104" s="34">
        <f t="shared" si="59"/>
        <v>2622.4324324324325</v>
      </c>
      <c r="AD104" s="34">
        <f t="shared" si="60"/>
        <v>0</v>
      </c>
      <c r="AE104" s="34">
        <f t="shared" si="61"/>
        <v>0</v>
      </c>
      <c r="AF104" s="34">
        <f t="shared" si="62"/>
        <v>0</v>
      </c>
      <c r="AG104" s="34">
        <f t="shared" si="63"/>
        <v>0</v>
      </c>
      <c r="AH104" s="34">
        <f t="shared" si="64"/>
        <v>0</v>
      </c>
      <c r="AI104" s="34">
        <f t="shared" si="65"/>
        <v>0</v>
      </c>
      <c r="AJ104" s="34">
        <f t="shared" si="66"/>
        <v>0</v>
      </c>
      <c r="AK104" s="34">
        <f t="shared" si="67"/>
        <v>0</v>
      </c>
      <c r="AL104" s="34">
        <f t="shared" si="68"/>
        <v>0</v>
      </c>
      <c r="AM104" s="34">
        <f t="shared" si="69"/>
        <v>0</v>
      </c>
      <c r="AN104" s="34">
        <f t="shared" si="70"/>
        <v>0</v>
      </c>
      <c r="AO104" s="34">
        <f t="shared" si="71"/>
        <v>2622.4324324324325</v>
      </c>
      <c r="AP104">
        <f t="shared" si="53"/>
        <v>1</v>
      </c>
      <c r="AQ104" s="652">
        <f t="shared" si="54"/>
        <v>2622.4324324324321</v>
      </c>
      <c r="AR104" s="652">
        <f t="shared" si="55"/>
        <v>218.53603603603605</v>
      </c>
      <c r="AS104" s="652">
        <f t="shared" si="56"/>
        <v>218.53603603603605</v>
      </c>
      <c r="AT104" s="652">
        <f t="shared" si="56"/>
        <v>218.53603603603605</v>
      </c>
      <c r="AU104" s="652">
        <f t="shared" si="56"/>
        <v>218.53603603603605</v>
      </c>
      <c r="AV104" s="652">
        <f t="shared" si="56"/>
        <v>218.53603603603605</v>
      </c>
      <c r="AW104" s="652">
        <f t="shared" si="56"/>
        <v>218.53603603603605</v>
      </c>
      <c r="AX104" s="652">
        <f t="shared" si="56"/>
        <v>218.53603603603605</v>
      </c>
      <c r="AY104" s="652">
        <f t="shared" si="56"/>
        <v>218.53603603603605</v>
      </c>
      <c r="AZ104" s="652">
        <f t="shared" si="56"/>
        <v>218.53603603603605</v>
      </c>
      <c r="BA104" s="652">
        <f t="shared" si="56"/>
        <v>218.53603603603605</v>
      </c>
      <c r="BB104" s="652">
        <f t="shared" si="56"/>
        <v>218.53603603603605</v>
      </c>
      <c r="BC104" s="652">
        <f t="shared" si="56"/>
        <v>218.53603603603605</v>
      </c>
    </row>
    <row r="105" spans="1:55">
      <c r="A105" s="175" t="str">
        <f>+'Marketing 2025'!A38</f>
        <v>INC</v>
      </c>
      <c r="B105" s="175" t="str">
        <f>+'Marketing 2025'!B38</f>
        <v>CREC</v>
      </c>
      <c r="C105" s="175" t="str">
        <f>+'Marketing 2025'!C38</f>
        <v>Martha Gutierrez</v>
      </c>
      <c r="D105" s="175" t="str">
        <f>+'Marketing 2025'!D38</f>
        <v>Benefits</v>
      </c>
      <c r="E105" s="175" t="str">
        <f>+'Marketing 2025'!E38</f>
        <v>Aguinaldo</v>
      </c>
      <c r="F105" s="175" t="str">
        <f>+'Marketing 2025'!F38</f>
        <v>Aguinaldo - RESICO</v>
      </c>
      <c r="G105" s="175">
        <f>+'Marketing 2025'!G38</f>
        <v>0</v>
      </c>
      <c r="H105" s="175">
        <f>+'Marketing 2025'!H38</f>
        <v>0</v>
      </c>
      <c r="I105" s="175">
        <f>+'Marketing 2025'!I38</f>
        <v>0</v>
      </c>
      <c r="J105" s="175" t="str">
        <f>+'Marketing 2025'!J38</f>
        <v>603.12.001</v>
      </c>
      <c r="K105" s="175" t="str">
        <f>+'Marketing 2025'!K38</f>
        <v>Aguinaldo</v>
      </c>
      <c r="L105" s="175" t="str">
        <f>+'Marketing 2025'!L38</f>
        <v>Sueldos y Salarios</v>
      </c>
      <c r="M105" s="175" t="str">
        <f>+'Marketing 2025'!M38</f>
        <v>MXN</v>
      </c>
      <c r="N105" s="175">
        <f>+'Marketing 2025'!N38</f>
        <v>4296.1081081081084</v>
      </c>
      <c r="O105" s="175">
        <f>+'Marketing 2025'!O38</f>
        <v>79478</v>
      </c>
      <c r="P105" s="175">
        <f>+'Marketing 2025'!P38</f>
        <v>0</v>
      </c>
      <c r="Q105" s="175">
        <f>+'Marketing 2025'!Q38</f>
        <v>0</v>
      </c>
      <c r="R105" s="175">
        <f>+'Marketing 2025'!R38</f>
        <v>0</v>
      </c>
      <c r="S105" s="175">
        <f>+'Marketing 2025'!S38</f>
        <v>0</v>
      </c>
      <c r="T105" s="175">
        <f>+'Marketing 2025'!T38</f>
        <v>0</v>
      </c>
      <c r="U105" s="175">
        <f>+'Marketing 2025'!U38</f>
        <v>0</v>
      </c>
      <c r="V105" s="175">
        <f>+'Marketing 2025'!V38</f>
        <v>0</v>
      </c>
      <c r="W105" s="175">
        <f>+'Marketing 2025'!W38</f>
        <v>0</v>
      </c>
      <c r="X105" s="175">
        <f>+'Marketing 2025'!X38</f>
        <v>0</v>
      </c>
      <c r="Y105" s="175">
        <f>+'Marketing 2025'!Y38</f>
        <v>0</v>
      </c>
      <c r="Z105" s="175">
        <f>+'Marketing 2025'!Z38</f>
        <v>0</v>
      </c>
      <c r="AA105" s="175">
        <f>+'Marketing 2025'!AA38</f>
        <v>79478</v>
      </c>
      <c r="AB105" s="175"/>
      <c r="AC105" s="34">
        <f t="shared" si="59"/>
        <v>4296.1081081081084</v>
      </c>
      <c r="AD105" s="34">
        <f t="shared" si="60"/>
        <v>0</v>
      </c>
      <c r="AE105" s="34">
        <f t="shared" si="61"/>
        <v>0</v>
      </c>
      <c r="AF105" s="34">
        <f t="shared" si="62"/>
        <v>0</v>
      </c>
      <c r="AG105" s="34">
        <f t="shared" si="63"/>
        <v>0</v>
      </c>
      <c r="AH105" s="34">
        <f t="shared" si="64"/>
        <v>0</v>
      </c>
      <c r="AI105" s="34">
        <f t="shared" si="65"/>
        <v>0</v>
      </c>
      <c r="AJ105" s="34">
        <f t="shared" si="66"/>
        <v>0</v>
      </c>
      <c r="AK105" s="34">
        <f t="shared" si="67"/>
        <v>0</v>
      </c>
      <c r="AL105" s="34">
        <f t="shared" si="68"/>
        <v>0</v>
      </c>
      <c r="AM105" s="34">
        <f t="shared" si="69"/>
        <v>0</v>
      </c>
      <c r="AN105" s="34">
        <f t="shared" si="70"/>
        <v>0</v>
      </c>
      <c r="AO105" s="34">
        <f t="shared" si="71"/>
        <v>4296.1081081081084</v>
      </c>
      <c r="AP105">
        <f t="shared" si="53"/>
        <v>1</v>
      </c>
      <c r="AQ105" s="652">
        <f t="shared" si="54"/>
        <v>4296.1081081081074</v>
      </c>
      <c r="AR105" s="652">
        <f t="shared" si="55"/>
        <v>358.00900900900905</v>
      </c>
      <c r="AS105" s="652">
        <f t="shared" si="56"/>
        <v>358.00900900900905</v>
      </c>
      <c r="AT105" s="652">
        <f t="shared" si="56"/>
        <v>358.00900900900905</v>
      </c>
      <c r="AU105" s="652">
        <f t="shared" si="56"/>
        <v>358.00900900900905</v>
      </c>
      <c r="AV105" s="652">
        <f t="shared" si="56"/>
        <v>358.00900900900905</v>
      </c>
      <c r="AW105" s="652">
        <f t="shared" si="56"/>
        <v>358.00900900900905</v>
      </c>
      <c r="AX105" s="652">
        <f t="shared" si="56"/>
        <v>358.00900900900905</v>
      </c>
      <c r="AY105" s="652">
        <f t="shared" si="56"/>
        <v>358.00900900900905</v>
      </c>
      <c r="AZ105" s="652">
        <f t="shared" si="56"/>
        <v>358.00900900900905</v>
      </c>
      <c r="BA105" s="652">
        <f t="shared" si="56"/>
        <v>358.00900900900905</v>
      </c>
      <c r="BB105" s="652">
        <f t="shared" si="56"/>
        <v>358.00900900900905</v>
      </c>
      <c r="BC105" s="652">
        <f t="shared" si="56"/>
        <v>358.00900900900905</v>
      </c>
    </row>
    <row r="106" spans="1:55">
      <c r="A106" s="175" t="str">
        <f>+'Marketing 2025'!A39</f>
        <v>SAPI</v>
      </c>
      <c r="B106" s="175" t="str">
        <f>+'Marketing 2025'!B39</f>
        <v>CREC</v>
      </c>
      <c r="C106" s="175" t="str">
        <f>+'Marketing 2025'!C39</f>
        <v>Martha Gutierrez</v>
      </c>
      <c r="D106" s="175" t="str">
        <f>+'Marketing 2025'!D39</f>
        <v>Benefits</v>
      </c>
      <c r="E106" s="175" t="str">
        <f>+'Marketing 2025'!E39</f>
        <v>Prima Vacacional (prom. 8 días de vacaciones)</v>
      </c>
      <c r="F106" s="175" t="str">
        <f>+'Marketing 2025'!F39</f>
        <v>Prima Vacacional (prom. 8 días de vacaciones)</v>
      </c>
      <c r="G106" s="175">
        <f>+'Marketing 2025'!G39</f>
        <v>0</v>
      </c>
      <c r="H106" s="175">
        <f>+'Marketing 2025'!H39</f>
        <v>0</v>
      </c>
      <c r="I106" s="175">
        <f>+'Marketing 2025'!I39</f>
        <v>0</v>
      </c>
      <c r="J106" s="175" t="str">
        <f>+'Marketing 2025'!J39</f>
        <v>603.07.001</v>
      </c>
      <c r="K106" s="175" t="str">
        <f>+'Marketing 2025'!K39</f>
        <v>Prima vacacional</v>
      </c>
      <c r="L106" s="175" t="str">
        <f>+'Marketing 2025'!L39</f>
        <v>Sueldos y Salarios</v>
      </c>
      <c r="M106" s="175" t="str">
        <f>+'Marketing 2025'!M39</f>
        <v>MXN</v>
      </c>
      <c r="N106" s="175">
        <f>+'Marketing 2025'!N39</f>
        <v>109.26801801801801</v>
      </c>
      <c r="O106" s="175">
        <f>+'Marketing 2025'!O39</f>
        <v>2021.4583333333333</v>
      </c>
      <c r="P106" s="175">
        <f>+'Marketing 2025'!P39</f>
        <v>0</v>
      </c>
      <c r="Q106" s="175">
        <f>+'Marketing 2025'!Q39</f>
        <v>0</v>
      </c>
      <c r="R106" s="175">
        <f>+'Marketing 2025'!R39</f>
        <v>0</v>
      </c>
      <c r="S106" s="175">
        <f>+'Marketing 2025'!S39</f>
        <v>0</v>
      </c>
      <c r="T106" s="175">
        <f>+'Marketing 2025'!T39</f>
        <v>0</v>
      </c>
      <c r="U106" s="175">
        <f>+'Marketing 2025'!U39</f>
        <v>2021.4583333333333</v>
      </c>
      <c r="V106" s="175">
        <f>+'Marketing 2025'!V39</f>
        <v>0</v>
      </c>
      <c r="W106" s="175">
        <f>+'Marketing 2025'!W39</f>
        <v>0</v>
      </c>
      <c r="X106" s="175">
        <f>+'Marketing 2025'!X39</f>
        <v>0</v>
      </c>
      <c r="Y106" s="175">
        <f>+'Marketing 2025'!Y39</f>
        <v>0</v>
      </c>
      <c r="Z106" s="175">
        <f>+'Marketing 2025'!Z39</f>
        <v>0</v>
      </c>
      <c r="AA106" s="175">
        <f>+'Marketing 2025'!AA39</f>
        <v>0</v>
      </c>
      <c r="AB106" s="175"/>
      <c r="AC106" s="34">
        <f t="shared" si="59"/>
        <v>109.26801801801801</v>
      </c>
      <c r="AD106" s="34">
        <f t="shared" si="60"/>
        <v>0</v>
      </c>
      <c r="AE106" s="34">
        <f t="shared" si="61"/>
        <v>0</v>
      </c>
      <c r="AF106" s="34">
        <f t="shared" si="62"/>
        <v>0</v>
      </c>
      <c r="AG106" s="34">
        <f t="shared" si="63"/>
        <v>0</v>
      </c>
      <c r="AH106" s="34">
        <f t="shared" si="64"/>
        <v>0</v>
      </c>
      <c r="AI106" s="34">
        <f t="shared" si="65"/>
        <v>109.26801801801801</v>
      </c>
      <c r="AJ106" s="34">
        <f t="shared" si="66"/>
        <v>0</v>
      </c>
      <c r="AK106" s="34">
        <f t="shared" si="67"/>
        <v>0</v>
      </c>
      <c r="AL106" s="34">
        <f t="shared" si="68"/>
        <v>0</v>
      </c>
      <c r="AM106" s="34">
        <f t="shared" si="69"/>
        <v>0</v>
      </c>
      <c r="AN106" s="34">
        <f t="shared" si="70"/>
        <v>0</v>
      </c>
      <c r="AO106" s="34">
        <f t="shared" si="71"/>
        <v>0</v>
      </c>
      <c r="AP106">
        <f t="shared" si="53"/>
        <v>1</v>
      </c>
      <c r="AQ106" s="652">
        <f t="shared" si="54"/>
        <v>109.268018018018</v>
      </c>
      <c r="AR106" s="652">
        <f t="shared" si="55"/>
        <v>9.105668168168167</v>
      </c>
      <c r="AS106" s="652">
        <f t="shared" si="56"/>
        <v>9.105668168168167</v>
      </c>
      <c r="AT106" s="652">
        <f t="shared" si="56"/>
        <v>9.105668168168167</v>
      </c>
      <c r="AU106" s="652">
        <f t="shared" si="56"/>
        <v>9.105668168168167</v>
      </c>
      <c r="AV106" s="652">
        <f t="shared" si="56"/>
        <v>9.105668168168167</v>
      </c>
      <c r="AW106" s="652">
        <f t="shared" si="56"/>
        <v>9.105668168168167</v>
      </c>
      <c r="AX106" s="652">
        <f t="shared" si="56"/>
        <v>9.105668168168167</v>
      </c>
      <c r="AY106" s="652">
        <f t="shared" si="56"/>
        <v>9.105668168168167</v>
      </c>
      <c r="AZ106" s="652">
        <f t="shared" si="56"/>
        <v>9.105668168168167</v>
      </c>
      <c r="BA106" s="652">
        <f t="shared" si="56"/>
        <v>9.105668168168167</v>
      </c>
      <c r="BB106" s="652">
        <f t="shared" si="56"/>
        <v>9.105668168168167</v>
      </c>
      <c r="BC106" s="652">
        <f t="shared" si="56"/>
        <v>9.105668168168167</v>
      </c>
    </row>
    <row r="107" spans="1:55">
      <c r="A107" s="175" t="str">
        <f>+'Marketing 2025'!A41</f>
        <v>SAPI</v>
      </c>
      <c r="B107" s="175" t="str">
        <f>+'Marketing 2025'!B41</f>
        <v>CREC</v>
      </c>
      <c r="C107" s="175" t="str">
        <f>+'Marketing 2025'!C41</f>
        <v>Martha Gutierrez</v>
      </c>
      <c r="D107" s="175" t="str">
        <f>+'Marketing 2025'!D41</f>
        <v>Payroll</v>
      </c>
      <c r="E107" s="175" t="str">
        <f>+'Marketing 2025'!E41</f>
        <v>Impuestos</v>
      </c>
      <c r="F107" s="175" t="str">
        <f>+'Marketing 2025'!F41</f>
        <v>SIPARE (SAR, IMSS, INFONAVIT (avg. 22%))</v>
      </c>
      <c r="G107" s="175">
        <f>+'Marketing 2025'!G41</f>
        <v>0</v>
      </c>
      <c r="H107" s="175">
        <f>+'Marketing 2025'!H41</f>
        <v>0</v>
      </c>
      <c r="I107" s="175">
        <f>+'Marketing 2025'!I41</f>
        <v>0</v>
      </c>
      <c r="J107" s="175" t="str">
        <f>+'Marketing 2025'!J41</f>
        <v>603.01.001</v>
      </c>
      <c r="K107" s="175" t="str">
        <f>+'Marketing 2025'!K41</f>
        <v>Sueldos y salarios</v>
      </c>
      <c r="L107" s="175" t="str">
        <f>+'Marketing 2025'!L41</f>
        <v>Sueldos y Salarios</v>
      </c>
      <c r="M107" s="175" t="str">
        <f>+'Marketing 2025'!M41</f>
        <v>MXN</v>
      </c>
      <c r="N107" s="175">
        <f>+'Marketing 2025'!N41</f>
        <v>13275.632432432432</v>
      </c>
      <c r="O107" s="175">
        <f>+'Marketing 2025'!O41</f>
        <v>245599.2</v>
      </c>
      <c r="P107" s="175">
        <f>+'Marketing 2025'!P41</f>
        <v>40933.199999999997</v>
      </c>
      <c r="Q107" s="175">
        <f>+'Marketing 2025'!Q41</f>
        <v>0</v>
      </c>
      <c r="R107" s="175">
        <f>+'Marketing 2025'!R41</f>
        <v>40933.199999999997</v>
      </c>
      <c r="S107" s="175">
        <f>+'Marketing 2025'!S41</f>
        <v>0</v>
      </c>
      <c r="T107" s="175">
        <f>+'Marketing 2025'!T41</f>
        <v>40933.199999999997</v>
      </c>
      <c r="U107" s="175">
        <f>+'Marketing 2025'!U41</f>
        <v>0</v>
      </c>
      <c r="V107" s="175">
        <f>+'Marketing 2025'!V41</f>
        <v>40933.199999999997</v>
      </c>
      <c r="W107" s="175">
        <f>+'Marketing 2025'!W41</f>
        <v>0</v>
      </c>
      <c r="X107" s="175">
        <f>+'Marketing 2025'!X41</f>
        <v>40933.199999999997</v>
      </c>
      <c r="Y107" s="175">
        <f>+'Marketing 2025'!Y41</f>
        <v>0</v>
      </c>
      <c r="Z107" s="175">
        <f>+'Marketing 2025'!Z41</f>
        <v>40933.199999999997</v>
      </c>
      <c r="AA107" s="175">
        <f>+'Marketing 2025'!AA41</f>
        <v>0</v>
      </c>
      <c r="AB107">
        <f t="shared" ref="AB107" si="72">+IF(AC107=N107,1)</f>
        <v>1</v>
      </c>
      <c r="AC107" s="34">
        <f t="shared" si="59"/>
        <v>13275.632432432432</v>
      </c>
      <c r="AD107" s="34">
        <f t="shared" si="60"/>
        <v>2212.6054054054052</v>
      </c>
      <c r="AE107" s="34">
        <f t="shared" si="61"/>
        <v>0</v>
      </c>
      <c r="AF107" s="34">
        <f t="shared" si="62"/>
        <v>2212.6054054054052</v>
      </c>
      <c r="AG107" s="34">
        <f t="shared" si="63"/>
        <v>0</v>
      </c>
      <c r="AH107" s="34">
        <f t="shared" si="64"/>
        <v>2212.6054054054052</v>
      </c>
      <c r="AI107" s="34">
        <f t="shared" si="65"/>
        <v>0</v>
      </c>
      <c r="AJ107" s="34">
        <f t="shared" si="66"/>
        <v>2212.6054054054052</v>
      </c>
      <c r="AK107" s="34">
        <f t="shared" si="67"/>
        <v>0</v>
      </c>
      <c r="AL107" s="34">
        <f t="shared" si="68"/>
        <v>2212.6054054054052</v>
      </c>
      <c r="AM107" s="34">
        <f t="shared" si="69"/>
        <v>0</v>
      </c>
      <c r="AN107" s="34">
        <f t="shared" si="70"/>
        <v>2212.6054054054052</v>
      </c>
      <c r="AO107" s="34">
        <f t="shared" si="71"/>
        <v>0</v>
      </c>
      <c r="AP107">
        <f t="shared" si="53"/>
        <v>1</v>
      </c>
      <c r="AQ107" s="652">
        <f t="shared" si="54"/>
        <v>13275.632432432429</v>
      </c>
      <c r="AR107" s="652">
        <f t="shared" si="55"/>
        <v>1106.3027027027026</v>
      </c>
      <c r="AS107" s="652">
        <f t="shared" si="56"/>
        <v>1106.3027027027026</v>
      </c>
      <c r="AT107" s="652">
        <f t="shared" si="56"/>
        <v>1106.3027027027026</v>
      </c>
      <c r="AU107" s="652">
        <f t="shared" si="56"/>
        <v>1106.3027027027026</v>
      </c>
      <c r="AV107" s="652">
        <f t="shared" si="56"/>
        <v>1106.3027027027026</v>
      </c>
      <c r="AW107" s="652">
        <f t="shared" si="56"/>
        <v>1106.3027027027026</v>
      </c>
      <c r="AX107" s="652">
        <f t="shared" si="56"/>
        <v>1106.3027027027026</v>
      </c>
      <c r="AY107" s="652">
        <f t="shared" si="56"/>
        <v>1106.3027027027026</v>
      </c>
      <c r="AZ107" s="652">
        <f t="shared" si="56"/>
        <v>1106.3027027027026</v>
      </c>
      <c r="BA107" s="652">
        <f t="shared" si="56"/>
        <v>1106.3027027027026</v>
      </c>
      <c r="BB107" s="652">
        <f t="shared" si="56"/>
        <v>1106.3027027027026</v>
      </c>
      <c r="BC107" s="652">
        <f t="shared" ref="AS107:BC131" si="73">+$N107/12</f>
        <v>1106.3027027027026</v>
      </c>
    </row>
    <row r="108" spans="1:55">
      <c r="A108" t="str">
        <f>+'Content 2026'!A6</f>
        <v>SAPI</v>
      </c>
      <c r="B108" t="str">
        <f>+'Content 2026'!B6</f>
        <v>Content</v>
      </c>
      <c r="C108" t="str">
        <f>+'Content 2026'!C6</f>
        <v>Nathalia Pontes</v>
      </c>
      <c r="D108" t="str">
        <f>+'Content 2026'!D6</f>
        <v>Tools</v>
      </c>
      <c r="E108" t="str">
        <f>+'Content 2026'!E6</f>
        <v>Freshworks</v>
      </c>
      <c r="F108" t="str">
        <f>+'Content 2026'!F6</f>
        <v>1, annual</v>
      </c>
      <c r="G108" t="str">
        <f>+'Content 2026'!G6</f>
        <v>Jeeves</v>
      </c>
      <c r="H108" t="str">
        <f>+'Content 2026'!H6</f>
        <v>Content Team JVS - 552568XXXXXX9412</v>
      </c>
      <c r="I108" t="str">
        <f>+'Content 2026'!I6</f>
        <v>Content JVS - •••• 9559</v>
      </c>
      <c r="J108" t="str">
        <f>+'Content 2026'!J6</f>
        <v>603.64.001</v>
      </c>
      <c r="K108" t="str">
        <f>+'Content 2026'!K6</f>
        <v>Servicios de Informatica</v>
      </c>
      <c r="L108" t="str">
        <f>+'Content 2026'!L6</f>
        <v>Servicios</v>
      </c>
      <c r="M108" t="str">
        <f>+'Content 2026'!M6</f>
        <v>USD</v>
      </c>
      <c r="N108">
        <f>+'Content 2026'!N6</f>
        <v>2304</v>
      </c>
      <c r="O108">
        <f>+'Content 2026'!O6</f>
        <v>2304</v>
      </c>
      <c r="P108">
        <f>+'Content 2026'!P6</f>
        <v>0</v>
      </c>
      <c r="Q108">
        <f>+'Content 2026'!Q6</f>
        <v>0</v>
      </c>
      <c r="R108">
        <f>+'Content 2026'!R6</f>
        <v>0</v>
      </c>
      <c r="S108">
        <f>+'Content 2026'!S6</f>
        <v>0</v>
      </c>
      <c r="T108">
        <f>+'Content 2026'!T6</f>
        <v>0</v>
      </c>
      <c r="U108">
        <f>+'Content 2026'!U6</f>
        <v>0</v>
      </c>
      <c r="V108">
        <f>+'Content 2026'!V6</f>
        <v>2304</v>
      </c>
      <c r="W108">
        <f>+'Content 2026'!W6</f>
        <v>0</v>
      </c>
      <c r="X108">
        <f>+'Content 2026'!X6</f>
        <v>0</v>
      </c>
      <c r="Y108">
        <f>+'Content 2026'!Y6</f>
        <v>0</v>
      </c>
      <c r="Z108">
        <f>+'Content 2026'!Z6</f>
        <v>0</v>
      </c>
      <c r="AA108">
        <f>+'Content 2026'!AA6</f>
        <v>0</v>
      </c>
      <c r="AB108" s="175"/>
      <c r="AC108" s="34">
        <f t="shared" si="59"/>
        <v>2304</v>
      </c>
      <c r="AD108" s="34">
        <f t="shared" si="60"/>
        <v>0</v>
      </c>
      <c r="AE108" s="34">
        <f t="shared" si="61"/>
        <v>0</v>
      </c>
      <c r="AF108" s="34">
        <f t="shared" si="62"/>
        <v>0</v>
      </c>
      <c r="AG108" s="34">
        <f t="shared" si="63"/>
        <v>0</v>
      </c>
      <c r="AH108" s="34">
        <f t="shared" si="64"/>
        <v>0</v>
      </c>
      <c r="AI108" s="34">
        <f t="shared" si="65"/>
        <v>0</v>
      </c>
      <c r="AJ108" s="34">
        <f t="shared" si="66"/>
        <v>2304</v>
      </c>
      <c r="AK108" s="34">
        <f t="shared" si="67"/>
        <v>0</v>
      </c>
      <c r="AL108" s="34">
        <f t="shared" si="68"/>
        <v>0</v>
      </c>
      <c r="AM108" s="34">
        <f t="shared" si="69"/>
        <v>0</v>
      </c>
      <c r="AN108" s="34">
        <f t="shared" si="70"/>
        <v>0</v>
      </c>
      <c r="AO108" s="34">
        <f t="shared" si="71"/>
        <v>0</v>
      </c>
      <c r="AP108">
        <f t="shared" si="53"/>
        <v>1</v>
      </c>
      <c r="AQ108" s="652">
        <f t="shared" si="54"/>
        <v>2304</v>
      </c>
      <c r="AR108" s="652">
        <f t="shared" si="55"/>
        <v>192</v>
      </c>
      <c r="AS108" s="652">
        <f t="shared" si="73"/>
        <v>192</v>
      </c>
      <c r="AT108" s="652">
        <f t="shared" si="73"/>
        <v>192</v>
      </c>
      <c r="AU108" s="652">
        <f t="shared" si="73"/>
        <v>192</v>
      </c>
      <c r="AV108" s="652">
        <f t="shared" si="73"/>
        <v>192</v>
      </c>
      <c r="AW108" s="652">
        <f t="shared" si="73"/>
        <v>192</v>
      </c>
      <c r="AX108" s="652">
        <f t="shared" si="73"/>
        <v>192</v>
      </c>
      <c r="AY108" s="652">
        <f t="shared" si="73"/>
        <v>192</v>
      </c>
      <c r="AZ108" s="652">
        <f t="shared" si="73"/>
        <v>192</v>
      </c>
      <c r="BA108" s="652">
        <f t="shared" si="73"/>
        <v>192</v>
      </c>
      <c r="BB108" s="652">
        <f t="shared" si="73"/>
        <v>192</v>
      </c>
      <c r="BC108" s="652">
        <f t="shared" si="73"/>
        <v>192</v>
      </c>
    </row>
    <row r="109" spans="1:55">
      <c r="A109" t="str">
        <f>+'Content 2026'!A7</f>
        <v>SAPI</v>
      </c>
      <c r="B109" t="str">
        <f>+'Content 2026'!B7</f>
        <v>Content</v>
      </c>
      <c r="C109" t="str">
        <f>+'Content 2026'!C7</f>
        <v>Nathalia Pontes</v>
      </c>
      <c r="D109" t="str">
        <f>+'Content 2026'!D7</f>
        <v>Tools</v>
      </c>
      <c r="E109" t="str">
        <f>+'Content 2026'!E7</f>
        <v>Adobe</v>
      </c>
      <c r="F109" t="str">
        <f>+'Content 2026'!F7</f>
        <v>2 monthly</v>
      </c>
      <c r="G109" t="str">
        <f>+'Content 2026'!G7</f>
        <v>Jeeves</v>
      </c>
      <c r="H109" t="str">
        <f>+'Content 2026'!H7</f>
        <v>Content Team JVS - 552568XXXXXX9412</v>
      </c>
      <c r="I109" t="str">
        <f>+'Content 2026'!I7</f>
        <v>Content JVS - •••• 9559</v>
      </c>
      <c r="J109" t="str">
        <f>+'Content 2026'!J7</f>
        <v>603.64.001</v>
      </c>
      <c r="K109" t="str">
        <f>+'Content 2026'!K7</f>
        <v>Servicios de Informatica</v>
      </c>
      <c r="L109" t="str">
        <f>+'Content 2026'!L7</f>
        <v>Servicios</v>
      </c>
      <c r="M109" t="str">
        <f>+'Content 2026'!M7</f>
        <v>MXN</v>
      </c>
      <c r="N109">
        <f>+'Content 2026'!N7</f>
        <v>1803.2432432432433</v>
      </c>
      <c r="O109">
        <f>+'Content 2026'!O7</f>
        <v>33360</v>
      </c>
      <c r="P109">
        <f>+'Content 2026'!P7</f>
        <v>2780</v>
      </c>
      <c r="Q109">
        <f>+'Content 2026'!Q7</f>
        <v>2780</v>
      </c>
      <c r="R109">
        <f>+'Content 2026'!R7</f>
        <v>2780</v>
      </c>
      <c r="S109">
        <f>+'Content 2026'!S7</f>
        <v>2780</v>
      </c>
      <c r="T109">
        <f>+'Content 2026'!T7</f>
        <v>2780</v>
      </c>
      <c r="U109">
        <f>+'Content 2026'!U7</f>
        <v>2780</v>
      </c>
      <c r="V109">
        <f>+'Content 2026'!V7</f>
        <v>2780</v>
      </c>
      <c r="W109">
        <f>+'Content 2026'!W7</f>
        <v>2780</v>
      </c>
      <c r="X109">
        <f>+'Content 2026'!X7</f>
        <v>2780</v>
      </c>
      <c r="Y109">
        <f>+'Content 2026'!Y7</f>
        <v>2780</v>
      </c>
      <c r="Z109">
        <f>+'Content 2026'!Z7</f>
        <v>2780</v>
      </c>
      <c r="AA109">
        <f>+'Content 2026'!AA7</f>
        <v>2780</v>
      </c>
      <c r="AB109" s="175"/>
      <c r="AC109" s="34">
        <f t="shared" ref="AC109:AC138" si="74">+SUM(AD109:AO109)</f>
        <v>1803.2432432432427</v>
      </c>
      <c r="AD109" s="34">
        <f t="shared" si="60"/>
        <v>150.27027027027026</v>
      </c>
      <c r="AE109" s="34">
        <f t="shared" si="61"/>
        <v>150.27027027027026</v>
      </c>
      <c r="AF109" s="34">
        <f t="shared" si="62"/>
        <v>150.27027027027026</v>
      </c>
      <c r="AG109" s="34">
        <f t="shared" si="63"/>
        <v>150.27027027027026</v>
      </c>
      <c r="AH109" s="34">
        <f t="shared" si="64"/>
        <v>150.27027027027026</v>
      </c>
      <c r="AI109" s="34">
        <f t="shared" si="65"/>
        <v>150.27027027027026</v>
      </c>
      <c r="AJ109" s="34">
        <f t="shared" si="66"/>
        <v>150.27027027027026</v>
      </c>
      <c r="AK109" s="34">
        <f t="shared" si="67"/>
        <v>150.27027027027026</v>
      </c>
      <c r="AL109" s="34">
        <f t="shared" si="68"/>
        <v>150.27027027027026</v>
      </c>
      <c r="AM109" s="34">
        <f t="shared" si="69"/>
        <v>150.27027027027026</v>
      </c>
      <c r="AN109" s="34">
        <f t="shared" si="70"/>
        <v>150.27027027027026</v>
      </c>
      <c r="AO109" s="34">
        <f t="shared" si="71"/>
        <v>150.27027027027026</v>
      </c>
      <c r="AP109">
        <f t="shared" si="53"/>
        <v>1</v>
      </c>
      <c r="AQ109" s="652">
        <f t="shared" si="54"/>
        <v>1803.2432432432431</v>
      </c>
      <c r="AR109" s="652">
        <f t="shared" si="55"/>
        <v>150.27027027027029</v>
      </c>
      <c r="AS109" s="652">
        <f t="shared" si="73"/>
        <v>150.27027027027029</v>
      </c>
      <c r="AT109" s="652">
        <f t="shared" si="73"/>
        <v>150.27027027027029</v>
      </c>
      <c r="AU109" s="652">
        <f t="shared" si="73"/>
        <v>150.27027027027029</v>
      </c>
      <c r="AV109" s="652">
        <f t="shared" si="73"/>
        <v>150.27027027027029</v>
      </c>
      <c r="AW109" s="652">
        <f t="shared" si="73"/>
        <v>150.27027027027029</v>
      </c>
      <c r="AX109" s="652">
        <f t="shared" si="73"/>
        <v>150.27027027027029</v>
      </c>
      <c r="AY109" s="652">
        <f t="shared" si="73"/>
        <v>150.27027027027029</v>
      </c>
      <c r="AZ109" s="652">
        <f t="shared" si="73"/>
        <v>150.27027027027029</v>
      </c>
      <c r="BA109" s="652">
        <f t="shared" si="73"/>
        <v>150.27027027027029</v>
      </c>
      <c r="BB109" s="652">
        <f t="shared" si="73"/>
        <v>150.27027027027029</v>
      </c>
      <c r="BC109" s="652">
        <f t="shared" si="73"/>
        <v>150.27027027027029</v>
      </c>
    </row>
    <row r="110" spans="1:55">
      <c r="A110" t="str">
        <f>+'Content 2026'!A8</f>
        <v>SAPI</v>
      </c>
      <c r="B110" t="str">
        <f>+'Content 2026'!B8</f>
        <v>Content</v>
      </c>
      <c r="C110" t="str">
        <f>+'Content 2026'!C8</f>
        <v>Nathalia Pontes</v>
      </c>
      <c r="D110" t="str">
        <f>+'Content 2026'!D8</f>
        <v>Tools</v>
      </c>
      <c r="E110" t="str">
        <f>+'Content 2026'!E8</f>
        <v>Veed</v>
      </c>
      <c r="F110" t="str">
        <f>+'Content 2026'!F8</f>
        <v>1, monthly</v>
      </c>
      <c r="G110" t="str">
        <f>+'Content 2026'!G8</f>
        <v>Jeeves</v>
      </c>
      <c r="H110" t="str">
        <f>+'Content 2026'!H8</f>
        <v>Content Team JVS - 552568XXXXXX9412</v>
      </c>
      <c r="I110" t="str">
        <f>+'Content 2026'!I8</f>
        <v>Content JVS - •••• 9559</v>
      </c>
      <c r="J110" t="str">
        <f>+'Content 2026'!J8</f>
        <v>603.64.001</v>
      </c>
      <c r="K110" t="str">
        <f>+'Content 2026'!K8</f>
        <v>Servicios de Informatica</v>
      </c>
      <c r="L110" t="str">
        <f>+'Content 2026'!L8</f>
        <v>Servicios</v>
      </c>
      <c r="M110" t="str">
        <f>+'Content 2026'!M8</f>
        <v>USD</v>
      </c>
      <c r="N110">
        <f>+'Content 2026'!N8</f>
        <v>360</v>
      </c>
      <c r="O110">
        <f>+'Content 2026'!O8</f>
        <v>360</v>
      </c>
      <c r="P110">
        <f>+'Content 2026'!P8</f>
        <v>30</v>
      </c>
      <c r="Q110">
        <f>+'Content 2026'!Q8</f>
        <v>30</v>
      </c>
      <c r="R110">
        <f>+'Content 2026'!R8</f>
        <v>30</v>
      </c>
      <c r="S110">
        <f>+'Content 2026'!S8</f>
        <v>30</v>
      </c>
      <c r="T110">
        <f>+'Content 2026'!T8</f>
        <v>30</v>
      </c>
      <c r="U110">
        <f>+'Content 2026'!U8</f>
        <v>30</v>
      </c>
      <c r="V110">
        <f>+'Content 2026'!V8</f>
        <v>30</v>
      </c>
      <c r="W110">
        <f>+'Content 2026'!W8</f>
        <v>30</v>
      </c>
      <c r="X110">
        <f>+'Content 2026'!X8</f>
        <v>30</v>
      </c>
      <c r="Y110">
        <f>+'Content 2026'!Y8</f>
        <v>30</v>
      </c>
      <c r="Z110">
        <f>+'Content 2026'!Z8</f>
        <v>30</v>
      </c>
      <c r="AA110">
        <f>+'Content 2026'!AA8</f>
        <v>30</v>
      </c>
      <c r="AB110" s="175"/>
      <c r="AC110" s="34">
        <f t="shared" si="74"/>
        <v>360</v>
      </c>
      <c r="AD110" s="34">
        <f t="shared" si="60"/>
        <v>30</v>
      </c>
      <c r="AE110" s="34">
        <f t="shared" si="61"/>
        <v>30</v>
      </c>
      <c r="AF110" s="34">
        <f t="shared" si="62"/>
        <v>30</v>
      </c>
      <c r="AG110" s="34">
        <f t="shared" si="63"/>
        <v>30</v>
      </c>
      <c r="AH110" s="34">
        <f t="shared" si="64"/>
        <v>30</v>
      </c>
      <c r="AI110" s="34">
        <f t="shared" si="65"/>
        <v>30</v>
      </c>
      <c r="AJ110" s="34">
        <f t="shared" si="66"/>
        <v>30</v>
      </c>
      <c r="AK110" s="34">
        <f t="shared" si="67"/>
        <v>30</v>
      </c>
      <c r="AL110" s="34">
        <f t="shared" si="68"/>
        <v>30</v>
      </c>
      <c r="AM110" s="34">
        <f t="shared" si="69"/>
        <v>30</v>
      </c>
      <c r="AN110" s="34">
        <f t="shared" si="70"/>
        <v>30</v>
      </c>
      <c r="AO110" s="34">
        <f t="shared" si="71"/>
        <v>30</v>
      </c>
      <c r="AP110">
        <f t="shared" si="53"/>
        <v>1</v>
      </c>
      <c r="AQ110" s="652">
        <f t="shared" si="54"/>
        <v>360</v>
      </c>
      <c r="AR110" s="652">
        <f t="shared" si="55"/>
        <v>30</v>
      </c>
      <c r="AS110" s="652">
        <f t="shared" si="73"/>
        <v>30</v>
      </c>
      <c r="AT110" s="652">
        <f t="shared" si="73"/>
        <v>30</v>
      </c>
      <c r="AU110" s="652">
        <f t="shared" si="73"/>
        <v>30</v>
      </c>
      <c r="AV110" s="652">
        <f t="shared" si="73"/>
        <v>30</v>
      </c>
      <c r="AW110" s="652">
        <f t="shared" si="73"/>
        <v>30</v>
      </c>
      <c r="AX110" s="652">
        <f t="shared" si="73"/>
        <v>30</v>
      </c>
      <c r="AY110" s="652">
        <f t="shared" si="73"/>
        <v>30</v>
      </c>
      <c r="AZ110" s="652">
        <f t="shared" si="73"/>
        <v>30</v>
      </c>
      <c r="BA110" s="652">
        <f t="shared" si="73"/>
        <v>30</v>
      </c>
      <c r="BB110" s="652">
        <f t="shared" si="73"/>
        <v>30</v>
      </c>
      <c r="BC110" s="652">
        <f t="shared" si="73"/>
        <v>30</v>
      </c>
    </row>
    <row r="111" spans="1:55">
      <c r="A111" t="str">
        <f>+'Content 2026'!A9</f>
        <v>SAPI</v>
      </c>
      <c r="B111" t="str">
        <f>+'Content 2026'!B9</f>
        <v>Content</v>
      </c>
      <c r="C111" t="str">
        <f>+'Content 2026'!C9</f>
        <v>Nathalia Pontes</v>
      </c>
      <c r="D111" t="str">
        <f>+'Content 2026'!D9</f>
        <v>Tools</v>
      </c>
      <c r="E111" t="str">
        <f>+'Content 2026'!E9</f>
        <v>HeyGen</v>
      </c>
      <c r="F111" t="str">
        <f>+'Content 2026'!F9</f>
        <v>1, monthly</v>
      </c>
      <c r="G111" t="str">
        <f>+'Content 2026'!G9</f>
        <v>Jeeves</v>
      </c>
      <c r="H111" t="str">
        <f>+'Content 2026'!H9</f>
        <v>Content Team JVS - 552568XXXXXX9412</v>
      </c>
      <c r="I111" t="str">
        <f>+'Content 2026'!I9</f>
        <v>Content JVS - •••• 9559</v>
      </c>
      <c r="J111" t="str">
        <f>+'Content 2026'!J9</f>
        <v>603.64.001</v>
      </c>
      <c r="K111" t="str">
        <f>+'Content 2026'!K9</f>
        <v>Servicios de Informatica</v>
      </c>
      <c r="L111" t="str">
        <f>+'Content 2026'!L9</f>
        <v>Servicios</v>
      </c>
      <c r="M111" t="str">
        <f>+'Content 2026'!M9</f>
        <v>USD</v>
      </c>
      <c r="N111">
        <f>+'Content 2026'!N9</f>
        <v>1608</v>
      </c>
      <c r="O111">
        <f>+'Content 2026'!O9</f>
        <v>1608</v>
      </c>
      <c r="P111">
        <f>+'Content 2026'!P9</f>
        <v>134</v>
      </c>
      <c r="Q111">
        <f>+'Content 2026'!Q9</f>
        <v>134</v>
      </c>
      <c r="R111">
        <f>+'Content 2026'!R9</f>
        <v>134</v>
      </c>
      <c r="S111">
        <f>+'Content 2026'!S9</f>
        <v>134</v>
      </c>
      <c r="T111">
        <f>+'Content 2026'!T9</f>
        <v>134</v>
      </c>
      <c r="U111">
        <f>+'Content 2026'!U9</f>
        <v>134</v>
      </c>
      <c r="V111">
        <f>+'Content 2026'!V9</f>
        <v>134</v>
      </c>
      <c r="W111">
        <f>+'Content 2026'!W9</f>
        <v>134</v>
      </c>
      <c r="X111">
        <f>+'Content 2026'!X9</f>
        <v>134</v>
      </c>
      <c r="Y111">
        <f>+'Content 2026'!Y9</f>
        <v>134</v>
      </c>
      <c r="Z111">
        <f>+'Content 2026'!Z9</f>
        <v>134</v>
      </c>
      <c r="AA111">
        <f>+'Content 2026'!AA9</f>
        <v>134</v>
      </c>
      <c r="AB111" s="175"/>
      <c r="AC111" s="34">
        <f t="shared" si="74"/>
        <v>1608</v>
      </c>
      <c r="AD111" s="34">
        <f t="shared" si="60"/>
        <v>134</v>
      </c>
      <c r="AE111" s="34">
        <f t="shared" si="61"/>
        <v>134</v>
      </c>
      <c r="AF111" s="34">
        <f t="shared" si="62"/>
        <v>134</v>
      </c>
      <c r="AG111" s="34">
        <f t="shared" si="63"/>
        <v>134</v>
      </c>
      <c r="AH111" s="34">
        <f t="shared" si="64"/>
        <v>134</v>
      </c>
      <c r="AI111" s="34">
        <f t="shared" si="65"/>
        <v>134</v>
      </c>
      <c r="AJ111" s="34">
        <f t="shared" si="66"/>
        <v>134</v>
      </c>
      <c r="AK111" s="34">
        <f t="shared" si="67"/>
        <v>134</v>
      </c>
      <c r="AL111" s="34">
        <f t="shared" si="68"/>
        <v>134</v>
      </c>
      <c r="AM111" s="34">
        <f t="shared" si="69"/>
        <v>134</v>
      </c>
      <c r="AN111" s="34">
        <f t="shared" si="70"/>
        <v>134</v>
      </c>
      <c r="AO111" s="34">
        <f t="shared" si="71"/>
        <v>134</v>
      </c>
      <c r="AP111">
        <f t="shared" si="53"/>
        <v>1</v>
      </c>
      <c r="AQ111" s="652">
        <f t="shared" si="54"/>
        <v>1608</v>
      </c>
      <c r="AR111" s="652">
        <f t="shared" si="55"/>
        <v>134</v>
      </c>
      <c r="AS111" s="652">
        <f t="shared" si="73"/>
        <v>134</v>
      </c>
      <c r="AT111" s="652">
        <f t="shared" si="73"/>
        <v>134</v>
      </c>
      <c r="AU111" s="652">
        <f t="shared" si="73"/>
        <v>134</v>
      </c>
      <c r="AV111" s="652">
        <f t="shared" si="73"/>
        <v>134</v>
      </c>
      <c r="AW111" s="652">
        <f t="shared" si="73"/>
        <v>134</v>
      </c>
      <c r="AX111" s="652">
        <f t="shared" si="73"/>
        <v>134</v>
      </c>
      <c r="AY111" s="652">
        <f t="shared" si="73"/>
        <v>134</v>
      </c>
      <c r="AZ111" s="652">
        <f t="shared" si="73"/>
        <v>134</v>
      </c>
      <c r="BA111" s="652">
        <f t="shared" si="73"/>
        <v>134</v>
      </c>
      <c r="BB111" s="652">
        <f t="shared" si="73"/>
        <v>134</v>
      </c>
      <c r="BC111" s="652">
        <f t="shared" si="73"/>
        <v>134</v>
      </c>
    </row>
    <row r="112" spans="1:55">
      <c r="A112" t="str">
        <f>+'Content 2026'!A10</f>
        <v>SAPI</v>
      </c>
      <c r="B112" t="str">
        <f>+'Content 2026'!B10</f>
        <v>Content</v>
      </c>
      <c r="C112" t="str">
        <f>+'Content 2026'!C10</f>
        <v>Nathalia Pontes</v>
      </c>
      <c r="D112" t="str">
        <f>+'Content 2026'!D10</f>
        <v>Tools</v>
      </c>
      <c r="E112" t="str">
        <f>+'Content 2026'!E10</f>
        <v>Hellosign</v>
      </c>
      <c r="F112" t="str">
        <f>+'Content 2026'!F10</f>
        <v>1, annual</v>
      </c>
      <c r="G112" t="str">
        <f>+'Content 2026'!G10</f>
        <v>Jeeves</v>
      </c>
      <c r="H112" t="str">
        <f>+'Content 2026'!H10</f>
        <v>Content Team JVS - 552568XXXXXX9412</v>
      </c>
      <c r="I112" t="str">
        <f>+'Content 2026'!I10</f>
        <v>Content JVS - •••• 9559</v>
      </c>
      <c r="J112" t="str">
        <f>+'Content 2026'!J10</f>
        <v>603.64.001</v>
      </c>
      <c r="K112" t="str">
        <f>+'Content 2026'!K10</f>
        <v>Servicios de Informatica</v>
      </c>
      <c r="L112" t="str">
        <f>+'Content 2026'!L10</f>
        <v>Servicios</v>
      </c>
      <c r="M112" t="str">
        <f>+'Content 2026'!M10</f>
        <v>USD</v>
      </c>
      <c r="N112">
        <f>+'Content 2026'!N10</f>
        <v>180</v>
      </c>
      <c r="O112">
        <f>+'Content 2026'!O10</f>
        <v>180</v>
      </c>
      <c r="P112">
        <f>+'Content 2026'!P10</f>
        <v>0</v>
      </c>
      <c r="Q112">
        <f>+'Content 2026'!Q10</f>
        <v>0</v>
      </c>
      <c r="R112">
        <f>+'Content 2026'!R10</f>
        <v>0</v>
      </c>
      <c r="S112">
        <f>+'Content 2026'!S10</f>
        <v>0</v>
      </c>
      <c r="T112">
        <f>+'Content 2026'!T10</f>
        <v>0</v>
      </c>
      <c r="U112">
        <f>+'Content 2026'!U10</f>
        <v>0</v>
      </c>
      <c r="V112">
        <f>+'Content 2026'!V10</f>
        <v>0</v>
      </c>
      <c r="W112">
        <f>+'Content 2026'!W10</f>
        <v>0</v>
      </c>
      <c r="X112">
        <f>+'Content 2026'!X10</f>
        <v>0</v>
      </c>
      <c r="Y112">
        <f>+'Content 2026'!Y10</f>
        <v>180</v>
      </c>
      <c r="Z112">
        <f>+'Content 2026'!Z10</f>
        <v>0</v>
      </c>
      <c r="AA112">
        <f>+'Content 2026'!AA10</f>
        <v>0</v>
      </c>
      <c r="AB112" s="175"/>
      <c r="AC112" s="34">
        <f t="shared" si="74"/>
        <v>180</v>
      </c>
      <c r="AD112" s="34">
        <f t="shared" si="60"/>
        <v>0</v>
      </c>
      <c r="AE112" s="34">
        <f t="shared" si="61"/>
        <v>0</v>
      </c>
      <c r="AF112" s="34">
        <f t="shared" si="62"/>
        <v>0</v>
      </c>
      <c r="AG112" s="34">
        <f t="shared" si="63"/>
        <v>0</v>
      </c>
      <c r="AH112" s="34">
        <f t="shared" si="64"/>
        <v>0</v>
      </c>
      <c r="AI112" s="34">
        <f t="shared" si="65"/>
        <v>0</v>
      </c>
      <c r="AJ112" s="34">
        <f t="shared" si="66"/>
        <v>0</v>
      </c>
      <c r="AK112" s="34">
        <f t="shared" si="67"/>
        <v>0</v>
      </c>
      <c r="AL112" s="34">
        <f t="shared" si="68"/>
        <v>0</v>
      </c>
      <c r="AM112" s="34">
        <f t="shared" si="69"/>
        <v>180</v>
      </c>
      <c r="AN112" s="34">
        <f t="shared" si="70"/>
        <v>0</v>
      </c>
      <c r="AO112" s="34">
        <f t="shared" si="71"/>
        <v>0</v>
      </c>
      <c r="AP112">
        <f t="shared" si="53"/>
        <v>1</v>
      </c>
      <c r="AQ112" s="652">
        <f t="shared" si="54"/>
        <v>180</v>
      </c>
      <c r="AR112" s="652">
        <f t="shared" si="55"/>
        <v>15</v>
      </c>
      <c r="AS112" s="652">
        <f t="shared" si="73"/>
        <v>15</v>
      </c>
      <c r="AT112" s="652">
        <f t="shared" si="73"/>
        <v>15</v>
      </c>
      <c r="AU112" s="652">
        <f t="shared" si="73"/>
        <v>15</v>
      </c>
      <c r="AV112" s="652">
        <f t="shared" si="73"/>
        <v>15</v>
      </c>
      <c r="AW112" s="652">
        <f t="shared" si="73"/>
        <v>15</v>
      </c>
      <c r="AX112" s="652">
        <f t="shared" si="73"/>
        <v>15</v>
      </c>
      <c r="AY112" s="652">
        <f t="shared" si="73"/>
        <v>15</v>
      </c>
      <c r="AZ112" s="652">
        <f t="shared" si="73"/>
        <v>15</v>
      </c>
      <c r="BA112" s="652">
        <f t="shared" si="73"/>
        <v>15</v>
      </c>
      <c r="BB112" s="652">
        <f t="shared" si="73"/>
        <v>15</v>
      </c>
      <c r="BC112" s="652">
        <f t="shared" si="73"/>
        <v>15</v>
      </c>
    </row>
    <row r="113" spans="1:55">
      <c r="A113" t="str">
        <f>+'Content 2026'!A11</f>
        <v>SAPI</v>
      </c>
      <c r="B113" t="str">
        <f>+'Content 2026'!B11</f>
        <v>Content</v>
      </c>
      <c r="C113" t="str">
        <f>+'Content 2026'!C11</f>
        <v>Nathalia Pontes</v>
      </c>
      <c r="D113" t="str">
        <f>+'Content 2026'!D11</f>
        <v>Tools</v>
      </c>
      <c r="E113" t="str">
        <f>+'Content 2026'!E11</f>
        <v>AI Licences</v>
      </c>
      <c r="F113" t="str">
        <f>+'Content 2026'!F11</f>
        <v>credits/ monthly 11,5k credits, 3 people</v>
      </c>
      <c r="G113" t="str">
        <f>+'Content 2026'!G11</f>
        <v>Jeeves</v>
      </c>
      <c r="H113" t="str">
        <f>+'Content 2026'!H11</f>
        <v>Content Team JVS - 552568XXXXXX9412</v>
      </c>
      <c r="I113" t="str">
        <f>+'Content 2026'!I11</f>
        <v>Content JVS - •••• 9559</v>
      </c>
      <c r="J113" t="str">
        <f>+'Content 2026'!J11</f>
        <v>603.64.001</v>
      </c>
      <c r="K113" t="str">
        <f>+'Content 2026'!K11</f>
        <v>Servicios de Informatica</v>
      </c>
      <c r="L113" t="str">
        <f>+'Content 2026'!L11</f>
        <v>Servicios</v>
      </c>
      <c r="M113" t="str">
        <f>+'Content 2026'!M11</f>
        <v>USD</v>
      </c>
      <c r="N113">
        <f>+'Content 2026'!N11</f>
        <v>9600</v>
      </c>
      <c r="O113">
        <f>+'Content 2026'!O11</f>
        <v>9600</v>
      </c>
      <c r="P113">
        <f>+'Content 2026'!P11</f>
        <v>800</v>
      </c>
      <c r="Q113">
        <f>+'Content 2026'!Q11</f>
        <v>800</v>
      </c>
      <c r="R113">
        <f>+'Content 2026'!R11</f>
        <v>800</v>
      </c>
      <c r="S113">
        <f>+'Content 2026'!S11</f>
        <v>800</v>
      </c>
      <c r="T113">
        <f>+'Content 2026'!T11</f>
        <v>800</v>
      </c>
      <c r="U113">
        <f>+'Content 2026'!U11</f>
        <v>800</v>
      </c>
      <c r="V113">
        <f>+'Content 2026'!V11</f>
        <v>800</v>
      </c>
      <c r="W113">
        <f>+'Content 2026'!W11</f>
        <v>800</v>
      </c>
      <c r="X113">
        <f>+'Content 2026'!X11</f>
        <v>800</v>
      </c>
      <c r="Y113">
        <f>+'Content 2026'!Y11</f>
        <v>800</v>
      </c>
      <c r="Z113">
        <f>+'Content 2026'!Z11</f>
        <v>800</v>
      </c>
      <c r="AA113">
        <f>+'Content 2026'!AA11</f>
        <v>800</v>
      </c>
      <c r="AB113" s="175"/>
      <c r="AC113" s="34">
        <f t="shared" si="74"/>
        <v>9600</v>
      </c>
      <c r="AD113" s="34">
        <f t="shared" si="60"/>
        <v>800</v>
      </c>
      <c r="AE113" s="34">
        <f t="shared" si="61"/>
        <v>800</v>
      </c>
      <c r="AF113" s="34">
        <f t="shared" si="62"/>
        <v>800</v>
      </c>
      <c r="AG113" s="34">
        <f t="shared" si="63"/>
        <v>800</v>
      </c>
      <c r="AH113" s="34">
        <f t="shared" si="64"/>
        <v>800</v>
      </c>
      <c r="AI113" s="34">
        <f t="shared" si="65"/>
        <v>800</v>
      </c>
      <c r="AJ113" s="34">
        <f t="shared" si="66"/>
        <v>800</v>
      </c>
      <c r="AK113" s="34">
        <f t="shared" si="67"/>
        <v>800</v>
      </c>
      <c r="AL113" s="34">
        <f t="shared" si="68"/>
        <v>800</v>
      </c>
      <c r="AM113" s="34">
        <f t="shared" si="69"/>
        <v>800</v>
      </c>
      <c r="AN113" s="34">
        <f t="shared" si="70"/>
        <v>800</v>
      </c>
      <c r="AO113" s="34">
        <f t="shared" si="71"/>
        <v>800</v>
      </c>
      <c r="AP113">
        <f t="shared" si="53"/>
        <v>1</v>
      </c>
      <c r="AQ113" s="652">
        <f t="shared" si="54"/>
        <v>9600</v>
      </c>
      <c r="AR113" s="652">
        <f t="shared" si="55"/>
        <v>800</v>
      </c>
      <c r="AS113" s="652">
        <f t="shared" si="73"/>
        <v>800</v>
      </c>
      <c r="AT113" s="652">
        <f t="shared" si="73"/>
        <v>800</v>
      </c>
      <c r="AU113" s="652">
        <f t="shared" si="73"/>
        <v>800</v>
      </c>
      <c r="AV113" s="652">
        <f t="shared" si="73"/>
        <v>800</v>
      </c>
      <c r="AW113" s="652">
        <f t="shared" si="73"/>
        <v>800</v>
      </c>
      <c r="AX113" s="652">
        <f t="shared" si="73"/>
        <v>800</v>
      </c>
      <c r="AY113" s="652">
        <f t="shared" si="73"/>
        <v>800</v>
      </c>
      <c r="AZ113" s="652">
        <f t="shared" si="73"/>
        <v>800</v>
      </c>
      <c r="BA113" s="652">
        <f t="shared" si="73"/>
        <v>800</v>
      </c>
      <c r="BB113" s="652">
        <f t="shared" si="73"/>
        <v>800</v>
      </c>
      <c r="BC113" s="652">
        <f t="shared" si="73"/>
        <v>800</v>
      </c>
    </row>
    <row r="114" spans="1:55">
      <c r="A114" t="str">
        <f>+'Content 2026'!A12</f>
        <v>SAPI</v>
      </c>
      <c r="B114" t="str">
        <f>+'Content 2026'!B12</f>
        <v>Content</v>
      </c>
      <c r="C114" t="str">
        <f>+'Content 2026'!C12</f>
        <v>Nathalia Pontes</v>
      </c>
      <c r="D114" t="str">
        <f>+'Content 2026'!D12</f>
        <v>Tools</v>
      </c>
      <c r="E114" t="str">
        <f>+'Content 2026'!E12</f>
        <v>LearnWorlds</v>
      </c>
      <c r="F114" t="str">
        <f>+'Content 2026'!F12</f>
        <v>1, Monthly</v>
      </c>
      <c r="G114" t="str">
        <f>+'Content 2026'!G12</f>
        <v>Jeeves</v>
      </c>
      <c r="H114" t="str">
        <f>+'Content 2026'!H12</f>
        <v>Content Team JVS - 552568XXXXXX9412</v>
      </c>
      <c r="I114" t="str">
        <f>+'Content 2026'!I12</f>
        <v>Content JVS - •••• 9559</v>
      </c>
      <c r="J114" t="str">
        <f>+'Content 2026'!J12</f>
        <v>603.64.001</v>
      </c>
      <c r="K114" t="str">
        <f>+'Content 2026'!K12</f>
        <v>Servicios de Informatica</v>
      </c>
      <c r="L114" t="str">
        <f>+'Content 2026'!L12</f>
        <v>Servicios</v>
      </c>
      <c r="M114" t="str">
        <f>+'Content 2026'!M12</f>
        <v>USD</v>
      </c>
      <c r="N114">
        <f>+'Content 2026'!N12</f>
        <v>3588</v>
      </c>
      <c r="O114">
        <f>+'Content 2026'!O12</f>
        <v>3588</v>
      </c>
      <c r="P114">
        <f>+'Content 2026'!P12</f>
        <v>299</v>
      </c>
      <c r="Q114">
        <f>+'Content 2026'!Q12</f>
        <v>299</v>
      </c>
      <c r="R114">
        <f>+'Content 2026'!R12</f>
        <v>299</v>
      </c>
      <c r="S114">
        <f>+'Content 2026'!S12</f>
        <v>299</v>
      </c>
      <c r="T114">
        <f>+'Content 2026'!T12</f>
        <v>299</v>
      </c>
      <c r="U114">
        <f>+'Content 2026'!U12</f>
        <v>299</v>
      </c>
      <c r="V114">
        <f>+'Content 2026'!V12</f>
        <v>299</v>
      </c>
      <c r="W114">
        <f>+'Content 2026'!W12</f>
        <v>299</v>
      </c>
      <c r="X114">
        <f>+'Content 2026'!X12</f>
        <v>299</v>
      </c>
      <c r="Y114">
        <f>+'Content 2026'!Y12</f>
        <v>299</v>
      </c>
      <c r="Z114">
        <f>+'Content 2026'!Z12</f>
        <v>299</v>
      </c>
      <c r="AA114">
        <f>+'Content 2026'!AA12</f>
        <v>299</v>
      </c>
      <c r="AB114" s="175"/>
      <c r="AC114" s="34">
        <f t="shared" si="74"/>
        <v>3588</v>
      </c>
      <c r="AD114" s="34">
        <f t="shared" si="60"/>
        <v>299</v>
      </c>
      <c r="AE114" s="34">
        <f t="shared" si="61"/>
        <v>299</v>
      </c>
      <c r="AF114" s="34">
        <f t="shared" si="62"/>
        <v>299</v>
      </c>
      <c r="AG114" s="34">
        <f t="shared" si="63"/>
        <v>299</v>
      </c>
      <c r="AH114" s="34">
        <f t="shared" si="64"/>
        <v>299</v>
      </c>
      <c r="AI114" s="34">
        <f t="shared" si="65"/>
        <v>299</v>
      </c>
      <c r="AJ114" s="34">
        <f t="shared" si="66"/>
        <v>299</v>
      </c>
      <c r="AK114" s="34">
        <f t="shared" si="67"/>
        <v>299</v>
      </c>
      <c r="AL114" s="34">
        <f t="shared" si="68"/>
        <v>299</v>
      </c>
      <c r="AM114" s="34">
        <f t="shared" si="69"/>
        <v>299</v>
      </c>
      <c r="AN114" s="34">
        <f t="shared" si="70"/>
        <v>299</v>
      </c>
      <c r="AO114" s="34">
        <f t="shared" si="71"/>
        <v>299</v>
      </c>
      <c r="AP114">
        <f t="shared" si="53"/>
        <v>1</v>
      </c>
      <c r="AQ114" s="652">
        <f t="shared" si="54"/>
        <v>3588</v>
      </c>
      <c r="AR114" s="652">
        <f t="shared" si="55"/>
        <v>299</v>
      </c>
      <c r="AS114" s="652">
        <f t="shared" si="73"/>
        <v>299</v>
      </c>
      <c r="AT114" s="652">
        <f t="shared" si="73"/>
        <v>299</v>
      </c>
      <c r="AU114" s="652">
        <f t="shared" si="73"/>
        <v>299</v>
      </c>
      <c r="AV114" s="652">
        <f t="shared" si="73"/>
        <v>299</v>
      </c>
      <c r="AW114" s="652">
        <f t="shared" si="73"/>
        <v>299</v>
      </c>
      <c r="AX114" s="652">
        <f t="shared" si="73"/>
        <v>299</v>
      </c>
      <c r="AY114" s="652">
        <f t="shared" si="73"/>
        <v>299</v>
      </c>
      <c r="AZ114" s="652">
        <f t="shared" si="73"/>
        <v>299</v>
      </c>
      <c r="BA114" s="652">
        <f t="shared" si="73"/>
        <v>299</v>
      </c>
      <c r="BB114" s="652">
        <f t="shared" si="73"/>
        <v>299</v>
      </c>
      <c r="BC114" s="652">
        <f t="shared" si="73"/>
        <v>299</v>
      </c>
    </row>
    <row r="115" spans="1:55">
      <c r="A115" t="str">
        <f>+'Content 2026'!A13</f>
        <v>SAPI</v>
      </c>
      <c r="B115" t="str">
        <f>+'Content 2026'!B13</f>
        <v>Content</v>
      </c>
      <c r="C115" t="str">
        <f>+'Content 2026'!C13</f>
        <v>Nathalia Pontes</v>
      </c>
      <c r="D115" t="str">
        <f>+'Content 2026'!D13</f>
        <v>Tools</v>
      </c>
      <c r="E115" t="str">
        <f>+'Content 2026'!E13</f>
        <v>Zoom</v>
      </c>
      <c r="F115" t="str">
        <f>+'Content 2026'!F13</f>
        <v>3 accounts, annual</v>
      </c>
      <c r="G115" t="str">
        <f>+'Content 2026'!G13</f>
        <v>Jeeves</v>
      </c>
      <c r="H115" t="str">
        <f>+'Content 2026'!H13</f>
        <v>Content Team JVS - 552568XXXXXX9412 and BizOps?</v>
      </c>
      <c r="I115" t="str">
        <f>+'Content 2026'!I13</f>
        <v>Content JVS - •••• 9559</v>
      </c>
      <c r="J115" t="str">
        <f>+'Content 2026'!J13</f>
        <v>603.64.001</v>
      </c>
      <c r="K115" t="str">
        <f>+'Content 2026'!K13</f>
        <v>Servicios de Informatica</v>
      </c>
      <c r="L115" t="str">
        <f>+'Content 2026'!L13</f>
        <v>Servicios</v>
      </c>
      <c r="M115" t="str">
        <f>+'Content 2026'!M13</f>
        <v>USD</v>
      </c>
      <c r="N115">
        <f>+'Content 2026'!N13</f>
        <v>469.78999999999996</v>
      </c>
      <c r="O115">
        <f>+'Content 2026'!O13</f>
        <v>469.78999999999996</v>
      </c>
      <c r="P115">
        <f>+'Content 2026'!P13</f>
        <v>0</v>
      </c>
      <c r="Q115">
        <f>+'Content 2026'!Q13</f>
        <v>0</v>
      </c>
      <c r="R115">
        <f>+'Content 2026'!R13</f>
        <v>0</v>
      </c>
      <c r="S115">
        <f>+'Content 2026'!S13</f>
        <v>0</v>
      </c>
      <c r="T115">
        <f>+'Content 2026'!T13</f>
        <v>0</v>
      </c>
      <c r="U115">
        <f>+'Content 2026'!U13</f>
        <v>0</v>
      </c>
      <c r="V115">
        <f>+'Content 2026'!V13</f>
        <v>0</v>
      </c>
      <c r="W115">
        <f>+'Content 2026'!W13</f>
        <v>159.9</v>
      </c>
      <c r="X115">
        <f>+'Content 2026'!X13</f>
        <v>309.89</v>
      </c>
      <c r="Y115">
        <f>+'Content 2026'!Y13</f>
        <v>0</v>
      </c>
      <c r="Z115">
        <f>+'Content 2026'!Z13</f>
        <v>0</v>
      </c>
      <c r="AA115">
        <f>+'Content 2026'!AA13</f>
        <v>0</v>
      </c>
      <c r="AB115" s="175"/>
      <c r="AC115" s="34">
        <f t="shared" si="74"/>
        <v>469.78999999999996</v>
      </c>
      <c r="AD115" s="34">
        <f t="shared" si="60"/>
        <v>0</v>
      </c>
      <c r="AE115" s="34">
        <f t="shared" si="61"/>
        <v>0</v>
      </c>
      <c r="AF115" s="34">
        <f t="shared" si="62"/>
        <v>0</v>
      </c>
      <c r="AG115" s="34">
        <f t="shared" si="63"/>
        <v>0</v>
      </c>
      <c r="AH115" s="34">
        <f t="shared" si="64"/>
        <v>0</v>
      </c>
      <c r="AI115" s="34">
        <f t="shared" si="65"/>
        <v>0</v>
      </c>
      <c r="AJ115" s="34">
        <f t="shared" si="66"/>
        <v>0</v>
      </c>
      <c r="AK115" s="34">
        <f t="shared" si="67"/>
        <v>159.9</v>
      </c>
      <c r="AL115" s="34">
        <f t="shared" si="68"/>
        <v>309.89</v>
      </c>
      <c r="AM115" s="34">
        <f t="shared" si="69"/>
        <v>0</v>
      </c>
      <c r="AN115" s="34">
        <f t="shared" si="70"/>
        <v>0</v>
      </c>
      <c r="AO115" s="34">
        <f t="shared" si="71"/>
        <v>0</v>
      </c>
      <c r="AP115">
        <f t="shared" si="53"/>
        <v>1</v>
      </c>
      <c r="AQ115" s="652">
        <f t="shared" si="54"/>
        <v>469.78999999999991</v>
      </c>
      <c r="AR115" s="652">
        <f t="shared" si="55"/>
        <v>39.149166666666666</v>
      </c>
      <c r="AS115" s="652">
        <f t="shared" si="73"/>
        <v>39.149166666666666</v>
      </c>
      <c r="AT115" s="652">
        <f t="shared" si="73"/>
        <v>39.149166666666666</v>
      </c>
      <c r="AU115" s="652">
        <f t="shared" si="73"/>
        <v>39.149166666666666</v>
      </c>
      <c r="AV115" s="652">
        <f t="shared" si="73"/>
        <v>39.149166666666666</v>
      </c>
      <c r="AW115" s="652">
        <f t="shared" si="73"/>
        <v>39.149166666666666</v>
      </c>
      <c r="AX115" s="652">
        <f t="shared" si="73"/>
        <v>39.149166666666666</v>
      </c>
      <c r="AY115" s="652">
        <f t="shared" si="73"/>
        <v>39.149166666666666</v>
      </c>
      <c r="AZ115" s="652">
        <f t="shared" si="73"/>
        <v>39.149166666666666</v>
      </c>
      <c r="BA115" s="652">
        <f t="shared" si="73"/>
        <v>39.149166666666666</v>
      </c>
      <c r="BB115" s="652">
        <f t="shared" si="73"/>
        <v>39.149166666666666</v>
      </c>
      <c r="BC115" s="652">
        <f t="shared" si="73"/>
        <v>39.149166666666666</v>
      </c>
    </row>
    <row r="116" spans="1:55">
      <c r="A116" t="str">
        <f>+'Content 2026'!A14</f>
        <v>SAPI</v>
      </c>
      <c r="B116" t="str">
        <f>+'Content 2026'!B14</f>
        <v>Content</v>
      </c>
      <c r="C116" t="str">
        <f>+'Content 2026'!C14</f>
        <v>Nathalia Pontes</v>
      </c>
      <c r="D116" t="str">
        <f>+'Content 2026'!D14</f>
        <v>Comissions</v>
      </c>
      <c r="E116" t="str">
        <f>+'Content 2026'!E14</f>
        <v>GUSTO fee</v>
      </c>
      <c r="F116" t="str">
        <f>+'Content 2026'!F14</f>
        <v>* 12 USD * 6.6% TAX per contractor (coach)</v>
      </c>
      <c r="G116" t="str">
        <f>+'Content 2026'!G14</f>
        <v>Jeeves</v>
      </c>
      <c r="H116" t="str">
        <f>+'Content 2026'!H14</f>
        <v>Content Team JVS - 552568XXXXXX9412 and BizOps?</v>
      </c>
      <c r="I116" t="str">
        <f>+'Content 2026'!I14</f>
        <v>Content JVS - •••• 9559</v>
      </c>
      <c r="J116" t="str">
        <f>+'Content 2026'!J14</f>
        <v>402.02.001</v>
      </c>
      <c r="K116" t="str">
        <f>+'Content 2026'!K14</f>
        <v>Comisiones sobre ventas 0%</v>
      </c>
      <c r="L116" t="str">
        <f>+'Content 2026'!L14</f>
        <v>Comisiones</v>
      </c>
      <c r="M116" t="str">
        <f>+'Content 2026'!M14</f>
        <v>USD</v>
      </c>
      <c r="N116">
        <f>+'Content 2026'!N14</f>
        <v>444</v>
      </c>
      <c r="O116">
        <f>+'Content 2026'!O14</f>
        <v>444</v>
      </c>
      <c r="P116">
        <f>+'Content 2026'!P14</f>
        <v>26</v>
      </c>
      <c r="Q116">
        <f>+'Content 2026'!Q14</f>
        <v>38</v>
      </c>
      <c r="R116">
        <f>+'Content 2026'!R14</f>
        <v>38</v>
      </c>
      <c r="S116">
        <f>+'Content 2026'!S14</f>
        <v>38</v>
      </c>
      <c r="T116">
        <f>+'Content 2026'!T14</f>
        <v>38</v>
      </c>
      <c r="U116">
        <f>+'Content 2026'!U14</f>
        <v>38</v>
      </c>
      <c r="V116">
        <f>+'Content 2026'!V14</f>
        <v>38</v>
      </c>
      <c r="W116">
        <f>+'Content 2026'!W14</f>
        <v>38</v>
      </c>
      <c r="X116">
        <f>+'Content 2026'!X14</f>
        <v>38</v>
      </c>
      <c r="Y116">
        <f>+'Content 2026'!Y14</f>
        <v>38</v>
      </c>
      <c r="Z116">
        <f>+'Content 2026'!Z14</f>
        <v>38</v>
      </c>
      <c r="AA116">
        <f>+'Content 2026'!AA14</f>
        <v>38</v>
      </c>
      <c r="AB116" s="175"/>
      <c r="AC116" s="34">
        <f t="shared" si="74"/>
        <v>444</v>
      </c>
      <c r="AD116" s="34">
        <f t="shared" si="60"/>
        <v>26</v>
      </c>
      <c r="AE116" s="34">
        <f t="shared" si="61"/>
        <v>38</v>
      </c>
      <c r="AF116" s="34">
        <f t="shared" si="62"/>
        <v>38</v>
      </c>
      <c r="AG116" s="34">
        <f t="shared" si="63"/>
        <v>38</v>
      </c>
      <c r="AH116" s="34">
        <f t="shared" si="64"/>
        <v>38</v>
      </c>
      <c r="AI116" s="34">
        <f t="shared" si="65"/>
        <v>38</v>
      </c>
      <c r="AJ116" s="34">
        <f t="shared" si="66"/>
        <v>38</v>
      </c>
      <c r="AK116" s="34">
        <f t="shared" si="67"/>
        <v>38</v>
      </c>
      <c r="AL116" s="34">
        <f t="shared" si="68"/>
        <v>38</v>
      </c>
      <c r="AM116" s="34">
        <f t="shared" si="69"/>
        <v>38</v>
      </c>
      <c r="AN116" s="34">
        <f t="shared" si="70"/>
        <v>38</v>
      </c>
      <c r="AO116" s="34">
        <f t="shared" si="71"/>
        <v>38</v>
      </c>
      <c r="AP116">
        <f t="shared" si="53"/>
        <v>1</v>
      </c>
      <c r="AQ116" s="652">
        <f t="shared" si="54"/>
        <v>444</v>
      </c>
      <c r="AR116" s="652">
        <f t="shared" si="55"/>
        <v>37</v>
      </c>
      <c r="AS116" s="652">
        <f t="shared" si="73"/>
        <v>37</v>
      </c>
      <c r="AT116" s="652">
        <f t="shared" si="73"/>
        <v>37</v>
      </c>
      <c r="AU116" s="652">
        <f t="shared" si="73"/>
        <v>37</v>
      </c>
      <c r="AV116" s="652">
        <f t="shared" si="73"/>
        <v>37</v>
      </c>
      <c r="AW116" s="652">
        <f t="shared" si="73"/>
        <v>37</v>
      </c>
      <c r="AX116" s="652">
        <f t="shared" si="73"/>
        <v>37</v>
      </c>
      <c r="AY116" s="652">
        <f t="shared" si="73"/>
        <v>37</v>
      </c>
      <c r="AZ116" s="652">
        <f t="shared" si="73"/>
        <v>37</v>
      </c>
      <c r="BA116" s="652">
        <f t="shared" si="73"/>
        <v>37</v>
      </c>
      <c r="BB116" s="652">
        <f t="shared" si="73"/>
        <v>37</v>
      </c>
      <c r="BC116" s="652">
        <f t="shared" si="73"/>
        <v>37</v>
      </c>
    </row>
    <row r="117" spans="1:55">
      <c r="A117" t="str">
        <f>+'Content 2026'!A15</f>
        <v>SAPI</v>
      </c>
      <c r="B117" t="str">
        <f>+'Content 2026'!B15</f>
        <v>Content</v>
      </c>
      <c r="C117" t="str">
        <f>+'Content 2026'!C15</f>
        <v>Nathalia Pontes</v>
      </c>
      <c r="D117" t="str">
        <f>+'Content 2026'!D15</f>
        <v>Comissions</v>
      </c>
      <c r="E117" t="str">
        <f>+'Content 2026'!E15</f>
        <v>DEEL fee</v>
      </c>
      <c r="F117" t="str">
        <f>+'Content 2026'!F15</f>
        <v>* 35 USD per contractor (coach)</v>
      </c>
      <c r="G117" t="str">
        <f>+'Content 2026'!G15</f>
        <v>Jeeves</v>
      </c>
      <c r="H117" t="str">
        <f>+'Content 2026'!H15</f>
        <v>Content Team JVS - 552568XXXXXX9412 and BizOps?</v>
      </c>
      <c r="I117" t="str">
        <f>+'Content 2026'!I15</f>
        <v>Content JVS - •••• 9559</v>
      </c>
      <c r="J117" t="str">
        <f>+'Content 2026'!J15</f>
        <v>402.02.001</v>
      </c>
      <c r="K117" t="str">
        <f>+'Content 2026'!K15</f>
        <v>Comisiones sobre ventas 0%</v>
      </c>
      <c r="L117" t="str">
        <f>+'Content 2026'!L15</f>
        <v>Comisiones</v>
      </c>
      <c r="M117" t="str">
        <f>+'Content 2026'!M15</f>
        <v>USD</v>
      </c>
      <c r="N117">
        <f>+'Content 2026'!N15</f>
        <v>6650</v>
      </c>
      <c r="O117">
        <f>+'Content 2026'!O15</f>
        <v>6650</v>
      </c>
      <c r="P117">
        <f>+'Content 2026'!P15</f>
        <v>490</v>
      </c>
      <c r="Q117">
        <f>+'Content 2026'!Q15</f>
        <v>560</v>
      </c>
      <c r="R117">
        <f>+'Content 2026'!R15</f>
        <v>560</v>
      </c>
      <c r="S117">
        <f>+'Content 2026'!S15</f>
        <v>560</v>
      </c>
      <c r="T117">
        <f>+'Content 2026'!T15</f>
        <v>560</v>
      </c>
      <c r="U117">
        <f>+'Content 2026'!U15</f>
        <v>560</v>
      </c>
      <c r="V117">
        <f>+'Content 2026'!V15</f>
        <v>560</v>
      </c>
      <c r="W117">
        <f>+'Content 2026'!W15</f>
        <v>560</v>
      </c>
      <c r="X117">
        <f>+'Content 2026'!X15</f>
        <v>560</v>
      </c>
      <c r="Y117">
        <f>+'Content 2026'!Y15</f>
        <v>560</v>
      </c>
      <c r="Z117">
        <f>+'Content 2026'!Z15</f>
        <v>560</v>
      </c>
      <c r="AA117">
        <f>+'Content 2026'!AA15</f>
        <v>560</v>
      </c>
      <c r="AB117" s="175"/>
      <c r="AC117" s="34">
        <f t="shared" si="74"/>
        <v>6650</v>
      </c>
      <c r="AD117" s="34">
        <f t="shared" si="60"/>
        <v>490</v>
      </c>
      <c r="AE117" s="34">
        <f t="shared" si="61"/>
        <v>560</v>
      </c>
      <c r="AF117" s="34">
        <f t="shared" si="62"/>
        <v>560</v>
      </c>
      <c r="AG117" s="34">
        <f t="shared" si="63"/>
        <v>560</v>
      </c>
      <c r="AH117" s="34">
        <f t="shared" si="64"/>
        <v>560</v>
      </c>
      <c r="AI117" s="34">
        <f t="shared" si="65"/>
        <v>560</v>
      </c>
      <c r="AJ117" s="34">
        <f t="shared" si="66"/>
        <v>560</v>
      </c>
      <c r="AK117" s="34">
        <f t="shared" si="67"/>
        <v>560</v>
      </c>
      <c r="AL117" s="34">
        <f t="shared" si="68"/>
        <v>560</v>
      </c>
      <c r="AM117" s="34">
        <f t="shared" si="69"/>
        <v>560</v>
      </c>
      <c r="AN117" s="34">
        <f t="shared" si="70"/>
        <v>560</v>
      </c>
      <c r="AO117" s="34">
        <f t="shared" si="71"/>
        <v>560</v>
      </c>
      <c r="AP117">
        <f t="shared" si="53"/>
        <v>1</v>
      </c>
      <c r="AQ117" s="652">
        <f t="shared" si="54"/>
        <v>6650.0000000000009</v>
      </c>
      <c r="AR117" s="652">
        <f t="shared" si="55"/>
        <v>554.16666666666663</v>
      </c>
      <c r="AS117" s="652">
        <f t="shared" si="73"/>
        <v>554.16666666666663</v>
      </c>
      <c r="AT117" s="652">
        <f t="shared" si="73"/>
        <v>554.16666666666663</v>
      </c>
      <c r="AU117" s="652">
        <f t="shared" si="73"/>
        <v>554.16666666666663</v>
      </c>
      <c r="AV117" s="652">
        <f t="shared" si="73"/>
        <v>554.16666666666663</v>
      </c>
      <c r="AW117" s="652">
        <f t="shared" si="73"/>
        <v>554.16666666666663</v>
      </c>
      <c r="AX117" s="652">
        <f t="shared" si="73"/>
        <v>554.16666666666663</v>
      </c>
      <c r="AY117" s="652">
        <f t="shared" si="73"/>
        <v>554.16666666666663</v>
      </c>
      <c r="AZ117" s="652">
        <f t="shared" si="73"/>
        <v>554.16666666666663</v>
      </c>
      <c r="BA117" s="652">
        <f t="shared" si="73"/>
        <v>554.16666666666663</v>
      </c>
      <c r="BB117" s="652">
        <f t="shared" si="73"/>
        <v>554.16666666666663</v>
      </c>
      <c r="BC117" s="652">
        <f t="shared" si="73"/>
        <v>554.16666666666663</v>
      </c>
    </row>
    <row r="118" spans="1:55">
      <c r="A118" t="str">
        <f>+'Content 2026'!A16</f>
        <v>SAPI</v>
      </c>
      <c r="B118" t="str">
        <f>+'Content 2026'!B16</f>
        <v>Content</v>
      </c>
      <c r="C118" t="str">
        <f>+'Content 2026'!C16</f>
        <v>Nathalia Pontes</v>
      </c>
      <c r="D118" t="str">
        <f>+'Content 2026'!D16</f>
        <v>Comissions</v>
      </c>
      <c r="E118" t="str">
        <f>+'Content 2026'!E16</f>
        <v>Other AIs</v>
      </c>
      <c r="F118" t="str">
        <f>+'Content 2026'!F16</f>
        <v>Other AIs</v>
      </c>
      <c r="G118" t="str">
        <f>+'Content 2026'!G16</f>
        <v>Jeeves</v>
      </c>
      <c r="H118" t="str">
        <f>+'Content 2026'!H16</f>
        <v>Content Team JVS - 552568XXXXXX9412 and BizOps?</v>
      </c>
      <c r="I118" t="str">
        <f>+'Content 2026'!I16</f>
        <v>Content JVS - •••• 9559</v>
      </c>
      <c r="J118" t="str">
        <f>+'Content 2026'!J16</f>
        <v>603.64.001</v>
      </c>
      <c r="K118" t="str">
        <f>+'Content 2026'!K16</f>
        <v>Servicios de Informatica</v>
      </c>
      <c r="L118" t="str">
        <f>+'Content 2026'!L16</f>
        <v>Servicios</v>
      </c>
      <c r="M118" t="str">
        <f>+'Content 2026'!M16</f>
        <v>USD</v>
      </c>
      <c r="N118">
        <f>+'Content 2026'!N16</f>
        <v>4800</v>
      </c>
      <c r="O118">
        <f>+'Content 2026'!O16</f>
        <v>4800</v>
      </c>
      <c r="P118">
        <f>+'Content 2026'!P16</f>
        <v>400</v>
      </c>
      <c r="Q118">
        <f>+'Content 2026'!Q16</f>
        <v>400</v>
      </c>
      <c r="R118">
        <f>+'Content 2026'!R16</f>
        <v>400</v>
      </c>
      <c r="S118">
        <f>+'Content 2026'!S16</f>
        <v>400</v>
      </c>
      <c r="T118">
        <f>+'Content 2026'!T16</f>
        <v>400</v>
      </c>
      <c r="U118">
        <f>+'Content 2026'!U16</f>
        <v>400</v>
      </c>
      <c r="V118">
        <f>+'Content 2026'!V16</f>
        <v>400</v>
      </c>
      <c r="W118">
        <f>+'Content 2026'!W16</f>
        <v>400</v>
      </c>
      <c r="X118">
        <f>+'Content 2026'!X16</f>
        <v>400</v>
      </c>
      <c r="Y118">
        <f>+'Content 2026'!Y16</f>
        <v>400</v>
      </c>
      <c r="Z118">
        <f>+'Content 2026'!Z16</f>
        <v>400</v>
      </c>
      <c r="AA118">
        <f>+'Content 2026'!AA16</f>
        <v>400</v>
      </c>
      <c r="AB118" s="175"/>
      <c r="AC118" s="34">
        <f t="shared" si="74"/>
        <v>4800</v>
      </c>
      <c r="AD118" s="34">
        <f t="shared" si="60"/>
        <v>400</v>
      </c>
      <c r="AE118" s="34">
        <f t="shared" si="61"/>
        <v>400</v>
      </c>
      <c r="AF118" s="34">
        <f t="shared" si="62"/>
        <v>400</v>
      </c>
      <c r="AG118" s="34">
        <f t="shared" si="63"/>
        <v>400</v>
      </c>
      <c r="AH118" s="34">
        <f t="shared" si="64"/>
        <v>400</v>
      </c>
      <c r="AI118" s="34">
        <f t="shared" si="65"/>
        <v>400</v>
      </c>
      <c r="AJ118" s="34">
        <f t="shared" si="66"/>
        <v>400</v>
      </c>
      <c r="AK118" s="34">
        <f t="shared" si="67"/>
        <v>400</v>
      </c>
      <c r="AL118" s="34">
        <f t="shared" si="68"/>
        <v>400</v>
      </c>
      <c r="AM118" s="34">
        <f t="shared" si="69"/>
        <v>400</v>
      </c>
      <c r="AN118" s="34">
        <f t="shared" si="70"/>
        <v>400</v>
      </c>
      <c r="AO118" s="34">
        <f t="shared" si="71"/>
        <v>400</v>
      </c>
      <c r="AP118">
        <f t="shared" si="53"/>
        <v>1</v>
      </c>
      <c r="AQ118" s="652">
        <f t="shared" si="54"/>
        <v>4800</v>
      </c>
      <c r="AR118" s="652">
        <f t="shared" si="55"/>
        <v>400</v>
      </c>
      <c r="AS118" s="652">
        <f t="shared" si="73"/>
        <v>400</v>
      </c>
      <c r="AT118" s="652">
        <f t="shared" si="73"/>
        <v>400</v>
      </c>
      <c r="AU118" s="652">
        <f t="shared" si="73"/>
        <v>400</v>
      </c>
      <c r="AV118" s="652">
        <f t="shared" si="73"/>
        <v>400</v>
      </c>
      <c r="AW118" s="652">
        <f t="shared" si="73"/>
        <v>400</v>
      </c>
      <c r="AX118" s="652">
        <f t="shared" si="73"/>
        <v>400</v>
      </c>
      <c r="AY118" s="652">
        <f t="shared" si="73"/>
        <v>400</v>
      </c>
      <c r="AZ118" s="652">
        <f t="shared" si="73"/>
        <v>400</v>
      </c>
      <c r="BA118" s="652">
        <f t="shared" si="73"/>
        <v>400</v>
      </c>
      <c r="BB118" s="652">
        <f t="shared" si="73"/>
        <v>400</v>
      </c>
      <c r="BC118" s="652">
        <f t="shared" si="73"/>
        <v>400</v>
      </c>
    </row>
    <row r="119" spans="1:55">
      <c r="A119" t="str">
        <f>+'Content 2026'!A18</f>
        <v>SAPI</v>
      </c>
      <c r="B119" t="str">
        <f>+'Content 2026'!B18</f>
        <v>Content</v>
      </c>
      <c r="C119" t="str">
        <f>+'Content 2026'!C18</f>
        <v>Nathalia Pontes</v>
      </c>
      <c r="D119" t="str">
        <f>+'Content 2026'!D18</f>
        <v>Experts PT</v>
      </c>
      <c r="E119" t="str">
        <f>+'Content 2026'!E18</f>
        <v xml:space="preserve">Portuguese Coaches </v>
      </c>
      <c r="F119" t="str">
        <f>+'Content 2026'!F18</f>
        <v>Coaches</v>
      </c>
      <c r="G119">
        <f>+'Content 2026'!G18</f>
        <v>0</v>
      </c>
      <c r="H119">
        <f>+'Content 2026'!H18</f>
        <v>0</v>
      </c>
      <c r="I119">
        <f>+'Content 2026'!I18</f>
        <v>0</v>
      </c>
      <c r="J119" t="str">
        <f>+'Content 2026'!J18</f>
        <v>603.38.001</v>
      </c>
      <c r="K119" t="str">
        <f>+'Content 2026'!K18</f>
        <v>Honorarios A Personas Morales Nacionales</v>
      </c>
      <c r="L119" t="str">
        <f>+'Content 2026'!L18</f>
        <v>Servicios Externos</v>
      </c>
      <c r="M119" t="str">
        <f>+'Content 2026'!M18</f>
        <v>USD</v>
      </c>
      <c r="N119">
        <f>+'Content 2026'!N18</f>
        <v>18000</v>
      </c>
      <c r="O119">
        <f>+'Content 2026'!O18</f>
        <v>18000</v>
      </c>
      <c r="P119">
        <f>+'Content 2026'!P18</f>
        <v>1500</v>
      </c>
      <c r="Q119">
        <f>+'Content 2026'!Q18</f>
        <v>1500</v>
      </c>
      <c r="R119">
        <f>+'Content 2026'!R18</f>
        <v>1500</v>
      </c>
      <c r="S119">
        <f>+'Content 2026'!S18</f>
        <v>1500</v>
      </c>
      <c r="T119">
        <f>+'Content 2026'!T18</f>
        <v>1500</v>
      </c>
      <c r="U119">
        <f>+'Content 2026'!U18</f>
        <v>1500</v>
      </c>
      <c r="V119">
        <f>+'Content 2026'!V18</f>
        <v>1500</v>
      </c>
      <c r="W119">
        <f>+'Content 2026'!W18</f>
        <v>1500</v>
      </c>
      <c r="X119">
        <f>+'Content 2026'!X18</f>
        <v>1500</v>
      </c>
      <c r="Y119">
        <f>+'Content 2026'!Y18</f>
        <v>1500</v>
      </c>
      <c r="Z119">
        <f>+'Content 2026'!Z18</f>
        <v>1500</v>
      </c>
      <c r="AA119">
        <f>+'Content 2026'!AA18</f>
        <v>1500</v>
      </c>
      <c r="AB119" s="175"/>
      <c r="AC119" s="34">
        <f t="shared" si="74"/>
        <v>18000</v>
      </c>
      <c r="AD119" s="34">
        <f t="shared" si="60"/>
        <v>1500</v>
      </c>
      <c r="AE119" s="34">
        <f t="shared" si="61"/>
        <v>1500</v>
      </c>
      <c r="AF119" s="34">
        <f t="shared" si="62"/>
        <v>1500</v>
      </c>
      <c r="AG119" s="34">
        <f t="shared" si="63"/>
        <v>1500</v>
      </c>
      <c r="AH119" s="34">
        <f t="shared" si="64"/>
        <v>1500</v>
      </c>
      <c r="AI119" s="34">
        <f t="shared" si="65"/>
        <v>1500</v>
      </c>
      <c r="AJ119" s="34">
        <f t="shared" si="66"/>
        <v>1500</v>
      </c>
      <c r="AK119" s="34">
        <f t="shared" si="67"/>
        <v>1500</v>
      </c>
      <c r="AL119" s="34">
        <f t="shared" si="68"/>
        <v>1500</v>
      </c>
      <c r="AM119" s="34">
        <f t="shared" si="69"/>
        <v>1500</v>
      </c>
      <c r="AN119" s="34">
        <f t="shared" si="70"/>
        <v>1500</v>
      </c>
      <c r="AO119" s="34">
        <f t="shared" si="71"/>
        <v>1500</v>
      </c>
      <c r="AP119">
        <f t="shared" si="53"/>
        <v>1</v>
      </c>
      <c r="AQ119" s="652">
        <f t="shared" si="54"/>
        <v>18000</v>
      </c>
      <c r="AR119" s="652">
        <f t="shared" si="55"/>
        <v>1500</v>
      </c>
      <c r="AS119" s="652">
        <f t="shared" si="73"/>
        <v>1500</v>
      </c>
      <c r="AT119" s="652">
        <f t="shared" si="73"/>
        <v>1500</v>
      </c>
      <c r="AU119" s="652">
        <f t="shared" si="73"/>
        <v>1500</v>
      </c>
      <c r="AV119" s="652">
        <f t="shared" si="73"/>
        <v>1500</v>
      </c>
      <c r="AW119" s="652">
        <f t="shared" si="73"/>
        <v>1500</v>
      </c>
      <c r="AX119" s="652">
        <f t="shared" si="73"/>
        <v>1500</v>
      </c>
      <c r="AY119" s="652">
        <f t="shared" si="73"/>
        <v>1500</v>
      </c>
      <c r="AZ119" s="652">
        <f t="shared" si="73"/>
        <v>1500</v>
      </c>
      <c r="BA119" s="652">
        <f t="shared" si="73"/>
        <v>1500</v>
      </c>
      <c r="BB119" s="652">
        <f t="shared" si="73"/>
        <v>1500</v>
      </c>
      <c r="BC119" s="652">
        <f t="shared" si="73"/>
        <v>1500</v>
      </c>
    </row>
    <row r="120" spans="1:55">
      <c r="A120" t="str">
        <f>+'Content 2026'!A19</f>
        <v>SAPI</v>
      </c>
      <c r="B120" t="str">
        <f>+'Content 2026'!B19</f>
        <v>Content</v>
      </c>
      <c r="C120" t="str">
        <f>+'Content 2026'!C19</f>
        <v>Nathalia Pontes</v>
      </c>
      <c r="D120" t="str">
        <f>+'Content 2026'!D19</f>
        <v>Experts ES</v>
      </c>
      <c r="E120" t="str">
        <f>+'Content 2026'!E19</f>
        <v xml:space="preserve">Spanish Coaches </v>
      </c>
      <c r="F120" t="str">
        <f>+'Content 2026'!F19</f>
        <v>Coaches</v>
      </c>
      <c r="G120">
        <f>+'Content 2026'!G19</f>
        <v>0</v>
      </c>
      <c r="H120">
        <f>+'Content 2026'!H19</f>
        <v>0</v>
      </c>
      <c r="I120">
        <f>+'Content 2026'!I19</f>
        <v>0</v>
      </c>
      <c r="J120" t="str">
        <f>+'Content 2026'!J19</f>
        <v>603.38.001</v>
      </c>
      <c r="K120" t="str">
        <f>+'Content 2026'!K19</f>
        <v>Honorarios A Personas Morales Nacionales</v>
      </c>
      <c r="L120" t="str">
        <f>+'Content 2026'!L19</f>
        <v>Servicios Externos</v>
      </c>
      <c r="M120" t="str">
        <f>+'Content 2026'!M19</f>
        <v>USD</v>
      </c>
      <c r="N120">
        <f>+'Content 2026'!N19</f>
        <v>36000</v>
      </c>
      <c r="O120">
        <f>+'Content 2026'!O19</f>
        <v>36000</v>
      </c>
      <c r="P120">
        <f>+'Content 2026'!P19</f>
        <v>3000</v>
      </c>
      <c r="Q120">
        <f>+'Content 2026'!Q19</f>
        <v>3000</v>
      </c>
      <c r="R120">
        <f>+'Content 2026'!R19</f>
        <v>3000</v>
      </c>
      <c r="S120">
        <f>+'Content 2026'!S19</f>
        <v>3000</v>
      </c>
      <c r="T120">
        <f>+'Content 2026'!T19</f>
        <v>3000</v>
      </c>
      <c r="U120">
        <f>+'Content 2026'!U19</f>
        <v>3000</v>
      </c>
      <c r="V120">
        <f>+'Content 2026'!V19</f>
        <v>3000</v>
      </c>
      <c r="W120">
        <f>+'Content 2026'!W19</f>
        <v>3000</v>
      </c>
      <c r="X120">
        <f>+'Content 2026'!X19</f>
        <v>3000</v>
      </c>
      <c r="Y120">
        <f>+'Content 2026'!Y19</f>
        <v>3000</v>
      </c>
      <c r="Z120">
        <f>+'Content 2026'!Z19</f>
        <v>3000</v>
      </c>
      <c r="AA120">
        <f>+'Content 2026'!AA19</f>
        <v>3000</v>
      </c>
      <c r="AB120" s="175"/>
      <c r="AC120" s="34">
        <f t="shared" si="74"/>
        <v>36000</v>
      </c>
      <c r="AD120" s="34">
        <f t="shared" si="60"/>
        <v>3000</v>
      </c>
      <c r="AE120" s="34">
        <f t="shared" si="61"/>
        <v>3000</v>
      </c>
      <c r="AF120" s="34">
        <f t="shared" si="62"/>
        <v>3000</v>
      </c>
      <c r="AG120" s="34">
        <f t="shared" si="63"/>
        <v>3000</v>
      </c>
      <c r="AH120" s="34">
        <f t="shared" si="64"/>
        <v>3000</v>
      </c>
      <c r="AI120" s="34">
        <f t="shared" si="65"/>
        <v>3000</v>
      </c>
      <c r="AJ120" s="34">
        <f t="shared" si="66"/>
        <v>3000</v>
      </c>
      <c r="AK120" s="34">
        <f t="shared" si="67"/>
        <v>3000</v>
      </c>
      <c r="AL120" s="34">
        <f t="shared" si="68"/>
        <v>3000</v>
      </c>
      <c r="AM120" s="34">
        <f t="shared" si="69"/>
        <v>3000</v>
      </c>
      <c r="AN120" s="34">
        <f t="shared" si="70"/>
        <v>3000</v>
      </c>
      <c r="AO120" s="34">
        <f t="shared" si="71"/>
        <v>3000</v>
      </c>
      <c r="AP120">
        <f t="shared" si="53"/>
        <v>1</v>
      </c>
      <c r="AQ120" s="652">
        <f t="shared" si="54"/>
        <v>36000</v>
      </c>
      <c r="AR120" s="652">
        <f t="shared" si="55"/>
        <v>3000</v>
      </c>
      <c r="AS120" s="652">
        <f t="shared" si="73"/>
        <v>3000</v>
      </c>
      <c r="AT120" s="652">
        <f t="shared" si="73"/>
        <v>3000</v>
      </c>
      <c r="AU120" s="652">
        <f t="shared" si="73"/>
        <v>3000</v>
      </c>
      <c r="AV120" s="652">
        <f t="shared" si="73"/>
        <v>3000</v>
      </c>
      <c r="AW120" s="652">
        <f t="shared" si="73"/>
        <v>3000</v>
      </c>
      <c r="AX120" s="652">
        <f t="shared" si="73"/>
        <v>3000</v>
      </c>
      <c r="AY120" s="652">
        <f t="shared" si="73"/>
        <v>3000</v>
      </c>
      <c r="AZ120" s="652">
        <f t="shared" si="73"/>
        <v>3000</v>
      </c>
      <c r="BA120" s="652">
        <f t="shared" si="73"/>
        <v>3000</v>
      </c>
      <c r="BB120" s="652">
        <f t="shared" si="73"/>
        <v>3000</v>
      </c>
      <c r="BC120" s="652">
        <f t="shared" si="73"/>
        <v>3000</v>
      </c>
    </row>
    <row r="121" spans="1:55">
      <c r="A121" t="str">
        <f>+'Content 2026'!A20</f>
        <v>INC</v>
      </c>
      <c r="B121" t="str">
        <f>+'Content 2026'!B20</f>
        <v>Content</v>
      </c>
      <c r="C121" t="str">
        <f>+'Content 2026'!C20</f>
        <v>Nathalia Pontes</v>
      </c>
      <c r="D121" t="str">
        <f>+'Content 2026'!D20</f>
        <v>Experts EN</v>
      </c>
      <c r="E121" t="str">
        <f>+'Content 2026'!E20</f>
        <v>English Coaches</v>
      </c>
      <c r="F121" t="str">
        <f>+'Content 2026'!F20</f>
        <v>Coaches</v>
      </c>
      <c r="G121">
        <f>+'Content 2026'!G20</f>
        <v>0</v>
      </c>
      <c r="H121">
        <f>+'Content 2026'!H20</f>
        <v>0</v>
      </c>
      <c r="I121">
        <f>+'Content 2026'!I20</f>
        <v>0</v>
      </c>
      <c r="J121" t="str">
        <f>+'Content 2026'!J20</f>
        <v>603.38.001</v>
      </c>
      <c r="K121" t="str">
        <f>+'Content 2026'!K20</f>
        <v>Honorarios A Personas Morales Nacionales</v>
      </c>
      <c r="L121" t="str">
        <f>+'Content 2026'!L20</f>
        <v>Servicios Externos</v>
      </c>
      <c r="M121" t="str">
        <f>+'Content 2026'!M20</f>
        <v>USD</v>
      </c>
      <c r="N121">
        <f>+'Content 2026'!N20</f>
        <v>36000</v>
      </c>
      <c r="O121">
        <f>+'Content 2026'!O20</f>
        <v>36000</v>
      </c>
      <c r="P121">
        <f>+'Content 2026'!P20</f>
        <v>3000</v>
      </c>
      <c r="Q121">
        <f>+'Content 2026'!Q20</f>
        <v>3000</v>
      </c>
      <c r="R121">
        <f>+'Content 2026'!R20</f>
        <v>3000</v>
      </c>
      <c r="S121">
        <f>+'Content 2026'!S20</f>
        <v>3000</v>
      </c>
      <c r="T121">
        <f>+'Content 2026'!T20</f>
        <v>3000</v>
      </c>
      <c r="U121">
        <f>+'Content 2026'!U20</f>
        <v>3000</v>
      </c>
      <c r="V121">
        <f>+'Content 2026'!V20</f>
        <v>3000</v>
      </c>
      <c r="W121">
        <f>+'Content 2026'!W20</f>
        <v>3000</v>
      </c>
      <c r="X121">
        <f>+'Content 2026'!X20</f>
        <v>3000</v>
      </c>
      <c r="Y121">
        <f>+'Content 2026'!Y20</f>
        <v>3000</v>
      </c>
      <c r="Z121">
        <f>+'Content 2026'!Z20</f>
        <v>3000</v>
      </c>
      <c r="AA121">
        <f>+'Content 2026'!AA20</f>
        <v>3000</v>
      </c>
      <c r="AB121" s="175"/>
      <c r="AC121" s="34">
        <f t="shared" si="74"/>
        <v>36000</v>
      </c>
      <c r="AD121" s="34">
        <f t="shared" si="60"/>
        <v>3000</v>
      </c>
      <c r="AE121" s="34">
        <f t="shared" si="61"/>
        <v>3000</v>
      </c>
      <c r="AF121" s="34">
        <f t="shared" si="62"/>
        <v>3000</v>
      </c>
      <c r="AG121" s="34">
        <f t="shared" si="63"/>
        <v>3000</v>
      </c>
      <c r="AH121" s="34">
        <f t="shared" si="64"/>
        <v>3000</v>
      </c>
      <c r="AI121" s="34">
        <f t="shared" si="65"/>
        <v>3000</v>
      </c>
      <c r="AJ121" s="34">
        <f t="shared" si="66"/>
        <v>3000</v>
      </c>
      <c r="AK121" s="34">
        <f t="shared" si="67"/>
        <v>3000</v>
      </c>
      <c r="AL121" s="34">
        <f t="shared" si="68"/>
        <v>3000</v>
      </c>
      <c r="AM121" s="34">
        <f t="shared" si="69"/>
        <v>3000</v>
      </c>
      <c r="AN121" s="34">
        <f t="shared" si="70"/>
        <v>3000</v>
      </c>
      <c r="AO121" s="34">
        <f t="shared" si="71"/>
        <v>3000</v>
      </c>
      <c r="AP121">
        <f t="shared" si="53"/>
        <v>1</v>
      </c>
      <c r="AQ121" s="652">
        <f t="shared" si="54"/>
        <v>36000</v>
      </c>
      <c r="AR121" s="652">
        <f t="shared" si="55"/>
        <v>3000</v>
      </c>
      <c r="AS121" s="652">
        <f t="shared" si="73"/>
        <v>3000</v>
      </c>
      <c r="AT121" s="652">
        <f t="shared" si="73"/>
        <v>3000</v>
      </c>
      <c r="AU121" s="652">
        <f t="shared" si="73"/>
        <v>3000</v>
      </c>
      <c r="AV121" s="652">
        <f t="shared" si="73"/>
        <v>3000</v>
      </c>
      <c r="AW121" s="652">
        <f t="shared" si="73"/>
        <v>3000</v>
      </c>
      <c r="AX121" s="652">
        <f t="shared" si="73"/>
        <v>3000</v>
      </c>
      <c r="AY121" s="652">
        <f t="shared" si="73"/>
        <v>3000</v>
      </c>
      <c r="AZ121" s="652">
        <f t="shared" si="73"/>
        <v>3000</v>
      </c>
      <c r="BA121" s="652">
        <f t="shared" si="73"/>
        <v>3000</v>
      </c>
      <c r="BB121" s="652">
        <f t="shared" si="73"/>
        <v>3000</v>
      </c>
      <c r="BC121" s="652">
        <f t="shared" si="73"/>
        <v>3000</v>
      </c>
    </row>
    <row r="122" spans="1:55">
      <c r="A122" t="str">
        <f>+'Content 2026'!A23</f>
        <v>SAPI</v>
      </c>
      <c r="B122" t="str">
        <f>+'Content 2026'!B23</f>
        <v>Content</v>
      </c>
      <c r="C122" t="str">
        <f>+'Content 2026'!C23</f>
        <v>Nathalia Pontes</v>
      </c>
      <c r="D122" t="str">
        <f>+'Content 2026'!D23</f>
        <v>Payroll</v>
      </c>
      <c r="E122" t="str">
        <f>+'Content 2026'!E23</f>
        <v>Nathalia Pontes</v>
      </c>
      <c r="F122" t="str">
        <f>+'Content 2026'!F23</f>
        <v>Director Live Programs &amp; Content</v>
      </c>
      <c r="G122">
        <f>+'Content 2026'!G23</f>
        <v>0</v>
      </c>
      <c r="H122">
        <f>+'Content 2026'!H23</f>
        <v>0</v>
      </c>
      <c r="I122">
        <f>+'Content 2026'!I23</f>
        <v>0</v>
      </c>
      <c r="J122" t="str">
        <f>+'Content 2026'!J23</f>
        <v>603.01.001</v>
      </c>
      <c r="K122" t="str">
        <f>+'Content 2026'!K23</f>
        <v>Sueldos y salarios</v>
      </c>
      <c r="L122" t="str">
        <f>+'Content 2026'!L23</f>
        <v>Sueldos y Salarios</v>
      </c>
      <c r="M122" t="str">
        <f>+'Content 2026'!M23</f>
        <v>BRL</v>
      </c>
      <c r="N122">
        <f>+'Content 2026'!N23</f>
        <v>85527.272727272721</v>
      </c>
      <c r="O122">
        <f>+'Content 2026'!O23</f>
        <v>470400</v>
      </c>
      <c r="P122">
        <f>+'Content 2026'!P23</f>
        <v>39200</v>
      </c>
      <c r="Q122">
        <f>+'Content 2026'!Q23</f>
        <v>39200</v>
      </c>
      <c r="R122">
        <f>+'Content 2026'!R23</f>
        <v>39200</v>
      </c>
      <c r="S122">
        <f>+'Content 2026'!S23</f>
        <v>39200</v>
      </c>
      <c r="T122">
        <f>+'Content 2026'!T23</f>
        <v>39200</v>
      </c>
      <c r="U122">
        <f>+'Content 2026'!U23</f>
        <v>39200</v>
      </c>
      <c r="V122">
        <f>+'Content 2026'!V23</f>
        <v>39200</v>
      </c>
      <c r="W122">
        <f>+'Content 2026'!W23</f>
        <v>39200</v>
      </c>
      <c r="X122">
        <f>+'Content 2026'!X23</f>
        <v>39200</v>
      </c>
      <c r="Y122">
        <f>+'Content 2026'!Y23</f>
        <v>39200</v>
      </c>
      <c r="Z122">
        <f>+'Content 2026'!Z23</f>
        <v>39200</v>
      </c>
      <c r="AA122">
        <f>+'Content 2026'!AA23</f>
        <v>39200</v>
      </c>
      <c r="AB122" s="175"/>
      <c r="AC122" s="34">
        <f t="shared" si="74"/>
        <v>85527.272727272706</v>
      </c>
      <c r="AD122" s="34">
        <f t="shared" si="60"/>
        <v>7127.272727272727</v>
      </c>
      <c r="AE122" s="34">
        <f t="shared" si="61"/>
        <v>7127.272727272727</v>
      </c>
      <c r="AF122" s="34">
        <f t="shared" si="62"/>
        <v>7127.272727272727</v>
      </c>
      <c r="AG122" s="34">
        <f t="shared" si="63"/>
        <v>7127.272727272727</v>
      </c>
      <c r="AH122" s="34">
        <f t="shared" si="64"/>
        <v>7127.272727272727</v>
      </c>
      <c r="AI122" s="34">
        <f t="shared" si="65"/>
        <v>7127.272727272727</v>
      </c>
      <c r="AJ122" s="34">
        <f t="shared" si="66"/>
        <v>7127.272727272727</v>
      </c>
      <c r="AK122" s="34">
        <f t="shared" si="67"/>
        <v>7127.272727272727</v>
      </c>
      <c r="AL122" s="34">
        <f t="shared" si="68"/>
        <v>7127.272727272727</v>
      </c>
      <c r="AM122" s="34">
        <f t="shared" si="69"/>
        <v>7127.272727272727</v>
      </c>
      <c r="AN122" s="34">
        <f t="shared" si="70"/>
        <v>7127.272727272727</v>
      </c>
      <c r="AO122" s="34">
        <f t="shared" si="71"/>
        <v>7127.272727272727</v>
      </c>
      <c r="AP122">
        <f t="shared" si="53"/>
        <v>1</v>
      </c>
      <c r="AQ122" s="652">
        <f t="shared" si="54"/>
        <v>85527.272727272706</v>
      </c>
      <c r="AR122" s="652">
        <f t="shared" si="55"/>
        <v>7127.272727272727</v>
      </c>
      <c r="AS122" s="652">
        <f t="shared" si="73"/>
        <v>7127.272727272727</v>
      </c>
      <c r="AT122" s="652">
        <f t="shared" si="73"/>
        <v>7127.272727272727</v>
      </c>
      <c r="AU122" s="652">
        <f t="shared" si="73"/>
        <v>7127.272727272727</v>
      </c>
      <c r="AV122" s="652">
        <f t="shared" si="73"/>
        <v>7127.272727272727</v>
      </c>
      <c r="AW122" s="652">
        <f t="shared" si="73"/>
        <v>7127.272727272727</v>
      </c>
      <c r="AX122" s="652">
        <f t="shared" si="73"/>
        <v>7127.272727272727</v>
      </c>
      <c r="AY122" s="652">
        <f t="shared" si="73"/>
        <v>7127.272727272727</v>
      </c>
      <c r="AZ122" s="652">
        <f t="shared" si="73"/>
        <v>7127.272727272727</v>
      </c>
      <c r="BA122" s="652">
        <f t="shared" si="73"/>
        <v>7127.272727272727</v>
      </c>
      <c r="BB122" s="652">
        <f t="shared" si="73"/>
        <v>7127.272727272727</v>
      </c>
      <c r="BC122" s="652">
        <f t="shared" si="73"/>
        <v>7127.272727272727</v>
      </c>
    </row>
    <row r="123" spans="1:55">
      <c r="A123" t="str">
        <f>+'Content 2026'!A25</f>
        <v>SAPI</v>
      </c>
      <c r="B123" t="str">
        <f>+'Content 2026'!B25</f>
        <v>Content</v>
      </c>
      <c r="C123" t="str">
        <f>+'Content 2026'!C25</f>
        <v>Nathalia Pontes</v>
      </c>
      <c r="D123" t="str">
        <f>+'Content 2026'!D25</f>
        <v>Payroll</v>
      </c>
      <c r="E123" t="str">
        <f>+'Content 2026'!E25</f>
        <v>BRUNO VELOSO IRAHA</v>
      </c>
      <c r="F123" t="str">
        <f>+'Content 2026'!F25</f>
        <v>Content &amp; Programs Analyst</v>
      </c>
      <c r="G123">
        <f>+'Content 2026'!G25</f>
        <v>0</v>
      </c>
      <c r="H123">
        <f>+'Content 2026'!H25</f>
        <v>0</v>
      </c>
      <c r="I123">
        <f>+'Content 2026'!I25</f>
        <v>0</v>
      </c>
      <c r="J123" t="str">
        <f>+'Content 2026'!J25</f>
        <v>603.01.001</v>
      </c>
      <c r="K123" t="str">
        <f>+'Content 2026'!K25</f>
        <v>Sueldos y salarios</v>
      </c>
      <c r="L123" t="str">
        <f>+'Content 2026'!L25</f>
        <v>Sueldos y Salarios</v>
      </c>
      <c r="M123" t="str">
        <f>+'Content 2026'!M25</f>
        <v>USD</v>
      </c>
      <c r="N123">
        <f>+'Content 2026'!N25</f>
        <v>13860</v>
      </c>
      <c r="O123">
        <f>+'Content 2026'!O25</f>
        <v>13860</v>
      </c>
      <c r="P123">
        <f>+'Content 2026'!P25</f>
        <v>1155</v>
      </c>
      <c r="Q123">
        <f>+'Content 2026'!Q25</f>
        <v>1155</v>
      </c>
      <c r="R123">
        <f>+'Content 2026'!R25</f>
        <v>1155</v>
      </c>
      <c r="S123">
        <f>+'Content 2026'!S25</f>
        <v>1155</v>
      </c>
      <c r="T123">
        <f>+'Content 2026'!T25</f>
        <v>1155</v>
      </c>
      <c r="U123">
        <f>+'Content 2026'!U25</f>
        <v>1155</v>
      </c>
      <c r="V123">
        <f>+'Content 2026'!V25</f>
        <v>1155</v>
      </c>
      <c r="W123">
        <f>+'Content 2026'!W25</f>
        <v>1155</v>
      </c>
      <c r="X123">
        <f>+'Content 2026'!X25</f>
        <v>1155</v>
      </c>
      <c r="Y123">
        <f>+'Content 2026'!Y25</f>
        <v>1155</v>
      </c>
      <c r="Z123">
        <f>+'Content 2026'!Z25</f>
        <v>1155</v>
      </c>
      <c r="AA123">
        <f>+'Content 2026'!AA25</f>
        <v>1155</v>
      </c>
      <c r="AB123" s="175"/>
      <c r="AC123" s="34">
        <f t="shared" si="74"/>
        <v>13860</v>
      </c>
      <c r="AD123" s="34">
        <f t="shared" si="60"/>
        <v>1155</v>
      </c>
      <c r="AE123" s="34">
        <f t="shared" si="61"/>
        <v>1155</v>
      </c>
      <c r="AF123" s="34">
        <f t="shared" si="62"/>
        <v>1155</v>
      </c>
      <c r="AG123" s="34">
        <f t="shared" si="63"/>
        <v>1155</v>
      </c>
      <c r="AH123" s="34">
        <f t="shared" si="64"/>
        <v>1155</v>
      </c>
      <c r="AI123" s="34">
        <f t="shared" si="65"/>
        <v>1155</v>
      </c>
      <c r="AJ123" s="34">
        <f t="shared" si="66"/>
        <v>1155</v>
      </c>
      <c r="AK123" s="34">
        <f t="shared" si="67"/>
        <v>1155</v>
      </c>
      <c r="AL123" s="34">
        <f t="shared" si="68"/>
        <v>1155</v>
      </c>
      <c r="AM123" s="34">
        <f t="shared" si="69"/>
        <v>1155</v>
      </c>
      <c r="AN123" s="34">
        <f t="shared" si="70"/>
        <v>1155</v>
      </c>
      <c r="AO123" s="34">
        <f t="shared" si="71"/>
        <v>1155</v>
      </c>
      <c r="AP123">
        <f t="shared" si="53"/>
        <v>1</v>
      </c>
      <c r="AQ123" s="652">
        <f t="shared" si="54"/>
        <v>13860</v>
      </c>
      <c r="AR123" s="652">
        <f t="shared" si="55"/>
        <v>1155</v>
      </c>
      <c r="AS123" s="652">
        <f t="shared" si="73"/>
        <v>1155</v>
      </c>
      <c r="AT123" s="652">
        <f t="shared" si="73"/>
        <v>1155</v>
      </c>
      <c r="AU123" s="652">
        <f t="shared" si="73"/>
        <v>1155</v>
      </c>
      <c r="AV123" s="652">
        <f t="shared" si="73"/>
        <v>1155</v>
      </c>
      <c r="AW123" s="652">
        <f t="shared" si="73"/>
        <v>1155</v>
      </c>
      <c r="AX123" s="652">
        <f t="shared" si="73"/>
        <v>1155</v>
      </c>
      <c r="AY123" s="652">
        <f t="shared" si="73"/>
        <v>1155</v>
      </c>
      <c r="AZ123" s="652">
        <f t="shared" si="73"/>
        <v>1155</v>
      </c>
      <c r="BA123" s="652">
        <f t="shared" si="73"/>
        <v>1155</v>
      </c>
      <c r="BB123" s="652">
        <f t="shared" si="73"/>
        <v>1155</v>
      </c>
      <c r="BC123" s="652">
        <f t="shared" si="73"/>
        <v>1155</v>
      </c>
    </row>
    <row r="124" spans="1:55">
      <c r="A124" t="str">
        <f>+'Content 2026'!A27</f>
        <v>SAPI</v>
      </c>
      <c r="B124" t="str">
        <f>+'Content 2026'!B27</f>
        <v>Content</v>
      </c>
      <c r="C124" t="str">
        <f>+'Content 2026'!C27</f>
        <v>Nathalia Pontes</v>
      </c>
      <c r="D124" t="str">
        <f>+'Content 2026'!D27</f>
        <v>Payroll</v>
      </c>
      <c r="E124" t="str">
        <f>+'Content 2026'!E27</f>
        <v>BENAVIDES DE LA ROSA LAURA JANETH</v>
      </c>
      <c r="F124" t="str">
        <f>+'Content 2026'!F27</f>
        <v>Content Specialist</v>
      </c>
      <c r="G124">
        <f>+'Content 2026'!G27</f>
        <v>0</v>
      </c>
      <c r="H124">
        <f>+'Content 2026'!H27</f>
        <v>0</v>
      </c>
      <c r="I124">
        <f>+'Content 2026'!I27</f>
        <v>0</v>
      </c>
      <c r="J124" t="str">
        <f>+'Content 2026'!J27</f>
        <v>603.01.001</v>
      </c>
      <c r="K124" t="str">
        <f>+'Content 2026'!K27</f>
        <v>Sueldos y salarios</v>
      </c>
      <c r="L124" t="str">
        <f>+'Content 2026'!L27</f>
        <v>Sueldos y Salarios</v>
      </c>
      <c r="M124" t="str">
        <f>+'Content 2026'!M27</f>
        <v>MXN</v>
      </c>
      <c r="N124">
        <f>+'Content 2026'!N27</f>
        <v>20977.297297297297</v>
      </c>
      <c r="O124">
        <f>+'Content 2026'!O27</f>
        <v>388080</v>
      </c>
      <c r="P124">
        <f>+'Content 2026'!P27</f>
        <v>32340</v>
      </c>
      <c r="Q124">
        <f>+'Content 2026'!Q27</f>
        <v>32340</v>
      </c>
      <c r="R124">
        <f>+'Content 2026'!R27</f>
        <v>32340</v>
      </c>
      <c r="S124">
        <f>+'Content 2026'!S27</f>
        <v>32340</v>
      </c>
      <c r="T124">
        <f>+'Content 2026'!T27</f>
        <v>32340</v>
      </c>
      <c r="U124">
        <f>+'Content 2026'!U27</f>
        <v>32340</v>
      </c>
      <c r="V124">
        <f>+'Content 2026'!V27</f>
        <v>32340</v>
      </c>
      <c r="W124">
        <f>+'Content 2026'!W27</f>
        <v>32340</v>
      </c>
      <c r="X124">
        <f>+'Content 2026'!X27</f>
        <v>32340</v>
      </c>
      <c r="Y124">
        <f>+'Content 2026'!Y27</f>
        <v>32340</v>
      </c>
      <c r="Z124">
        <f>+'Content 2026'!Z27</f>
        <v>32340</v>
      </c>
      <c r="AA124">
        <f>+'Content 2026'!AA27</f>
        <v>32340</v>
      </c>
      <c r="AB124" s="175"/>
      <c r="AC124" s="34">
        <f t="shared" si="74"/>
        <v>20977.297297297293</v>
      </c>
      <c r="AD124" s="34">
        <f t="shared" si="60"/>
        <v>1748.1081081081081</v>
      </c>
      <c r="AE124" s="34">
        <f t="shared" si="61"/>
        <v>1748.1081081081081</v>
      </c>
      <c r="AF124" s="34">
        <f t="shared" si="62"/>
        <v>1748.1081081081081</v>
      </c>
      <c r="AG124" s="34">
        <f t="shared" si="63"/>
        <v>1748.1081081081081</v>
      </c>
      <c r="AH124" s="34">
        <f t="shared" si="64"/>
        <v>1748.1081081081081</v>
      </c>
      <c r="AI124" s="34">
        <f t="shared" si="65"/>
        <v>1748.1081081081081</v>
      </c>
      <c r="AJ124" s="34">
        <f t="shared" si="66"/>
        <v>1748.1081081081081</v>
      </c>
      <c r="AK124" s="34">
        <f t="shared" si="67"/>
        <v>1748.1081081081081</v>
      </c>
      <c r="AL124" s="34">
        <f t="shared" si="68"/>
        <v>1748.1081081081081</v>
      </c>
      <c r="AM124" s="34">
        <f t="shared" si="69"/>
        <v>1748.1081081081081</v>
      </c>
      <c r="AN124" s="34">
        <f t="shared" si="70"/>
        <v>1748.1081081081081</v>
      </c>
      <c r="AO124" s="34">
        <f t="shared" si="71"/>
        <v>1748.1081081081081</v>
      </c>
      <c r="AP124">
        <f t="shared" si="53"/>
        <v>1</v>
      </c>
      <c r="AQ124" s="652">
        <f t="shared" si="54"/>
        <v>20977.297297297293</v>
      </c>
      <c r="AR124" s="652">
        <f t="shared" si="55"/>
        <v>1748.1081081081081</v>
      </c>
      <c r="AS124" s="652">
        <f t="shared" si="73"/>
        <v>1748.1081081081081</v>
      </c>
      <c r="AT124" s="652">
        <f t="shared" si="73"/>
        <v>1748.1081081081081</v>
      </c>
      <c r="AU124" s="652">
        <f t="shared" si="73"/>
        <v>1748.1081081081081</v>
      </c>
      <c r="AV124" s="652">
        <f t="shared" si="73"/>
        <v>1748.1081081081081</v>
      </c>
      <c r="AW124" s="652">
        <f t="shared" si="73"/>
        <v>1748.1081081081081</v>
      </c>
      <c r="AX124" s="652">
        <f t="shared" si="73"/>
        <v>1748.1081081081081</v>
      </c>
      <c r="AY124" s="652">
        <f t="shared" si="73"/>
        <v>1748.1081081081081</v>
      </c>
      <c r="AZ124" s="652">
        <f t="shared" si="73"/>
        <v>1748.1081081081081</v>
      </c>
      <c r="BA124" s="652">
        <f t="shared" si="73"/>
        <v>1748.1081081081081</v>
      </c>
      <c r="BB124" s="652">
        <f t="shared" si="73"/>
        <v>1748.1081081081081</v>
      </c>
      <c r="BC124" s="652">
        <f t="shared" si="73"/>
        <v>1748.1081081081081</v>
      </c>
    </row>
    <row r="125" spans="1:55">
      <c r="A125" t="str">
        <f>+'Content 2026'!A28</f>
        <v>INC</v>
      </c>
      <c r="B125" t="str">
        <f>+'Content 2026'!B28</f>
        <v>Content</v>
      </c>
      <c r="C125" t="str">
        <f>+'Content 2026'!C28</f>
        <v>Nathalia Pontes</v>
      </c>
      <c r="D125" t="str">
        <f>+'Content 2026'!D28</f>
        <v>Payroll</v>
      </c>
      <c r="E125" t="str">
        <f>+'Content 2026'!E28</f>
        <v>CASCAJARES NICOLI MONTSERRAT</v>
      </c>
      <c r="F125" t="str">
        <f>+'Content 2026'!F28</f>
        <v>Multimedia Designer</v>
      </c>
      <c r="G125">
        <f>+'Content 2026'!G28</f>
        <v>0</v>
      </c>
      <c r="H125">
        <f>+'Content 2026'!H28</f>
        <v>0</v>
      </c>
      <c r="I125">
        <f>+'Content 2026'!I28</f>
        <v>0</v>
      </c>
      <c r="J125" t="str">
        <f>+'Content 2026'!J28</f>
        <v>603.01.001</v>
      </c>
      <c r="K125" t="str">
        <f>+'Content 2026'!K28</f>
        <v>Sueldos y salarios</v>
      </c>
      <c r="L125" t="str">
        <f>+'Content 2026'!L28</f>
        <v>Sueldos y Salarios</v>
      </c>
      <c r="M125" t="str">
        <f>+'Content 2026'!M28</f>
        <v>MXN</v>
      </c>
      <c r="N125">
        <f>+'Content 2026'!N28</f>
        <v>18558.37837837838</v>
      </c>
      <c r="O125">
        <f>+'Content 2026'!O28</f>
        <v>343330</v>
      </c>
      <c r="P125">
        <f>+'Content 2026'!P28</f>
        <v>27800</v>
      </c>
      <c r="Q125">
        <f>+'Content 2026'!Q28</f>
        <v>27800</v>
      </c>
      <c r="R125">
        <f>+'Content 2026'!R28</f>
        <v>27800</v>
      </c>
      <c r="S125">
        <f>+'Content 2026'!S28</f>
        <v>27800</v>
      </c>
      <c r="T125">
        <f>+'Content 2026'!T28</f>
        <v>27800</v>
      </c>
      <c r="U125">
        <f>+'Content 2026'!U28</f>
        <v>29190</v>
      </c>
      <c r="V125">
        <f>+'Content 2026'!V28</f>
        <v>29190</v>
      </c>
      <c r="W125">
        <f>+'Content 2026'!W28</f>
        <v>29190</v>
      </c>
      <c r="X125">
        <f>+'Content 2026'!X28</f>
        <v>29190</v>
      </c>
      <c r="Y125">
        <f>+'Content 2026'!Y28</f>
        <v>29190</v>
      </c>
      <c r="Z125">
        <f>+'Content 2026'!Z28</f>
        <v>29190</v>
      </c>
      <c r="AA125">
        <f>+'Content 2026'!AA28</f>
        <v>29190</v>
      </c>
      <c r="AB125" s="175"/>
      <c r="AC125" s="34">
        <f t="shared" si="74"/>
        <v>18558.37837837838</v>
      </c>
      <c r="AD125" s="34">
        <f t="shared" si="60"/>
        <v>1502.7027027027027</v>
      </c>
      <c r="AE125" s="34">
        <f t="shared" si="61"/>
        <v>1502.7027027027027</v>
      </c>
      <c r="AF125" s="34">
        <f t="shared" si="62"/>
        <v>1502.7027027027027</v>
      </c>
      <c r="AG125" s="34">
        <f t="shared" si="63"/>
        <v>1502.7027027027027</v>
      </c>
      <c r="AH125" s="34">
        <f t="shared" si="64"/>
        <v>1502.7027027027027</v>
      </c>
      <c r="AI125" s="34">
        <f t="shared" si="65"/>
        <v>1577.8378378378379</v>
      </c>
      <c r="AJ125" s="34">
        <f t="shared" si="66"/>
        <v>1577.8378378378379</v>
      </c>
      <c r="AK125" s="34">
        <f t="shared" si="67"/>
        <v>1577.8378378378379</v>
      </c>
      <c r="AL125" s="34">
        <f t="shared" si="68"/>
        <v>1577.8378378378379</v>
      </c>
      <c r="AM125" s="34">
        <f t="shared" si="69"/>
        <v>1577.8378378378379</v>
      </c>
      <c r="AN125" s="34">
        <f t="shared" si="70"/>
        <v>1577.8378378378379</v>
      </c>
      <c r="AO125" s="34">
        <f t="shared" si="71"/>
        <v>1577.8378378378379</v>
      </c>
      <c r="AP125">
        <f t="shared" si="53"/>
        <v>1</v>
      </c>
      <c r="AQ125" s="652">
        <f t="shared" si="54"/>
        <v>18558.378378378377</v>
      </c>
      <c r="AR125" s="652">
        <f t="shared" si="55"/>
        <v>1546.5315315315318</v>
      </c>
      <c r="AS125" s="652">
        <f t="shared" si="73"/>
        <v>1546.5315315315318</v>
      </c>
      <c r="AT125" s="652">
        <f t="shared" si="73"/>
        <v>1546.5315315315318</v>
      </c>
      <c r="AU125" s="652">
        <f t="shared" si="73"/>
        <v>1546.5315315315318</v>
      </c>
      <c r="AV125" s="652">
        <f t="shared" si="73"/>
        <v>1546.5315315315318</v>
      </c>
      <c r="AW125" s="652">
        <f t="shared" si="73"/>
        <v>1546.5315315315318</v>
      </c>
      <c r="AX125" s="652">
        <f t="shared" si="73"/>
        <v>1546.5315315315318</v>
      </c>
      <c r="AY125" s="652">
        <f t="shared" si="73"/>
        <v>1546.5315315315318</v>
      </c>
      <c r="AZ125" s="652">
        <f t="shared" si="73"/>
        <v>1546.5315315315318</v>
      </c>
      <c r="BA125" s="652">
        <f t="shared" si="73"/>
        <v>1546.5315315315318</v>
      </c>
      <c r="BB125" s="652">
        <f t="shared" si="73"/>
        <v>1546.5315315315318</v>
      </c>
      <c r="BC125" s="652">
        <f t="shared" si="73"/>
        <v>1546.5315315315318</v>
      </c>
    </row>
    <row r="126" spans="1:55">
      <c r="A126" t="str">
        <f>+'Content 2026'!A30</f>
        <v>SAPI</v>
      </c>
      <c r="B126" t="str">
        <f>+'Content 2026'!B30</f>
        <v>Content</v>
      </c>
      <c r="C126" t="str">
        <f>+'Content 2026'!C30</f>
        <v>Nathalia Pontes</v>
      </c>
      <c r="D126" t="str">
        <f>+'Content 2026'!D30</f>
        <v>Payroll</v>
      </c>
      <c r="E126" t="str">
        <f>+'Content 2026'!E30</f>
        <v>MURILLO VARONA PAOLA</v>
      </c>
      <c r="F126" t="str">
        <f>+'Content 2026'!F30</f>
        <v>Content and Program Specialist</v>
      </c>
      <c r="G126">
        <f>+'Content 2026'!G30</f>
        <v>0</v>
      </c>
      <c r="H126">
        <f>+'Content 2026'!H30</f>
        <v>0</v>
      </c>
      <c r="I126">
        <f>+'Content 2026'!I30</f>
        <v>0</v>
      </c>
      <c r="J126" t="str">
        <f>+'Content 2026'!J30</f>
        <v>603.01.001</v>
      </c>
      <c r="K126" t="str">
        <f>+'Content 2026'!K30</f>
        <v>Sueldos y salarios</v>
      </c>
      <c r="L126" t="str">
        <f>+'Content 2026'!L30</f>
        <v>Sueldos y Salarios</v>
      </c>
      <c r="M126" t="str">
        <f>+'Content 2026'!M30</f>
        <v>MXN</v>
      </c>
      <c r="N126">
        <f>+'Content 2026'!N30</f>
        <v>17708.108108108107</v>
      </c>
      <c r="O126">
        <f>+'Content 2026'!O30</f>
        <v>327600</v>
      </c>
      <c r="P126">
        <f>+'Content 2026'!P30</f>
        <v>27300</v>
      </c>
      <c r="Q126">
        <f>+'Content 2026'!Q30</f>
        <v>27300</v>
      </c>
      <c r="R126">
        <f>+'Content 2026'!R30</f>
        <v>27300</v>
      </c>
      <c r="S126">
        <f>+'Content 2026'!S30</f>
        <v>27300</v>
      </c>
      <c r="T126">
        <f>+'Content 2026'!T30</f>
        <v>27300</v>
      </c>
      <c r="U126">
        <f>+'Content 2026'!U30</f>
        <v>27300</v>
      </c>
      <c r="V126">
        <f>+'Content 2026'!V30</f>
        <v>27300</v>
      </c>
      <c r="W126">
        <f>+'Content 2026'!W30</f>
        <v>27300</v>
      </c>
      <c r="X126">
        <f>+'Content 2026'!X30</f>
        <v>27300</v>
      </c>
      <c r="Y126">
        <f>+'Content 2026'!Y30</f>
        <v>27300</v>
      </c>
      <c r="Z126">
        <f>+'Content 2026'!Z30</f>
        <v>27300</v>
      </c>
      <c r="AA126">
        <f>+'Content 2026'!AA30</f>
        <v>27300</v>
      </c>
      <c r="AB126" s="175"/>
      <c r="AC126" s="34">
        <f t="shared" si="74"/>
        <v>17708.108108108103</v>
      </c>
      <c r="AD126" s="34">
        <f t="shared" si="60"/>
        <v>1475.6756756756756</v>
      </c>
      <c r="AE126" s="34">
        <f t="shared" si="61"/>
        <v>1475.6756756756756</v>
      </c>
      <c r="AF126" s="34">
        <f t="shared" si="62"/>
        <v>1475.6756756756756</v>
      </c>
      <c r="AG126" s="34">
        <f t="shared" si="63"/>
        <v>1475.6756756756756</v>
      </c>
      <c r="AH126" s="34">
        <f t="shared" si="64"/>
        <v>1475.6756756756756</v>
      </c>
      <c r="AI126" s="34">
        <f t="shared" si="65"/>
        <v>1475.6756756756756</v>
      </c>
      <c r="AJ126" s="34">
        <f t="shared" si="66"/>
        <v>1475.6756756756756</v>
      </c>
      <c r="AK126" s="34">
        <f t="shared" si="67"/>
        <v>1475.6756756756756</v>
      </c>
      <c r="AL126" s="34">
        <f t="shared" si="68"/>
        <v>1475.6756756756756</v>
      </c>
      <c r="AM126" s="34">
        <f t="shared" si="69"/>
        <v>1475.6756756756756</v>
      </c>
      <c r="AN126" s="34">
        <f t="shared" si="70"/>
        <v>1475.6756756756756</v>
      </c>
      <c r="AO126" s="34">
        <f t="shared" si="71"/>
        <v>1475.6756756756756</v>
      </c>
      <c r="AP126">
        <f t="shared" si="53"/>
        <v>1</v>
      </c>
      <c r="AQ126" s="652">
        <f t="shared" si="54"/>
        <v>17708.108108108103</v>
      </c>
      <c r="AR126" s="652">
        <f t="shared" si="55"/>
        <v>1475.6756756756756</v>
      </c>
      <c r="AS126" s="652">
        <f t="shared" si="73"/>
        <v>1475.6756756756756</v>
      </c>
      <c r="AT126" s="652">
        <f t="shared" si="73"/>
        <v>1475.6756756756756</v>
      </c>
      <c r="AU126" s="652">
        <f t="shared" si="73"/>
        <v>1475.6756756756756</v>
      </c>
      <c r="AV126" s="652">
        <f t="shared" si="73"/>
        <v>1475.6756756756756</v>
      </c>
      <c r="AW126" s="652">
        <f t="shared" si="73"/>
        <v>1475.6756756756756</v>
      </c>
      <c r="AX126" s="652">
        <f t="shared" si="73"/>
        <v>1475.6756756756756</v>
      </c>
      <c r="AY126" s="652">
        <f t="shared" si="73"/>
        <v>1475.6756756756756</v>
      </c>
      <c r="AZ126" s="652">
        <f t="shared" si="73"/>
        <v>1475.6756756756756</v>
      </c>
      <c r="BA126" s="652">
        <f t="shared" si="73"/>
        <v>1475.6756756756756</v>
      </c>
      <c r="BB126" s="652">
        <f t="shared" si="73"/>
        <v>1475.6756756756756</v>
      </c>
      <c r="BC126" s="652">
        <f t="shared" si="73"/>
        <v>1475.6756756756756</v>
      </c>
    </row>
    <row r="127" spans="1:55">
      <c r="A127" t="str">
        <f>+'Content 2026'!A31</f>
        <v>SAPI</v>
      </c>
      <c r="B127" t="str">
        <f>+'Content 2026'!B31</f>
        <v>Content</v>
      </c>
      <c r="C127" t="str">
        <f>+'Content 2026'!C31</f>
        <v>Nathalia Pontes</v>
      </c>
      <c r="D127" t="str">
        <f>+'Content 2026'!D31</f>
        <v>Payroll</v>
      </c>
      <c r="E127" t="str">
        <f>+'Content 2026'!E31</f>
        <v>OMAÑA ROSETTE ESLI</v>
      </c>
      <c r="F127" t="str">
        <f>+'Content 2026'!F31</f>
        <v>Head of Co-Created Content and Experience</v>
      </c>
      <c r="G127">
        <f>+'Content 2026'!G31</f>
        <v>0</v>
      </c>
      <c r="H127">
        <f>+'Content 2026'!H31</f>
        <v>0</v>
      </c>
      <c r="I127">
        <f>+'Content 2026'!I31</f>
        <v>0</v>
      </c>
      <c r="J127" t="str">
        <f>+'Content 2026'!J31</f>
        <v>603.01.001</v>
      </c>
      <c r="K127" t="str">
        <f>+'Content 2026'!K31</f>
        <v>Sueldos y salarios</v>
      </c>
      <c r="L127" t="str">
        <f>+'Content 2026'!L31</f>
        <v>Sueldos y Salarios</v>
      </c>
      <c r="M127" t="str">
        <f>+'Content 2026'!M31</f>
        <v>MXN</v>
      </c>
      <c r="N127">
        <f>+'Content 2026'!N31</f>
        <v>26970.81081081081</v>
      </c>
      <c r="O127">
        <f>+'Content 2026'!O31</f>
        <v>498960</v>
      </c>
      <c r="P127">
        <f>+'Content 2026'!P31</f>
        <v>41580</v>
      </c>
      <c r="Q127">
        <f>+'Content 2026'!Q31</f>
        <v>41580</v>
      </c>
      <c r="R127">
        <f>+'Content 2026'!R31</f>
        <v>41580</v>
      </c>
      <c r="S127">
        <f>+'Content 2026'!S31</f>
        <v>41580</v>
      </c>
      <c r="T127">
        <f>+'Content 2026'!T31</f>
        <v>41580</v>
      </c>
      <c r="U127">
        <f>+'Content 2026'!U31</f>
        <v>41580</v>
      </c>
      <c r="V127">
        <f>+'Content 2026'!V31</f>
        <v>41580</v>
      </c>
      <c r="W127">
        <f>+'Content 2026'!W31</f>
        <v>41580</v>
      </c>
      <c r="X127">
        <f>+'Content 2026'!X31</f>
        <v>41580</v>
      </c>
      <c r="Y127">
        <f>+'Content 2026'!Y31</f>
        <v>41580</v>
      </c>
      <c r="Z127">
        <f>+'Content 2026'!Z31</f>
        <v>41580</v>
      </c>
      <c r="AA127">
        <f>+'Content 2026'!AA31</f>
        <v>41580</v>
      </c>
      <c r="AB127" s="175"/>
      <c r="AC127" s="34">
        <f t="shared" si="74"/>
        <v>26970.810810810803</v>
      </c>
      <c r="AD127" s="34">
        <f t="shared" si="60"/>
        <v>2247.5675675675675</v>
      </c>
      <c r="AE127" s="34">
        <f t="shared" si="61"/>
        <v>2247.5675675675675</v>
      </c>
      <c r="AF127" s="34">
        <f t="shared" si="62"/>
        <v>2247.5675675675675</v>
      </c>
      <c r="AG127" s="34">
        <f t="shared" si="63"/>
        <v>2247.5675675675675</v>
      </c>
      <c r="AH127" s="34">
        <f t="shared" si="64"/>
        <v>2247.5675675675675</v>
      </c>
      <c r="AI127" s="34">
        <f t="shared" si="65"/>
        <v>2247.5675675675675</v>
      </c>
      <c r="AJ127" s="34">
        <f t="shared" si="66"/>
        <v>2247.5675675675675</v>
      </c>
      <c r="AK127" s="34">
        <f t="shared" si="67"/>
        <v>2247.5675675675675</v>
      </c>
      <c r="AL127" s="34">
        <f t="shared" si="68"/>
        <v>2247.5675675675675</v>
      </c>
      <c r="AM127" s="34">
        <f t="shared" si="69"/>
        <v>2247.5675675675675</v>
      </c>
      <c r="AN127" s="34">
        <f t="shared" si="70"/>
        <v>2247.5675675675675</v>
      </c>
      <c r="AO127" s="34">
        <f t="shared" si="71"/>
        <v>2247.5675675675675</v>
      </c>
      <c r="AP127">
        <f t="shared" si="53"/>
        <v>1</v>
      </c>
      <c r="AQ127" s="652">
        <f t="shared" si="54"/>
        <v>26970.810810810803</v>
      </c>
      <c r="AR127" s="652">
        <f t="shared" si="55"/>
        <v>2247.5675675675675</v>
      </c>
      <c r="AS127" s="652">
        <f t="shared" si="73"/>
        <v>2247.5675675675675</v>
      </c>
      <c r="AT127" s="652">
        <f t="shared" si="73"/>
        <v>2247.5675675675675</v>
      </c>
      <c r="AU127" s="652">
        <f t="shared" si="73"/>
        <v>2247.5675675675675</v>
      </c>
      <c r="AV127" s="652">
        <f t="shared" si="73"/>
        <v>2247.5675675675675</v>
      </c>
      <c r="AW127" s="652">
        <f t="shared" si="73"/>
        <v>2247.5675675675675</v>
      </c>
      <c r="AX127" s="652">
        <f t="shared" si="73"/>
        <v>2247.5675675675675</v>
      </c>
      <c r="AY127" s="652">
        <f t="shared" si="73"/>
        <v>2247.5675675675675</v>
      </c>
      <c r="AZ127" s="652">
        <f t="shared" si="73"/>
        <v>2247.5675675675675</v>
      </c>
      <c r="BA127" s="652">
        <f t="shared" si="73"/>
        <v>2247.5675675675675</v>
      </c>
      <c r="BB127" s="652">
        <f t="shared" si="73"/>
        <v>2247.5675675675675</v>
      </c>
      <c r="BC127" s="652">
        <f t="shared" si="73"/>
        <v>2247.5675675675675</v>
      </c>
    </row>
    <row r="128" spans="1:55">
      <c r="A128" t="str">
        <f>+'Content 2026'!A32</f>
        <v>SAPI</v>
      </c>
      <c r="B128" t="str">
        <f>+'Content 2026'!B32</f>
        <v>Content</v>
      </c>
      <c r="C128" t="str">
        <f>+'Content 2026'!C32</f>
        <v>Nathalia Pontes</v>
      </c>
      <c r="D128" t="str">
        <f>+'Content 2026'!D32</f>
        <v>Payroll</v>
      </c>
      <c r="E128" t="str">
        <f>+'Content 2026'!E32</f>
        <v>Caamal Rosette, Allison</v>
      </c>
      <c r="F128" t="str">
        <f>+'Content 2026'!F32</f>
        <v>Content and Program Specialist</v>
      </c>
      <c r="G128">
        <f>+'Content 2026'!G32</f>
        <v>0</v>
      </c>
      <c r="H128">
        <f>+'Content 2026'!H32</f>
        <v>0</v>
      </c>
      <c r="I128">
        <f>+'Content 2026'!I32</f>
        <v>0</v>
      </c>
      <c r="J128" t="str">
        <f>+'Content 2026'!J32</f>
        <v>603.01.001</v>
      </c>
      <c r="K128" t="str">
        <f>+'Content 2026'!K32</f>
        <v>Sueldos y salarios</v>
      </c>
      <c r="L128" t="str">
        <f>+'Content 2026'!L32</f>
        <v>Sueldos y Salarios</v>
      </c>
      <c r="M128" t="str">
        <f>+'Content 2026'!M32</f>
        <v>MXN</v>
      </c>
      <c r="N128">
        <f>+'Content 2026'!N32</f>
        <v>13351.351351351352</v>
      </c>
      <c r="O128">
        <f>+'Content 2026'!O32</f>
        <v>247000</v>
      </c>
      <c r="P128">
        <f>+'Content 2026'!P32</f>
        <v>20000</v>
      </c>
      <c r="Q128">
        <f>+'Content 2026'!Q32</f>
        <v>20000</v>
      </c>
      <c r="R128">
        <f>+'Content 2026'!R32</f>
        <v>20000</v>
      </c>
      <c r="S128">
        <f>+'Content 2026'!S32</f>
        <v>20000</v>
      </c>
      <c r="T128">
        <f>+'Content 2026'!T32</f>
        <v>20000</v>
      </c>
      <c r="U128">
        <f>+'Content 2026'!U32</f>
        <v>21000</v>
      </c>
      <c r="V128">
        <f>+'Content 2026'!V32</f>
        <v>21000</v>
      </c>
      <c r="W128">
        <f>+'Content 2026'!W32</f>
        <v>21000</v>
      </c>
      <c r="X128">
        <f>+'Content 2026'!X32</f>
        <v>21000</v>
      </c>
      <c r="Y128">
        <f>+'Content 2026'!Y32</f>
        <v>21000</v>
      </c>
      <c r="Z128">
        <f>+'Content 2026'!Z32</f>
        <v>21000</v>
      </c>
      <c r="AA128">
        <f>+'Content 2026'!AA32</f>
        <v>21000</v>
      </c>
      <c r="AB128" s="175"/>
      <c r="AC128" s="34">
        <f t="shared" si="74"/>
        <v>13351.35135135135</v>
      </c>
      <c r="AD128" s="34">
        <f t="shared" si="60"/>
        <v>1081.081081081081</v>
      </c>
      <c r="AE128" s="34">
        <f t="shared" si="61"/>
        <v>1081.081081081081</v>
      </c>
      <c r="AF128" s="34">
        <f t="shared" si="62"/>
        <v>1081.081081081081</v>
      </c>
      <c r="AG128" s="34">
        <f t="shared" si="63"/>
        <v>1081.081081081081</v>
      </c>
      <c r="AH128" s="34">
        <f t="shared" si="64"/>
        <v>1081.081081081081</v>
      </c>
      <c r="AI128" s="34">
        <f t="shared" si="65"/>
        <v>1135.1351351351352</v>
      </c>
      <c r="AJ128" s="34">
        <f t="shared" si="66"/>
        <v>1135.1351351351352</v>
      </c>
      <c r="AK128" s="34">
        <f t="shared" si="67"/>
        <v>1135.1351351351352</v>
      </c>
      <c r="AL128" s="34">
        <f t="shared" si="68"/>
        <v>1135.1351351351352</v>
      </c>
      <c r="AM128" s="34">
        <f t="shared" si="69"/>
        <v>1135.1351351351352</v>
      </c>
      <c r="AN128" s="34">
        <f t="shared" si="70"/>
        <v>1135.1351351351352</v>
      </c>
      <c r="AO128" s="34">
        <f t="shared" si="71"/>
        <v>1135.1351351351352</v>
      </c>
      <c r="AP128">
        <f t="shared" si="53"/>
        <v>1</v>
      </c>
      <c r="AQ128" s="652">
        <f t="shared" si="54"/>
        <v>13351.351351351352</v>
      </c>
      <c r="AR128" s="652">
        <f t="shared" si="55"/>
        <v>1112.6126126126126</v>
      </c>
      <c r="AS128" s="652">
        <f t="shared" si="73"/>
        <v>1112.6126126126126</v>
      </c>
      <c r="AT128" s="652">
        <f t="shared" si="73"/>
        <v>1112.6126126126126</v>
      </c>
      <c r="AU128" s="652">
        <f t="shared" si="73"/>
        <v>1112.6126126126126</v>
      </c>
      <c r="AV128" s="652">
        <f t="shared" si="73"/>
        <v>1112.6126126126126</v>
      </c>
      <c r="AW128" s="652">
        <f t="shared" si="73"/>
        <v>1112.6126126126126</v>
      </c>
      <c r="AX128" s="652">
        <f t="shared" si="73"/>
        <v>1112.6126126126126</v>
      </c>
      <c r="AY128" s="652">
        <f t="shared" si="73"/>
        <v>1112.6126126126126</v>
      </c>
      <c r="AZ128" s="652">
        <f t="shared" si="73"/>
        <v>1112.6126126126126</v>
      </c>
      <c r="BA128" s="652">
        <f t="shared" si="73"/>
        <v>1112.6126126126126</v>
      </c>
      <c r="BB128" s="652">
        <f t="shared" si="73"/>
        <v>1112.6126126126126</v>
      </c>
      <c r="BC128" s="652">
        <f t="shared" si="73"/>
        <v>1112.6126126126126</v>
      </c>
    </row>
    <row r="129" spans="1:55">
      <c r="A129" t="str">
        <f>+'Content 2026'!A33</f>
        <v>SAPI</v>
      </c>
      <c r="B129" t="str">
        <f>+'Content 2026'!B33</f>
        <v>Content</v>
      </c>
      <c r="C129" t="str">
        <f>+'Content 2026'!C33</f>
        <v>Nathalia Pontes</v>
      </c>
      <c r="D129" t="str">
        <f>+'Content 2026'!D33</f>
        <v>Payroll</v>
      </c>
      <c r="E129" t="str">
        <f>+'Content 2026'!E33</f>
        <v>RUBIO BUENFIL ANA PAMELA</v>
      </c>
      <c r="F129" t="str">
        <f>+'Content 2026'!F33</f>
        <v>Content Analyst</v>
      </c>
      <c r="G129">
        <f>+'Content 2026'!G33</f>
        <v>0</v>
      </c>
      <c r="H129">
        <f>+'Content 2026'!H33</f>
        <v>0</v>
      </c>
      <c r="I129">
        <f>+'Content 2026'!I33</f>
        <v>0</v>
      </c>
      <c r="J129" t="str">
        <f>+'Content 2026'!J33</f>
        <v>603.01.001</v>
      </c>
      <c r="K129" t="str">
        <f>+'Content 2026'!K33</f>
        <v>Sueldos y salarios</v>
      </c>
      <c r="L129" t="str">
        <f>+'Content 2026'!L33</f>
        <v>Sueldos y Salarios</v>
      </c>
      <c r="M129" t="str">
        <f>+'Content 2026'!M33</f>
        <v>MXN</v>
      </c>
      <c r="N129">
        <f>+'Content 2026'!N33</f>
        <v>9843.3243243243251</v>
      </c>
      <c r="O129">
        <f>+'Content 2026'!O33</f>
        <v>182101.5</v>
      </c>
      <c r="P129">
        <f>+'Content 2026'!P33</f>
        <v>15175.125</v>
      </c>
      <c r="Q129">
        <f>+'Content 2026'!Q33</f>
        <v>15175.125</v>
      </c>
      <c r="R129">
        <f>+'Content 2026'!R33</f>
        <v>15175.125</v>
      </c>
      <c r="S129">
        <f>+'Content 2026'!S33</f>
        <v>15175.125</v>
      </c>
      <c r="T129">
        <f>+'Content 2026'!T33</f>
        <v>15175.125</v>
      </c>
      <c r="U129">
        <f>+'Content 2026'!U33</f>
        <v>15175.125</v>
      </c>
      <c r="V129">
        <f>+'Content 2026'!V33</f>
        <v>15175.125</v>
      </c>
      <c r="W129">
        <f>+'Content 2026'!W33</f>
        <v>15175.125</v>
      </c>
      <c r="X129">
        <f>+'Content 2026'!X33</f>
        <v>15175.125</v>
      </c>
      <c r="Y129">
        <f>+'Content 2026'!Y33</f>
        <v>15175.125</v>
      </c>
      <c r="Z129">
        <f>+'Content 2026'!Z33</f>
        <v>15175.125</v>
      </c>
      <c r="AA129">
        <f>+'Content 2026'!AA33</f>
        <v>15175.125</v>
      </c>
      <c r="AB129" s="175"/>
      <c r="AC129" s="34">
        <f t="shared" si="74"/>
        <v>9843.3243243243214</v>
      </c>
      <c r="AD129" s="34">
        <f t="shared" si="60"/>
        <v>820.27702702702697</v>
      </c>
      <c r="AE129" s="34">
        <f t="shared" si="61"/>
        <v>820.27702702702697</v>
      </c>
      <c r="AF129" s="34">
        <f t="shared" si="62"/>
        <v>820.27702702702697</v>
      </c>
      <c r="AG129" s="34">
        <f t="shared" si="63"/>
        <v>820.27702702702697</v>
      </c>
      <c r="AH129" s="34">
        <f t="shared" si="64"/>
        <v>820.27702702702697</v>
      </c>
      <c r="AI129" s="34">
        <f t="shared" si="65"/>
        <v>820.27702702702697</v>
      </c>
      <c r="AJ129" s="34">
        <f t="shared" si="66"/>
        <v>820.27702702702697</v>
      </c>
      <c r="AK129" s="34">
        <f t="shared" si="67"/>
        <v>820.27702702702697</v>
      </c>
      <c r="AL129" s="34">
        <f t="shared" si="68"/>
        <v>820.27702702702697</v>
      </c>
      <c r="AM129" s="34">
        <f t="shared" si="69"/>
        <v>820.27702702702697</v>
      </c>
      <c r="AN129" s="34">
        <f t="shared" si="70"/>
        <v>820.27702702702697</v>
      </c>
      <c r="AO129" s="34">
        <f t="shared" si="71"/>
        <v>820.27702702702697</v>
      </c>
      <c r="AP129" t="b">
        <f t="shared" si="53"/>
        <v>0</v>
      </c>
      <c r="AQ129" s="652">
        <f t="shared" si="54"/>
        <v>9843.3243243243214</v>
      </c>
      <c r="AR129" s="652">
        <f t="shared" si="55"/>
        <v>820.27702702702709</v>
      </c>
      <c r="AS129" s="652">
        <f t="shared" si="73"/>
        <v>820.27702702702709</v>
      </c>
      <c r="AT129" s="652">
        <f t="shared" si="73"/>
        <v>820.27702702702709</v>
      </c>
      <c r="AU129" s="652">
        <f t="shared" si="73"/>
        <v>820.27702702702709</v>
      </c>
      <c r="AV129" s="652">
        <f t="shared" si="73"/>
        <v>820.27702702702709</v>
      </c>
      <c r="AW129" s="652">
        <f t="shared" si="73"/>
        <v>820.27702702702709</v>
      </c>
      <c r="AX129" s="652">
        <f t="shared" si="73"/>
        <v>820.27702702702709</v>
      </c>
      <c r="AY129" s="652">
        <f t="shared" si="73"/>
        <v>820.27702702702709</v>
      </c>
      <c r="AZ129" s="652">
        <f t="shared" si="73"/>
        <v>820.27702702702709</v>
      </c>
      <c r="BA129" s="652">
        <f t="shared" si="73"/>
        <v>820.27702702702709</v>
      </c>
      <c r="BB129" s="652">
        <f t="shared" si="73"/>
        <v>820.27702702702709</v>
      </c>
      <c r="BC129" s="652">
        <f t="shared" si="73"/>
        <v>820.27702702702709</v>
      </c>
    </row>
    <row r="130" spans="1:55">
      <c r="A130" t="str">
        <f>+'Content 2026'!A35</f>
        <v>SAPI</v>
      </c>
      <c r="B130" t="str">
        <f>+'Content 2026'!B35</f>
        <v>Content</v>
      </c>
      <c r="C130" t="str">
        <f>+'Content 2026'!C35</f>
        <v>Nathalia Pontes</v>
      </c>
      <c r="D130" t="str">
        <f>+'Content 2026'!D35</f>
        <v>Benefits</v>
      </c>
      <c r="E130" t="str">
        <f>+'Content 2026'!E35</f>
        <v>SiVale</v>
      </c>
      <c r="F130" t="str">
        <f>+'Content 2026'!F35</f>
        <v>4 empleados</v>
      </c>
      <c r="G130">
        <f>+'Content 2026'!G35</f>
        <v>0</v>
      </c>
      <c r="H130">
        <f>+'Content 2026'!H35</f>
        <v>0</v>
      </c>
      <c r="I130">
        <f>+'Content 2026'!I35</f>
        <v>0</v>
      </c>
      <c r="J130" t="str">
        <f>+'Content 2026'!J35</f>
        <v>603.15.001</v>
      </c>
      <c r="K130" t="str">
        <f>+'Content 2026'!K35</f>
        <v>Despensa</v>
      </c>
      <c r="L130" t="str">
        <f>+'Content 2026'!L35</f>
        <v>Sueldos y Salarios</v>
      </c>
      <c r="M130" t="str">
        <f>+'Content 2026'!M35</f>
        <v>MXN</v>
      </c>
      <c r="N130">
        <f>+'Content 2026'!N35</f>
        <v>2075.6756756756758</v>
      </c>
      <c r="O130">
        <f>+'Content 2026'!O35</f>
        <v>38400</v>
      </c>
      <c r="P130">
        <f>+'Content 2026'!P35</f>
        <v>3200</v>
      </c>
      <c r="Q130">
        <f>+'Content 2026'!Q35</f>
        <v>3200</v>
      </c>
      <c r="R130">
        <f>+'Content 2026'!R35</f>
        <v>3200</v>
      </c>
      <c r="S130">
        <f>+'Content 2026'!S35</f>
        <v>3200</v>
      </c>
      <c r="T130">
        <f>+'Content 2026'!T35</f>
        <v>3200</v>
      </c>
      <c r="U130">
        <f>+'Content 2026'!U35</f>
        <v>3200</v>
      </c>
      <c r="V130">
        <f>+'Content 2026'!V35</f>
        <v>3200</v>
      </c>
      <c r="W130">
        <f>+'Content 2026'!W35</f>
        <v>3200</v>
      </c>
      <c r="X130">
        <f>+'Content 2026'!X35</f>
        <v>3200</v>
      </c>
      <c r="Y130">
        <f>+'Content 2026'!Y35</f>
        <v>3200</v>
      </c>
      <c r="Z130">
        <f>+'Content 2026'!Z35</f>
        <v>3200</v>
      </c>
      <c r="AA130">
        <f>+'Content 2026'!AA35</f>
        <v>3200</v>
      </c>
      <c r="AB130" s="175"/>
      <c r="AC130" s="34">
        <f t="shared" si="74"/>
        <v>2075.6756756756754</v>
      </c>
      <c r="AD130" s="34">
        <f t="shared" si="60"/>
        <v>172.97297297297297</v>
      </c>
      <c r="AE130" s="34">
        <f t="shared" si="61"/>
        <v>172.97297297297297</v>
      </c>
      <c r="AF130" s="34">
        <f t="shared" si="62"/>
        <v>172.97297297297297</v>
      </c>
      <c r="AG130" s="34">
        <f t="shared" si="63"/>
        <v>172.97297297297297</v>
      </c>
      <c r="AH130" s="34">
        <f t="shared" si="64"/>
        <v>172.97297297297297</v>
      </c>
      <c r="AI130" s="34">
        <f t="shared" si="65"/>
        <v>172.97297297297297</v>
      </c>
      <c r="AJ130" s="34">
        <f t="shared" si="66"/>
        <v>172.97297297297297</v>
      </c>
      <c r="AK130" s="34">
        <f t="shared" si="67"/>
        <v>172.97297297297297</v>
      </c>
      <c r="AL130" s="34">
        <f t="shared" si="68"/>
        <v>172.97297297297297</v>
      </c>
      <c r="AM130" s="34">
        <f t="shared" si="69"/>
        <v>172.97297297297297</v>
      </c>
      <c r="AN130" s="34">
        <f t="shared" si="70"/>
        <v>172.97297297297297</v>
      </c>
      <c r="AO130" s="34">
        <f t="shared" si="71"/>
        <v>172.97297297297297</v>
      </c>
      <c r="AP130">
        <f t="shared" si="53"/>
        <v>1</v>
      </c>
      <c r="AQ130" s="652">
        <f t="shared" si="54"/>
        <v>2075.6756756756754</v>
      </c>
      <c r="AR130" s="652">
        <f t="shared" si="55"/>
        <v>172.972972972973</v>
      </c>
      <c r="AS130" s="652">
        <f t="shared" si="73"/>
        <v>172.972972972973</v>
      </c>
      <c r="AT130" s="652">
        <f t="shared" si="73"/>
        <v>172.972972972973</v>
      </c>
      <c r="AU130" s="652">
        <f t="shared" si="73"/>
        <v>172.972972972973</v>
      </c>
      <c r="AV130" s="652">
        <f t="shared" si="73"/>
        <v>172.972972972973</v>
      </c>
      <c r="AW130" s="652">
        <f t="shared" si="73"/>
        <v>172.972972972973</v>
      </c>
      <c r="AX130" s="652">
        <f t="shared" si="73"/>
        <v>172.972972972973</v>
      </c>
      <c r="AY130" s="652">
        <f t="shared" si="73"/>
        <v>172.972972972973</v>
      </c>
      <c r="AZ130" s="652">
        <f t="shared" si="73"/>
        <v>172.972972972973</v>
      </c>
      <c r="BA130" s="652">
        <f t="shared" si="73"/>
        <v>172.972972972973</v>
      </c>
      <c r="BB130" s="652">
        <f t="shared" si="73"/>
        <v>172.972972972973</v>
      </c>
      <c r="BC130" s="652">
        <f t="shared" si="73"/>
        <v>172.972972972973</v>
      </c>
    </row>
    <row r="131" spans="1:55">
      <c r="A131" t="str">
        <f>+'Content 2026'!A36</f>
        <v>SAPI</v>
      </c>
      <c r="B131" t="str">
        <f>+'Content 2026'!B36</f>
        <v>Content</v>
      </c>
      <c r="C131" t="str">
        <f>+'Content 2026'!C36</f>
        <v>Nathalia Pontes</v>
      </c>
      <c r="D131" t="str">
        <f>+'Content 2026'!D36</f>
        <v>Benefits</v>
      </c>
      <c r="E131" t="str">
        <f>+'Content 2026'!E36</f>
        <v>Aguinaldo - Payroll</v>
      </c>
      <c r="F131" t="str">
        <f>+'Content 2026'!F36</f>
        <v>Aguinaldo</v>
      </c>
      <c r="G131">
        <f>+'Content 2026'!G36</f>
        <v>0</v>
      </c>
      <c r="H131">
        <f>+'Content 2026'!H36</f>
        <v>0</v>
      </c>
      <c r="I131">
        <f>+'Content 2026'!I36</f>
        <v>0</v>
      </c>
      <c r="J131" t="str">
        <f>+'Content 2026'!J36</f>
        <v>603.07.001</v>
      </c>
      <c r="K131" t="str">
        <f>+'Content 2026'!K36</f>
        <v>Prima vacacional</v>
      </c>
      <c r="L131" t="str">
        <f>+'Content 2026'!L36</f>
        <v>Sueldos y Salarios</v>
      </c>
      <c r="M131" t="str">
        <f>+'Content 2026'!M36</f>
        <v>MXN</v>
      </c>
      <c r="N131">
        <f>+'Content 2026'!N36</f>
        <v>2839.3277027027025</v>
      </c>
      <c r="O131">
        <f>+'Content 2026'!O36</f>
        <v>52527.5625</v>
      </c>
      <c r="P131">
        <f>+'Content 2026'!P36</f>
        <v>0</v>
      </c>
      <c r="Q131">
        <f>+'Content 2026'!Q36</f>
        <v>0</v>
      </c>
      <c r="R131">
        <f>+'Content 2026'!R36</f>
        <v>0</v>
      </c>
      <c r="S131">
        <f>+'Content 2026'!S36</f>
        <v>0</v>
      </c>
      <c r="T131">
        <f>+'Content 2026'!T36</f>
        <v>0</v>
      </c>
      <c r="U131">
        <f>+'Content 2026'!U36</f>
        <v>0</v>
      </c>
      <c r="V131">
        <f>+'Content 2026'!V36</f>
        <v>0</v>
      </c>
      <c r="W131">
        <f>+'Content 2026'!W36</f>
        <v>0</v>
      </c>
      <c r="X131">
        <f>+'Content 2026'!X36</f>
        <v>0</v>
      </c>
      <c r="Y131">
        <f>+'Content 2026'!Y36</f>
        <v>0</v>
      </c>
      <c r="Z131">
        <f>+'Content 2026'!Z36</f>
        <v>0</v>
      </c>
      <c r="AA131">
        <f>+'Content 2026'!AA36</f>
        <v>52527.5625</v>
      </c>
      <c r="AB131" s="175"/>
      <c r="AC131" s="34">
        <f t="shared" si="74"/>
        <v>2839.3277027027025</v>
      </c>
      <c r="AD131" s="34">
        <f t="shared" si="60"/>
        <v>0</v>
      </c>
      <c r="AE131" s="34">
        <f t="shared" si="61"/>
        <v>0</v>
      </c>
      <c r="AF131" s="34">
        <f t="shared" si="62"/>
        <v>0</v>
      </c>
      <c r="AG131" s="34">
        <f t="shared" si="63"/>
        <v>0</v>
      </c>
      <c r="AH131" s="34">
        <f t="shared" si="64"/>
        <v>0</v>
      </c>
      <c r="AI131" s="34">
        <f t="shared" si="65"/>
        <v>0</v>
      </c>
      <c r="AJ131" s="34">
        <f t="shared" si="66"/>
        <v>0</v>
      </c>
      <c r="AK131" s="34">
        <f t="shared" si="67"/>
        <v>0</v>
      </c>
      <c r="AL131" s="34">
        <f t="shared" si="68"/>
        <v>0</v>
      </c>
      <c r="AM131" s="34">
        <f t="shared" si="69"/>
        <v>0</v>
      </c>
      <c r="AN131" s="34">
        <f t="shared" si="70"/>
        <v>0</v>
      </c>
      <c r="AO131" s="34">
        <f t="shared" si="71"/>
        <v>2839.3277027027025</v>
      </c>
      <c r="AP131">
        <f t="shared" si="53"/>
        <v>1</v>
      </c>
      <c r="AQ131" s="652">
        <f t="shared" si="54"/>
        <v>2839.3277027027016</v>
      </c>
      <c r="AR131" s="652">
        <f t="shared" si="55"/>
        <v>236.61064189189187</v>
      </c>
      <c r="AS131" s="652">
        <f t="shared" si="73"/>
        <v>236.61064189189187</v>
      </c>
      <c r="AT131" s="652">
        <f t="shared" ref="AS131:BC145" si="75">+$N131/12</f>
        <v>236.61064189189187</v>
      </c>
      <c r="AU131" s="652">
        <f t="shared" si="75"/>
        <v>236.61064189189187</v>
      </c>
      <c r="AV131" s="652">
        <f t="shared" si="75"/>
        <v>236.61064189189187</v>
      </c>
      <c r="AW131" s="652">
        <f t="shared" si="75"/>
        <v>236.61064189189187</v>
      </c>
      <c r="AX131" s="652">
        <f t="shared" si="75"/>
        <v>236.61064189189187</v>
      </c>
      <c r="AY131" s="652">
        <f t="shared" si="75"/>
        <v>236.61064189189187</v>
      </c>
      <c r="AZ131" s="652">
        <f t="shared" si="75"/>
        <v>236.61064189189187</v>
      </c>
      <c r="BA131" s="652">
        <f t="shared" si="75"/>
        <v>236.61064189189187</v>
      </c>
      <c r="BB131" s="652">
        <f t="shared" si="75"/>
        <v>236.61064189189187</v>
      </c>
      <c r="BC131" s="652">
        <f t="shared" si="75"/>
        <v>236.61064189189187</v>
      </c>
    </row>
    <row r="132" spans="1:55">
      <c r="A132" t="str">
        <f>+'Content 2026'!A37</f>
        <v>INC</v>
      </c>
      <c r="B132" t="str">
        <f>+'Content 2026'!B37</f>
        <v>Content</v>
      </c>
      <c r="C132" t="str">
        <f>+'Content 2026'!C37</f>
        <v>Nathalia Pontes</v>
      </c>
      <c r="D132" t="str">
        <f>+'Content 2026'!D37</f>
        <v>Benefits</v>
      </c>
      <c r="E132" t="str">
        <f>+'Content 2026'!E37</f>
        <v>Aguinaldo - GUSTO</v>
      </c>
      <c r="F132" t="str">
        <f>+'Content 2026'!F37</f>
        <v>Aguinaldo</v>
      </c>
      <c r="G132">
        <f>+'Content 2026'!G37</f>
        <v>0</v>
      </c>
      <c r="H132">
        <f>+'Content 2026'!H37</f>
        <v>0</v>
      </c>
      <c r="I132">
        <f>+'Content 2026'!I37</f>
        <v>0</v>
      </c>
      <c r="J132" t="str">
        <f>+'Content 2026'!J37</f>
        <v>603.07.001</v>
      </c>
      <c r="K132" t="str">
        <f>+'Content 2026'!K37</f>
        <v>Prima vacacional</v>
      </c>
      <c r="L132" t="str">
        <f>+'Content 2026'!L37</f>
        <v>Sueldos y Salarios</v>
      </c>
      <c r="M132" t="str">
        <f>+'Content 2026'!M37</f>
        <v>MXN</v>
      </c>
      <c r="N132">
        <f>+'Content 2026'!N37</f>
        <v>2328.1621621621621</v>
      </c>
      <c r="O132">
        <f>+'Content 2026'!O37</f>
        <v>43071</v>
      </c>
      <c r="P132">
        <f>+'Content 2026'!P37</f>
        <v>0</v>
      </c>
      <c r="Q132">
        <f>+'Content 2026'!Q37</f>
        <v>0</v>
      </c>
      <c r="R132">
        <f>+'Content 2026'!R37</f>
        <v>0</v>
      </c>
      <c r="S132">
        <f>+'Content 2026'!S37</f>
        <v>0</v>
      </c>
      <c r="T132">
        <f>+'Content 2026'!T37</f>
        <v>0</v>
      </c>
      <c r="U132">
        <f>+'Content 2026'!U37</f>
        <v>0</v>
      </c>
      <c r="V132">
        <f>+'Content 2026'!V37</f>
        <v>0</v>
      </c>
      <c r="W132">
        <f>+'Content 2026'!W37</f>
        <v>0</v>
      </c>
      <c r="X132">
        <f>+'Content 2026'!X37</f>
        <v>0</v>
      </c>
      <c r="Y132">
        <f>+'Content 2026'!Y37</f>
        <v>0</v>
      </c>
      <c r="Z132">
        <f>+'Content 2026'!Z37</f>
        <v>0</v>
      </c>
      <c r="AA132">
        <f>+'Content 2026'!AA37</f>
        <v>43071</v>
      </c>
      <c r="AB132" s="175"/>
      <c r="AC132" s="34">
        <f t="shared" si="74"/>
        <v>2328.1621621621621</v>
      </c>
      <c r="AD132" s="34">
        <f t="shared" si="60"/>
        <v>0</v>
      </c>
      <c r="AE132" s="34">
        <f t="shared" si="61"/>
        <v>0</v>
      </c>
      <c r="AF132" s="34">
        <f t="shared" si="62"/>
        <v>0</v>
      </c>
      <c r="AG132" s="34">
        <f t="shared" si="63"/>
        <v>0</v>
      </c>
      <c r="AH132" s="34">
        <f t="shared" si="64"/>
        <v>0</v>
      </c>
      <c r="AI132" s="34">
        <f t="shared" si="65"/>
        <v>0</v>
      </c>
      <c r="AJ132" s="34">
        <f t="shared" si="66"/>
        <v>0</v>
      </c>
      <c r="AK132" s="34">
        <f t="shared" si="67"/>
        <v>0</v>
      </c>
      <c r="AL132" s="34">
        <f t="shared" si="68"/>
        <v>0</v>
      </c>
      <c r="AM132" s="34">
        <f t="shared" si="69"/>
        <v>0</v>
      </c>
      <c r="AN132" s="34">
        <f t="shared" si="70"/>
        <v>0</v>
      </c>
      <c r="AO132" s="34">
        <f t="shared" si="71"/>
        <v>2328.1621621621621</v>
      </c>
      <c r="AP132">
        <f t="shared" si="53"/>
        <v>1</v>
      </c>
      <c r="AQ132" s="652">
        <f t="shared" si="54"/>
        <v>2328.1621621621621</v>
      </c>
      <c r="AR132" s="652">
        <f t="shared" si="55"/>
        <v>194.01351351351352</v>
      </c>
      <c r="AS132" s="652">
        <f t="shared" si="75"/>
        <v>194.01351351351352</v>
      </c>
      <c r="AT132" s="652">
        <f t="shared" si="75"/>
        <v>194.01351351351352</v>
      </c>
      <c r="AU132" s="652">
        <f t="shared" si="75"/>
        <v>194.01351351351352</v>
      </c>
      <c r="AV132" s="652">
        <f t="shared" si="75"/>
        <v>194.01351351351352</v>
      </c>
      <c r="AW132" s="652">
        <f t="shared" si="75"/>
        <v>194.01351351351352</v>
      </c>
      <c r="AX132" s="652">
        <f t="shared" si="75"/>
        <v>194.01351351351352</v>
      </c>
      <c r="AY132" s="652">
        <f t="shared" si="75"/>
        <v>194.01351351351352</v>
      </c>
      <c r="AZ132" s="652">
        <f t="shared" si="75"/>
        <v>194.01351351351352</v>
      </c>
      <c r="BA132" s="652">
        <f t="shared" si="75"/>
        <v>194.01351351351352</v>
      </c>
      <c r="BB132" s="652">
        <f t="shared" si="75"/>
        <v>194.01351351351352</v>
      </c>
      <c r="BC132" s="652">
        <f t="shared" si="75"/>
        <v>194.01351351351352</v>
      </c>
    </row>
    <row r="133" spans="1:55">
      <c r="A133" t="str">
        <f>+'Content 2026'!A38</f>
        <v>SAPI</v>
      </c>
      <c r="B133" t="str">
        <f>+'Content 2026'!B38</f>
        <v>Content</v>
      </c>
      <c r="C133" t="str">
        <f>+'Content 2026'!C38</f>
        <v>Nathalia Pontes</v>
      </c>
      <c r="D133" t="str">
        <f>+'Content 2026'!D38</f>
        <v>Benefits</v>
      </c>
      <c r="E133" t="str">
        <f>+'Content 2026'!E38</f>
        <v>Prima Vacacional (prom. 8 días de vacaciones)</v>
      </c>
      <c r="F133" t="str">
        <f>+'Content 2026'!F38</f>
        <v>Prima Vacacional (prom. 8 días de vacaciones)</v>
      </c>
      <c r="G133">
        <f>+'Content 2026'!G38</f>
        <v>0</v>
      </c>
      <c r="H133">
        <f>+'Content 2026'!H38</f>
        <v>0</v>
      </c>
      <c r="I133">
        <f>+'Content 2026'!I38</f>
        <v>0</v>
      </c>
      <c r="J133" t="str">
        <f>+'Content 2026'!J38</f>
        <v>603.12.001</v>
      </c>
      <c r="K133" t="str">
        <f>+'Content 2026'!K38</f>
        <v>Aguinaldo</v>
      </c>
      <c r="L133" t="str">
        <f>+'Content 2026'!L38</f>
        <v>Sueldos y Salarios</v>
      </c>
      <c r="M133" t="str">
        <f>+'Content 2026'!M38</f>
        <v>MXN</v>
      </c>
      <c r="N133">
        <f>+'Content 2026'!N38</f>
        <v>118.30532094594595</v>
      </c>
      <c r="O133">
        <f>+'Content 2026'!O38</f>
        <v>2188.6484375</v>
      </c>
      <c r="P133">
        <f>+'Content 2026'!P38</f>
        <v>0</v>
      </c>
      <c r="Q133">
        <f>+'Content 2026'!Q38</f>
        <v>0</v>
      </c>
      <c r="R133">
        <f>+'Content 2026'!R38</f>
        <v>0</v>
      </c>
      <c r="S133">
        <f>+'Content 2026'!S38</f>
        <v>0</v>
      </c>
      <c r="T133">
        <f>+'Content 2026'!T38</f>
        <v>0</v>
      </c>
      <c r="U133">
        <f>+'Content 2026'!U38</f>
        <v>2188.6484375</v>
      </c>
      <c r="V133">
        <f>+'Content 2026'!V38</f>
        <v>0</v>
      </c>
      <c r="W133">
        <f>+'Content 2026'!W38</f>
        <v>0</v>
      </c>
      <c r="X133">
        <f>+'Content 2026'!X38</f>
        <v>0</v>
      </c>
      <c r="Y133">
        <f>+'Content 2026'!Y38</f>
        <v>0</v>
      </c>
      <c r="Z133">
        <f>+'Content 2026'!Z38</f>
        <v>0</v>
      </c>
      <c r="AA133">
        <f>+'Content 2026'!AA38</f>
        <v>0</v>
      </c>
      <c r="AB133" s="175"/>
      <c r="AC133" s="34">
        <f t="shared" si="74"/>
        <v>118.30532094594595</v>
      </c>
      <c r="AD133" s="34">
        <f t="shared" si="60"/>
        <v>0</v>
      </c>
      <c r="AE133" s="34">
        <f t="shared" si="61"/>
        <v>0</v>
      </c>
      <c r="AF133" s="34">
        <f t="shared" si="62"/>
        <v>0</v>
      </c>
      <c r="AG133" s="34">
        <f t="shared" si="63"/>
        <v>0</v>
      </c>
      <c r="AH133" s="34">
        <f t="shared" si="64"/>
        <v>0</v>
      </c>
      <c r="AI133" s="34">
        <f t="shared" si="65"/>
        <v>118.30532094594595</v>
      </c>
      <c r="AJ133" s="34">
        <f t="shared" si="66"/>
        <v>0</v>
      </c>
      <c r="AK133" s="34">
        <f t="shared" si="67"/>
        <v>0</v>
      </c>
      <c r="AL133" s="34">
        <f t="shared" si="68"/>
        <v>0</v>
      </c>
      <c r="AM133" s="34">
        <f t="shared" si="69"/>
        <v>0</v>
      </c>
      <c r="AN133" s="34">
        <f t="shared" si="70"/>
        <v>0</v>
      </c>
      <c r="AO133" s="34">
        <f t="shared" si="71"/>
        <v>0</v>
      </c>
      <c r="AP133">
        <f t="shared" si="53"/>
        <v>1</v>
      </c>
      <c r="AQ133" s="652">
        <f t="shared" si="54"/>
        <v>118.30532094594592</v>
      </c>
      <c r="AR133" s="652">
        <f t="shared" si="55"/>
        <v>9.8587767454954953</v>
      </c>
      <c r="AS133" s="652">
        <f t="shared" si="75"/>
        <v>9.8587767454954953</v>
      </c>
      <c r="AT133" s="652">
        <f t="shared" si="75"/>
        <v>9.8587767454954953</v>
      </c>
      <c r="AU133" s="652">
        <f t="shared" si="75"/>
        <v>9.8587767454954953</v>
      </c>
      <c r="AV133" s="652">
        <f t="shared" si="75"/>
        <v>9.8587767454954953</v>
      </c>
      <c r="AW133" s="652">
        <f t="shared" si="75"/>
        <v>9.8587767454954953</v>
      </c>
      <c r="AX133" s="652">
        <f t="shared" si="75"/>
        <v>9.8587767454954953</v>
      </c>
      <c r="AY133" s="652">
        <f t="shared" si="75"/>
        <v>9.8587767454954953</v>
      </c>
      <c r="AZ133" s="652">
        <f t="shared" si="75"/>
        <v>9.8587767454954953</v>
      </c>
      <c r="BA133" s="652">
        <f t="shared" si="75"/>
        <v>9.8587767454954953</v>
      </c>
      <c r="BB133" s="652">
        <f t="shared" si="75"/>
        <v>9.8587767454954953</v>
      </c>
      <c r="BC133" s="652">
        <f t="shared" si="75"/>
        <v>9.8587767454954953</v>
      </c>
    </row>
    <row r="134" spans="1:55">
      <c r="A134" t="str">
        <f>+'Content 2026'!A40</f>
        <v>SAPI</v>
      </c>
      <c r="B134" t="str">
        <f>+'Content 2026'!B40</f>
        <v>Content</v>
      </c>
      <c r="C134" t="str">
        <f>+'Content 2026'!C40</f>
        <v>Nathalia Pontes</v>
      </c>
      <c r="D134" t="str">
        <f>+'Content 2026'!D40</f>
        <v>Payroll</v>
      </c>
      <c r="E134" t="str">
        <f>+'Content 2026'!E40</f>
        <v>Impuestos</v>
      </c>
      <c r="F134" t="str">
        <f>+'Content 2026'!F40</f>
        <v>SIPARE (SAR, IMSS, INFONAVIT (avg. 22%))</v>
      </c>
      <c r="G134">
        <f>+'Content 2026'!G40</f>
        <v>0</v>
      </c>
      <c r="H134">
        <f>+'Content 2026'!H40</f>
        <v>0</v>
      </c>
      <c r="I134">
        <f>+'Content 2026'!I40</f>
        <v>0</v>
      </c>
      <c r="J134" t="str">
        <f>+'Content 2026'!J40</f>
        <v>603.01.001</v>
      </c>
      <c r="K134" t="str">
        <f>+'Content 2026'!K40</f>
        <v>Sueldos y salarios</v>
      </c>
      <c r="L134" t="str">
        <f>+'Content 2026'!L40</f>
        <v>Sueldos y Salarios</v>
      </c>
      <c r="M134" t="str">
        <f>+'Content 2026'!M40</f>
        <v>MXN</v>
      </c>
      <c r="N134">
        <f>+'Content 2026'!N40</f>
        <v>14920.298918918917</v>
      </c>
      <c r="O134">
        <f>+'Content 2026'!O40</f>
        <v>276025.52999999997</v>
      </c>
      <c r="P134">
        <f>+'Content 2026'!P40</f>
        <v>45784.254999999997</v>
      </c>
      <c r="Q134">
        <f>+'Content 2026'!Q40</f>
        <v>0</v>
      </c>
      <c r="R134">
        <f>+'Content 2026'!R40</f>
        <v>45784.254999999997</v>
      </c>
      <c r="S134">
        <f>+'Content 2026'!S40</f>
        <v>0</v>
      </c>
      <c r="T134">
        <f>+'Content 2026'!T40</f>
        <v>45784.254999999997</v>
      </c>
      <c r="U134">
        <f>+'Content 2026'!U40</f>
        <v>0</v>
      </c>
      <c r="V134">
        <f>+'Content 2026'!V40</f>
        <v>46224.254999999997</v>
      </c>
      <c r="W134">
        <f>+'Content 2026'!W40</f>
        <v>0</v>
      </c>
      <c r="X134">
        <f>+'Content 2026'!X40</f>
        <v>46224.254999999997</v>
      </c>
      <c r="Y134">
        <f>+'Content 2026'!Y40</f>
        <v>0</v>
      </c>
      <c r="Z134">
        <f>+'Content 2026'!Z40</f>
        <v>46224.254999999997</v>
      </c>
      <c r="AA134">
        <f>+'Content 2026'!AA40</f>
        <v>0</v>
      </c>
      <c r="AB134">
        <f t="shared" ref="AB134" si="76">+IF(AC134=N134,1)</f>
        <v>1</v>
      </c>
      <c r="AC134" s="34">
        <f t="shared" si="74"/>
        <v>14920.298918918917</v>
      </c>
      <c r="AD134" s="34">
        <f t="shared" si="60"/>
        <v>2474.8245945945946</v>
      </c>
      <c r="AE134" s="34">
        <f t="shared" si="61"/>
        <v>0</v>
      </c>
      <c r="AF134" s="34">
        <f t="shared" si="62"/>
        <v>2474.8245945945946</v>
      </c>
      <c r="AG134" s="34">
        <f t="shared" si="63"/>
        <v>0</v>
      </c>
      <c r="AH134" s="34">
        <f t="shared" si="64"/>
        <v>2474.8245945945946</v>
      </c>
      <c r="AI134" s="34">
        <f t="shared" si="65"/>
        <v>0</v>
      </c>
      <c r="AJ134" s="34">
        <f t="shared" si="66"/>
        <v>2498.6083783783783</v>
      </c>
      <c r="AK134" s="34">
        <f t="shared" si="67"/>
        <v>0</v>
      </c>
      <c r="AL134" s="34">
        <f t="shared" si="68"/>
        <v>2498.6083783783783</v>
      </c>
      <c r="AM134" s="34">
        <f t="shared" si="69"/>
        <v>0</v>
      </c>
      <c r="AN134" s="34">
        <f t="shared" si="70"/>
        <v>2498.6083783783783</v>
      </c>
      <c r="AO134" s="34">
        <f t="shared" si="71"/>
        <v>0</v>
      </c>
      <c r="AP134">
        <f t="shared" si="53"/>
        <v>1</v>
      </c>
      <c r="AQ134" s="652">
        <f t="shared" si="54"/>
        <v>14920.298918918917</v>
      </c>
      <c r="AR134" s="652">
        <f t="shared" si="55"/>
        <v>1243.3582432432431</v>
      </c>
      <c r="AS134" s="652">
        <f t="shared" si="75"/>
        <v>1243.3582432432431</v>
      </c>
      <c r="AT134" s="652">
        <f t="shared" si="75"/>
        <v>1243.3582432432431</v>
      </c>
      <c r="AU134" s="652">
        <f t="shared" si="75"/>
        <v>1243.3582432432431</v>
      </c>
      <c r="AV134" s="652">
        <f t="shared" si="75"/>
        <v>1243.3582432432431</v>
      </c>
      <c r="AW134" s="652">
        <f t="shared" si="75"/>
        <v>1243.3582432432431</v>
      </c>
      <c r="AX134" s="652">
        <f t="shared" si="75"/>
        <v>1243.3582432432431</v>
      </c>
      <c r="AY134" s="652">
        <f t="shared" si="75"/>
        <v>1243.3582432432431</v>
      </c>
      <c r="AZ134" s="652">
        <f t="shared" si="75"/>
        <v>1243.3582432432431</v>
      </c>
      <c r="BA134" s="652">
        <f t="shared" si="75"/>
        <v>1243.3582432432431</v>
      </c>
      <c r="BB134" s="652">
        <f t="shared" si="75"/>
        <v>1243.3582432432431</v>
      </c>
      <c r="BC134" s="652">
        <f t="shared" si="75"/>
        <v>1243.3582432432431</v>
      </c>
    </row>
    <row r="135" spans="1:55">
      <c r="A135" t="str">
        <f>+'Content 2026'!A42</f>
        <v>SAPI</v>
      </c>
      <c r="B135" t="str">
        <f>+'Content 2026'!B42</f>
        <v>Content</v>
      </c>
      <c r="C135" t="str">
        <f>+'Content 2026'!C42</f>
        <v>Nathalia Pontes</v>
      </c>
      <c r="D135" t="str">
        <f>+'Content 2026'!D42</f>
        <v>Hotel</v>
      </c>
      <c r="E135" t="str">
        <f>+'Content 2026'!E42</f>
        <v>Multiple</v>
      </c>
      <c r="F135" t="str">
        <f>+'Content 2026'!F42</f>
        <v>1 viaje Mexico - 5 noches</v>
      </c>
      <c r="G135">
        <f>+'Content 2026'!G42</f>
        <v>0</v>
      </c>
      <c r="H135">
        <f>+'Content 2026'!H42</f>
        <v>0</v>
      </c>
      <c r="I135">
        <f>+'Content 2026'!I42</f>
        <v>0</v>
      </c>
      <c r="J135" t="str">
        <f>+'Content 2026'!J42</f>
        <v>603.49.001</v>
      </c>
      <c r="K135" t="str">
        <f>+'Content 2026'!K42</f>
        <v>Viaticos Hotel</v>
      </c>
      <c r="L135" t="str">
        <f>+'Content 2026'!L42</f>
        <v>Gastos de Viaje</v>
      </c>
      <c r="M135" t="str">
        <f>+'Content 2026'!M42</f>
        <v>USD</v>
      </c>
      <c r="N135">
        <f>+'Content 2026'!N42</f>
        <v>25000</v>
      </c>
      <c r="O135">
        <f>+'Content 2026'!O42</f>
        <v>25000</v>
      </c>
      <c r="P135">
        <f>+'Content 2026'!P42</f>
        <v>0</v>
      </c>
      <c r="Q135">
        <f>+'Content 2026'!Q42</f>
        <v>0</v>
      </c>
      <c r="R135">
        <f>+'Content 2026'!R42</f>
        <v>0</v>
      </c>
      <c r="S135">
        <f>+'Content 2026'!S42</f>
        <v>0</v>
      </c>
      <c r="T135">
        <f>+'Content 2026'!T42</f>
        <v>0</v>
      </c>
      <c r="U135">
        <f>+'Content 2026'!U42</f>
        <v>0</v>
      </c>
      <c r="V135">
        <f>+'Content 2026'!V42</f>
        <v>25000</v>
      </c>
      <c r="W135">
        <f>+'Content 2026'!W42</f>
        <v>0</v>
      </c>
      <c r="X135">
        <f>+'Content 2026'!X42</f>
        <v>0</v>
      </c>
      <c r="Y135">
        <f>+'Content 2026'!Y42</f>
        <v>0</v>
      </c>
      <c r="Z135">
        <f>+'Content 2026'!Z42</f>
        <v>0</v>
      </c>
      <c r="AA135">
        <f>+'Content 2026'!AA42</f>
        <v>0</v>
      </c>
      <c r="AB135" s="175"/>
      <c r="AC135" s="34">
        <f t="shared" si="74"/>
        <v>25000</v>
      </c>
      <c r="AD135" s="34">
        <f t="shared" ref="AD135:AD140" si="77">+IF($M135="MXN",P135/$AC$2,IF($M135="BRL",P135/$AC$3,IF($M135="EUR",P135*$AC$1,P135)))</f>
        <v>0</v>
      </c>
      <c r="AE135" s="34">
        <f t="shared" ref="AE135:AE140" si="78">+IF($M135="MXN",Q135/$AC$2,IF($M135="BRL",Q135/$AC$3,IF($M135="EUR",Q135*$AC$1,Q135)))</f>
        <v>0</v>
      </c>
      <c r="AF135" s="34">
        <f t="shared" ref="AF135:AF140" si="79">+IF($M135="MXN",R135/$AC$2,IF($M135="BRL",R135/$AC$3,IF($M135="EUR",R135*$AC$1,R135)))</f>
        <v>0</v>
      </c>
      <c r="AG135" s="34">
        <f t="shared" ref="AG135:AG140" si="80">+IF($M135="MXN",S135/$AC$2,IF($M135="BRL",S135/$AC$3,IF($M135="EUR",S135*$AC$1,S135)))</f>
        <v>0</v>
      </c>
      <c r="AH135" s="34">
        <f t="shared" ref="AH135:AH140" si="81">+IF($M135="MXN",T135/$AC$2,IF($M135="BRL",T135/$AC$3,IF($M135="EUR",T135*$AC$1,T135)))</f>
        <v>0</v>
      </c>
      <c r="AI135" s="34">
        <f t="shared" ref="AI135:AI140" si="82">+IF($M135="MXN",U135/$AC$2,IF($M135="BRL",U135/$AC$3,IF($M135="EUR",U135*$AC$1,U135)))</f>
        <v>0</v>
      </c>
      <c r="AJ135" s="34">
        <f t="shared" ref="AJ135:AJ140" si="83">+IF($M135="MXN",V135/$AC$2,IF($M135="BRL",V135/$AC$3,IF($M135="EUR",V135*$AC$1,V135)))</f>
        <v>25000</v>
      </c>
      <c r="AK135" s="34">
        <f t="shared" ref="AK135:AK140" si="84">+IF($M135="MXN",W135/$AC$2,IF($M135="BRL",W135/$AC$3,IF($M135="EUR",W135*$AC$1,W135)))</f>
        <v>0</v>
      </c>
      <c r="AL135" s="34">
        <f t="shared" ref="AL135:AL140" si="85">+IF($M135="MXN",X135/$AC$2,IF($M135="BRL",X135/$AC$3,IF($M135="EUR",X135*$AC$1,X135)))</f>
        <v>0</v>
      </c>
      <c r="AM135" s="34">
        <f t="shared" ref="AM135:AM140" si="86">+IF($M135="MXN",Y135/$AC$2,IF($M135="BRL",Y135/$AC$3,IF($M135="EUR",Y135*$AC$1,Y135)))</f>
        <v>0</v>
      </c>
      <c r="AN135" s="34">
        <f t="shared" ref="AN135:AN140" si="87">+IF($M135="MXN",Z135/$AC$2,IF($M135="BRL",Z135/$AC$3,IF($M135="EUR",Z135*$AC$1,Z135)))</f>
        <v>0</v>
      </c>
      <c r="AO135" s="34">
        <f t="shared" ref="AO135:AO140" si="88">+IF($M135="MXN",AA135/$AC$2,IF($M135="BRL",AA135/$AC$3,IF($M135="EUR",AA135*$AC$1,AA135)))</f>
        <v>0</v>
      </c>
      <c r="AP135">
        <f t="shared" ref="AP135:AP141" si="89">+IF(AQ135=N135,1)</f>
        <v>1</v>
      </c>
      <c r="AQ135" s="652">
        <f t="shared" si="54"/>
        <v>24999.999999999996</v>
      </c>
      <c r="AR135" s="652">
        <f t="shared" si="55"/>
        <v>2083.3333333333335</v>
      </c>
      <c r="AS135" s="652">
        <f t="shared" si="75"/>
        <v>2083.3333333333335</v>
      </c>
      <c r="AT135" s="652">
        <f t="shared" si="75"/>
        <v>2083.3333333333335</v>
      </c>
      <c r="AU135" s="652">
        <f t="shared" si="75"/>
        <v>2083.3333333333335</v>
      </c>
      <c r="AV135" s="652">
        <f t="shared" si="75"/>
        <v>2083.3333333333335</v>
      </c>
      <c r="AW135" s="652">
        <f t="shared" si="75"/>
        <v>2083.3333333333335</v>
      </c>
      <c r="AX135" s="652">
        <f t="shared" si="75"/>
        <v>2083.3333333333335</v>
      </c>
      <c r="AY135" s="652">
        <f t="shared" si="75"/>
        <v>2083.3333333333335</v>
      </c>
      <c r="AZ135" s="652">
        <f t="shared" si="75"/>
        <v>2083.3333333333335</v>
      </c>
      <c r="BA135" s="652">
        <f t="shared" si="75"/>
        <v>2083.3333333333335</v>
      </c>
      <c r="BB135" s="652">
        <f t="shared" si="75"/>
        <v>2083.3333333333335</v>
      </c>
      <c r="BC135" s="652">
        <f t="shared" si="75"/>
        <v>2083.3333333333335</v>
      </c>
    </row>
    <row r="136" spans="1:55">
      <c r="A136" t="str">
        <f>+'Content 2026'!A43</f>
        <v>SAPI</v>
      </c>
      <c r="B136" t="str">
        <f>+'Content 2026'!B43</f>
        <v>Content</v>
      </c>
      <c r="C136" t="str">
        <f>+'Content 2026'!C43</f>
        <v>Nathalia Pontes</v>
      </c>
      <c r="D136" t="str">
        <f>+'Content 2026'!D43</f>
        <v>Taxi</v>
      </c>
      <c r="E136" t="str">
        <f>+'Content 2026'!E43</f>
        <v>Multiple</v>
      </c>
      <c r="F136" t="str">
        <f>+'Content 2026'!F43</f>
        <v>1 viaje Mexico - 5 noches</v>
      </c>
      <c r="G136">
        <f>+'Content 2026'!G43</f>
        <v>0</v>
      </c>
      <c r="H136">
        <f>+'Content 2026'!H43</f>
        <v>0</v>
      </c>
      <c r="I136">
        <f>+'Content 2026'!I43</f>
        <v>0</v>
      </c>
      <c r="J136" t="str">
        <f>+'Content 2026'!J43</f>
        <v>603.49.002</v>
      </c>
      <c r="K136" t="str">
        <f>+'Content 2026'!K43</f>
        <v>Vaticos Taxi</v>
      </c>
      <c r="L136" t="str">
        <f>+'Content 2026'!L43</f>
        <v>Gastos de Viaje</v>
      </c>
      <c r="M136" t="str">
        <f>+'Content 2026'!M43</f>
        <v>USD</v>
      </c>
      <c r="N136">
        <f>+'Content 2026'!N43</f>
        <v>2500</v>
      </c>
      <c r="O136">
        <f>+'Content 2026'!O43</f>
        <v>2500</v>
      </c>
      <c r="P136">
        <f>+'Content 2026'!P43</f>
        <v>0</v>
      </c>
      <c r="Q136">
        <f>+'Content 2026'!Q43</f>
        <v>0</v>
      </c>
      <c r="R136">
        <f>+'Content 2026'!R43</f>
        <v>0</v>
      </c>
      <c r="S136">
        <f>+'Content 2026'!S43</f>
        <v>0</v>
      </c>
      <c r="T136">
        <f>+'Content 2026'!T43</f>
        <v>0</v>
      </c>
      <c r="U136">
        <f>+'Content 2026'!U43</f>
        <v>0</v>
      </c>
      <c r="V136">
        <f>+'Content 2026'!V43</f>
        <v>2500</v>
      </c>
      <c r="W136">
        <f>+'Content 2026'!W43</f>
        <v>0</v>
      </c>
      <c r="X136">
        <f>+'Content 2026'!X43</f>
        <v>0</v>
      </c>
      <c r="Y136">
        <f>+'Content 2026'!Y43</f>
        <v>0</v>
      </c>
      <c r="Z136">
        <f>+'Content 2026'!Z43</f>
        <v>0</v>
      </c>
      <c r="AA136">
        <f>+'Content 2026'!AA43</f>
        <v>0</v>
      </c>
      <c r="AB136" s="175"/>
      <c r="AC136" s="34">
        <f t="shared" si="74"/>
        <v>2500</v>
      </c>
      <c r="AD136" s="34">
        <f t="shared" si="77"/>
        <v>0</v>
      </c>
      <c r="AE136" s="34">
        <f t="shared" si="78"/>
        <v>0</v>
      </c>
      <c r="AF136" s="34">
        <f t="shared" si="79"/>
        <v>0</v>
      </c>
      <c r="AG136" s="34">
        <f t="shared" si="80"/>
        <v>0</v>
      </c>
      <c r="AH136" s="34">
        <f t="shared" si="81"/>
        <v>0</v>
      </c>
      <c r="AI136" s="34">
        <f t="shared" si="82"/>
        <v>0</v>
      </c>
      <c r="AJ136" s="34">
        <f t="shared" si="83"/>
        <v>2500</v>
      </c>
      <c r="AK136" s="34">
        <f t="shared" si="84"/>
        <v>0</v>
      </c>
      <c r="AL136" s="34">
        <f t="shared" si="85"/>
        <v>0</v>
      </c>
      <c r="AM136" s="34">
        <f t="shared" si="86"/>
        <v>0</v>
      </c>
      <c r="AN136" s="34">
        <f t="shared" si="87"/>
        <v>0</v>
      </c>
      <c r="AO136" s="34">
        <f t="shared" si="88"/>
        <v>0</v>
      </c>
      <c r="AP136">
        <f t="shared" si="89"/>
        <v>1</v>
      </c>
      <c r="AQ136" s="652">
        <f t="shared" ref="AQ136:AQ141" si="90">+SUM(AR136:BC136)</f>
        <v>2500</v>
      </c>
      <c r="AR136" s="652">
        <f t="shared" ref="AR136:AR145" si="91">+$N136/12</f>
        <v>208.33333333333334</v>
      </c>
      <c r="AS136" s="652">
        <f t="shared" si="75"/>
        <v>208.33333333333334</v>
      </c>
      <c r="AT136" s="652">
        <f t="shared" si="75"/>
        <v>208.33333333333334</v>
      </c>
      <c r="AU136" s="652">
        <f t="shared" si="75"/>
        <v>208.33333333333334</v>
      </c>
      <c r="AV136" s="652">
        <f t="shared" si="75"/>
        <v>208.33333333333334</v>
      </c>
      <c r="AW136" s="652">
        <f t="shared" si="75"/>
        <v>208.33333333333334</v>
      </c>
      <c r="AX136" s="652">
        <f t="shared" si="75"/>
        <v>208.33333333333334</v>
      </c>
      <c r="AY136" s="652">
        <f t="shared" si="75"/>
        <v>208.33333333333334</v>
      </c>
      <c r="AZ136" s="652">
        <f t="shared" si="75"/>
        <v>208.33333333333334</v>
      </c>
      <c r="BA136" s="652">
        <f t="shared" si="75"/>
        <v>208.33333333333334</v>
      </c>
      <c r="BB136" s="652">
        <f t="shared" si="75"/>
        <v>208.33333333333334</v>
      </c>
      <c r="BC136" s="652">
        <f t="shared" si="75"/>
        <v>208.33333333333334</v>
      </c>
    </row>
    <row r="137" spans="1:55">
      <c r="A137" t="str">
        <f>+'Content 2026'!A44</f>
        <v>SAPI</v>
      </c>
      <c r="B137" t="str">
        <f>+'Content 2026'!B44</f>
        <v>Content</v>
      </c>
      <c r="C137" t="str">
        <f>+'Content 2026'!C44</f>
        <v>Nathalia Pontes</v>
      </c>
      <c r="D137" t="str">
        <f>+'Content 2026'!D44</f>
        <v>Plane</v>
      </c>
      <c r="E137" t="str">
        <f>+'Content 2026'!E44</f>
        <v>Multiple</v>
      </c>
      <c r="F137" t="str">
        <f>+'Content 2026'!F44</f>
        <v>1 viaje Mexico - 5 noches</v>
      </c>
      <c r="G137">
        <f>+'Content 2026'!G44</f>
        <v>0</v>
      </c>
      <c r="H137">
        <f>+'Content 2026'!H44</f>
        <v>0</v>
      </c>
      <c r="I137">
        <f>+'Content 2026'!I44</f>
        <v>0</v>
      </c>
      <c r="J137" t="str">
        <f>+'Content 2026'!J44</f>
        <v>603.49.003</v>
      </c>
      <c r="K137" t="str">
        <f>+'Content 2026'!K44</f>
        <v>Viaticos Avion</v>
      </c>
      <c r="L137" t="str">
        <f>+'Content 2026'!L44</f>
        <v>Gastos de Viaje</v>
      </c>
      <c r="M137" t="str">
        <f>+'Content 2026'!M44</f>
        <v>USD</v>
      </c>
      <c r="N137">
        <f>+'Content 2026'!N44</f>
        <v>20000</v>
      </c>
      <c r="O137">
        <f>+'Content 2026'!O44</f>
        <v>20000</v>
      </c>
      <c r="P137">
        <f>+'Content 2026'!P44</f>
        <v>0</v>
      </c>
      <c r="Q137">
        <f>+'Content 2026'!Q44</f>
        <v>0</v>
      </c>
      <c r="R137">
        <f>+'Content 2026'!R44</f>
        <v>0</v>
      </c>
      <c r="S137">
        <f>+'Content 2026'!S44</f>
        <v>0</v>
      </c>
      <c r="T137">
        <f>+'Content 2026'!T44</f>
        <v>0</v>
      </c>
      <c r="U137">
        <f>+'Content 2026'!U44</f>
        <v>0</v>
      </c>
      <c r="V137">
        <f>+'Content 2026'!V44</f>
        <v>20000</v>
      </c>
      <c r="W137">
        <f>+'Content 2026'!W44</f>
        <v>0</v>
      </c>
      <c r="X137">
        <f>+'Content 2026'!X44</f>
        <v>0</v>
      </c>
      <c r="Y137">
        <f>+'Content 2026'!Y44</f>
        <v>0</v>
      </c>
      <c r="Z137">
        <f>+'Content 2026'!Z44</f>
        <v>0</v>
      </c>
      <c r="AA137">
        <f>+'Content 2026'!AA44</f>
        <v>0</v>
      </c>
      <c r="AB137" s="175"/>
      <c r="AC137" s="34">
        <f t="shared" si="74"/>
        <v>20000</v>
      </c>
      <c r="AD137" s="34">
        <f t="shared" si="77"/>
        <v>0</v>
      </c>
      <c r="AE137" s="34">
        <f t="shared" si="78"/>
        <v>0</v>
      </c>
      <c r="AF137" s="34">
        <f t="shared" si="79"/>
        <v>0</v>
      </c>
      <c r="AG137" s="34">
        <f t="shared" si="80"/>
        <v>0</v>
      </c>
      <c r="AH137" s="34">
        <f t="shared" si="81"/>
        <v>0</v>
      </c>
      <c r="AI137" s="34">
        <f t="shared" si="82"/>
        <v>0</v>
      </c>
      <c r="AJ137" s="34">
        <f t="shared" si="83"/>
        <v>20000</v>
      </c>
      <c r="AK137" s="34">
        <f t="shared" si="84"/>
        <v>0</v>
      </c>
      <c r="AL137" s="34">
        <f t="shared" si="85"/>
        <v>0</v>
      </c>
      <c r="AM137" s="34">
        <f t="shared" si="86"/>
        <v>0</v>
      </c>
      <c r="AN137" s="34">
        <f t="shared" si="87"/>
        <v>0</v>
      </c>
      <c r="AO137" s="34">
        <f t="shared" si="88"/>
        <v>0</v>
      </c>
      <c r="AP137">
        <f t="shared" si="89"/>
        <v>1</v>
      </c>
      <c r="AQ137" s="652">
        <f t="shared" si="90"/>
        <v>20000</v>
      </c>
      <c r="AR137" s="652">
        <f t="shared" si="91"/>
        <v>1666.6666666666667</v>
      </c>
      <c r="AS137" s="652">
        <f t="shared" si="75"/>
        <v>1666.6666666666667</v>
      </c>
      <c r="AT137" s="652">
        <f t="shared" si="75"/>
        <v>1666.6666666666667</v>
      </c>
      <c r="AU137" s="652">
        <f t="shared" si="75"/>
        <v>1666.6666666666667</v>
      </c>
      <c r="AV137" s="652">
        <f t="shared" si="75"/>
        <v>1666.6666666666667</v>
      </c>
      <c r="AW137" s="652">
        <f t="shared" si="75"/>
        <v>1666.6666666666667</v>
      </c>
      <c r="AX137" s="652">
        <f t="shared" si="75"/>
        <v>1666.6666666666667</v>
      </c>
      <c r="AY137" s="652">
        <f t="shared" si="75"/>
        <v>1666.6666666666667</v>
      </c>
      <c r="AZ137" s="652">
        <f t="shared" si="75"/>
        <v>1666.6666666666667</v>
      </c>
      <c r="BA137" s="652">
        <f t="shared" si="75"/>
        <v>1666.6666666666667</v>
      </c>
      <c r="BB137" s="652">
        <f t="shared" si="75"/>
        <v>1666.6666666666667</v>
      </c>
      <c r="BC137" s="652">
        <f t="shared" si="75"/>
        <v>1666.6666666666667</v>
      </c>
    </row>
    <row r="138" spans="1:55">
      <c r="A138" t="str">
        <f>+'Content 2026'!A45</f>
        <v>SAPI</v>
      </c>
      <c r="B138" t="str">
        <f>+'Content 2026'!B45</f>
        <v>Content</v>
      </c>
      <c r="C138" t="str">
        <f>+'Content 2026'!C45</f>
        <v>Nathalia Pontes</v>
      </c>
      <c r="D138" t="str">
        <f>+'Content 2026'!D45</f>
        <v>Food</v>
      </c>
      <c r="E138" t="str">
        <f>+'Content 2026'!E45</f>
        <v>Multiple</v>
      </c>
      <c r="F138" t="str">
        <f>+'Content 2026'!F45</f>
        <v>1 viaje Mexico - 5 noches</v>
      </c>
      <c r="G138">
        <f>+'Content 2026'!G45</f>
        <v>0</v>
      </c>
      <c r="H138">
        <f>+'Content 2026'!H45</f>
        <v>0</v>
      </c>
      <c r="I138">
        <f>+'Content 2026'!I45</f>
        <v>0</v>
      </c>
      <c r="J138" t="str">
        <f>+'Content 2026'!J45</f>
        <v>603.49.004</v>
      </c>
      <c r="K138" t="str">
        <f>+'Content 2026'!K45</f>
        <v>Viaticos Comidas</v>
      </c>
      <c r="L138" t="str">
        <f>+'Content 2026'!L45</f>
        <v>Gastos de Viaje</v>
      </c>
      <c r="M138" t="str">
        <f>+'Content 2026'!M45</f>
        <v>USD</v>
      </c>
      <c r="N138">
        <f>+'Content 2026'!N45</f>
        <v>10000</v>
      </c>
      <c r="O138">
        <f>+'Content 2026'!O45</f>
        <v>10000</v>
      </c>
      <c r="P138">
        <f>+'Content 2026'!P45</f>
        <v>0</v>
      </c>
      <c r="Q138">
        <f>+'Content 2026'!Q45</f>
        <v>0</v>
      </c>
      <c r="R138">
        <f>+'Content 2026'!R45</f>
        <v>0</v>
      </c>
      <c r="S138">
        <f>+'Content 2026'!S45</f>
        <v>0</v>
      </c>
      <c r="T138">
        <f>+'Content 2026'!T45</f>
        <v>0</v>
      </c>
      <c r="U138">
        <f>+'Content 2026'!U45</f>
        <v>0</v>
      </c>
      <c r="V138">
        <f>+'Content 2026'!V45</f>
        <v>10000</v>
      </c>
      <c r="W138">
        <f>+'Content 2026'!W45</f>
        <v>0</v>
      </c>
      <c r="X138">
        <f>+'Content 2026'!X45</f>
        <v>0</v>
      </c>
      <c r="Y138">
        <f>+'Content 2026'!Y45</f>
        <v>0</v>
      </c>
      <c r="Z138">
        <f>+'Content 2026'!Z45</f>
        <v>0</v>
      </c>
      <c r="AA138">
        <f>+'Content 2026'!AA45</f>
        <v>0</v>
      </c>
      <c r="AB138" s="175"/>
      <c r="AC138" s="34">
        <f t="shared" si="74"/>
        <v>10000</v>
      </c>
      <c r="AD138" s="34">
        <f t="shared" si="77"/>
        <v>0</v>
      </c>
      <c r="AE138" s="34">
        <f t="shared" si="78"/>
        <v>0</v>
      </c>
      <c r="AF138" s="34">
        <f t="shared" si="79"/>
        <v>0</v>
      </c>
      <c r="AG138" s="34">
        <f t="shared" si="80"/>
        <v>0</v>
      </c>
      <c r="AH138" s="34">
        <f t="shared" si="81"/>
        <v>0</v>
      </c>
      <c r="AI138" s="34">
        <f t="shared" si="82"/>
        <v>0</v>
      </c>
      <c r="AJ138" s="34">
        <f t="shared" si="83"/>
        <v>10000</v>
      </c>
      <c r="AK138" s="34">
        <f t="shared" si="84"/>
        <v>0</v>
      </c>
      <c r="AL138" s="34">
        <f t="shared" si="85"/>
        <v>0</v>
      </c>
      <c r="AM138" s="34">
        <f t="shared" si="86"/>
        <v>0</v>
      </c>
      <c r="AN138" s="34">
        <f t="shared" si="87"/>
        <v>0</v>
      </c>
      <c r="AO138" s="34">
        <f t="shared" si="88"/>
        <v>0</v>
      </c>
      <c r="AP138">
        <f t="shared" si="89"/>
        <v>1</v>
      </c>
      <c r="AQ138" s="652">
        <f t="shared" si="90"/>
        <v>10000</v>
      </c>
      <c r="AR138" s="652">
        <f t="shared" si="91"/>
        <v>833.33333333333337</v>
      </c>
      <c r="AS138" s="652">
        <f t="shared" si="75"/>
        <v>833.33333333333337</v>
      </c>
      <c r="AT138" s="652">
        <f t="shared" si="75"/>
        <v>833.33333333333337</v>
      </c>
      <c r="AU138" s="652">
        <f t="shared" si="75"/>
        <v>833.33333333333337</v>
      </c>
      <c r="AV138" s="652">
        <f t="shared" si="75"/>
        <v>833.33333333333337</v>
      </c>
      <c r="AW138" s="652">
        <f t="shared" si="75"/>
        <v>833.33333333333337</v>
      </c>
      <c r="AX138" s="652">
        <f t="shared" si="75"/>
        <v>833.33333333333337</v>
      </c>
      <c r="AY138" s="652">
        <f t="shared" si="75"/>
        <v>833.33333333333337</v>
      </c>
      <c r="AZ138" s="652">
        <f t="shared" si="75"/>
        <v>833.33333333333337</v>
      </c>
      <c r="BA138" s="652">
        <f t="shared" si="75"/>
        <v>833.33333333333337</v>
      </c>
      <c r="BB138" s="652">
        <f t="shared" si="75"/>
        <v>833.33333333333337</v>
      </c>
      <c r="BC138" s="652">
        <f t="shared" si="75"/>
        <v>833.33333333333337</v>
      </c>
    </row>
    <row r="139" spans="1:55">
      <c r="A139" t="str">
        <f>+'Product 2026'!A18</f>
        <v>SAPI</v>
      </c>
      <c r="B139" t="str">
        <f>+'Product 2026'!B18</f>
        <v>PRO</v>
      </c>
      <c r="C139" t="str">
        <f>+'Product 2026'!C18</f>
        <v>Mariana Kalifa</v>
      </c>
      <c r="D139" t="str">
        <f>+'Product 2026'!D18</f>
        <v>Payroll</v>
      </c>
      <c r="E139" t="str">
        <f>+'Product 2026'!E18</f>
        <v>TBD</v>
      </c>
      <c r="F139" t="str">
        <f>+'Product 2026'!F18</f>
        <v>Product Intern</v>
      </c>
      <c r="G139" t="str">
        <f>+'Product 2026'!G18</f>
        <v>Capital Becarios</v>
      </c>
      <c r="H139">
        <f>+'Product 2026'!H18</f>
        <v>0</v>
      </c>
      <c r="I139">
        <f>+'Product 2026'!I18</f>
        <v>0</v>
      </c>
      <c r="J139" t="str">
        <f>+'Product 2026'!J18</f>
        <v>603.01.001</v>
      </c>
      <c r="K139" t="str">
        <f>+'Product 2026'!K18</f>
        <v>Sueldos y salarios</v>
      </c>
      <c r="L139" t="str">
        <f>+'Product 2026'!L18</f>
        <v>Sueldos y Salarios</v>
      </c>
      <c r="M139" t="str">
        <f>+'Product 2026'!M18</f>
        <v>MXN</v>
      </c>
      <c r="N139">
        <f>+'Product 2026'!N18</f>
        <v>6486.4864864864867</v>
      </c>
      <c r="O139">
        <f>+'Product 2026'!O18</f>
        <v>120000</v>
      </c>
      <c r="P139">
        <f>+'Product 2026'!P18</f>
        <v>10000</v>
      </c>
      <c r="Q139">
        <f>+'Product 2026'!Q18</f>
        <v>10000</v>
      </c>
      <c r="R139">
        <f>+'Product 2026'!R18</f>
        <v>10000</v>
      </c>
      <c r="S139">
        <f>+'Product 2026'!S18</f>
        <v>10000</v>
      </c>
      <c r="T139">
        <f>+'Product 2026'!T18</f>
        <v>10000</v>
      </c>
      <c r="U139">
        <f>+'Product 2026'!U18</f>
        <v>10000</v>
      </c>
      <c r="V139">
        <f>+'Product 2026'!V18</f>
        <v>10000</v>
      </c>
      <c r="W139">
        <f>+'Product 2026'!W18</f>
        <v>10000</v>
      </c>
      <c r="X139">
        <f>+'Product 2026'!X18</f>
        <v>10000</v>
      </c>
      <c r="Y139">
        <f>+'Product 2026'!Y18</f>
        <v>10000</v>
      </c>
      <c r="Z139">
        <f>+'Product 2026'!Z18</f>
        <v>10000</v>
      </c>
      <c r="AA139">
        <f>+'Product 2026'!AA18</f>
        <v>10000</v>
      </c>
      <c r="AB139">
        <f>+IF(AC139=N139,1)</f>
        <v>1</v>
      </c>
      <c r="AC139" s="34">
        <f t="shared" ref="AC139" si="92">+SUM(AD139:AO139)</f>
        <v>6486.4864864864876</v>
      </c>
      <c r="AD139" s="34">
        <f t="shared" si="77"/>
        <v>540.54054054054052</v>
      </c>
      <c r="AE139" s="34">
        <f t="shared" si="78"/>
        <v>540.54054054054052</v>
      </c>
      <c r="AF139" s="34">
        <f t="shared" si="79"/>
        <v>540.54054054054052</v>
      </c>
      <c r="AG139" s="34">
        <f t="shared" si="80"/>
        <v>540.54054054054052</v>
      </c>
      <c r="AH139" s="34">
        <f t="shared" si="81"/>
        <v>540.54054054054052</v>
      </c>
      <c r="AI139" s="34">
        <f t="shared" si="82"/>
        <v>540.54054054054052</v>
      </c>
      <c r="AJ139" s="34">
        <f t="shared" si="83"/>
        <v>540.54054054054052</v>
      </c>
      <c r="AK139" s="34">
        <f t="shared" si="84"/>
        <v>540.54054054054052</v>
      </c>
      <c r="AL139" s="34">
        <f t="shared" si="85"/>
        <v>540.54054054054052</v>
      </c>
      <c r="AM139" s="34">
        <f t="shared" si="86"/>
        <v>540.54054054054052</v>
      </c>
      <c r="AN139" s="34">
        <f t="shared" si="87"/>
        <v>540.54054054054052</v>
      </c>
      <c r="AO139" s="34">
        <f t="shared" si="88"/>
        <v>540.54054054054052</v>
      </c>
      <c r="AP139">
        <f t="shared" si="89"/>
        <v>1</v>
      </c>
      <c r="AQ139" s="652">
        <f t="shared" si="90"/>
        <v>6486.4864864864876</v>
      </c>
      <c r="AR139" s="652">
        <f t="shared" si="91"/>
        <v>540.54054054054052</v>
      </c>
      <c r="AS139" s="652">
        <f t="shared" si="75"/>
        <v>540.54054054054052</v>
      </c>
      <c r="AT139" s="652">
        <f t="shared" si="75"/>
        <v>540.54054054054052</v>
      </c>
      <c r="AU139" s="652">
        <f t="shared" si="75"/>
        <v>540.54054054054052</v>
      </c>
      <c r="AV139" s="652">
        <f t="shared" si="75"/>
        <v>540.54054054054052</v>
      </c>
      <c r="AW139" s="652">
        <f t="shared" si="75"/>
        <v>540.54054054054052</v>
      </c>
      <c r="AX139" s="652">
        <f t="shared" si="75"/>
        <v>540.54054054054052</v>
      </c>
      <c r="AY139" s="652">
        <f t="shared" si="75"/>
        <v>540.54054054054052</v>
      </c>
      <c r="AZ139" s="652">
        <f t="shared" si="75"/>
        <v>540.54054054054052</v>
      </c>
      <c r="BA139" s="652">
        <f t="shared" si="75"/>
        <v>540.54054054054052</v>
      </c>
      <c r="BB139" s="652">
        <f t="shared" si="75"/>
        <v>540.54054054054052</v>
      </c>
      <c r="BC139" s="652">
        <f t="shared" si="75"/>
        <v>540.54054054054052</v>
      </c>
    </row>
    <row r="140" spans="1:55">
      <c r="A140" s="175" t="str">
        <f>+'Tech 2026'!A28</f>
        <v>SAPI</v>
      </c>
      <c r="B140" s="175" t="str">
        <f>+'Tech 2026'!B28</f>
        <v>TEC</v>
      </c>
      <c r="C140" s="175" t="str">
        <f>+'Tech 2026'!C28</f>
        <v>Mariana Kalifa</v>
      </c>
      <c r="D140" s="175" t="str">
        <f>+'Tech 2026'!D28</f>
        <v>Payroll</v>
      </c>
      <c r="E140" s="175" t="str">
        <f>+'Tech 2026'!E28</f>
        <v>TDB</v>
      </c>
      <c r="F140" s="175" t="str">
        <f>+'Tech 2026'!F28</f>
        <v>Intern Android</v>
      </c>
      <c r="G140" s="175" t="str">
        <f>+'Tech 2026'!G28</f>
        <v>Capital Becarios</v>
      </c>
      <c r="H140" s="175">
        <f>+'Tech 2026'!H28</f>
        <v>0</v>
      </c>
      <c r="I140" s="175">
        <f>+'Tech 2026'!I28</f>
        <v>0</v>
      </c>
      <c r="J140" s="175" t="str">
        <f>+'Tech 2026'!J28</f>
        <v>603.01.001</v>
      </c>
      <c r="K140" s="175" t="str">
        <f>+'Tech 2026'!K28</f>
        <v>Sueldos y salarios</v>
      </c>
      <c r="L140" s="175" t="str">
        <f>+'Tech 2026'!L28</f>
        <v>Sueldos y Salarios</v>
      </c>
      <c r="M140" s="175" t="str">
        <f>+'Tech 2026'!M28</f>
        <v>MXN</v>
      </c>
      <c r="N140" s="175">
        <f>+'Tech 2026'!N28</f>
        <v>6486.4864864864867</v>
      </c>
      <c r="O140" s="175">
        <f>+'Tech 2026'!O28</f>
        <v>120000</v>
      </c>
      <c r="P140" s="175">
        <f>+'Tech 2026'!P28</f>
        <v>10000</v>
      </c>
      <c r="Q140" s="175">
        <f>+'Tech 2026'!Q28</f>
        <v>10000</v>
      </c>
      <c r="R140" s="175">
        <f>+'Tech 2026'!R28</f>
        <v>10000</v>
      </c>
      <c r="S140" s="175">
        <f>+'Tech 2026'!S28</f>
        <v>10000</v>
      </c>
      <c r="T140" s="175">
        <f>+'Tech 2026'!T28</f>
        <v>10000</v>
      </c>
      <c r="U140" s="175">
        <f>+'Tech 2026'!U28</f>
        <v>10000</v>
      </c>
      <c r="V140" s="175">
        <f>+'Tech 2026'!V28</f>
        <v>10000</v>
      </c>
      <c r="W140" s="175">
        <f>+'Tech 2026'!W28</f>
        <v>10000</v>
      </c>
      <c r="X140" s="175">
        <f>+'Tech 2026'!X28</f>
        <v>10000</v>
      </c>
      <c r="Y140" s="175">
        <f>+'Tech 2026'!Y28</f>
        <v>10000</v>
      </c>
      <c r="Z140" s="175">
        <f>+'Tech 2026'!Z28</f>
        <v>10000</v>
      </c>
      <c r="AA140" s="175">
        <f>+'Tech 2026'!AA28</f>
        <v>10000</v>
      </c>
      <c r="AB140">
        <f>+IF(AC140=N140,1)</f>
        <v>1</v>
      </c>
      <c r="AC140" s="34">
        <f t="shared" ref="AC140" si="93">+SUM(AD140:AO140)</f>
        <v>6486.4864864864876</v>
      </c>
      <c r="AD140" s="34">
        <f t="shared" si="77"/>
        <v>540.54054054054052</v>
      </c>
      <c r="AE140" s="34">
        <f t="shared" si="78"/>
        <v>540.54054054054052</v>
      </c>
      <c r="AF140" s="34">
        <f t="shared" si="79"/>
        <v>540.54054054054052</v>
      </c>
      <c r="AG140" s="34">
        <f t="shared" si="80"/>
        <v>540.54054054054052</v>
      </c>
      <c r="AH140" s="34">
        <f t="shared" si="81"/>
        <v>540.54054054054052</v>
      </c>
      <c r="AI140" s="34">
        <f t="shared" si="82"/>
        <v>540.54054054054052</v>
      </c>
      <c r="AJ140" s="34">
        <f t="shared" si="83"/>
        <v>540.54054054054052</v>
      </c>
      <c r="AK140" s="34">
        <f t="shared" si="84"/>
        <v>540.54054054054052</v>
      </c>
      <c r="AL140" s="34">
        <f t="shared" si="85"/>
        <v>540.54054054054052</v>
      </c>
      <c r="AM140" s="34">
        <f t="shared" si="86"/>
        <v>540.54054054054052</v>
      </c>
      <c r="AN140" s="34">
        <f t="shared" si="87"/>
        <v>540.54054054054052</v>
      </c>
      <c r="AO140" s="34">
        <f t="shared" si="88"/>
        <v>540.54054054054052</v>
      </c>
      <c r="AP140">
        <f t="shared" si="89"/>
        <v>1</v>
      </c>
      <c r="AQ140" s="652">
        <f t="shared" si="90"/>
        <v>6486.4864864864876</v>
      </c>
      <c r="AR140" s="652">
        <f t="shared" si="91"/>
        <v>540.54054054054052</v>
      </c>
      <c r="AS140" s="652">
        <f t="shared" si="75"/>
        <v>540.54054054054052</v>
      </c>
      <c r="AT140" s="652">
        <f t="shared" si="75"/>
        <v>540.54054054054052</v>
      </c>
      <c r="AU140" s="652">
        <f t="shared" si="75"/>
        <v>540.54054054054052</v>
      </c>
      <c r="AV140" s="652">
        <f t="shared" si="75"/>
        <v>540.54054054054052</v>
      </c>
      <c r="AW140" s="652">
        <f t="shared" si="75"/>
        <v>540.54054054054052</v>
      </c>
      <c r="AX140" s="652">
        <f t="shared" si="75"/>
        <v>540.54054054054052</v>
      </c>
      <c r="AY140" s="652">
        <f t="shared" si="75"/>
        <v>540.54054054054052</v>
      </c>
      <c r="AZ140" s="652">
        <f t="shared" si="75"/>
        <v>540.54054054054052</v>
      </c>
      <c r="BA140" s="652">
        <f t="shared" si="75"/>
        <v>540.54054054054052</v>
      </c>
      <c r="BB140" s="652">
        <f t="shared" si="75"/>
        <v>540.54054054054052</v>
      </c>
      <c r="BC140" s="652">
        <f t="shared" si="75"/>
        <v>540.54054054054052</v>
      </c>
    </row>
    <row r="141" spans="1:55">
      <c r="A141" t="str">
        <f>+'BizOps 2026'!A50</f>
        <v>ADM</v>
      </c>
      <c r="B141" t="str">
        <f>+'BizOps 2026'!B50</f>
        <v>ADM</v>
      </c>
      <c r="C141" t="str">
        <f>+'BizOps 2026'!C50</f>
        <v>Maria Josefa Avalos</v>
      </c>
      <c r="D141" t="str">
        <f>+'BizOps 2026'!D50</f>
        <v>Laptops nuevas</v>
      </c>
      <c r="E141" t="str">
        <f>+'BizOps 2026'!E50</f>
        <v>Laptops</v>
      </c>
      <c r="F141" t="str">
        <f>+'BizOps 2026'!F50</f>
        <v>2 Laptops</v>
      </c>
      <c r="G141">
        <f>+'BizOps 2026'!G50</f>
        <v>0</v>
      </c>
      <c r="H141" t="str">
        <f>+'BizOps 2026'!H50</f>
        <v xml:space="preserve">6 laptops - 25k cada una </v>
      </c>
      <c r="I141">
        <f>+'BizOps 2026'!I50</f>
        <v>0</v>
      </c>
      <c r="J141" t="str">
        <f>+'BizOps 2026'!J50</f>
        <v>156.01.001</v>
      </c>
      <c r="K141" t="str">
        <f>+'BizOps 2026'!K50</f>
        <v>EQUIPO DE COMPUTO</v>
      </c>
      <c r="L141" t="str">
        <f>+'BizOps 2026'!L50</f>
        <v>CAPEX</v>
      </c>
      <c r="M141" t="str">
        <f>+'BizOps 2026'!M50</f>
        <v>MXN</v>
      </c>
      <c r="N141">
        <f>+'BizOps 2026'!N50</f>
        <v>8108.1081081081084</v>
      </c>
      <c r="O141">
        <f>+'BizOps 2026'!O50</f>
        <v>150000</v>
      </c>
      <c r="P141">
        <f>+'BizOps 2026'!P50</f>
        <v>0</v>
      </c>
      <c r="Q141">
        <f>+'BizOps 2026'!Q50</f>
        <v>25000</v>
      </c>
      <c r="R141">
        <f>+'BizOps 2026'!R50</f>
        <v>25000</v>
      </c>
      <c r="S141">
        <f>+'BizOps 2026'!S50</f>
        <v>25000</v>
      </c>
      <c r="T141">
        <f>+'BizOps 2026'!T50</f>
        <v>25000</v>
      </c>
      <c r="U141">
        <f>+'BizOps 2026'!U50</f>
        <v>25000</v>
      </c>
      <c r="V141">
        <f>+'BizOps 2026'!V50</f>
        <v>25000</v>
      </c>
      <c r="W141">
        <f>+'BizOps 2026'!W50</f>
        <v>0</v>
      </c>
      <c r="X141">
        <f>+'BizOps 2026'!X50</f>
        <v>0</v>
      </c>
      <c r="Y141">
        <f>+'BizOps 2026'!Y50</f>
        <v>0</v>
      </c>
      <c r="Z141">
        <f>+'BizOps 2026'!Z50</f>
        <v>0</v>
      </c>
      <c r="AA141">
        <f>+'BizOps 2026'!AA50</f>
        <v>0</v>
      </c>
      <c r="AB141">
        <f>+IF(AC141=N141,1)</f>
        <v>1</v>
      </c>
      <c r="AC141" s="34">
        <f t="shared" ref="AC141" si="94">+SUM(AD141:AO141)</f>
        <v>8108.1081081081084</v>
      </c>
      <c r="AD141" s="34">
        <f t="shared" ref="AD141:AD142" si="95">+IF($M141="MXN",P141/$AC$2,IF($M141="BRL",P141/$AC$3,IF($M141="EUR",P141*$AC$1,P141)))</f>
        <v>0</v>
      </c>
      <c r="AE141" s="34">
        <f t="shared" ref="AE141:AE142" si="96">+IF($M141="MXN",Q141/$AC$2,IF($M141="BRL",Q141/$AC$3,IF($M141="EUR",Q141*$AC$1,Q141)))</f>
        <v>1351.3513513513512</v>
      </c>
      <c r="AF141" s="34">
        <f t="shared" ref="AF141:AF142" si="97">+IF($M141="MXN",R141/$AC$2,IF($M141="BRL",R141/$AC$3,IF($M141="EUR",R141*$AC$1,R141)))</f>
        <v>1351.3513513513512</v>
      </c>
      <c r="AG141" s="34">
        <f t="shared" ref="AG141:AG142" si="98">+IF($M141="MXN",S141/$AC$2,IF($M141="BRL",S141/$AC$3,IF($M141="EUR",S141*$AC$1,S141)))</f>
        <v>1351.3513513513512</v>
      </c>
      <c r="AH141" s="34">
        <f t="shared" ref="AH141:AH142" si="99">+IF($M141="MXN",T141/$AC$2,IF($M141="BRL",T141/$AC$3,IF($M141="EUR",T141*$AC$1,T141)))</f>
        <v>1351.3513513513512</v>
      </c>
      <c r="AI141" s="34">
        <f t="shared" ref="AI141:AI142" si="100">+IF($M141="MXN",U141/$AC$2,IF($M141="BRL",U141/$AC$3,IF($M141="EUR",U141*$AC$1,U141)))</f>
        <v>1351.3513513513512</v>
      </c>
      <c r="AJ141" s="34">
        <f t="shared" ref="AJ141:AJ142" si="101">+IF($M141="MXN",V141/$AC$2,IF($M141="BRL",V141/$AC$3,IF($M141="EUR",V141*$AC$1,V141)))</f>
        <v>1351.3513513513512</v>
      </c>
      <c r="AK141" s="34">
        <f t="shared" ref="AK141:AK142" si="102">+IF($M141="MXN",W141/$AC$2,IF($M141="BRL",W141/$AC$3,IF($M141="EUR",W141*$AC$1,W141)))</f>
        <v>0</v>
      </c>
      <c r="AL141" s="34">
        <f t="shared" ref="AL141:AL142" si="103">+IF($M141="MXN",X141/$AC$2,IF($M141="BRL",X141/$AC$3,IF($M141="EUR",X141*$AC$1,X141)))</f>
        <v>0</v>
      </c>
      <c r="AM141" s="34">
        <f t="shared" ref="AM141:AM142" si="104">+IF($M141="MXN",Y141/$AC$2,IF($M141="BRL",Y141/$AC$3,IF($M141="EUR",Y141*$AC$1,Y141)))</f>
        <v>0</v>
      </c>
      <c r="AN141" s="34">
        <f t="shared" ref="AN141:AN142" si="105">+IF($M141="MXN",Z141/$AC$2,IF($M141="BRL",Z141/$AC$3,IF($M141="EUR",Z141*$AC$1,Z141)))</f>
        <v>0</v>
      </c>
      <c r="AO141" s="34">
        <f t="shared" ref="AO141:AO142" si="106">+IF($M141="MXN",AA141/$AC$2,IF($M141="BRL",AA141/$AC$3,IF($M141="EUR",AA141*$AC$1,AA141)))</f>
        <v>0</v>
      </c>
      <c r="AP141">
        <f t="shared" si="89"/>
        <v>1</v>
      </c>
      <c r="AQ141" s="652">
        <f t="shared" si="90"/>
        <v>8108.1081081081093</v>
      </c>
      <c r="AR141" s="652">
        <f t="shared" si="91"/>
        <v>675.67567567567573</v>
      </c>
      <c r="AS141" s="652">
        <f t="shared" si="75"/>
        <v>675.67567567567573</v>
      </c>
      <c r="AT141" s="652">
        <f t="shared" si="75"/>
        <v>675.67567567567573</v>
      </c>
      <c r="AU141" s="652">
        <f t="shared" si="75"/>
        <v>675.67567567567573</v>
      </c>
      <c r="AV141" s="652">
        <f t="shared" si="75"/>
        <v>675.67567567567573</v>
      </c>
      <c r="AW141" s="652">
        <f t="shared" si="75"/>
        <v>675.67567567567573</v>
      </c>
      <c r="AX141" s="652">
        <f t="shared" si="75"/>
        <v>675.67567567567573</v>
      </c>
      <c r="AY141" s="652">
        <f t="shared" si="75"/>
        <v>675.67567567567573</v>
      </c>
      <c r="AZ141" s="652">
        <f t="shared" si="75"/>
        <v>675.67567567567573</v>
      </c>
      <c r="BA141" s="652">
        <f t="shared" si="75"/>
        <v>675.67567567567573</v>
      </c>
      <c r="BB141" s="652">
        <f t="shared" si="75"/>
        <v>675.67567567567573</v>
      </c>
      <c r="BC141" s="652">
        <f t="shared" si="75"/>
        <v>675.67567567567573</v>
      </c>
    </row>
    <row r="142" spans="1:55">
      <c r="A142" t="str">
        <f>+'Product 2026'!A25</f>
        <v>SAPI</v>
      </c>
      <c r="B142" t="str">
        <f>+'Product 2026'!B25</f>
        <v>PRO</v>
      </c>
      <c r="C142" t="str">
        <f>+'Product 2026'!C25</f>
        <v>Mariana Kalifa</v>
      </c>
      <c r="D142" t="str">
        <f>+'Product 2026'!D25</f>
        <v>Payroll</v>
      </c>
      <c r="E142" t="str">
        <f>+'Product 2026'!E25</f>
        <v>Impuestos</v>
      </c>
      <c r="F142" t="str">
        <f>+'Product 2026'!F25</f>
        <v>SIPARE (SAR, IMSS, INFONAVIT (avg. 22%))</v>
      </c>
      <c r="G142" t="str">
        <f>+'Product 2026'!G25</f>
        <v>Invoice</v>
      </c>
      <c r="H142">
        <f>+'Product 2026'!H25</f>
        <v>0</v>
      </c>
      <c r="I142">
        <f>+'Product 2026'!I25</f>
        <v>0</v>
      </c>
      <c r="J142" t="str">
        <f>+'Product 2026'!J25</f>
        <v>603.01.001</v>
      </c>
      <c r="K142" t="str">
        <f>+'Product 2026'!K25</f>
        <v>Sueldos y salarios</v>
      </c>
      <c r="L142" t="str">
        <f>+'Product 2026'!L25</f>
        <v>Sueldos y Salarios</v>
      </c>
      <c r="M142" t="str">
        <f>+'Product 2026'!M25</f>
        <v>MXN</v>
      </c>
      <c r="N142">
        <f>+'Product 2026'!N25</f>
        <v>5043.8918918918926</v>
      </c>
      <c r="O142">
        <f>+'Product 2026'!O25</f>
        <v>93312.000000000015</v>
      </c>
      <c r="P142">
        <f>+'Product 2026'!P25</f>
        <v>15552.000000000002</v>
      </c>
      <c r="Q142">
        <f>+'Product 2026'!Q25</f>
        <v>0</v>
      </c>
      <c r="R142">
        <f>+'Product 2026'!R25</f>
        <v>15552.000000000002</v>
      </c>
      <c r="S142">
        <f>+'Product 2026'!S25</f>
        <v>0</v>
      </c>
      <c r="T142">
        <f>+'Product 2026'!T25</f>
        <v>15552.000000000002</v>
      </c>
      <c r="U142">
        <f>+'Product 2026'!U25</f>
        <v>0</v>
      </c>
      <c r="V142">
        <f>+'Product 2026'!V25</f>
        <v>15552.000000000002</v>
      </c>
      <c r="W142">
        <f>+'Product 2026'!W25</f>
        <v>0</v>
      </c>
      <c r="X142">
        <f>+'Product 2026'!X25</f>
        <v>15552.000000000002</v>
      </c>
      <c r="Y142">
        <f>+'Product 2026'!Y25</f>
        <v>0</v>
      </c>
      <c r="Z142">
        <f>+'Product 2026'!Z25</f>
        <v>15552.000000000002</v>
      </c>
      <c r="AA142">
        <f>+'Product 2026'!AA25</f>
        <v>0</v>
      </c>
      <c r="AB142">
        <f t="shared" ref="AB142" si="107">+IF(AC142=N142,1)</f>
        <v>1</v>
      </c>
      <c r="AC142" s="34">
        <f t="shared" ref="AC142" si="108">+SUM(AD142:AO142)</f>
        <v>5043.8918918918916</v>
      </c>
      <c r="AD142" s="34">
        <f t="shared" si="95"/>
        <v>840.64864864864876</v>
      </c>
      <c r="AE142" s="34">
        <f t="shared" si="96"/>
        <v>0</v>
      </c>
      <c r="AF142" s="34">
        <f t="shared" si="97"/>
        <v>840.64864864864876</v>
      </c>
      <c r="AG142" s="34">
        <f t="shared" si="98"/>
        <v>0</v>
      </c>
      <c r="AH142" s="34">
        <f t="shared" si="99"/>
        <v>840.64864864864876</v>
      </c>
      <c r="AI142" s="34">
        <f t="shared" si="100"/>
        <v>0</v>
      </c>
      <c r="AJ142" s="34">
        <f t="shared" si="101"/>
        <v>840.64864864864876</v>
      </c>
      <c r="AK142" s="34">
        <f t="shared" si="102"/>
        <v>0</v>
      </c>
      <c r="AL142" s="34">
        <f t="shared" si="103"/>
        <v>840.64864864864876</v>
      </c>
      <c r="AM142" s="34">
        <f t="shared" si="104"/>
        <v>0</v>
      </c>
      <c r="AN142" s="34">
        <f t="shared" si="105"/>
        <v>840.64864864864876</v>
      </c>
      <c r="AO142" s="34">
        <f t="shared" si="106"/>
        <v>0</v>
      </c>
      <c r="AP142">
        <f t="shared" ref="AP142:AP145" si="109">+IF(AQ142=N142,1)</f>
        <v>1</v>
      </c>
      <c r="AQ142" s="652">
        <f t="shared" ref="AQ142:AQ145" si="110">+SUM(AR142:BC142)</f>
        <v>5043.8918918918907</v>
      </c>
      <c r="AR142" s="652">
        <f t="shared" si="91"/>
        <v>420.32432432432438</v>
      </c>
      <c r="AS142" s="652">
        <f t="shared" si="75"/>
        <v>420.32432432432438</v>
      </c>
      <c r="AT142" s="652">
        <f t="shared" si="75"/>
        <v>420.32432432432438</v>
      </c>
      <c r="AU142" s="652">
        <f t="shared" si="75"/>
        <v>420.32432432432438</v>
      </c>
      <c r="AV142" s="652">
        <f t="shared" si="75"/>
        <v>420.32432432432438</v>
      </c>
      <c r="AW142" s="652">
        <f t="shared" si="75"/>
        <v>420.32432432432438</v>
      </c>
      <c r="AX142" s="652">
        <f t="shared" si="75"/>
        <v>420.32432432432438</v>
      </c>
      <c r="AY142" s="652">
        <f t="shared" si="75"/>
        <v>420.32432432432438</v>
      </c>
      <c r="AZ142" s="652">
        <f t="shared" si="75"/>
        <v>420.32432432432438</v>
      </c>
      <c r="BA142" s="652">
        <f t="shared" si="75"/>
        <v>420.32432432432438</v>
      </c>
      <c r="BB142" s="652">
        <f t="shared" si="75"/>
        <v>420.32432432432438</v>
      </c>
      <c r="BC142" s="652">
        <f t="shared" si="75"/>
        <v>420.32432432432438</v>
      </c>
    </row>
    <row r="143" spans="1:55">
      <c r="A143" s="175" t="str">
        <f>+'Tech 2026'!A35</f>
        <v>SAPI</v>
      </c>
      <c r="B143" s="175" t="str">
        <f>+'Tech 2026'!B35</f>
        <v>TEC</v>
      </c>
      <c r="C143" s="175" t="str">
        <f>+'Tech 2026'!C35</f>
        <v>Mariana Kalifa</v>
      </c>
      <c r="D143" s="175" t="str">
        <f>+'Tech 2026'!D35</f>
        <v>Payroll</v>
      </c>
      <c r="E143" s="175" t="str">
        <f>+'Tech 2026'!E35</f>
        <v>Impuestos</v>
      </c>
      <c r="F143" s="175" t="str">
        <f>+'Tech 2026'!F35</f>
        <v>ISN 3%</v>
      </c>
      <c r="G143" s="175" t="str">
        <f>+'Tech 2026'!G35</f>
        <v>Invoice</v>
      </c>
      <c r="H143" s="175">
        <f>+'Tech 2026'!H35</f>
        <v>0</v>
      </c>
      <c r="I143" s="175">
        <f>+'Tech 2026'!I35</f>
        <v>0</v>
      </c>
      <c r="J143" s="175" t="str">
        <f>+'Tech 2026'!J35</f>
        <v>603.01.001</v>
      </c>
      <c r="K143" s="175" t="str">
        <f>+'Tech 2026'!K35</f>
        <v>Sueldos y salarios</v>
      </c>
      <c r="L143" s="175" t="str">
        <f>+'Tech 2026'!L35</f>
        <v>Sueldos y Salarios</v>
      </c>
      <c r="M143" s="175" t="str">
        <f>+'Tech 2026'!M35</f>
        <v>MXN</v>
      </c>
      <c r="N143" s="175">
        <f>+'Tech 2026'!N35</f>
        <v>8683.864864864865</v>
      </c>
      <c r="O143" s="175">
        <f>+'Tech 2026'!O35</f>
        <v>160651.5</v>
      </c>
      <c r="P143" s="175">
        <f>+'Tech 2026'!P35</f>
        <v>13305.375</v>
      </c>
      <c r="Q143" s="175">
        <f>+'Tech 2026'!Q35</f>
        <v>13305.375</v>
      </c>
      <c r="R143" s="175">
        <f>+'Tech 2026'!R35</f>
        <v>13305.375</v>
      </c>
      <c r="S143" s="175">
        <f>+'Tech 2026'!S35</f>
        <v>13305.375</v>
      </c>
      <c r="T143" s="175">
        <f>+'Tech 2026'!T35</f>
        <v>13305.375</v>
      </c>
      <c r="U143" s="175">
        <f>+'Tech 2026'!U35</f>
        <v>13446.375</v>
      </c>
      <c r="V143" s="175">
        <f>+'Tech 2026'!V35</f>
        <v>13446.375</v>
      </c>
      <c r="W143" s="175">
        <f>+'Tech 2026'!W35</f>
        <v>13446.375</v>
      </c>
      <c r="X143" s="175">
        <f>+'Tech 2026'!X35</f>
        <v>13446.375</v>
      </c>
      <c r="Y143" s="175">
        <f>+'Tech 2026'!Y35</f>
        <v>13446.375</v>
      </c>
      <c r="Z143" s="175">
        <f>+'Tech 2026'!Z35</f>
        <v>13446.375</v>
      </c>
      <c r="AA143" s="175">
        <f>+'Tech 2026'!AA35</f>
        <v>13446.375</v>
      </c>
      <c r="AB143" t="b">
        <f t="shared" ref="AB143" si="111">+IF(AC143=N143,1)</f>
        <v>0</v>
      </c>
      <c r="AC143" s="34">
        <f t="shared" ref="AC143" si="112">+SUM(AD143:AO143)</f>
        <v>8683.8648648648632</v>
      </c>
      <c r="AD143" s="34">
        <f t="shared" ref="AD143" si="113">+IF($M143="MXN",P143/$AC$2,IF($M143="BRL",P143/$AC$3,IF($M143="EUR",P143*$AC$1,P143)))</f>
        <v>719.20945945945948</v>
      </c>
      <c r="AE143" s="34">
        <f t="shared" ref="AE143" si="114">+IF($M143="MXN",Q143/$AC$2,IF($M143="BRL",Q143/$AC$3,IF($M143="EUR",Q143*$AC$1,Q143)))</f>
        <v>719.20945945945948</v>
      </c>
      <c r="AF143" s="34">
        <f t="shared" ref="AF143" si="115">+IF($M143="MXN",R143/$AC$2,IF($M143="BRL",R143/$AC$3,IF($M143="EUR",R143*$AC$1,R143)))</f>
        <v>719.20945945945948</v>
      </c>
      <c r="AG143" s="34">
        <f t="shared" ref="AG143" si="116">+IF($M143="MXN",S143/$AC$2,IF($M143="BRL",S143/$AC$3,IF($M143="EUR",S143*$AC$1,S143)))</f>
        <v>719.20945945945948</v>
      </c>
      <c r="AH143" s="34">
        <f t="shared" ref="AH143" si="117">+IF($M143="MXN",T143/$AC$2,IF($M143="BRL",T143/$AC$3,IF($M143="EUR",T143*$AC$1,T143)))</f>
        <v>719.20945945945948</v>
      </c>
      <c r="AI143" s="34">
        <f t="shared" ref="AI143" si="118">+IF($M143="MXN",U143/$AC$2,IF($M143="BRL",U143/$AC$3,IF($M143="EUR",U143*$AC$1,U143)))</f>
        <v>726.83108108108104</v>
      </c>
      <c r="AJ143" s="34">
        <f t="shared" ref="AJ143" si="119">+IF($M143="MXN",V143/$AC$2,IF($M143="BRL",V143/$AC$3,IF($M143="EUR",V143*$AC$1,V143)))</f>
        <v>726.83108108108104</v>
      </c>
      <c r="AK143" s="34">
        <f t="shared" ref="AK143" si="120">+IF($M143="MXN",W143/$AC$2,IF($M143="BRL",W143/$AC$3,IF($M143="EUR",W143*$AC$1,W143)))</f>
        <v>726.83108108108104</v>
      </c>
      <c r="AL143" s="34">
        <f t="shared" ref="AL143" si="121">+IF($M143="MXN",X143/$AC$2,IF($M143="BRL",X143/$AC$3,IF($M143="EUR",X143*$AC$1,X143)))</f>
        <v>726.83108108108104</v>
      </c>
      <c r="AM143" s="34">
        <f t="shared" ref="AM143" si="122">+IF($M143="MXN",Y143/$AC$2,IF($M143="BRL",Y143/$AC$3,IF($M143="EUR",Y143*$AC$1,Y143)))</f>
        <v>726.83108108108104</v>
      </c>
      <c r="AN143" s="34">
        <f t="shared" ref="AN143" si="123">+IF($M143="MXN",Z143/$AC$2,IF($M143="BRL",Z143/$AC$3,IF($M143="EUR",Z143*$AC$1,Z143)))</f>
        <v>726.83108108108104</v>
      </c>
      <c r="AO143" s="34">
        <f t="shared" ref="AO143" si="124">+IF($M143="MXN",AA143/$AC$2,IF($M143="BRL",AA143/$AC$3,IF($M143="EUR",AA143*$AC$1,AA143)))</f>
        <v>726.83108108108104</v>
      </c>
      <c r="AP143" t="b">
        <f t="shared" si="109"/>
        <v>0</v>
      </c>
      <c r="AQ143" s="652">
        <f t="shared" si="110"/>
        <v>8683.8648648648632</v>
      </c>
      <c r="AR143" s="652">
        <f t="shared" si="91"/>
        <v>723.65540540540542</v>
      </c>
      <c r="AS143" s="652">
        <f t="shared" si="75"/>
        <v>723.65540540540542</v>
      </c>
      <c r="AT143" s="652">
        <f t="shared" si="75"/>
        <v>723.65540540540542</v>
      </c>
      <c r="AU143" s="652">
        <f t="shared" si="75"/>
        <v>723.65540540540542</v>
      </c>
      <c r="AV143" s="652">
        <f t="shared" si="75"/>
        <v>723.65540540540542</v>
      </c>
      <c r="AW143" s="652">
        <f t="shared" si="75"/>
        <v>723.65540540540542</v>
      </c>
      <c r="AX143" s="652">
        <f t="shared" si="75"/>
        <v>723.65540540540542</v>
      </c>
      <c r="AY143" s="652">
        <f t="shared" si="75"/>
        <v>723.65540540540542</v>
      </c>
      <c r="AZ143" s="652">
        <f t="shared" si="75"/>
        <v>723.65540540540542</v>
      </c>
      <c r="BA143" s="652">
        <f t="shared" si="75"/>
        <v>723.65540540540542</v>
      </c>
      <c r="BB143" s="652">
        <f t="shared" si="75"/>
        <v>723.65540540540542</v>
      </c>
      <c r="BC143" s="652">
        <f t="shared" si="75"/>
        <v>723.65540540540542</v>
      </c>
    </row>
    <row r="144" spans="1:55">
      <c r="A144" s="175" t="str">
        <f>+'Marketing 2025'!A40</f>
        <v>SAPI</v>
      </c>
      <c r="B144" s="175" t="str">
        <f>+'Marketing 2025'!B40</f>
        <v>CREC</v>
      </c>
      <c r="C144" s="175" t="str">
        <f>+'Marketing 2025'!C40</f>
        <v>Martha Gutierrez</v>
      </c>
      <c r="D144" s="175" t="str">
        <f>+'Marketing 2025'!D40</f>
        <v>Payroll</v>
      </c>
      <c r="E144" s="175" t="str">
        <f>+'Marketing 2025'!E40</f>
        <v>Impuestos</v>
      </c>
      <c r="F144" s="175" t="str">
        <f>+'Marketing 2025'!F40</f>
        <v>ISN 3%</v>
      </c>
      <c r="G144" s="175">
        <f>+'Marketing 2025'!G40</f>
        <v>0</v>
      </c>
      <c r="H144" s="175">
        <f>+'Marketing 2025'!H40</f>
        <v>0</v>
      </c>
      <c r="I144" s="175">
        <f>+'Marketing 2025'!I40</f>
        <v>0</v>
      </c>
      <c r="J144" s="175" t="str">
        <f>+'Marketing 2025'!J40</f>
        <v>603.01.001</v>
      </c>
      <c r="K144" s="175" t="str">
        <f>+'Marketing 2025'!K40</f>
        <v>Sueldos y salarios</v>
      </c>
      <c r="L144" s="175" t="str">
        <f>+'Marketing 2025'!L40</f>
        <v>Sueldos y Salarios</v>
      </c>
      <c r="M144" s="175" t="str">
        <f>+'Marketing 2025'!M40</f>
        <v>MXN</v>
      </c>
      <c r="N144" s="175">
        <f>+'Marketing 2025'!N40</f>
        <v>1810.313513513514</v>
      </c>
      <c r="O144" s="175">
        <f>+'Marketing 2025'!O40</f>
        <v>33490.80000000001</v>
      </c>
      <c r="P144" s="175">
        <f>+'Marketing 2025'!P40</f>
        <v>2790.9</v>
      </c>
      <c r="Q144" s="175">
        <f>+'Marketing 2025'!Q40</f>
        <v>2790.9</v>
      </c>
      <c r="R144" s="175">
        <f>+'Marketing 2025'!R40</f>
        <v>2790.9</v>
      </c>
      <c r="S144" s="175">
        <f>+'Marketing 2025'!S40</f>
        <v>2790.9</v>
      </c>
      <c r="T144" s="175">
        <f>+'Marketing 2025'!T40</f>
        <v>2790.9</v>
      </c>
      <c r="U144" s="175">
        <f>+'Marketing 2025'!U40</f>
        <v>2790.9</v>
      </c>
      <c r="V144" s="175">
        <f>+'Marketing 2025'!V40</f>
        <v>2790.9</v>
      </c>
      <c r="W144" s="175">
        <f>+'Marketing 2025'!W40</f>
        <v>2790.9</v>
      </c>
      <c r="X144" s="175">
        <f>+'Marketing 2025'!X40</f>
        <v>2790.9</v>
      </c>
      <c r="Y144" s="175">
        <f>+'Marketing 2025'!Y40</f>
        <v>2790.9</v>
      </c>
      <c r="Z144" s="175">
        <f>+'Marketing 2025'!Z40</f>
        <v>2790.9</v>
      </c>
      <c r="AA144" s="175">
        <f>+'Marketing 2025'!AA40</f>
        <v>2790.9</v>
      </c>
      <c r="AB144">
        <f t="shared" ref="AB144" si="125">+IF(AC144=N144,1)</f>
        <v>1</v>
      </c>
      <c r="AC144" s="34">
        <f t="shared" ref="AC144" si="126">+SUM(AD144:AO144)</f>
        <v>1810.3135135135135</v>
      </c>
      <c r="AD144" s="34">
        <f t="shared" ref="AD144" si="127">+IF($M144="MXN",P144/$AC$2,IF($M144="BRL",P144/$AC$3,IF($M144="EUR",P144*$AC$1,P144)))</f>
        <v>150.85945945945946</v>
      </c>
      <c r="AE144" s="34">
        <f t="shared" ref="AE144" si="128">+IF($M144="MXN",Q144/$AC$2,IF($M144="BRL",Q144/$AC$3,IF($M144="EUR",Q144*$AC$1,Q144)))</f>
        <v>150.85945945945946</v>
      </c>
      <c r="AF144" s="34">
        <f t="shared" ref="AF144" si="129">+IF($M144="MXN",R144/$AC$2,IF($M144="BRL",R144/$AC$3,IF($M144="EUR",R144*$AC$1,R144)))</f>
        <v>150.85945945945946</v>
      </c>
      <c r="AG144" s="34">
        <f t="shared" ref="AG144" si="130">+IF($M144="MXN",S144/$AC$2,IF($M144="BRL",S144/$AC$3,IF($M144="EUR",S144*$AC$1,S144)))</f>
        <v>150.85945945945946</v>
      </c>
      <c r="AH144" s="34">
        <f t="shared" ref="AH144" si="131">+IF($M144="MXN",T144/$AC$2,IF($M144="BRL",T144/$AC$3,IF($M144="EUR",T144*$AC$1,T144)))</f>
        <v>150.85945945945946</v>
      </c>
      <c r="AI144" s="34">
        <f t="shared" ref="AI144" si="132">+IF($M144="MXN",U144/$AC$2,IF($M144="BRL",U144/$AC$3,IF($M144="EUR",U144*$AC$1,U144)))</f>
        <v>150.85945945945946</v>
      </c>
      <c r="AJ144" s="34">
        <f t="shared" ref="AJ144" si="133">+IF($M144="MXN",V144/$AC$2,IF($M144="BRL",V144/$AC$3,IF($M144="EUR",V144*$AC$1,V144)))</f>
        <v>150.85945945945946</v>
      </c>
      <c r="AK144" s="34">
        <f t="shared" ref="AK144" si="134">+IF($M144="MXN",W144/$AC$2,IF($M144="BRL",W144/$AC$3,IF($M144="EUR",W144*$AC$1,W144)))</f>
        <v>150.85945945945946</v>
      </c>
      <c r="AL144" s="34">
        <f t="shared" ref="AL144" si="135">+IF($M144="MXN",X144/$AC$2,IF($M144="BRL",X144/$AC$3,IF($M144="EUR",X144*$AC$1,X144)))</f>
        <v>150.85945945945946</v>
      </c>
      <c r="AM144" s="34">
        <f t="shared" ref="AM144" si="136">+IF($M144="MXN",Y144/$AC$2,IF($M144="BRL",Y144/$AC$3,IF($M144="EUR",Y144*$AC$1,Y144)))</f>
        <v>150.85945945945946</v>
      </c>
      <c r="AN144" s="34">
        <f t="shared" ref="AN144" si="137">+IF($M144="MXN",Z144/$AC$2,IF($M144="BRL",Z144/$AC$3,IF($M144="EUR",Z144*$AC$1,Z144)))</f>
        <v>150.85945945945946</v>
      </c>
      <c r="AO144" s="34">
        <f t="shared" ref="AO144" si="138">+IF($M144="MXN",AA144/$AC$2,IF($M144="BRL",AA144/$AC$3,IF($M144="EUR",AA144*$AC$1,AA144)))</f>
        <v>150.85945945945946</v>
      </c>
      <c r="AP144">
        <f t="shared" si="109"/>
        <v>1</v>
      </c>
      <c r="AQ144" s="652">
        <f t="shared" si="110"/>
        <v>1810.3135135135137</v>
      </c>
      <c r="AR144" s="652">
        <f t="shared" si="91"/>
        <v>150.85945945945949</v>
      </c>
      <c r="AS144" s="652">
        <f t="shared" si="75"/>
        <v>150.85945945945949</v>
      </c>
      <c r="AT144" s="652">
        <f t="shared" si="75"/>
        <v>150.85945945945949</v>
      </c>
      <c r="AU144" s="652">
        <f t="shared" si="75"/>
        <v>150.85945945945949</v>
      </c>
      <c r="AV144" s="652">
        <f t="shared" si="75"/>
        <v>150.85945945945949</v>
      </c>
      <c r="AW144" s="652">
        <f t="shared" si="75"/>
        <v>150.85945945945949</v>
      </c>
      <c r="AX144" s="652">
        <f t="shared" si="75"/>
        <v>150.85945945945949</v>
      </c>
      <c r="AY144" s="652">
        <f t="shared" si="75"/>
        <v>150.85945945945949</v>
      </c>
      <c r="AZ144" s="652">
        <f t="shared" si="75"/>
        <v>150.85945945945949</v>
      </c>
      <c r="BA144" s="652">
        <f t="shared" si="75"/>
        <v>150.85945945945949</v>
      </c>
      <c r="BB144" s="652">
        <f t="shared" si="75"/>
        <v>150.85945945945949</v>
      </c>
      <c r="BC144" s="652">
        <f t="shared" si="75"/>
        <v>150.85945945945949</v>
      </c>
    </row>
    <row r="145" spans="1:55">
      <c r="A145" t="str">
        <f>+'Content 2026'!A39</f>
        <v>SAPI</v>
      </c>
      <c r="B145" t="str">
        <f>+'Content 2026'!B39</f>
        <v>Content</v>
      </c>
      <c r="C145" t="str">
        <f>+'Content 2026'!C39</f>
        <v>Nathalia Pontes</v>
      </c>
      <c r="D145" t="str">
        <f>+'Content 2026'!D39</f>
        <v>Payroll</v>
      </c>
      <c r="E145" t="str">
        <f>+'Content 2026'!E39</f>
        <v>Impuestos</v>
      </c>
      <c r="F145" t="str">
        <f>+'Content 2026'!F39</f>
        <v>ISN 3%</v>
      </c>
      <c r="G145">
        <f>+'Content 2026'!G39</f>
        <v>0</v>
      </c>
      <c r="H145">
        <f>+'Content 2026'!H39</f>
        <v>0</v>
      </c>
      <c r="I145">
        <f>+'Content 2026'!I39</f>
        <v>0</v>
      </c>
      <c r="J145" t="str">
        <f>+'Content 2026'!J39</f>
        <v>603.01.001</v>
      </c>
      <c r="K145" t="str">
        <f>+'Content 2026'!K39</f>
        <v>Sueldos y salarios</v>
      </c>
      <c r="L145" t="str">
        <f>+'Content 2026'!L39</f>
        <v>Sueldos y Salarios</v>
      </c>
      <c r="M145" t="str">
        <f>+'Content 2026'!M39</f>
        <v>MXN</v>
      </c>
      <c r="N145">
        <f>+'Content 2026'!N39</f>
        <v>2036.2078378378378</v>
      </c>
      <c r="O145">
        <f>+'Content 2026'!O39</f>
        <v>37669.845000000001</v>
      </c>
      <c r="P145">
        <f>+'Content 2026'!P39</f>
        <v>3121.6537499999999</v>
      </c>
      <c r="Q145">
        <f>+'Content 2026'!Q39</f>
        <v>3121.6537499999999</v>
      </c>
      <c r="R145">
        <f>+'Content 2026'!R39</f>
        <v>3121.6537499999999</v>
      </c>
      <c r="S145">
        <f>+'Content 2026'!S39</f>
        <v>3121.6537499999999</v>
      </c>
      <c r="T145">
        <f>+'Content 2026'!T39</f>
        <v>3121.6537499999999</v>
      </c>
      <c r="U145">
        <f>+'Content 2026'!U39</f>
        <v>3151.6537499999999</v>
      </c>
      <c r="V145">
        <f>+'Content 2026'!V39</f>
        <v>3151.6537499999999</v>
      </c>
      <c r="W145">
        <f>+'Content 2026'!W39</f>
        <v>3151.6537499999999</v>
      </c>
      <c r="X145">
        <f>+'Content 2026'!X39</f>
        <v>3151.6537499999999</v>
      </c>
      <c r="Y145">
        <f>+'Content 2026'!Y39</f>
        <v>3151.6537499999999</v>
      </c>
      <c r="Z145">
        <f>+'Content 2026'!Z39</f>
        <v>3151.6537499999999</v>
      </c>
      <c r="AA145">
        <f>+'Content 2026'!AA39</f>
        <v>3151.6537499999999</v>
      </c>
      <c r="AB145">
        <f t="shared" ref="AB145" si="139">+IF(AC145=N145,1)</f>
        <v>1</v>
      </c>
      <c r="AC145" s="34">
        <f t="shared" ref="AC145" si="140">+SUM(AD145:AO145)</f>
        <v>2036.2078378378374</v>
      </c>
      <c r="AD145" s="34">
        <f t="shared" ref="AD145" si="141">+IF($M145="MXN",P145/$AC$2,IF($M145="BRL",P145/$AC$3,IF($M145="EUR",P145*$AC$1,P145)))</f>
        <v>168.73804054054054</v>
      </c>
      <c r="AE145" s="34">
        <f t="shared" ref="AE145" si="142">+IF($M145="MXN",Q145/$AC$2,IF($M145="BRL",Q145/$AC$3,IF($M145="EUR",Q145*$AC$1,Q145)))</f>
        <v>168.73804054054054</v>
      </c>
      <c r="AF145" s="34">
        <f t="shared" ref="AF145" si="143">+IF($M145="MXN",R145/$AC$2,IF($M145="BRL",R145/$AC$3,IF($M145="EUR",R145*$AC$1,R145)))</f>
        <v>168.73804054054054</v>
      </c>
      <c r="AG145" s="34">
        <f t="shared" ref="AG145" si="144">+IF($M145="MXN",S145/$AC$2,IF($M145="BRL",S145/$AC$3,IF($M145="EUR",S145*$AC$1,S145)))</f>
        <v>168.73804054054054</v>
      </c>
      <c r="AH145" s="34">
        <f t="shared" ref="AH145" si="145">+IF($M145="MXN",T145/$AC$2,IF($M145="BRL",T145/$AC$3,IF($M145="EUR",T145*$AC$1,T145)))</f>
        <v>168.73804054054054</v>
      </c>
      <c r="AI145" s="34">
        <f t="shared" ref="AI145" si="146">+IF($M145="MXN",U145/$AC$2,IF($M145="BRL",U145/$AC$3,IF($M145="EUR",U145*$AC$1,U145)))</f>
        <v>170.35966216216215</v>
      </c>
      <c r="AJ145" s="34">
        <f t="shared" ref="AJ145" si="147">+IF($M145="MXN",V145/$AC$2,IF($M145="BRL",V145/$AC$3,IF($M145="EUR",V145*$AC$1,V145)))</f>
        <v>170.35966216216215</v>
      </c>
      <c r="AK145" s="34">
        <f t="shared" ref="AK145" si="148">+IF($M145="MXN",W145/$AC$2,IF($M145="BRL",W145/$AC$3,IF($M145="EUR",W145*$AC$1,W145)))</f>
        <v>170.35966216216215</v>
      </c>
      <c r="AL145" s="34">
        <f t="shared" ref="AL145" si="149">+IF($M145="MXN",X145/$AC$2,IF($M145="BRL",X145/$AC$3,IF($M145="EUR",X145*$AC$1,X145)))</f>
        <v>170.35966216216215</v>
      </c>
      <c r="AM145" s="34">
        <f t="shared" ref="AM145" si="150">+IF($M145="MXN",Y145/$AC$2,IF($M145="BRL",Y145/$AC$3,IF($M145="EUR",Y145*$AC$1,Y145)))</f>
        <v>170.35966216216215</v>
      </c>
      <c r="AN145" s="34">
        <f t="shared" ref="AN145" si="151">+IF($M145="MXN",Z145/$AC$2,IF($M145="BRL",Z145/$AC$3,IF($M145="EUR",Z145*$AC$1,Z145)))</f>
        <v>170.35966216216215</v>
      </c>
      <c r="AO145" s="34">
        <f t="shared" ref="AO145" si="152">+IF($M145="MXN",AA145/$AC$2,IF($M145="BRL",AA145/$AC$3,IF($M145="EUR",AA145*$AC$1,AA145)))</f>
        <v>170.35966216216215</v>
      </c>
      <c r="AP145">
        <f t="shared" si="109"/>
        <v>1</v>
      </c>
      <c r="AQ145" s="652">
        <f t="shared" si="110"/>
        <v>2036.2078378378376</v>
      </c>
      <c r="AR145" s="652">
        <f t="shared" si="91"/>
        <v>169.68398648648648</v>
      </c>
      <c r="AS145" s="652">
        <f t="shared" si="75"/>
        <v>169.68398648648648</v>
      </c>
      <c r="AT145" s="652">
        <f t="shared" si="75"/>
        <v>169.68398648648648</v>
      </c>
      <c r="AU145" s="652">
        <f t="shared" si="75"/>
        <v>169.68398648648648</v>
      </c>
      <c r="AV145" s="652">
        <f t="shared" si="75"/>
        <v>169.68398648648648</v>
      </c>
      <c r="AW145" s="652">
        <f t="shared" si="75"/>
        <v>169.68398648648648</v>
      </c>
      <c r="AX145" s="652">
        <f t="shared" si="75"/>
        <v>169.68398648648648</v>
      </c>
      <c r="AY145" s="652">
        <f t="shared" si="75"/>
        <v>169.68398648648648</v>
      </c>
      <c r="AZ145" s="652">
        <f t="shared" si="75"/>
        <v>169.68398648648648</v>
      </c>
      <c r="BA145" s="652">
        <f t="shared" si="75"/>
        <v>169.68398648648648</v>
      </c>
      <c r="BB145" s="652">
        <f t="shared" si="75"/>
        <v>169.68398648648648</v>
      </c>
      <c r="BC145" s="652">
        <f t="shared" si="75"/>
        <v>169.68398648648648</v>
      </c>
    </row>
    <row r="146" spans="1:55">
      <c r="AB146" s="175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Q146" s="652"/>
      <c r="AR146" s="652"/>
      <c r="AS146" s="652"/>
      <c r="AT146" s="652"/>
      <c r="AU146" s="652"/>
      <c r="AV146" s="652"/>
      <c r="AW146" s="652"/>
      <c r="AX146" s="652"/>
      <c r="AY146" s="652"/>
      <c r="AZ146" s="652"/>
      <c r="BA146" s="652"/>
      <c r="BB146" s="652"/>
      <c r="BC146" s="652"/>
    </row>
    <row r="147" spans="1:55">
      <c r="AB147" s="175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Q147" s="652"/>
      <c r="AR147" s="652"/>
      <c r="AS147" s="652"/>
      <c r="AT147" s="652"/>
      <c r="AU147" s="652"/>
      <c r="AV147" s="652"/>
      <c r="AW147" s="652"/>
      <c r="AX147" s="652"/>
      <c r="AY147" s="652"/>
      <c r="AZ147" s="652"/>
      <c r="BA147" s="652"/>
      <c r="BB147" s="652"/>
      <c r="BC147" s="652"/>
    </row>
    <row r="148" spans="1:55">
      <c r="AB148" s="175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Q148" s="652"/>
      <c r="AR148" s="652"/>
      <c r="AS148" s="652"/>
      <c r="AT148" s="652"/>
      <c r="AU148" s="652"/>
      <c r="AV148" s="652"/>
      <c r="AW148" s="652"/>
      <c r="AX148" s="652"/>
      <c r="AY148" s="652"/>
      <c r="AZ148" s="652"/>
      <c r="BA148" s="652"/>
      <c r="BB148" s="652"/>
      <c r="BC148" s="652"/>
    </row>
    <row r="149" spans="1:55">
      <c r="AB149" s="175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Q149" s="652"/>
      <c r="AR149" s="652"/>
      <c r="AS149" s="652"/>
      <c r="AT149" s="652"/>
      <c r="AU149" s="652"/>
      <c r="AV149" s="652"/>
      <c r="AW149" s="652"/>
      <c r="AX149" s="652"/>
      <c r="AY149" s="652"/>
      <c r="AZ149" s="652"/>
      <c r="BA149" s="652"/>
      <c r="BB149" s="652"/>
      <c r="BC149" s="652"/>
    </row>
    <row r="150" spans="1:55">
      <c r="AB150" s="175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Q150" s="652"/>
      <c r="AR150" s="652"/>
      <c r="AS150" s="652"/>
      <c r="AT150" s="652"/>
      <c r="AU150" s="652"/>
      <c r="AV150" s="652"/>
      <c r="AW150" s="652"/>
      <c r="AX150" s="652"/>
      <c r="AY150" s="652"/>
      <c r="AZ150" s="652"/>
      <c r="BA150" s="652"/>
      <c r="BB150" s="652"/>
      <c r="BC150" s="652"/>
    </row>
    <row r="151" spans="1:55">
      <c r="AB151" s="175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Q151" s="652"/>
      <c r="AR151" s="652"/>
      <c r="AS151" s="652"/>
      <c r="AT151" s="652"/>
      <c r="AU151" s="652"/>
      <c r="AV151" s="652"/>
      <c r="AW151" s="652"/>
      <c r="AX151" s="652"/>
      <c r="AY151" s="652"/>
      <c r="AZ151" s="652"/>
      <c r="BA151" s="652"/>
      <c r="BB151" s="652"/>
      <c r="BC151" s="652"/>
    </row>
    <row r="152" spans="1:55">
      <c r="AB152" s="175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Q152" s="652"/>
      <c r="AR152" s="652"/>
      <c r="AS152" s="652"/>
      <c r="AT152" s="652"/>
      <c r="AU152" s="652"/>
      <c r="AV152" s="652"/>
      <c r="AW152" s="652"/>
      <c r="AX152" s="652"/>
      <c r="AY152" s="652"/>
      <c r="AZ152" s="652"/>
      <c r="BA152" s="652"/>
      <c r="BB152" s="652"/>
      <c r="BC152" s="652"/>
    </row>
    <row r="153" spans="1:55">
      <c r="AB153" s="175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Q153" s="652"/>
      <c r="AR153" s="652"/>
      <c r="AS153" s="652"/>
      <c r="AT153" s="652"/>
      <c r="AU153" s="652"/>
      <c r="AV153" s="652"/>
      <c r="AW153" s="652"/>
      <c r="AX153" s="652"/>
      <c r="AY153" s="652"/>
      <c r="AZ153" s="652"/>
      <c r="BA153" s="652"/>
      <c r="BB153" s="652"/>
      <c r="BC153" s="652"/>
    </row>
    <row r="154" spans="1:55">
      <c r="AB154" s="175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Q154" s="652"/>
      <c r="AR154" s="652"/>
      <c r="AS154" s="652"/>
      <c r="AT154" s="652"/>
      <c r="AU154" s="652"/>
      <c r="AV154" s="652"/>
      <c r="AW154" s="652"/>
      <c r="AX154" s="652"/>
      <c r="AY154" s="652"/>
      <c r="AZ154" s="652"/>
      <c r="BA154" s="652"/>
      <c r="BB154" s="652"/>
      <c r="BC154" s="652"/>
    </row>
    <row r="155" spans="1:55">
      <c r="AB155" s="175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Q155" s="652"/>
      <c r="AR155" s="652"/>
      <c r="AS155" s="652"/>
      <c r="AT155" s="652"/>
      <c r="AU155" s="652"/>
      <c r="AV155" s="652"/>
      <c r="AW155" s="652"/>
      <c r="AX155" s="652"/>
      <c r="AY155" s="652"/>
      <c r="AZ155" s="652"/>
      <c r="BA155" s="652"/>
      <c r="BB155" s="652"/>
      <c r="BC155" s="652"/>
    </row>
    <row r="156" spans="1:55">
      <c r="AB156" s="175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Q156" s="652"/>
      <c r="AR156" s="652"/>
      <c r="AS156" s="652"/>
      <c r="AT156" s="652"/>
      <c r="AU156" s="652"/>
      <c r="AV156" s="652"/>
      <c r="AW156" s="652"/>
      <c r="AX156" s="652"/>
      <c r="AY156" s="652"/>
      <c r="AZ156" s="652"/>
      <c r="BA156" s="652"/>
      <c r="BB156" s="652"/>
      <c r="BC156" s="652"/>
    </row>
    <row r="157" spans="1:55">
      <c r="AB157" s="175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Q157" s="652"/>
      <c r="AR157" s="652"/>
      <c r="AS157" s="652"/>
      <c r="AT157" s="652"/>
      <c r="AU157" s="652"/>
      <c r="AV157" s="652"/>
      <c r="AW157" s="652"/>
      <c r="AX157" s="652"/>
      <c r="AY157" s="652"/>
      <c r="AZ157" s="652"/>
      <c r="BA157" s="652"/>
      <c r="BB157" s="652"/>
      <c r="BC157" s="652"/>
    </row>
    <row r="158" spans="1:55">
      <c r="AB158" s="175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Q158" s="652"/>
      <c r="AR158" s="652"/>
      <c r="AS158" s="652"/>
      <c r="AT158" s="652"/>
      <c r="AU158" s="652"/>
      <c r="AV158" s="652"/>
      <c r="AW158" s="652"/>
      <c r="AX158" s="652"/>
      <c r="AY158" s="652"/>
      <c r="AZ158" s="652"/>
      <c r="BA158" s="652"/>
      <c r="BB158" s="652"/>
      <c r="BC158" s="652"/>
    </row>
    <row r="159" spans="1:55"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Q159" s="652"/>
      <c r="AR159" s="652"/>
      <c r="AS159" s="652"/>
      <c r="AT159" s="652"/>
      <c r="AU159" s="652"/>
      <c r="AV159" s="652"/>
      <c r="AW159" s="652"/>
      <c r="AX159" s="652"/>
      <c r="AY159" s="652"/>
      <c r="AZ159" s="652"/>
      <c r="BA159" s="652"/>
      <c r="BB159" s="652"/>
      <c r="BC159" s="652"/>
    </row>
    <row r="160" spans="1:55"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Q160" s="652"/>
      <c r="AR160" s="652"/>
      <c r="AS160" s="652"/>
      <c r="AT160" s="652"/>
      <c r="AU160" s="652"/>
      <c r="AV160" s="652"/>
      <c r="AW160" s="652"/>
      <c r="AX160" s="652"/>
      <c r="AY160" s="652"/>
      <c r="AZ160" s="652"/>
      <c r="BA160" s="652"/>
      <c r="BB160" s="652"/>
      <c r="BC160" s="652"/>
    </row>
    <row r="161" spans="1:55"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Q161" s="652"/>
      <c r="AR161" s="652"/>
      <c r="AS161" s="652"/>
      <c r="AT161" s="652"/>
      <c r="AU161" s="652"/>
      <c r="AV161" s="652"/>
      <c r="AW161" s="652"/>
      <c r="AX161" s="652"/>
      <c r="AY161" s="652"/>
      <c r="AZ161" s="652"/>
      <c r="BA161" s="652"/>
      <c r="BB161" s="652"/>
      <c r="BC161" s="652"/>
    </row>
    <row r="162" spans="1:55"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Q162" s="652"/>
      <c r="AR162" s="652"/>
      <c r="AS162" s="652"/>
      <c r="AT162" s="652"/>
      <c r="AU162" s="652"/>
      <c r="AV162" s="652"/>
      <c r="AW162" s="652"/>
      <c r="AX162" s="652"/>
      <c r="AY162" s="652"/>
      <c r="AZ162" s="652"/>
      <c r="BA162" s="652"/>
      <c r="BB162" s="652"/>
      <c r="BC162" s="652"/>
    </row>
    <row r="163" spans="1:55"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Q163" s="652"/>
      <c r="AR163" s="652"/>
      <c r="AS163" s="652"/>
      <c r="AT163" s="652"/>
      <c r="AU163" s="652"/>
      <c r="AV163" s="652"/>
      <c r="AW163" s="652"/>
      <c r="AX163" s="652"/>
      <c r="AY163" s="652"/>
      <c r="AZ163" s="652"/>
      <c r="BA163" s="652"/>
      <c r="BB163" s="652"/>
      <c r="BC163" s="652"/>
    </row>
    <row r="164" spans="1:55"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Q164" s="652"/>
      <c r="AR164" s="652"/>
      <c r="AS164" s="652"/>
      <c r="AT164" s="652"/>
      <c r="AU164" s="652"/>
      <c r="AV164" s="652"/>
      <c r="AW164" s="652"/>
      <c r="AX164" s="652"/>
      <c r="AY164" s="652"/>
      <c r="AZ164" s="652"/>
      <c r="BA164" s="652"/>
      <c r="BB164" s="652"/>
      <c r="BC164" s="652"/>
    </row>
    <row r="165" spans="1:55">
      <c r="A165" s="175"/>
      <c r="B165" s="17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AC165" s="175"/>
      <c r="AD165" s="175"/>
      <c r="AE165" s="175"/>
      <c r="AF165" s="175"/>
      <c r="AG165" s="175"/>
      <c r="AH165" s="175"/>
      <c r="AI165" s="175"/>
      <c r="AJ165" s="175"/>
      <c r="AK165" s="175"/>
      <c r="AL165" s="175"/>
      <c r="AM165" s="175"/>
      <c r="AN165" s="175"/>
      <c r="AO165" s="175"/>
      <c r="AQ165" s="175"/>
      <c r="AR165" s="175"/>
      <c r="AS165" s="175"/>
      <c r="AT165" s="175"/>
      <c r="AU165" s="175"/>
      <c r="AV165" s="175"/>
      <c r="AW165" s="175"/>
      <c r="AX165" s="175"/>
      <c r="AY165" s="175"/>
      <c r="AZ165" s="175"/>
      <c r="BA165" s="175"/>
      <c r="BB165" s="175"/>
      <c r="BC165" s="175"/>
    </row>
    <row r="166" spans="1:55">
      <c r="A166" s="175"/>
      <c r="B166" s="17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</row>
    <row r="167" spans="1:55">
      <c r="A167" s="175"/>
      <c r="B167" s="17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AC167" s="175"/>
      <c r="AD167" s="175"/>
      <c r="AE167" s="175"/>
      <c r="AF167" s="175"/>
      <c r="AG167" s="175"/>
      <c r="AH167" s="175"/>
      <c r="AI167" s="175"/>
      <c r="AJ167" s="175"/>
      <c r="AK167" s="175"/>
      <c r="AL167" s="175"/>
      <c r="AM167" s="175"/>
      <c r="AN167" s="175"/>
      <c r="AO167" s="175"/>
      <c r="AQ167" s="175"/>
      <c r="AR167" s="175"/>
      <c r="AS167" s="175"/>
      <c r="AT167" s="175"/>
      <c r="AU167" s="175"/>
      <c r="AV167" s="175"/>
      <c r="AW167" s="175"/>
      <c r="AX167" s="175"/>
      <c r="AY167" s="175"/>
      <c r="AZ167" s="175"/>
      <c r="BA167" s="175"/>
      <c r="BB167" s="175"/>
      <c r="BC167" s="175"/>
    </row>
    <row r="168" spans="1:55">
      <c r="A168" s="175"/>
      <c r="B168" s="175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</row>
    <row r="169" spans="1:55">
      <c r="A169" s="175"/>
      <c r="B169" s="17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</row>
    <row r="170" spans="1:55">
      <c r="A170" s="175"/>
      <c r="B170" s="17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</row>
    <row r="171" spans="1:55">
      <c r="A171" s="175"/>
      <c r="B171" s="17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</row>
    <row r="172" spans="1:55">
      <c r="A172" s="175"/>
      <c r="B172" s="17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</row>
    <row r="173" spans="1:55">
      <c r="A173" s="175"/>
      <c r="B173" s="17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</row>
    <row r="174" spans="1:55">
      <c r="A174" s="175"/>
      <c r="B174" s="17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</row>
    <row r="175" spans="1:55">
      <c r="A175" s="175"/>
      <c r="B175" s="17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</row>
    <row r="176" spans="1:55">
      <c r="A176" s="175"/>
      <c r="B176" s="17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</row>
  </sheetData>
  <autoFilter ref="A5:AO145" xr:uid="{C9982704-CAB3-9A41-BD6F-CABF299ECB8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DA64F-B7C1-DF41-B1D2-9D620A83BA33}">
  <sheetPr codeName="Sheet8"/>
  <dimension ref="A1:AB50"/>
  <sheetViews>
    <sheetView showGridLines="0" topLeftCell="K3" zoomScale="75" zoomScaleNormal="90" workbookViewId="0">
      <selection activeCell="U31" sqref="U31"/>
    </sheetView>
  </sheetViews>
  <sheetFormatPr baseColWidth="10" defaultRowHeight="16"/>
  <cols>
    <col min="3" max="3" width="17.1640625" bestFit="1" customWidth="1"/>
    <col min="4" max="4" width="48.6640625" bestFit="1" customWidth="1"/>
    <col min="5" max="5" width="28.5" bestFit="1" customWidth="1"/>
    <col min="6" max="6" width="44.33203125" bestFit="1" customWidth="1"/>
    <col min="7" max="9" width="44.33203125" customWidth="1"/>
    <col min="11" max="11" width="37.1640625" bestFit="1" customWidth="1"/>
    <col min="12" max="12" width="17.83203125" bestFit="1" customWidth="1"/>
    <col min="14" max="14" width="13.33203125" style="5" bestFit="1" customWidth="1"/>
    <col min="15" max="15" width="14.5" bestFit="1" customWidth="1"/>
    <col min="16" max="16" width="12.5" bestFit="1" customWidth="1"/>
    <col min="17" max="17" width="13.6640625" bestFit="1" customWidth="1"/>
    <col min="18" max="18" width="12.5" bestFit="1" customWidth="1"/>
    <col min="19" max="19" width="13.6640625" bestFit="1" customWidth="1"/>
    <col min="20" max="22" width="12.5" bestFit="1" customWidth="1"/>
    <col min="23" max="23" width="13.6640625" bestFit="1" customWidth="1"/>
    <col min="24" max="24" width="14" bestFit="1" customWidth="1"/>
    <col min="25" max="25" width="12.5" bestFit="1" customWidth="1"/>
    <col min="26" max="26" width="13.6640625" bestFit="1" customWidth="1"/>
    <col min="27" max="27" width="13.33203125" bestFit="1" customWidth="1"/>
    <col min="28" max="28" width="10.83203125" customWidth="1"/>
    <col min="29" max="29" width="12.6640625" customWidth="1"/>
    <col min="30" max="30" width="11" customWidth="1"/>
    <col min="31" max="31" width="11.5" customWidth="1"/>
    <col min="32" max="34" width="11" customWidth="1"/>
    <col min="35" max="35" width="11.5" customWidth="1"/>
    <col min="36" max="38" width="11" customWidth="1"/>
    <col min="39" max="39" width="11.5" customWidth="1"/>
    <col min="40" max="41" width="11" customWidth="1"/>
    <col min="42" max="42" width="62" bestFit="1" customWidth="1"/>
    <col min="43" max="51" width="10" customWidth="1"/>
  </cols>
  <sheetData>
    <row r="1" spans="1:27">
      <c r="M1" s="494" t="s">
        <v>190</v>
      </c>
      <c r="N1" s="494">
        <v>1.1599999999999999</v>
      </c>
    </row>
    <row r="2" spans="1:27">
      <c r="M2" s="496" t="s">
        <v>102</v>
      </c>
      <c r="N2" s="496">
        <f>+Supuestos!$M$9</f>
        <v>18.5</v>
      </c>
    </row>
    <row r="3" spans="1:27">
      <c r="M3" s="496" t="s">
        <v>19</v>
      </c>
      <c r="N3" s="496">
        <f>+Supuestos!$M$10</f>
        <v>5.5</v>
      </c>
    </row>
    <row r="4" spans="1:27">
      <c r="A4" s="153" t="s">
        <v>354</v>
      </c>
      <c r="B4" s="153" t="s">
        <v>103</v>
      </c>
      <c r="C4" s="153" t="s">
        <v>104</v>
      </c>
      <c r="D4" s="153" t="s">
        <v>109</v>
      </c>
      <c r="E4" s="153" t="s">
        <v>110</v>
      </c>
      <c r="F4" s="153" t="s">
        <v>111</v>
      </c>
      <c r="G4" s="153" t="s">
        <v>355</v>
      </c>
      <c r="H4" s="153"/>
      <c r="I4" s="153"/>
      <c r="J4" s="153" t="s">
        <v>112</v>
      </c>
      <c r="K4" s="153" t="s">
        <v>113</v>
      </c>
      <c r="L4" s="153" t="s">
        <v>114</v>
      </c>
      <c r="M4" s="153" t="s">
        <v>115</v>
      </c>
      <c r="N4" s="471" t="str">
        <f t="shared" ref="N4:N14" si="0">+IF(M4="MXN",O4/$N$2,IF(M4="BRL",O4/$N$3,O4))</f>
        <v>Total Cost</v>
      </c>
      <c r="O4" s="153" t="s">
        <v>116</v>
      </c>
      <c r="P4" s="153" t="s">
        <v>117</v>
      </c>
      <c r="Q4" s="153" t="s">
        <v>118</v>
      </c>
      <c r="R4" s="153" t="s">
        <v>119</v>
      </c>
      <c r="S4" s="153" t="s">
        <v>120</v>
      </c>
      <c r="T4" s="153" t="s">
        <v>24</v>
      </c>
      <c r="U4" s="153" t="s">
        <v>121</v>
      </c>
      <c r="V4" s="153" t="s">
        <v>122</v>
      </c>
      <c r="W4" s="153" t="s">
        <v>123</v>
      </c>
      <c r="X4" s="153" t="s">
        <v>124</v>
      </c>
      <c r="Y4" s="153" t="s">
        <v>125</v>
      </c>
      <c r="Z4" s="153" t="s">
        <v>126</v>
      </c>
      <c r="AA4" s="153" t="s">
        <v>127</v>
      </c>
    </row>
    <row r="5" spans="1:27">
      <c r="A5" s="472"/>
      <c r="B5" s="472" t="s">
        <v>356</v>
      </c>
      <c r="C5" s="472"/>
      <c r="D5" s="472"/>
      <c r="E5" s="472"/>
      <c r="F5" s="472"/>
      <c r="G5" s="472"/>
      <c r="H5" s="472" t="s">
        <v>357</v>
      </c>
      <c r="I5" s="472" t="s">
        <v>358</v>
      </c>
      <c r="J5" s="472"/>
      <c r="K5" s="472"/>
      <c r="L5" s="472"/>
      <c r="M5" s="472"/>
      <c r="N5" s="472"/>
      <c r="O5" s="472"/>
      <c r="P5" s="472"/>
      <c r="Q5" s="472"/>
      <c r="R5" s="472"/>
      <c r="S5" s="472"/>
      <c r="T5" s="472"/>
      <c r="U5" s="472"/>
      <c r="V5" s="472"/>
      <c r="W5" s="472"/>
      <c r="X5" s="472"/>
      <c r="Y5" s="472"/>
      <c r="Z5" s="472"/>
      <c r="AA5" s="472"/>
    </row>
    <row r="6" spans="1:27">
      <c r="A6" t="s">
        <v>359</v>
      </c>
      <c r="B6" t="s">
        <v>128</v>
      </c>
      <c r="C6" t="s">
        <v>129</v>
      </c>
      <c r="D6" t="s">
        <v>714</v>
      </c>
      <c r="E6" t="s">
        <v>715</v>
      </c>
      <c r="F6" t="s">
        <v>716</v>
      </c>
      <c r="G6" t="s">
        <v>364</v>
      </c>
      <c r="H6" t="s">
        <v>901</v>
      </c>
      <c r="I6" t="s">
        <v>901</v>
      </c>
      <c r="J6" s="163" t="s">
        <v>130</v>
      </c>
      <c r="K6" t="str">
        <f>VLOOKUP(J6,Accounts!A:C,2,0)</f>
        <v>Servicios de Informatica</v>
      </c>
      <c r="L6" t="str">
        <f>VLOOKUP(J6,Accounts!A:C,3,0)</f>
        <v>Servicios</v>
      </c>
      <c r="M6" t="s">
        <v>102</v>
      </c>
      <c r="N6" s="471">
        <f t="shared" si="0"/>
        <v>12972.972972972973</v>
      </c>
      <c r="O6" s="164">
        <f t="shared" ref="O6:O11" si="1">+SUM(P6:AA6)</f>
        <v>240000</v>
      </c>
      <c r="P6" s="486">
        <v>20000</v>
      </c>
      <c r="Q6" s="486">
        <v>20000</v>
      </c>
      <c r="R6" s="486">
        <v>20000</v>
      </c>
      <c r="S6" s="486">
        <v>20000</v>
      </c>
      <c r="T6" s="486">
        <v>20000</v>
      </c>
      <c r="U6" s="486">
        <v>20000</v>
      </c>
      <c r="V6" s="486">
        <v>20000</v>
      </c>
      <c r="W6" s="486">
        <v>20000</v>
      </c>
      <c r="X6" s="486">
        <v>20000</v>
      </c>
      <c r="Y6" s="486">
        <v>20000</v>
      </c>
      <c r="Z6" s="486">
        <v>20000</v>
      </c>
      <c r="AA6" s="486">
        <v>20000</v>
      </c>
    </row>
    <row r="7" spans="1:27">
      <c r="A7" t="s">
        <v>359</v>
      </c>
      <c r="B7" t="s">
        <v>128</v>
      </c>
      <c r="C7" t="s">
        <v>129</v>
      </c>
      <c r="D7" t="s">
        <v>717</v>
      </c>
      <c r="E7" t="s">
        <v>677</v>
      </c>
      <c r="F7" t="s">
        <v>894</v>
      </c>
      <c r="G7" t="s">
        <v>364</v>
      </c>
      <c r="H7" t="s">
        <v>903</v>
      </c>
      <c r="I7" t="s">
        <v>902</v>
      </c>
      <c r="J7" s="163" t="s">
        <v>130</v>
      </c>
      <c r="K7" t="str">
        <f>VLOOKUP(J7,Accounts!A:C,2,0)</f>
        <v>Servicios de Informatica</v>
      </c>
      <c r="L7" t="str">
        <f>VLOOKUP(J7,Accounts!A:C,3,0)</f>
        <v>Servicios</v>
      </c>
      <c r="M7" t="s">
        <v>101</v>
      </c>
      <c r="N7" s="471">
        <f t="shared" si="0"/>
        <v>473.04000000000013</v>
      </c>
      <c r="O7" s="164">
        <f t="shared" si="1"/>
        <v>473.04000000000013</v>
      </c>
      <c r="P7" s="165">
        <f>19.71*2</f>
        <v>39.42</v>
      </c>
      <c r="Q7" s="165">
        <f t="shared" ref="Q7:AA7" si="2">19.71*2</f>
        <v>39.42</v>
      </c>
      <c r="R7" s="165">
        <f t="shared" si="2"/>
        <v>39.42</v>
      </c>
      <c r="S7" s="165">
        <f t="shared" si="2"/>
        <v>39.42</v>
      </c>
      <c r="T7" s="165">
        <f t="shared" si="2"/>
        <v>39.42</v>
      </c>
      <c r="U7" s="165">
        <f t="shared" si="2"/>
        <v>39.42</v>
      </c>
      <c r="V7" s="165">
        <f t="shared" si="2"/>
        <v>39.42</v>
      </c>
      <c r="W7" s="165">
        <f t="shared" si="2"/>
        <v>39.42</v>
      </c>
      <c r="X7" s="165">
        <f t="shared" si="2"/>
        <v>39.42</v>
      </c>
      <c r="Y7" s="165">
        <f t="shared" si="2"/>
        <v>39.42</v>
      </c>
      <c r="Z7" s="165">
        <f t="shared" si="2"/>
        <v>39.42</v>
      </c>
      <c r="AA7" s="165">
        <f t="shared" si="2"/>
        <v>39.42</v>
      </c>
    </row>
    <row r="8" spans="1:27">
      <c r="A8" t="s">
        <v>359</v>
      </c>
      <c r="B8" t="s">
        <v>128</v>
      </c>
      <c r="C8" t="s">
        <v>129</v>
      </c>
      <c r="D8" t="s">
        <v>717</v>
      </c>
      <c r="E8" t="s">
        <v>718</v>
      </c>
      <c r="F8" t="s">
        <v>719</v>
      </c>
      <c r="G8" t="s">
        <v>818</v>
      </c>
      <c r="H8" t="s">
        <v>904</v>
      </c>
      <c r="I8" t="s">
        <v>904</v>
      </c>
      <c r="J8" s="163" t="s">
        <v>130</v>
      </c>
      <c r="K8" t="str">
        <f>VLOOKUP(J8,Accounts!A:C,2,0)</f>
        <v>Servicios de Informatica</v>
      </c>
      <c r="L8" t="str">
        <f>VLOOKUP(J8,Accounts!A:C,3,0)</f>
        <v>Servicios</v>
      </c>
      <c r="M8" t="s">
        <v>101</v>
      </c>
      <c r="N8" s="471">
        <f t="shared" si="0"/>
        <v>4272</v>
      </c>
      <c r="O8" s="164">
        <f t="shared" si="1"/>
        <v>4272</v>
      </c>
      <c r="P8" s="165">
        <v>356</v>
      </c>
      <c r="Q8" s="165">
        <v>356</v>
      </c>
      <c r="R8" s="165">
        <v>356</v>
      </c>
      <c r="S8" s="165">
        <v>356</v>
      </c>
      <c r="T8" s="165">
        <v>356</v>
      </c>
      <c r="U8" s="165">
        <v>356</v>
      </c>
      <c r="V8" s="165">
        <v>356</v>
      </c>
      <c r="W8" s="165">
        <v>356</v>
      </c>
      <c r="X8" s="165">
        <v>356</v>
      </c>
      <c r="Y8" s="165">
        <v>356</v>
      </c>
      <c r="Z8" s="165">
        <v>356</v>
      </c>
      <c r="AA8" s="165">
        <v>356</v>
      </c>
    </row>
    <row r="9" spans="1:27">
      <c r="A9" t="s">
        <v>359</v>
      </c>
      <c r="B9" t="s">
        <v>128</v>
      </c>
      <c r="C9" t="s">
        <v>129</v>
      </c>
      <c r="D9" t="s">
        <v>720</v>
      </c>
      <c r="E9" t="s">
        <v>696</v>
      </c>
      <c r="F9" t="s">
        <v>721</v>
      </c>
      <c r="G9" t="s">
        <v>379</v>
      </c>
      <c r="H9" t="s">
        <v>379</v>
      </c>
      <c r="I9" t="s">
        <v>379</v>
      </c>
      <c r="J9" s="163" t="s">
        <v>130</v>
      </c>
      <c r="K9" t="str">
        <f>VLOOKUP(J9,Accounts!A:C,2,0)</f>
        <v>Servicios de Informatica</v>
      </c>
      <c r="L9" t="str">
        <f>VLOOKUP(J9,Accounts!A:C,3,0)</f>
        <v>Servicios</v>
      </c>
      <c r="M9" t="s">
        <v>101</v>
      </c>
      <c r="N9" s="471">
        <f t="shared" si="0"/>
        <v>840</v>
      </c>
      <c r="O9" s="515">
        <f t="shared" ref="O9" si="3">+SUM(P9:AA9)</f>
        <v>840</v>
      </c>
      <c r="P9" s="165">
        <v>70</v>
      </c>
      <c r="Q9" s="165">
        <v>70</v>
      </c>
      <c r="R9" s="165">
        <v>70</v>
      </c>
      <c r="S9" s="165">
        <v>70</v>
      </c>
      <c r="T9" s="165">
        <v>70</v>
      </c>
      <c r="U9" s="165">
        <v>70</v>
      </c>
      <c r="V9" s="165">
        <v>70</v>
      </c>
      <c r="W9" s="165">
        <v>70</v>
      </c>
      <c r="X9" s="165">
        <v>70</v>
      </c>
      <c r="Y9" s="165">
        <v>70</v>
      </c>
      <c r="Z9" s="165">
        <v>70</v>
      </c>
      <c r="AA9" s="165">
        <v>70</v>
      </c>
    </row>
    <row r="10" spans="1:27">
      <c r="A10" t="s">
        <v>359</v>
      </c>
      <c r="B10" t="s">
        <v>128</v>
      </c>
      <c r="C10" t="s">
        <v>129</v>
      </c>
      <c r="D10" t="s">
        <v>722</v>
      </c>
      <c r="E10" t="s">
        <v>723</v>
      </c>
      <c r="F10" t="s">
        <v>722</v>
      </c>
      <c r="G10" t="s">
        <v>818</v>
      </c>
      <c r="H10" t="s">
        <v>905</v>
      </c>
      <c r="I10" t="s">
        <v>905</v>
      </c>
      <c r="J10" s="163" t="s">
        <v>130</v>
      </c>
      <c r="K10" t="str">
        <f>VLOOKUP(J10,Accounts!A:C,2,0)</f>
        <v>Servicios de Informatica</v>
      </c>
      <c r="L10" t="str">
        <f>VLOOKUP(J10,Accounts!A:C,3,0)</f>
        <v>Servicios</v>
      </c>
      <c r="M10" t="s">
        <v>101</v>
      </c>
      <c r="N10" s="471">
        <f t="shared" si="0"/>
        <v>6431.47</v>
      </c>
      <c r="O10" s="164">
        <f t="shared" si="1"/>
        <v>6431.47</v>
      </c>
      <c r="P10" s="165">
        <v>0</v>
      </c>
      <c r="Q10" s="165">
        <v>0</v>
      </c>
      <c r="R10" s="165">
        <v>0</v>
      </c>
      <c r="S10" s="165">
        <v>0</v>
      </c>
      <c r="T10" s="165">
        <v>0</v>
      </c>
      <c r="U10" s="165">
        <v>0</v>
      </c>
      <c r="V10" s="165">
        <v>0</v>
      </c>
      <c r="W10" s="165">
        <v>0</v>
      </c>
      <c r="X10" s="165">
        <v>6431.47</v>
      </c>
      <c r="Y10" s="165">
        <v>0</v>
      </c>
      <c r="Z10" s="165">
        <v>0</v>
      </c>
      <c r="AA10" s="165">
        <v>0</v>
      </c>
    </row>
    <row r="11" spans="1:27">
      <c r="A11" t="s">
        <v>359</v>
      </c>
      <c r="B11" t="s">
        <v>128</v>
      </c>
      <c r="C11" t="s">
        <v>129</v>
      </c>
      <c r="D11" t="s">
        <v>133</v>
      </c>
      <c r="E11" t="s">
        <v>134</v>
      </c>
      <c r="F11" t="s">
        <v>134</v>
      </c>
      <c r="G11" t="s">
        <v>371</v>
      </c>
      <c r="H11" t="s">
        <v>906</v>
      </c>
      <c r="I11" t="s">
        <v>906</v>
      </c>
      <c r="J11" s="163" t="s">
        <v>130</v>
      </c>
      <c r="K11" t="str">
        <f>VLOOKUP(J11,Accounts!A:C,2,0)</f>
        <v>Servicios de Informatica</v>
      </c>
      <c r="L11" t="str">
        <f>VLOOKUP(J11,Accounts!A:C,3,0)</f>
        <v>Servicios</v>
      </c>
      <c r="M11" t="s">
        <v>101</v>
      </c>
      <c r="N11" s="471">
        <f t="shared" si="0"/>
        <v>0</v>
      </c>
      <c r="O11" s="164">
        <f t="shared" si="1"/>
        <v>0</v>
      </c>
      <c r="P11" s="165">
        <v>0</v>
      </c>
      <c r="Q11" s="165">
        <v>0</v>
      </c>
      <c r="R11" s="165">
        <v>0</v>
      </c>
      <c r="S11" s="165">
        <v>0</v>
      </c>
      <c r="T11" s="165">
        <v>0</v>
      </c>
      <c r="U11" s="165">
        <v>0</v>
      </c>
      <c r="V11" s="165">
        <v>0</v>
      </c>
      <c r="W11" s="627">
        <v>0</v>
      </c>
      <c r="X11" s="165">
        <v>0</v>
      </c>
      <c r="Y11" s="165">
        <v>0</v>
      </c>
      <c r="Z11" s="165">
        <v>0</v>
      </c>
      <c r="AA11" s="165">
        <v>0</v>
      </c>
    </row>
    <row r="12" spans="1:27">
      <c r="A12" t="s">
        <v>359</v>
      </c>
      <c r="B12" t="s">
        <v>128</v>
      </c>
      <c r="C12" t="s">
        <v>129</v>
      </c>
      <c r="D12" t="s">
        <v>361</v>
      </c>
      <c r="E12" t="s">
        <v>380</v>
      </c>
      <c r="F12" t="s">
        <v>895</v>
      </c>
      <c r="G12" t="s">
        <v>364</v>
      </c>
      <c r="H12" t="s">
        <v>377</v>
      </c>
      <c r="I12" t="s">
        <v>366</v>
      </c>
      <c r="J12" s="163" t="s">
        <v>130</v>
      </c>
      <c r="K12" t="str">
        <f>VLOOKUP(J12,Accounts!A:C,2,0)</f>
        <v>Servicios de Informatica</v>
      </c>
      <c r="L12" t="str">
        <f>VLOOKUP(J12,Accounts!A:C,3,0)</f>
        <v>Servicios</v>
      </c>
      <c r="M12" t="s">
        <v>101</v>
      </c>
      <c r="N12" s="471">
        <f t="shared" si="0"/>
        <v>6104</v>
      </c>
      <c r="O12" s="164">
        <f t="shared" ref="O12" si="4">+SUM(P12:AA12)</f>
        <v>6104</v>
      </c>
      <c r="P12" s="165">
        <f>350+17+25</f>
        <v>392</v>
      </c>
      <c r="Q12" s="165">
        <f>350+17+25</f>
        <v>392</v>
      </c>
      <c r="R12" s="165">
        <f>350+17+25</f>
        <v>392</v>
      </c>
      <c r="S12" s="165">
        <f>350+900+17+25</f>
        <v>1292</v>
      </c>
      <c r="T12" s="165">
        <f>850+17+25</f>
        <v>892</v>
      </c>
      <c r="U12" s="165">
        <f>350+17+25</f>
        <v>392</v>
      </c>
      <c r="V12" s="165">
        <f t="shared" ref="V12:AA12" si="5">350+17+25</f>
        <v>392</v>
      </c>
      <c r="W12" s="165">
        <f t="shared" si="5"/>
        <v>392</v>
      </c>
      <c r="X12" s="165">
        <f t="shared" si="5"/>
        <v>392</v>
      </c>
      <c r="Y12" s="165">
        <f t="shared" si="5"/>
        <v>392</v>
      </c>
      <c r="Z12" s="165">
        <f t="shared" si="5"/>
        <v>392</v>
      </c>
      <c r="AA12" s="165">
        <f t="shared" si="5"/>
        <v>392</v>
      </c>
    </row>
    <row r="13" spans="1:27">
      <c r="A13" t="s">
        <v>359</v>
      </c>
      <c r="B13" t="s">
        <v>128</v>
      </c>
      <c r="C13" t="s">
        <v>129</v>
      </c>
      <c r="D13" t="s">
        <v>810</v>
      </c>
      <c r="G13" t="s">
        <v>379</v>
      </c>
      <c r="H13" t="s">
        <v>379</v>
      </c>
      <c r="I13" t="s">
        <v>379</v>
      </c>
      <c r="J13" s="163" t="s">
        <v>130</v>
      </c>
      <c r="K13" t="str">
        <f>VLOOKUP(J13,Accounts!A:C,2,0)</f>
        <v>Servicios de Informatica</v>
      </c>
      <c r="L13" t="str">
        <f>VLOOKUP(J13,Accounts!A:C,3,0)</f>
        <v>Servicios</v>
      </c>
      <c r="M13" t="s">
        <v>102</v>
      </c>
      <c r="N13" s="471">
        <f t="shared" si="0"/>
        <v>300.97297297297297</v>
      </c>
      <c r="O13" s="164">
        <f>+SUM(P13:AA13)</f>
        <v>5568</v>
      </c>
      <c r="P13" s="165">
        <v>464</v>
      </c>
      <c r="Q13" s="165">
        <v>464</v>
      </c>
      <c r="R13" s="165">
        <v>464</v>
      </c>
      <c r="S13" s="165">
        <v>464</v>
      </c>
      <c r="T13" s="165">
        <v>464</v>
      </c>
      <c r="U13" s="165">
        <v>464</v>
      </c>
      <c r="V13" s="165">
        <v>464</v>
      </c>
      <c r="W13" s="165">
        <v>464</v>
      </c>
      <c r="X13" s="165">
        <v>464</v>
      </c>
      <c r="Y13" s="165">
        <v>464</v>
      </c>
      <c r="Z13" s="165">
        <v>464</v>
      </c>
      <c r="AA13" s="165">
        <v>464</v>
      </c>
    </row>
    <row r="14" spans="1:27">
      <c r="A14" t="s">
        <v>359</v>
      </c>
      <c r="B14" t="s">
        <v>128</v>
      </c>
      <c r="C14" t="s">
        <v>129</v>
      </c>
      <c r="D14" t="s">
        <v>811</v>
      </c>
      <c r="F14" t="s">
        <v>813</v>
      </c>
      <c r="G14" t="s">
        <v>364</v>
      </c>
      <c r="I14" t="s">
        <v>902</v>
      </c>
      <c r="J14" s="163" t="s">
        <v>130</v>
      </c>
      <c r="K14" t="str">
        <f>VLOOKUP(J14,Accounts!A:C,2,0)</f>
        <v>Servicios de Informatica</v>
      </c>
      <c r="L14" t="str">
        <f>VLOOKUP(J14,Accounts!A:C,3,0)</f>
        <v>Servicios</v>
      </c>
      <c r="M14" t="s">
        <v>102</v>
      </c>
      <c r="N14" s="471">
        <f t="shared" si="0"/>
        <v>1227.3924324324323</v>
      </c>
      <c r="O14" s="164">
        <f>+SUM(P14:AA14)</f>
        <v>22706.76</v>
      </c>
      <c r="P14" s="165">
        <v>1892.23</v>
      </c>
      <c r="Q14" s="165">
        <v>1892.23</v>
      </c>
      <c r="R14" s="165">
        <v>1892.23</v>
      </c>
      <c r="S14" s="165">
        <v>1892.23</v>
      </c>
      <c r="T14" s="165">
        <v>1892.23</v>
      </c>
      <c r="U14" s="165">
        <v>1892.23</v>
      </c>
      <c r="V14" s="165">
        <v>1892.23</v>
      </c>
      <c r="W14" s="165">
        <v>1892.23</v>
      </c>
      <c r="X14" s="165">
        <v>1892.23</v>
      </c>
      <c r="Y14" s="165">
        <v>1892.23</v>
      </c>
      <c r="Z14" s="165">
        <v>1892.23</v>
      </c>
      <c r="AA14" s="165">
        <v>1892.23</v>
      </c>
    </row>
    <row r="15" spans="1:27">
      <c r="A15" s="472" t="s">
        <v>369</v>
      </c>
      <c r="B15" s="472" t="s">
        <v>686</v>
      </c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516"/>
      <c r="O15" s="472"/>
      <c r="P15" s="472"/>
      <c r="Q15" s="472"/>
      <c r="R15" s="472"/>
      <c r="S15" s="472"/>
      <c r="T15" s="472"/>
      <c r="U15" s="472"/>
      <c r="V15" s="472"/>
      <c r="W15" s="472"/>
      <c r="X15" s="472"/>
      <c r="Y15" s="472"/>
      <c r="Z15" s="472"/>
      <c r="AA15" s="472"/>
    </row>
    <row r="16" spans="1:27">
      <c r="A16" t="s">
        <v>359</v>
      </c>
      <c r="B16" t="s">
        <v>128</v>
      </c>
      <c r="C16" t="s">
        <v>129</v>
      </c>
      <c r="D16" t="s">
        <v>724</v>
      </c>
      <c r="E16" s="166" t="s">
        <v>725</v>
      </c>
      <c r="F16" t="s">
        <v>726</v>
      </c>
      <c r="G16" t="s">
        <v>379</v>
      </c>
      <c r="H16" t="s">
        <v>379</v>
      </c>
      <c r="I16" t="s">
        <v>379</v>
      </c>
      <c r="J16" s="167" t="s">
        <v>135</v>
      </c>
      <c r="K16" t="str">
        <f>VLOOKUP(J16,Accounts!A:C,2,0)</f>
        <v>Honorarios A Personas Morales Nacionales</v>
      </c>
      <c r="L16" t="str">
        <f>VLOOKUP(J16,Accounts!A:C,3,0)</f>
        <v>Servicios Externos</v>
      </c>
      <c r="M16" t="s">
        <v>102</v>
      </c>
      <c r="N16" s="471">
        <f t="shared" ref="N16:N22" si="6">+IF(M16="MXN",O16/$N$2,IF(M16="BRL",O16/$N$3,O16))</f>
        <v>8873.689621621621</v>
      </c>
      <c r="O16" s="164">
        <f>+SUM(P16:AA16)</f>
        <v>164163.258</v>
      </c>
      <c r="P16" s="486">
        <v>13680.271500000001</v>
      </c>
      <c r="Q16" s="486">
        <v>13680.271500000001</v>
      </c>
      <c r="R16" s="486">
        <v>13680.271500000001</v>
      </c>
      <c r="S16" s="486">
        <v>13680.271500000001</v>
      </c>
      <c r="T16" s="486">
        <v>13680.271500000001</v>
      </c>
      <c r="U16" s="486">
        <v>13680.271500000001</v>
      </c>
      <c r="V16" s="486">
        <v>13680.271500000001</v>
      </c>
      <c r="W16" s="486">
        <v>13680.271500000001</v>
      </c>
      <c r="X16" s="486">
        <v>13680.271500000001</v>
      </c>
      <c r="Y16" s="486">
        <v>13680.271500000001</v>
      </c>
      <c r="Z16" s="486">
        <v>13680.271500000001</v>
      </c>
      <c r="AA16" s="486">
        <v>13680.271500000001</v>
      </c>
    </row>
    <row r="17" spans="1:28">
      <c r="A17" t="s">
        <v>359</v>
      </c>
      <c r="B17" t="s">
        <v>128</v>
      </c>
      <c r="C17" t="s">
        <v>129</v>
      </c>
      <c r="D17" t="s">
        <v>727</v>
      </c>
      <c r="E17" t="s">
        <v>728</v>
      </c>
      <c r="F17" t="s">
        <v>729</v>
      </c>
      <c r="G17" t="s">
        <v>379</v>
      </c>
      <c r="H17" t="s">
        <v>379</v>
      </c>
      <c r="I17" t="s">
        <v>379</v>
      </c>
      <c r="J17" s="163" t="s">
        <v>554</v>
      </c>
      <c r="K17" t="str">
        <f>VLOOKUP(J17,Accounts!A:C,2,0)</f>
        <v>Honorarios Legales PM</v>
      </c>
      <c r="L17" t="str">
        <f>VLOOKUP(J17,Accounts!A:C,3,0)</f>
        <v>Servicios Externos</v>
      </c>
      <c r="M17" t="s">
        <v>101</v>
      </c>
      <c r="N17" s="471">
        <f t="shared" si="6"/>
        <v>24000</v>
      </c>
      <c r="O17" s="164">
        <f t="shared" ref="O17:O22" si="7">+SUM(P17:AA17)</f>
        <v>24000</v>
      </c>
      <c r="P17" s="486">
        <v>2000</v>
      </c>
      <c r="Q17" s="486">
        <v>2000</v>
      </c>
      <c r="R17" s="486">
        <v>2000</v>
      </c>
      <c r="S17" s="486">
        <v>2000</v>
      </c>
      <c r="T17" s="486">
        <v>2000</v>
      </c>
      <c r="U17" s="486">
        <v>2000</v>
      </c>
      <c r="V17" s="486">
        <v>2000</v>
      </c>
      <c r="W17" s="486">
        <v>2000</v>
      </c>
      <c r="X17" s="486">
        <v>2000</v>
      </c>
      <c r="Y17" s="486">
        <v>2000</v>
      </c>
      <c r="Z17" s="486">
        <v>2000</v>
      </c>
      <c r="AA17" s="486">
        <v>2000</v>
      </c>
    </row>
    <row r="18" spans="1:28">
      <c r="A18" t="s">
        <v>359</v>
      </c>
      <c r="B18" t="s">
        <v>128</v>
      </c>
      <c r="C18" t="s">
        <v>129</v>
      </c>
      <c r="D18" t="s">
        <v>730</v>
      </c>
      <c r="E18" t="s">
        <v>731</v>
      </c>
      <c r="F18" t="s">
        <v>732</v>
      </c>
      <c r="G18" t="s">
        <v>379</v>
      </c>
      <c r="H18" t="s">
        <v>379</v>
      </c>
      <c r="I18" t="s">
        <v>379</v>
      </c>
      <c r="J18" s="163" t="s">
        <v>135</v>
      </c>
      <c r="K18" t="str">
        <f>VLOOKUP(J18,Accounts!A:C,2,0)</f>
        <v>Honorarios A Personas Morales Nacionales</v>
      </c>
      <c r="L18" t="str">
        <f>VLOOKUP(J18,Accounts!A:C,3,0)</f>
        <v>Servicios Externos</v>
      </c>
      <c r="M18" t="s">
        <v>101</v>
      </c>
      <c r="N18" s="471">
        <f t="shared" si="6"/>
        <v>30066</v>
      </c>
      <c r="O18" s="164">
        <f t="shared" si="7"/>
        <v>30066</v>
      </c>
      <c r="P18" s="486">
        <v>2500</v>
      </c>
      <c r="Q18" s="486">
        <v>2501</v>
      </c>
      <c r="R18" s="486">
        <v>2502</v>
      </c>
      <c r="S18" s="486">
        <v>2503</v>
      </c>
      <c r="T18" s="486">
        <v>2504</v>
      </c>
      <c r="U18" s="486">
        <v>2505</v>
      </c>
      <c r="V18" s="486">
        <v>2506</v>
      </c>
      <c r="W18" s="486">
        <v>2507</v>
      </c>
      <c r="X18" s="486">
        <v>2508</v>
      </c>
      <c r="Y18" s="486">
        <v>2509</v>
      </c>
      <c r="Z18" s="486">
        <v>2510</v>
      </c>
      <c r="AA18" s="486">
        <v>2511</v>
      </c>
    </row>
    <row r="19" spans="1:28">
      <c r="A19" t="s">
        <v>359</v>
      </c>
      <c r="B19" t="s">
        <v>128</v>
      </c>
      <c r="C19" t="s">
        <v>129</v>
      </c>
      <c r="D19" t="s">
        <v>733</v>
      </c>
      <c r="E19" t="s">
        <v>734</v>
      </c>
      <c r="F19" t="s">
        <v>735</v>
      </c>
      <c r="G19" t="s">
        <v>379</v>
      </c>
      <c r="H19" t="s">
        <v>379</v>
      </c>
      <c r="I19" t="s">
        <v>379</v>
      </c>
      <c r="J19" s="163" t="s">
        <v>135</v>
      </c>
      <c r="K19" t="str">
        <f>VLOOKUP(J19,Accounts!A:C,2,0)</f>
        <v>Honorarios A Personas Morales Nacionales</v>
      </c>
      <c r="L19" t="str">
        <f>VLOOKUP(J19,Accounts!A:C,3,0)</f>
        <v>Servicios Externos</v>
      </c>
      <c r="M19" t="s">
        <v>101</v>
      </c>
      <c r="N19" s="471">
        <f t="shared" si="6"/>
        <v>68283.428571600001</v>
      </c>
      <c r="O19" s="164">
        <f t="shared" si="7"/>
        <v>68283.428571600001</v>
      </c>
      <c r="P19" s="617">
        <f>6500-809.7142857</f>
        <v>5690.2857143000001</v>
      </c>
      <c r="Q19" s="617">
        <f t="shared" ref="Q19:AA19" si="8">6500-809.7142857</f>
        <v>5690.2857143000001</v>
      </c>
      <c r="R19" s="617">
        <f t="shared" si="8"/>
        <v>5690.2857143000001</v>
      </c>
      <c r="S19" s="617">
        <f t="shared" si="8"/>
        <v>5690.2857143000001</v>
      </c>
      <c r="T19" s="617">
        <f t="shared" si="8"/>
        <v>5690.2857143000001</v>
      </c>
      <c r="U19" s="617">
        <f t="shared" si="8"/>
        <v>5690.2857143000001</v>
      </c>
      <c r="V19" s="617">
        <f t="shared" si="8"/>
        <v>5690.2857143000001</v>
      </c>
      <c r="W19" s="617">
        <f t="shared" si="8"/>
        <v>5690.2857143000001</v>
      </c>
      <c r="X19" s="617">
        <f t="shared" si="8"/>
        <v>5690.2857143000001</v>
      </c>
      <c r="Y19" s="617">
        <f t="shared" si="8"/>
        <v>5690.2857143000001</v>
      </c>
      <c r="Z19" s="617">
        <f t="shared" si="8"/>
        <v>5690.2857143000001</v>
      </c>
      <c r="AA19" s="617">
        <f t="shared" si="8"/>
        <v>5690.2857143000001</v>
      </c>
      <c r="AB19">
        <f>14170/17.5</f>
        <v>809.71428571428567</v>
      </c>
    </row>
    <row r="20" spans="1:28">
      <c r="A20" t="s">
        <v>359</v>
      </c>
      <c r="B20" t="s">
        <v>128</v>
      </c>
      <c r="C20" t="s">
        <v>129</v>
      </c>
      <c r="D20" t="s">
        <v>733</v>
      </c>
      <c r="E20" t="s">
        <v>736</v>
      </c>
      <c r="F20" t="s">
        <v>737</v>
      </c>
      <c r="G20" t="s">
        <v>379</v>
      </c>
      <c r="H20" t="s">
        <v>379</v>
      </c>
      <c r="I20" t="s">
        <v>379</v>
      </c>
      <c r="J20" s="163" t="s">
        <v>135</v>
      </c>
      <c r="K20" t="str">
        <f>VLOOKUP(J20,Accounts!A:C,2,0)</f>
        <v>Honorarios A Personas Morales Nacionales</v>
      </c>
      <c r="L20" t="str">
        <f>VLOOKUP(J20,Accounts!A:C,3,0)</f>
        <v>Servicios Externos</v>
      </c>
      <c r="M20" t="s">
        <v>102</v>
      </c>
      <c r="N20" s="471">
        <f t="shared" si="6"/>
        <v>18735.567567567563</v>
      </c>
      <c r="O20" s="164">
        <f t="shared" si="7"/>
        <v>346607.99999999994</v>
      </c>
      <c r="P20" s="165">
        <v>28883.999999999996</v>
      </c>
      <c r="Q20" s="165">
        <v>28883.999999999996</v>
      </c>
      <c r="R20" s="165">
        <v>28883.999999999996</v>
      </c>
      <c r="S20" s="165">
        <v>28883.999999999996</v>
      </c>
      <c r="T20" s="165">
        <v>28883.999999999996</v>
      </c>
      <c r="U20" s="165">
        <v>28883.999999999996</v>
      </c>
      <c r="V20" s="165">
        <v>28883.999999999996</v>
      </c>
      <c r="W20" s="165">
        <v>28883.999999999996</v>
      </c>
      <c r="X20" s="165">
        <v>28883.999999999996</v>
      </c>
      <c r="Y20" s="165">
        <v>28883.999999999996</v>
      </c>
      <c r="Z20" s="165">
        <v>28883.999999999996</v>
      </c>
      <c r="AA20" s="165">
        <v>28883.999999999996</v>
      </c>
    </row>
    <row r="21" spans="1:28">
      <c r="A21" t="s">
        <v>359</v>
      </c>
      <c r="B21" t="s">
        <v>128</v>
      </c>
      <c r="C21" t="s">
        <v>129</v>
      </c>
      <c r="D21" t="s">
        <v>733</v>
      </c>
      <c r="E21" t="s">
        <v>738</v>
      </c>
      <c r="F21" t="s">
        <v>739</v>
      </c>
      <c r="G21" t="s">
        <v>364</v>
      </c>
      <c r="I21" s="170" t="s">
        <v>907</v>
      </c>
      <c r="J21" s="163" t="s">
        <v>135</v>
      </c>
      <c r="K21" t="str">
        <f>VLOOKUP(J21,Accounts!A:C,2,0)</f>
        <v>Honorarios A Personas Morales Nacionales</v>
      </c>
      <c r="L21" t="str">
        <f>VLOOKUP(J21,Accounts!A:C,3,0)</f>
        <v>Servicios Externos</v>
      </c>
      <c r="M21" t="s">
        <v>102</v>
      </c>
      <c r="N21" s="471">
        <f t="shared" si="6"/>
        <v>357.40540540540542</v>
      </c>
      <c r="O21" s="164">
        <f t="shared" si="7"/>
        <v>6612</v>
      </c>
      <c r="P21" s="165">
        <v>551</v>
      </c>
      <c r="Q21" s="165">
        <v>551</v>
      </c>
      <c r="R21" s="165">
        <v>551</v>
      </c>
      <c r="S21" s="165">
        <v>551</v>
      </c>
      <c r="T21" s="165">
        <v>551</v>
      </c>
      <c r="U21" s="165">
        <v>551</v>
      </c>
      <c r="V21" s="165">
        <v>551</v>
      </c>
      <c r="W21" s="165">
        <v>551</v>
      </c>
      <c r="X21" s="165">
        <v>551</v>
      </c>
      <c r="Y21" s="165">
        <v>551</v>
      </c>
      <c r="Z21" s="165">
        <v>551</v>
      </c>
      <c r="AA21" s="165">
        <v>551</v>
      </c>
    </row>
    <row r="22" spans="1:28">
      <c r="A22" t="s">
        <v>359</v>
      </c>
      <c r="B22" t="s">
        <v>128</v>
      </c>
      <c r="C22" t="s">
        <v>129</v>
      </c>
      <c r="D22" t="s">
        <v>733</v>
      </c>
      <c r="E22" t="s">
        <v>740</v>
      </c>
      <c r="F22" t="s">
        <v>739</v>
      </c>
      <c r="G22" t="s">
        <v>379</v>
      </c>
      <c r="H22" s="427" t="s">
        <v>379</v>
      </c>
      <c r="I22" s="427" t="s">
        <v>379</v>
      </c>
      <c r="J22" s="163" t="s">
        <v>135</v>
      </c>
      <c r="K22" t="str">
        <f>VLOOKUP(J22,Accounts!A:C,2,0)</f>
        <v>Honorarios A Personas Morales Nacionales</v>
      </c>
      <c r="L22" t="str">
        <f>VLOOKUP(J22,Accounts!A:C,3,0)</f>
        <v>Servicios Externos</v>
      </c>
      <c r="M22" t="s">
        <v>102</v>
      </c>
      <c r="N22" s="471">
        <f t="shared" si="6"/>
        <v>12972.972972972973</v>
      </c>
      <c r="O22" s="164">
        <f t="shared" si="7"/>
        <v>240000</v>
      </c>
      <c r="P22" s="618">
        <v>20000</v>
      </c>
      <c r="Q22" s="618">
        <v>20000</v>
      </c>
      <c r="R22" s="618">
        <v>20000</v>
      </c>
      <c r="S22" s="618">
        <v>20000</v>
      </c>
      <c r="T22" s="618">
        <v>20000</v>
      </c>
      <c r="U22" s="618">
        <v>20000</v>
      </c>
      <c r="V22" s="618">
        <v>20000</v>
      </c>
      <c r="W22" s="618">
        <v>20000</v>
      </c>
      <c r="X22" s="618">
        <v>20000</v>
      </c>
      <c r="Y22" s="618">
        <v>20000</v>
      </c>
      <c r="Z22" s="618">
        <v>20000</v>
      </c>
      <c r="AA22" s="618">
        <v>20000</v>
      </c>
    </row>
    <row r="23" spans="1:28">
      <c r="A23" t="s">
        <v>369</v>
      </c>
      <c r="B23" t="s">
        <v>128</v>
      </c>
      <c r="C23" t="s">
        <v>129</v>
      </c>
      <c r="D23" t="s">
        <v>812</v>
      </c>
      <c r="F23" t="s">
        <v>814</v>
      </c>
      <c r="G23" t="s">
        <v>818</v>
      </c>
      <c r="H23" t="s">
        <v>905</v>
      </c>
      <c r="I23" t="s">
        <v>905</v>
      </c>
      <c r="J23" s="163" t="s">
        <v>550</v>
      </c>
      <c r="K23" t="str">
        <f>VLOOKUP(J23,Accounts!A:C,2,0)</f>
        <v>Servicios administrativos</v>
      </c>
      <c r="L23" t="str">
        <f>VLOOKUP(J23,Accounts!A:C,3,0)</f>
        <v>Servicios Externos</v>
      </c>
      <c r="M23" t="s">
        <v>101</v>
      </c>
      <c r="N23" s="471">
        <f t="shared" ref="N23" si="9">+IF(M23="MXN",O23/$N$2,IF(M23="BRL",O23/$N$3,O23))</f>
        <v>6655.18</v>
      </c>
      <c r="O23" s="164">
        <f t="shared" ref="O23" si="10">+SUM(P23:AA23)</f>
        <v>6655.18</v>
      </c>
      <c r="P23" s="617">
        <v>0</v>
      </c>
      <c r="Q23" s="617">
        <v>0</v>
      </c>
      <c r="R23" s="617">
        <v>255.18</v>
      </c>
      <c r="S23" s="617">
        <v>0</v>
      </c>
      <c r="T23" s="617">
        <v>3200</v>
      </c>
      <c r="U23" s="617">
        <v>0</v>
      </c>
      <c r="V23" s="617"/>
      <c r="W23" s="617">
        <v>1600</v>
      </c>
      <c r="X23" s="617">
        <v>0</v>
      </c>
      <c r="Y23" s="617">
        <v>0</v>
      </c>
      <c r="Z23" s="617">
        <v>0</v>
      </c>
      <c r="AA23" s="617">
        <v>1600</v>
      </c>
    </row>
    <row r="24" spans="1:28">
      <c r="A24" s="472"/>
      <c r="B24" s="472" t="s">
        <v>381</v>
      </c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516"/>
      <c r="O24" s="472"/>
      <c r="P24" s="472"/>
      <c r="Q24" s="472"/>
      <c r="R24" s="472"/>
      <c r="S24" s="472"/>
      <c r="T24" s="472"/>
      <c r="U24" s="472"/>
      <c r="V24" s="472"/>
      <c r="W24" s="472"/>
      <c r="X24" s="472"/>
      <c r="Y24" s="472"/>
      <c r="Z24" s="472"/>
      <c r="AA24" s="472"/>
    </row>
    <row r="25" spans="1:28">
      <c r="A25" s="475"/>
      <c r="B25" s="475" t="s">
        <v>741</v>
      </c>
      <c r="C25" s="475"/>
      <c r="D25" s="475"/>
      <c r="E25" s="475"/>
      <c r="F25" s="475"/>
      <c r="G25" s="475"/>
      <c r="H25" s="475"/>
      <c r="I25" s="475"/>
      <c r="J25" s="475"/>
      <c r="K25" s="475"/>
      <c r="L25" s="475"/>
      <c r="M25" s="475"/>
      <c r="N25" s="475"/>
      <c r="O25" s="475"/>
      <c r="P25" s="475"/>
      <c r="Q25" s="475"/>
      <c r="R25" s="475"/>
      <c r="S25" s="475"/>
      <c r="T25" s="475"/>
      <c r="U25" s="475"/>
      <c r="V25" s="475"/>
      <c r="W25" s="475"/>
      <c r="X25" s="475"/>
      <c r="Y25" s="475"/>
      <c r="Z25" s="475"/>
      <c r="AA25" s="475"/>
    </row>
    <row r="26" spans="1:28">
      <c r="A26" t="s">
        <v>359</v>
      </c>
      <c r="B26" t="s">
        <v>128</v>
      </c>
      <c r="C26" t="s">
        <v>129</v>
      </c>
      <c r="D26" t="s">
        <v>140</v>
      </c>
      <c r="E26" t="s">
        <v>141</v>
      </c>
      <c r="F26" t="s">
        <v>142</v>
      </c>
      <c r="G26" t="s">
        <v>379</v>
      </c>
      <c r="J26" s="167" t="s">
        <v>143</v>
      </c>
      <c r="K26" t="str">
        <f>VLOOKUP(J26,Accounts!A:C,2,0)</f>
        <v>Asimilados a salarios</v>
      </c>
      <c r="L26" t="str">
        <f>VLOOKUP(J26,Accounts!A:C,3,0)</f>
        <v>Sueldos y Salarios</v>
      </c>
      <c r="M26" t="s">
        <v>101</v>
      </c>
      <c r="N26" s="471">
        <f t="shared" ref="N26:N34" si="11">+IF(M26="MXN",O26/$N$2,IF(M26="BRL",O26/$N$3,O26))</f>
        <v>72000</v>
      </c>
      <c r="O26" s="164">
        <f t="shared" ref="O26:O37" si="12">+SUM(P26:AA26)</f>
        <v>72000</v>
      </c>
      <c r="P26" s="640">
        <v>6000</v>
      </c>
      <c r="Q26" s="168">
        <f>+P26</f>
        <v>6000</v>
      </c>
      <c r="R26" s="168">
        <f t="shared" ref="R26:AA26" si="13">+Q26</f>
        <v>6000</v>
      </c>
      <c r="S26" s="168">
        <f t="shared" si="13"/>
        <v>6000</v>
      </c>
      <c r="T26" s="168">
        <f t="shared" si="13"/>
        <v>6000</v>
      </c>
      <c r="U26" s="168">
        <f t="shared" si="13"/>
        <v>6000</v>
      </c>
      <c r="V26" s="168">
        <f t="shared" si="13"/>
        <v>6000</v>
      </c>
      <c r="W26" s="168">
        <f t="shared" si="13"/>
        <v>6000</v>
      </c>
      <c r="X26" s="168">
        <f t="shared" si="13"/>
        <v>6000</v>
      </c>
      <c r="Y26" s="168">
        <f t="shared" si="13"/>
        <v>6000</v>
      </c>
      <c r="Z26" s="168">
        <f t="shared" si="13"/>
        <v>6000</v>
      </c>
      <c r="AA26" s="168">
        <f t="shared" si="13"/>
        <v>6000</v>
      </c>
    </row>
    <row r="27" spans="1:28">
      <c r="A27" s="475"/>
      <c r="B27" s="475" t="s">
        <v>382</v>
      </c>
      <c r="C27" s="475"/>
      <c r="D27" s="475"/>
      <c r="E27" s="475"/>
      <c r="F27" s="475"/>
      <c r="G27" s="475"/>
      <c r="H27" s="475"/>
      <c r="I27" s="475"/>
      <c r="J27" s="475"/>
      <c r="K27" s="475"/>
      <c r="L27" s="475"/>
      <c r="M27" s="475"/>
      <c r="N27" s="475"/>
      <c r="O27" s="475"/>
      <c r="P27" s="475"/>
      <c r="Q27" s="475"/>
      <c r="R27" s="475"/>
      <c r="S27" s="475"/>
      <c r="T27" s="475"/>
      <c r="U27" s="475"/>
      <c r="V27" s="475"/>
      <c r="W27" s="475"/>
      <c r="X27" s="475"/>
      <c r="Y27" s="475"/>
      <c r="Z27" s="475"/>
      <c r="AA27" s="475"/>
    </row>
    <row r="28" spans="1:28">
      <c r="A28" t="s">
        <v>359</v>
      </c>
      <c r="B28" t="s">
        <v>128</v>
      </c>
      <c r="C28" t="s">
        <v>129</v>
      </c>
      <c r="D28" t="s">
        <v>140</v>
      </c>
      <c r="E28" t="s">
        <v>129</v>
      </c>
      <c r="F28" t="s">
        <v>742</v>
      </c>
      <c r="G28" t="s">
        <v>384</v>
      </c>
      <c r="I28" s="295"/>
      <c r="J28" s="163" t="s">
        <v>146</v>
      </c>
      <c r="K28" t="str">
        <f>VLOOKUP(J28,Accounts!A:C,2,0)</f>
        <v>Sueldos y salarios</v>
      </c>
      <c r="L28" t="str">
        <f>VLOOKUP(J28,Accounts!A:C,3,0)</f>
        <v>Sueldos y Salarios</v>
      </c>
      <c r="M28" t="s">
        <v>102</v>
      </c>
      <c r="N28" s="471">
        <f t="shared" si="11"/>
        <v>94659.372972972953</v>
      </c>
      <c r="O28" s="517">
        <f t="shared" si="12"/>
        <v>1751198.3999999997</v>
      </c>
      <c r="P28" s="639">
        <f>+'Salary Increases'!L42</f>
        <v>145933.19999999998</v>
      </c>
      <c r="Q28" s="486">
        <f>+P28</f>
        <v>145933.19999999998</v>
      </c>
      <c r="R28" s="486">
        <f t="shared" ref="R28:AA28" si="14">+Q28</f>
        <v>145933.19999999998</v>
      </c>
      <c r="S28" s="486">
        <f t="shared" si="14"/>
        <v>145933.19999999998</v>
      </c>
      <c r="T28" s="486">
        <f t="shared" si="14"/>
        <v>145933.19999999998</v>
      </c>
      <c r="U28" s="486">
        <f t="shared" si="14"/>
        <v>145933.19999999998</v>
      </c>
      <c r="V28" s="486">
        <f t="shared" si="14"/>
        <v>145933.19999999998</v>
      </c>
      <c r="W28" s="486">
        <f t="shared" si="14"/>
        <v>145933.19999999998</v>
      </c>
      <c r="X28" s="486">
        <f t="shared" si="14"/>
        <v>145933.19999999998</v>
      </c>
      <c r="Y28" s="486">
        <f t="shared" si="14"/>
        <v>145933.19999999998</v>
      </c>
      <c r="Z28" s="486">
        <f t="shared" si="14"/>
        <v>145933.19999999998</v>
      </c>
      <c r="AA28" s="486">
        <f t="shared" si="14"/>
        <v>145933.19999999998</v>
      </c>
    </row>
    <row r="29" spans="1:28">
      <c r="A29" t="s">
        <v>359</v>
      </c>
      <c r="B29" t="s">
        <v>128</v>
      </c>
      <c r="C29" t="s">
        <v>129</v>
      </c>
      <c r="D29" t="s">
        <v>140</v>
      </c>
      <c r="E29" t="s">
        <v>744</v>
      </c>
      <c r="F29" t="s">
        <v>745</v>
      </c>
      <c r="G29" t="s">
        <v>384</v>
      </c>
      <c r="I29" s="295"/>
      <c r="J29" s="163" t="s">
        <v>146</v>
      </c>
      <c r="K29" t="str">
        <f>VLOOKUP(J29,Accounts!A:C,2,0)</f>
        <v>Sueldos y salarios</v>
      </c>
      <c r="L29" t="str">
        <f>VLOOKUP(J29,Accounts!A:C,3,0)</f>
        <v>Sueldos y Salarios</v>
      </c>
      <c r="M29" t="s">
        <v>102</v>
      </c>
      <c r="N29" s="471">
        <f t="shared" si="11"/>
        <v>25971.891891891893</v>
      </c>
      <c r="O29" s="517">
        <f>+SUM(P29:AA29)</f>
        <v>480480</v>
      </c>
      <c r="P29" s="639">
        <f>+'Salary Increases'!L43</f>
        <v>40040</v>
      </c>
      <c r="Q29" s="168">
        <f>+P29</f>
        <v>40040</v>
      </c>
      <c r="R29" s="168">
        <f t="shared" ref="R29:AA29" si="15">+Q29</f>
        <v>40040</v>
      </c>
      <c r="S29" s="168">
        <f t="shared" si="15"/>
        <v>40040</v>
      </c>
      <c r="T29" s="168">
        <f t="shared" si="15"/>
        <v>40040</v>
      </c>
      <c r="U29" s="168">
        <f t="shared" si="15"/>
        <v>40040</v>
      </c>
      <c r="V29" s="168">
        <f t="shared" si="15"/>
        <v>40040</v>
      </c>
      <c r="W29" s="168">
        <f t="shared" si="15"/>
        <v>40040</v>
      </c>
      <c r="X29" s="168">
        <f t="shared" si="15"/>
        <v>40040</v>
      </c>
      <c r="Y29" s="168">
        <f t="shared" si="15"/>
        <v>40040</v>
      </c>
      <c r="Z29" s="168">
        <f t="shared" si="15"/>
        <v>40040</v>
      </c>
      <c r="AA29" s="168">
        <f t="shared" si="15"/>
        <v>40040</v>
      </c>
    </row>
    <row r="30" spans="1:28">
      <c r="A30" t="s">
        <v>359</v>
      </c>
      <c r="B30" t="s">
        <v>128</v>
      </c>
      <c r="C30" t="s">
        <v>129</v>
      </c>
      <c r="D30" t="s">
        <v>140</v>
      </c>
      <c r="E30" t="s">
        <v>815</v>
      </c>
      <c r="F30" t="s">
        <v>743</v>
      </c>
      <c r="G30" t="s">
        <v>384</v>
      </c>
      <c r="I30" s="295"/>
      <c r="J30" s="163" t="s">
        <v>146</v>
      </c>
      <c r="K30" t="str">
        <f>VLOOKUP(J30,Accounts!A:C,2,0)</f>
        <v>Sueldos y salarios</v>
      </c>
      <c r="L30" t="str">
        <f>VLOOKUP(J30,Accounts!A:C,3,0)</f>
        <v>Sueldos y Salarios</v>
      </c>
      <c r="M30" t="s">
        <v>102</v>
      </c>
      <c r="N30" s="471">
        <f t="shared" si="11"/>
        <v>23364.864864864863</v>
      </c>
      <c r="O30" s="517">
        <f>+SUM(P30:AA30)</f>
        <v>432250</v>
      </c>
      <c r="P30" s="168">
        <v>35000</v>
      </c>
      <c r="Q30" s="168">
        <v>35000</v>
      </c>
      <c r="R30" s="168">
        <v>35000</v>
      </c>
      <c r="S30" s="168">
        <v>35000</v>
      </c>
      <c r="T30" s="168">
        <v>35000</v>
      </c>
      <c r="U30" s="640">
        <f>'Salary Increases'!M44</f>
        <v>36750</v>
      </c>
      <c r="V30" s="168">
        <f>+U30</f>
        <v>36750</v>
      </c>
      <c r="W30" s="168">
        <f t="shared" ref="W30:AA30" si="16">+V30</f>
        <v>36750</v>
      </c>
      <c r="X30" s="168">
        <f t="shared" si="16"/>
        <v>36750</v>
      </c>
      <c r="Y30" s="168">
        <f t="shared" si="16"/>
        <v>36750</v>
      </c>
      <c r="Z30" s="168">
        <f t="shared" si="16"/>
        <v>36750</v>
      </c>
      <c r="AA30" s="168">
        <f t="shared" si="16"/>
        <v>36750</v>
      </c>
    </row>
    <row r="31" spans="1:28">
      <c r="A31" s="475"/>
      <c r="B31" s="475" t="s">
        <v>709</v>
      </c>
      <c r="C31" s="475"/>
      <c r="D31" s="475"/>
      <c r="E31" s="475"/>
      <c r="F31" s="475"/>
      <c r="G31" s="475"/>
      <c r="H31" s="475"/>
      <c r="I31" s="475"/>
      <c r="J31" s="475"/>
      <c r="K31" s="475"/>
      <c r="L31" s="475"/>
      <c r="M31" s="475"/>
      <c r="N31" s="475"/>
      <c r="O31" s="475"/>
      <c r="P31" s="475"/>
      <c r="Q31" s="475"/>
      <c r="R31" s="475"/>
      <c r="S31" s="475"/>
      <c r="T31" s="475"/>
      <c r="U31" s="475"/>
      <c r="V31" s="475"/>
      <c r="W31" s="475"/>
      <c r="X31" s="475"/>
      <c r="Y31" s="475"/>
      <c r="Z31" s="475"/>
      <c r="AA31" s="475"/>
    </row>
    <row r="32" spans="1:28">
      <c r="A32" t="s">
        <v>359</v>
      </c>
      <c r="B32" t="s">
        <v>128</v>
      </c>
      <c r="C32" t="s">
        <v>129</v>
      </c>
      <c r="D32" t="s">
        <v>149</v>
      </c>
      <c r="E32" t="s">
        <v>395</v>
      </c>
      <c r="F32" t="s">
        <v>396</v>
      </c>
      <c r="G32" t="s">
        <v>379</v>
      </c>
      <c r="J32" s="163" t="s">
        <v>397</v>
      </c>
      <c r="K32" t="str">
        <f>VLOOKUP(J32,Accounts!A:C,2,0)</f>
        <v>Despensa</v>
      </c>
      <c r="L32" t="str">
        <f>VLOOKUP(J32,Accounts!A:C,3,0)</f>
        <v>Sueldos y Salarios</v>
      </c>
      <c r="M32" t="s">
        <v>102</v>
      </c>
      <c r="N32" s="471">
        <f t="shared" si="11"/>
        <v>981.40540540540542</v>
      </c>
      <c r="O32" s="164">
        <f t="shared" si="12"/>
        <v>18156</v>
      </c>
      <c r="P32" s="518">
        <v>1513</v>
      </c>
      <c r="Q32" s="518">
        <v>1513</v>
      </c>
      <c r="R32" s="518">
        <v>1513</v>
      </c>
      <c r="S32" s="518">
        <v>1513</v>
      </c>
      <c r="T32" s="518">
        <v>1513</v>
      </c>
      <c r="U32" s="518">
        <v>1513</v>
      </c>
      <c r="V32" s="518">
        <v>1513</v>
      </c>
      <c r="W32" s="518">
        <v>1513</v>
      </c>
      <c r="X32" s="518">
        <v>1513</v>
      </c>
      <c r="Y32" s="518">
        <v>1513</v>
      </c>
      <c r="Z32" s="518">
        <v>1513</v>
      </c>
      <c r="AA32" s="518">
        <v>1513</v>
      </c>
    </row>
    <row r="33" spans="1:28">
      <c r="A33" t="s">
        <v>359</v>
      </c>
      <c r="B33" t="s">
        <v>128</v>
      </c>
      <c r="C33" t="s">
        <v>129</v>
      </c>
      <c r="D33" t="s">
        <v>149</v>
      </c>
      <c r="E33" t="s">
        <v>399</v>
      </c>
      <c r="F33" t="s">
        <v>746</v>
      </c>
      <c r="G33" t="s">
        <v>384</v>
      </c>
      <c r="J33" s="163" t="s">
        <v>400</v>
      </c>
      <c r="K33" t="str">
        <f>VLOOKUP(J33,Accounts!A:C,2,0)</f>
        <v>Aguinaldo</v>
      </c>
      <c r="L33" t="str">
        <f>VLOOKUP(J33,Accounts!A:C,3,0)</f>
        <v>Sueldos y Salarios</v>
      </c>
      <c r="M33" t="s">
        <v>102</v>
      </c>
      <c r="N33" s="471">
        <f t="shared" si="11"/>
        <v>8589.5264864864857</v>
      </c>
      <c r="O33" s="164">
        <f>+SUM(P33:AA33)</f>
        <v>158906.23999999999</v>
      </c>
      <c r="P33" s="486">
        <v>0</v>
      </c>
      <c r="Q33" s="486">
        <v>0</v>
      </c>
      <c r="R33" s="486">
        <v>0</v>
      </c>
      <c r="S33" s="486">
        <v>0</v>
      </c>
      <c r="T33" s="486">
        <v>0</v>
      </c>
      <c r="U33" s="486">
        <v>0</v>
      </c>
      <c r="V33" s="486">
        <v>0</v>
      </c>
      <c r="W33" s="486">
        <v>0</v>
      </c>
      <c r="X33" s="486">
        <v>0</v>
      </c>
      <c r="Y33" s="486">
        <v>0</v>
      </c>
      <c r="Z33" s="486">
        <v>0</v>
      </c>
      <c r="AA33" s="518">
        <f>+SUM(AA28:AA30)*0.7+AA26/2</f>
        <v>158906.23999999999</v>
      </c>
    </row>
    <row r="34" spans="1:28">
      <c r="A34" t="s">
        <v>359</v>
      </c>
      <c r="B34" t="s">
        <v>128</v>
      </c>
      <c r="C34" t="s">
        <v>129</v>
      </c>
      <c r="D34" t="s">
        <v>149</v>
      </c>
      <c r="E34" t="s">
        <v>150</v>
      </c>
      <c r="F34" t="s">
        <v>150</v>
      </c>
      <c r="J34" s="163" t="s">
        <v>151</v>
      </c>
      <c r="K34" t="str">
        <f>VLOOKUP(J34,Accounts!A:C,2,0)</f>
        <v>Estimulo al personal</v>
      </c>
      <c r="L34" t="str">
        <f>VLOOKUP(J34,Accounts!A:C,3,0)</f>
        <v>Sueldos y Salarios</v>
      </c>
      <c r="M34" t="s">
        <v>101</v>
      </c>
      <c r="N34" s="471">
        <f t="shared" si="11"/>
        <v>0</v>
      </c>
      <c r="O34" s="164">
        <f t="shared" si="12"/>
        <v>0</v>
      </c>
      <c r="P34" s="627">
        <v>0</v>
      </c>
      <c r="Q34" s="627">
        <v>0</v>
      </c>
      <c r="R34" s="628">
        <v>0</v>
      </c>
      <c r="S34" s="628">
        <v>0</v>
      </c>
      <c r="T34" s="628">
        <v>0</v>
      </c>
      <c r="U34" s="628">
        <v>0</v>
      </c>
      <c r="V34" s="628">
        <v>0</v>
      </c>
      <c r="W34" s="628">
        <v>0</v>
      </c>
      <c r="X34" s="628">
        <v>0</v>
      </c>
      <c r="Y34" s="628">
        <v>0</v>
      </c>
      <c r="Z34" s="628">
        <v>0</v>
      </c>
      <c r="AA34" s="628">
        <v>0</v>
      </c>
    </row>
    <row r="35" spans="1:28">
      <c r="A35" t="s">
        <v>359</v>
      </c>
      <c r="B35" t="s">
        <v>128</v>
      </c>
      <c r="C35" t="s">
        <v>129</v>
      </c>
      <c r="D35" t="s">
        <v>149</v>
      </c>
      <c r="E35" t="s">
        <v>747</v>
      </c>
      <c r="G35" t="s">
        <v>379</v>
      </c>
      <c r="J35" s="163" t="s">
        <v>587</v>
      </c>
      <c r="K35" t="str">
        <f>VLOOKUP(J35,Accounts!A:C,2,0)</f>
        <v>Seguros y Fianzas</v>
      </c>
      <c r="L35" t="str">
        <f>VLOOKUP(J35,Accounts!A:C,3,0)</f>
        <v>Otros</v>
      </c>
      <c r="M35" t="s">
        <v>102</v>
      </c>
      <c r="N35" s="471">
        <f>+IF(M35="MXN",O35/$N$2,IF(M35="BRL",O35/$N$3,O35))</f>
        <v>25513.513513513513</v>
      </c>
      <c r="O35" s="164">
        <f t="shared" si="12"/>
        <v>472000</v>
      </c>
      <c r="P35" s="617">
        <v>0</v>
      </c>
      <c r="Q35" s="617">
        <v>118000</v>
      </c>
      <c r="R35" s="617">
        <v>0</v>
      </c>
      <c r="S35" s="617">
        <v>118000</v>
      </c>
      <c r="T35" s="617">
        <v>0</v>
      </c>
      <c r="U35" s="617">
        <v>0</v>
      </c>
      <c r="V35" s="617">
        <v>0</v>
      </c>
      <c r="W35" s="617">
        <v>118000</v>
      </c>
      <c r="X35" s="617">
        <v>0</v>
      </c>
      <c r="Y35" s="617">
        <v>0</v>
      </c>
      <c r="Z35" s="617">
        <v>118000</v>
      </c>
      <c r="AA35" s="617">
        <v>0</v>
      </c>
      <c r="AB35" t="s">
        <v>896</v>
      </c>
    </row>
    <row r="36" spans="1:28">
      <c r="A36" t="s">
        <v>359</v>
      </c>
      <c r="B36" t="s">
        <v>128</v>
      </c>
      <c r="C36" t="s">
        <v>129</v>
      </c>
      <c r="D36" t="s">
        <v>149</v>
      </c>
      <c r="E36" t="s">
        <v>748</v>
      </c>
      <c r="G36" t="s">
        <v>379</v>
      </c>
      <c r="J36" s="163" t="s">
        <v>587</v>
      </c>
      <c r="K36" t="str">
        <f>VLOOKUP(J36,Accounts!A:C,2,0)</f>
        <v>Seguros y Fianzas</v>
      </c>
      <c r="L36" t="str">
        <f>VLOOKUP(J36,Accounts!A:C,3,0)</f>
        <v>Otros</v>
      </c>
      <c r="M36" t="s">
        <v>102</v>
      </c>
      <c r="N36" s="471">
        <f>+IF(M36="MXN",O36/$N$2,IF(M36="BRL",O36/$N$3,O36))</f>
        <v>3783.7837837837837</v>
      </c>
      <c r="O36" s="164">
        <f t="shared" si="12"/>
        <v>70000</v>
      </c>
      <c r="P36" s="617">
        <v>0</v>
      </c>
      <c r="Q36" s="617">
        <v>0</v>
      </c>
      <c r="R36" s="617">
        <v>0</v>
      </c>
      <c r="S36" s="617">
        <v>0</v>
      </c>
      <c r="T36" s="617">
        <v>0</v>
      </c>
      <c r="U36" s="617">
        <v>35000</v>
      </c>
      <c r="V36" s="617">
        <v>0</v>
      </c>
      <c r="W36" s="617">
        <v>0</v>
      </c>
      <c r="X36" s="617">
        <v>0</v>
      </c>
      <c r="Y36" s="617">
        <v>0</v>
      </c>
      <c r="Z36" s="617">
        <v>0</v>
      </c>
      <c r="AA36" s="617">
        <v>35000</v>
      </c>
      <c r="AB36" t="s">
        <v>896</v>
      </c>
    </row>
    <row r="37" spans="1:28">
      <c r="A37" t="s">
        <v>359</v>
      </c>
      <c r="B37" t="s">
        <v>128</v>
      </c>
      <c r="C37" t="s">
        <v>129</v>
      </c>
      <c r="D37" t="s">
        <v>149</v>
      </c>
      <c r="E37" t="s">
        <v>749</v>
      </c>
      <c r="G37" t="s">
        <v>379</v>
      </c>
      <c r="J37" s="163" t="s">
        <v>587</v>
      </c>
      <c r="K37" t="str">
        <f>VLOOKUP(J37,Accounts!A:C,2,0)</f>
        <v>Seguros y Fianzas</v>
      </c>
      <c r="L37" t="str">
        <f>VLOOKUP(J37,Accounts!A:C,3,0)</f>
        <v>Otros</v>
      </c>
      <c r="M37" t="s">
        <v>102</v>
      </c>
      <c r="N37" s="471">
        <f>+IF(M37="MXN",O37/$N$2,IF(M37="BRL",O37/$N$3,O37))</f>
        <v>540.54054054054052</v>
      </c>
      <c r="O37" s="164">
        <f t="shared" si="12"/>
        <v>10000</v>
      </c>
      <c r="P37" s="617">
        <v>10000</v>
      </c>
      <c r="Q37" s="617">
        <v>0</v>
      </c>
      <c r="R37" s="617">
        <v>0</v>
      </c>
      <c r="S37" s="617">
        <v>0</v>
      </c>
      <c r="T37" s="617">
        <v>0</v>
      </c>
      <c r="U37" s="617">
        <v>0</v>
      </c>
      <c r="V37" s="617">
        <v>0</v>
      </c>
      <c r="W37" s="617">
        <v>0</v>
      </c>
      <c r="X37" s="617">
        <v>0</v>
      </c>
      <c r="Y37" s="617">
        <v>0</v>
      </c>
      <c r="Z37" s="617">
        <v>0</v>
      </c>
      <c r="AA37" s="617">
        <v>0</v>
      </c>
      <c r="AB37" t="s">
        <v>896</v>
      </c>
    </row>
    <row r="38" spans="1:28">
      <c r="A38" s="472"/>
      <c r="B38" s="472" t="s">
        <v>405</v>
      </c>
      <c r="C38" s="472"/>
      <c r="D38" s="472"/>
      <c r="E38" s="472"/>
      <c r="F38" s="472"/>
      <c r="G38" s="472"/>
      <c r="H38" s="472"/>
      <c r="I38" s="472"/>
      <c r="J38" s="472"/>
      <c r="K38" s="472"/>
      <c r="L38" s="472"/>
      <c r="M38" s="472"/>
      <c r="N38" s="516"/>
      <c r="O38" s="472"/>
      <c r="P38" s="472"/>
      <c r="Q38" s="472"/>
      <c r="R38" s="472"/>
      <c r="S38" s="472"/>
      <c r="T38" s="472"/>
      <c r="U38" s="472"/>
      <c r="V38" s="472"/>
      <c r="W38" s="472"/>
      <c r="X38" s="472"/>
      <c r="Y38" s="472"/>
      <c r="Z38" s="472"/>
      <c r="AA38" s="472"/>
    </row>
    <row r="39" spans="1:28">
      <c r="A39" t="s">
        <v>359</v>
      </c>
      <c r="B39" t="s">
        <v>128</v>
      </c>
      <c r="C39" t="s">
        <v>129</v>
      </c>
      <c r="D39" t="s">
        <v>153</v>
      </c>
      <c r="E39" t="s">
        <v>154</v>
      </c>
      <c r="F39" t="s">
        <v>406</v>
      </c>
      <c r="G39" t="s">
        <v>379</v>
      </c>
      <c r="J39" s="167" t="s">
        <v>156</v>
      </c>
      <c r="K39" t="str">
        <f>VLOOKUP(J39,Accounts!A:C,2,0)</f>
        <v>Viaticos Hotel</v>
      </c>
      <c r="L39" t="str">
        <f>VLOOKUP(J39,Accounts!A:C,3,0)</f>
        <v>Gastos de Viaje</v>
      </c>
      <c r="M39" t="s">
        <v>102</v>
      </c>
      <c r="N39" s="471">
        <f t="shared" ref="N39:N42" si="17">+IF(M39="MXN",O39/$N$2,IF(M39="BRL",O39/$N$3,O39))</f>
        <v>1081.081081081081</v>
      </c>
      <c r="O39" s="164">
        <f t="shared" ref="O39:O42" si="18">+SUM(P39:AA39)</f>
        <v>20000</v>
      </c>
      <c r="P39" s="478">
        <v>0</v>
      </c>
      <c r="Q39" s="478">
        <v>0</v>
      </c>
      <c r="R39" s="478">
        <v>10000</v>
      </c>
      <c r="S39" s="478">
        <v>0</v>
      </c>
      <c r="T39" s="478">
        <v>0</v>
      </c>
      <c r="U39" s="478">
        <v>0</v>
      </c>
      <c r="V39" s="478">
        <v>0</v>
      </c>
      <c r="W39" s="478">
        <v>10000</v>
      </c>
      <c r="X39" s="478">
        <v>0</v>
      </c>
      <c r="Y39" s="478">
        <v>0</v>
      </c>
      <c r="Z39" s="478">
        <v>0</v>
      </c>
      <c r="AA39" s="478">
        <v>0</v>
      </c>
    </row>
    <row r="40" spans="1:28">
      <c r="A40" t="s">
        <v>359</v>
      </c>
      <c r="B40" t="s">
        <v>128</v>
      </c>
      <c r="C40" t="s">
        <v>129</v>
      </c>
      <c r="D40" t="s">
        <v>159</v>
      </c>
      <c r="E40" t="s">
        <v>154</v>
      </c>
      <c r="F40" t="s">
        <v>407</v>
      </c>
      <c r="G40" t="s">
        <v>379</v>
      </c>
      <c r="J40" s="167" t="s">
        <v>160</v>
      </c>
      <c r="K40" t="str">
        <f>VLOOKUP(J40,Accounts!A:C,2,0)</f>
        <v>Vaticos Taxi</v>
      </c>
      <c r="L40" t="str">
        <f>VLOOKUP(J40,Accounts!A:C,3,0)</f>
        <v>Gastos de Viaje</v>
      </c>
      <c r="M40" t="s">
        <v>102</v>
      </c>
      <c r="N40" s="471">
        <f t="shared" si="17"/>
        <v>108.10810810810811</v>
      </c>
      <c r="O40" s="164">
        <f t="shared" si="18"/>
        <v>2000</v>
      </c>
      <c r="P40" s="478">
        <v>0</v>
      </c>
      <c r="Q40" s="478">
        <v>0</v>
      </c>
      <c r="R40" s="478">
        <v>1000</v>
      </c>
      <c r="S40" s="478">
        <v>0</v>
      </c>
      <c r="T40" s="478">
        <v>0</v>
      </c>
      <c r="U40" s="478">
        <v>0</v>
      </c>
      <c r="V40" s="478">
        <v>0</v>
      </c>
      <c r="W40" s="478">
        <v>1000</v>
      </c>
      <c r="X40" s="478">
        <v>0</v>
      </c>
      <c r="Y40" s="478">
        <v>0</v>
      </c>
      <c r="Z40" s="478">
        <v>0</v>
      </c>
      <c r="AA40" s="478">
        <v>0</v>
      </c>
    </row>
    <row r="41" spans="1:28">
      <c r="A41" t="s">
        <v>359</v>
      </c>
      <c r="B41" t="s">
        <v>128</v>
      </c>
      <c r="C41" t="s">
        <v>129</v>
      </c>
      <c r="D41" t="s">
        <v>162</v>
      </c>
      <c r="E41" t="s">
        <v>154</v>
      </c>
      <c r="F41" t="s">
        <v>408</v>
      </c>
      <c r="G41" t="s">
        <v>379</v>
      </c>
      <c r="J41" s="167" t="s">
        <v>163</v>
      </c>
      <c r="K41" t="str">
        <f>VLOOKUP(J41,Accounts!A:C,2,0)</f>
        <v>Viaticos Avion</v>
      </c>
      <c r="L41" t="str">
        <f>VLOOKUP(J41,Accounts!A:C,3,0)</f>
        <v>Gastos de Viaje</v>
      </c>
      <c r="M41" t="s">
        <v>102</v>
      </c>
      <c r="N41" s="471">
        <f t="shared" si="17"/>
        <v>864.8648648648649</v>
      </c>
      <c r="O41" s="164">
        <f t="shared" si="18"/>
        <v>16000</v>
      </c>
      <c r="P41" s="478">
        <v>0</v>
      </c>
      <c r="Q41" s="478">
        <v>0</v>
      </c>
      <c r="R41" s="478">
        <v>8000</v>
      </c>
      <c r="S41" s="478">
        <v>0</v>
      </c>
      <c r="T41" s="478">
        <v>0</v>
      </c>
      <c r="U41" s="478">
        <v>0</v>
      </c>
      <c r="V41" s="478">
        <v>0</v>
      </c>
      <c r="W41" s="478">
        <v>8000</v>
      </c>
      <c r="X41" s="478">
        <v>0</v>
      </c>
      <c r="Y41" s="478">
        <v>0</v>
      </c>
      <c r="Z41" s="478">
        <v>0</v>
      </c>
      <c r="AA41" s="478">
        <v>0</v>
      </c>
    </row>
    <row r="42" spans="1:28">
      <c r="A42" t="s">
        <v>359</v>
      </c>
      <c r="B42" t="s">
        <v>128</v>
      </c>
      <c r="C42" t="s">
        <v>129</v>
      </c>
      <c r="D42" t="s">
        <v>165</v>
      </c>
      <c r="E42" t="s">
        <v>154</v>
      </c>
      <c r="F42" t="s">
        <v>409</v>
      </c>
      <c r="G42" t="s">
        <v>379</v>
      </c>
      <c r="J42" s="167" t="s">
        <v>166</v>
      </c>
      <c r="K42" t="str">
        <f>VLOOKUP(J42,Accounts!A:C,2,0)</f>
        <v>Viaticos Comidas</v>
      </c>
      <c r="L42" t="str">
        <f>VLOOKUP(J42,Accounts!A:C,3,0)</f>
        <v>Gastos de Viaje</v>
      </c>
      <c r="M42" t="s">
        <v>102</v>
      </c>
      <c r="N42" s="471">
        <f t="shared" si="17"/>
        <v>432.43243243243245</v>
      </c>
      <c r="O42" s="164">
        <f t="shared" si="18"/>
        <v>8000</v>
      </c>
      <c r="P42" s="478">
        <v>0</v>
      </c>
      <c r="Q42" s="478">
        <v>0</v>
      </c>
      <c r="R42" s="478">
        <v>4000</v>
      </c>
      <c r="S42" s="478">
        <v>0</v>
      </c>
      <c r="T42" s="478">
        <v>0</v>
      </c>
      <c r="U42" s="478">
        <v>0</v>
      </c>
      <c r="V42" s="478">
        <v>0</v>
      </c>
      <c r="W42" s="478">
        <v>4000</v>
      </c>
      <c r="X42" s="478">
        <v>0</v>
      </c>
      <c r="Y42" s="478">
        <v>0</v>
      </c>
      <c r="Z42" s="478">
        <v>0</v>
      </c>
      <c r="AA42" s="478">
        <v>0</v>
      </c>
    </row>
    <row r="43" spans="1:28">
      <c r="A43" s="472"/>
      <c r="B43" s="472" t="s">
        <v>750</v>
      </c>
      <c r="C43" s="472"/>
      <c r="D43" s="472"/>
      <c r="E43" s="472"/>
      <c r="F43" s="472"/>
      <c r="G43" s="472"/>
      <c r="H43" s="472"/>
      <c r="I43" s="472"/>
      <c r="J43" s="472"/>
      <c r="K43" s="472"/>
      <c r="L43" s="472"/>
      <c r="M43" s="472"/>
      <c r="N43" s="516"/>
      <c r="O43" s="472"/>
      <c r="P43" s="472"/>
      <c r="Q43" s="472"/>
      <c r="R43" s="472"/>
      <c r="S43" s="472"/>
      <c r="T43" s="472"/>
      <c r="U43" s="472"/>
      <c r="V43" s="472"/>
      <c r="W43" s="472"/>
      <c r="X43" s="472"/>
      <c r="Y43" s="472"/>
      <c r="Z43" s="472"/>
      <c r="AA43" s="472"/>
    </row>
    <row r="44" spans="1:28">
      <c r="A44" t="s">
        <v>359</v>
      </c>
      <c r="B44" t="s">
        <v>128</v>
      </c>
      <c r="C44" t="s">
        <v>129</v>
      </c>
      <c r="D44" t="s">
        <v>578</v>
      </c>
      <c r="E44" t="s">
        <v>154</v>
      </c>
      <c r="F44" t="s">
        <v>823</v>
      </c>
      <c r="J44" s="163" t="s">
        <v>577</v>
      </c>
      <c r="K44" t="str">
        <f>VLOOKUP(J44,Accounts!A:C,2,0)</f>
        <v>Papeleria y Articulos De Oficina</v>
      </c>
      <c r="L44" t="str">
        <f>VLOOKUP(J44,Accounts!A:C,3,0)</f>
        <v>Otros</v>
      </c>
      <c r="M44" t="s">
        <v>102</v>
      </c>
      <c r="N44" s="471">
        <f>+IF(M44="MXN",O44/$N$2,IF(M44="BRL",O44/$N$3,O44))</f>
        <v>3243.2432432432433</v>
      </c>
      <c r="O44" s="164">
        <f t="shared" ref="O44:O50" si="19">+SUM(P44:AA44)</f>
        <v>60000</v>
      </c>
      <c r="P44" s="169">
        <v>5000</v>
      </c>
      <c r="Q44" s="169">
        <v>5000</v>
      </c>
      <c r="R44" s="169">
        <v>5000</v>
      </c>
      <c r="S44" s="169">
        <v>5000</v>
      </c>
      <c r="T44" s="169">
        <v>5000</v>
      </c>
      <c r="U44" s="169">
        <v>5000</v>
      </c>
      <c r="V44" s="169">
        <v>5000</v>
      </c>
      <c r="W44" s="169">
        <v>5000</v>
      </c>
      <c r="X44" s="169">
        <v>5000</v>
      </c>
      <c r="Y44" s="169">
        <v>5000</v>
      </c>
      <c r="Z44" s="169">
        <v>5000</v>
      </c>
      <c r="AA44" s="169">
        <v>5000</v>
      </c>
    </row>
    <row r="45" spans="1:28">
      <c r="A45" t="s">
        <v>359</v>
      </c>
      <c r="B45" t="s">
        <v>128</v>
      </c>
      <c r="C45" t="s">
        <v>129</v>
      </c>
      <c r="D45" t="s">
        <v>751</v>
      </c>
      <c r="E45" t="s">
        <v>752</v>
      </c>
      <c r="F45" t="s">
        <v>753</v>
      </c>
      <c r="J45" s="163" t="s">
        <v>593</v>
      </c>
      <c r="K45" t="str">
        <f>VLOOKUP(J45,Accounts!A:C,2,0)</f>
        <v>Cuotas y Suscripciones</v>
      </c>
      <c r="L45" t="str">
        <f>VLOOKUP(J45,Accounts!A:C,3,0)</f>
        <v>Otros</v>
      </c>
      <c r="M45" t="s">
        <v>102</v>
      </c>
      <c r="N45" s="471">
        <f t="shared" ref="N45" si="20">+IF(M45="MXN",O45/$N$2,IF(M45="BRL",O45/$N$3,O45))</f>
        <v>0</v>
      </c>
      <c r="O45" s="164">
        <f t="shared" si="19"/>
        <v>0</v>
      </c>
      <c r="P45" s="169">
        <v>0</v>
      </c>
      <c r="Q45" s="169">
        <v>0</v>
      </c>
      <c r="R45" s="169">
        <v>0</v>
      </c>
      <c r="S45" s="169">
        <v>0</v>
      </c>
      <c r="T45" s="169">
        <v>0</v>
      </c>
      <c r="U45" s="169">
        <v>0</v>
      </c>
      <c r="V45" s="169">
        <v>0</v>
      </c>
      <c r="W45" s="169">
        <v>0</v>
      </c>
      <c r="X45" s="169">
        <v>0</v>
      </c>
      <c r="Y45" s="169">
        <v>0</v>
      </c>
      <c r="Z45" s="169">
        <v>0</v>
      </c>
      <c r="AA45" s="169">
        <v>0</v>
      </c>
    </row>
    <row r="46" spans="1:28">
      <c r="A46" t="s">
        <v>359</v>
      </c>
      <c r="B46" t="s">
        <v>128</v>
      </c>
      <c r="C46" t="s">
        <v>129</v>
      </c>
      <c r="D46" t="s">
        <v>754</v>
      </c>
      <c r="E46" t="s">
        <v>154</v>
      </c>
      <c r="F46" t="s">
        <v>755</v>
      </c>
      <c r="J46" s="163" t="s">
        <v>628</v>
      </c>
      <c r="K46" t="str">
        <f>VLOOKUP(J46,Accounts!A:C,2,0)</f>
        <v>Organizacion de eventos</v>
      </c>
      <c r="L46" t="str">
        <f>VLOOKUP(J46,Accounts!A:C,3,0)</f>
        <v>Otros</v>
      </c>
      <c r="M46" t="s">
        <v>102</v>
      </c>
      <c r="N46" s="471">
        <f>+IF(M46="MXN",O46/$N$2,IF(M46="BRL",O46/$N$3,O46))</f>
        <v>3243.2432432432433</v>
      </c>
      <c r="O46" s="164">
        <f t="shared" si="19"/>
        <v>60000</v>
      </c>
      <c r="P46" s="169">
        <v>5000</v>
      </c>
      <c r="Q46" s="169">
        <v>5000</v>
      </c>
      <c r="R46" s="169">
        <v>5000</v>
      </c>
      <c r="S46" s="169">
        <v>5000</v>
      </c>
      <c r="T46" s="169">
        <v>5000</v>
      </c>
      <c r="U46" s="169">
        <v>5000</v>
      </c>
      <c r="V46" s="169">
        <v>5000</v>
      </c>
      <c r="W46" s="169">
        <v>5000</v>
      </c>
      <c r="X46" s="169">
        <v>5000</v>
      </c>
      <c r="Y46" s="169">
        <v>5000</v>
      </c>
      <c r="Z46" s="169">
        <v>5000</v>
      </c>
      <c r="AA46" s="169">
        <v>5000</v>
      </c>
    </row>
    <row r="47" spans="1:28">
      <c r="A47" t="s">
        <v>359</v>
      </c>
      <c r="B47" t="s">
        <v>128</v>
      </c>
      <c r="C47" t="s">
        <v>129</v>
      </c>
      <c r="D47" t="s">
        <v>756</v>
      </c>
      <c r="E47" t="s">
        <v>154</v>
      </c>
      <c r="F47" t="s">
        <v>756</v>
      </c>
      <c r="J47" s="163" t="s">
        <v>628</v>
      </c>
      <c r="K47" t="str">
        <f>VLOOKUP(J47,Accounts!A:C,2,0)</f>
        <v>Organizacion de eventos</v>
      </c>
      <c r="L47" t="str">
        <f>VLOOKUP(J47,Accounts!A:C,3,0)</f>
        <v>Otros</v>
      </c>
      <c r="M47" t="s">
        <v>102</v>
      </c>
      <c r="N47" s="471">
        <f>+IF(M47="MXN",O47/$N$2,IF(M47="BRL",O47/$N$3,O47))</f>
        <v>1081.081081081081</v>
      </c>
      <c r="O47" s="164">
        <f t="shared" si="19"/>
        <v>20000</v>
      </c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>
        <v>20000</v>
      </c>
    </row>
    <row r="48" spans="1:28">
      <c r="A48" t="s">
        <v>359</v>
      </c>
      <c r="B48" t="s">
        <v>128</v>
      </c>
      <c r="C48" t="s">
        <v>129</v>
      </c>
      <c r="D48" t="s">
        <v>757</v>
      </c>
      <c r="E48" t="s">
        <v>758</v>
      </c>
      <c r="F48" t="s">
        <v>759</v>
      </c>
      <c r="J48" s="163" t="s">
        <v>614</v>
      </c>
      <c r="K48" t="str">
        <f>VLOOKUP(J48,Accounts!A:C,2,0)</f>
        <v>Capacitacion al Personal</v>
      </c>
      <c r="L48" t="str">
        <f>VLOOKUP(J48,Accounts!A:C,3,0)</f>
        <v>Otros</v>
      </c>
      <c r="M48" t="s">
        <v>102</v>
      </c>
      <c r="N48" s="471">
        <f>+IF(M48="MXN",O48/$N$2,IF(M48="BRL",O48/$N$3,O48))</f>
        <v>648.64864864864865</v>
      </c>
      <c r="O48" s="164">
        <f t="shared" si="19"/>
        <v>12000</v>
      </c>
      <c r="P48" s="165">
        <v>1000</v>
      </c>
      <c r="Q48" s="165">
        <v>1000</v>
      </c>
      <c r="R48" s="165">
        <v>1000</v>
      </c>
      <c r="S48" s="165">
        <v>1000</v>
      </c>
      <c r="T48" s="165">
        <v>1000</v>
      </c>
      <c r="U48" s="165">
        <v>1000</v>
      </c>
      <c r="V48" s="165">
        <v>1000</v>
      </c>
      <c r="W48" s="165">
        <v>1000</v>
      </c>
      <c r="X48" s="165">
        <v>1000</v>
      </c>
      <c r="Y48" s="165">
        <v>1000</v>
      </c>
      <c r="Z48" s="165">
        <v>1000</v>
      </c>
      <c r="AA48" s="165">
        <v>1000</v>
      </c>
    </row>
    <row r="49" spans="1:27">
      <c r="A49" t="s">
        <v>359</v>
      </c>
      <c r="B49" t="s">
        <v>128</v>
      </c>
      <c r="C49" t="s">
        <v>129</v>
      </c>
      <c r="D49" t="s">
        <v>760</v>
      </c>
      <c r="E49" t="s">
        <v>761</v>
      </c>
      <c r="F49" t="s">
        <v>762</v>
      </c>
      <c r="J49" s="163" t="s">
        <v>563</v>
      </c>
      <c r="K49" t="str">
        <f>VLOOKUP(J49,Accounts!A:C,2,0)</f>
        <v>Arrendamiento a Personas Morales</v>
      </c>
      <c r="L49" t="str">
        <f>VLOOKUP(J49,Accounts!A:C,3,0)</f>
        <v>Renta de Inmuebles</v>
      </c>
      <c r="M49" t="s">
        <v>102</v>
      </c>
      <c r="N49" s="471">
        <f>+IF(M49="MXN",O49/$N$2,IF(M49="BRL",O49/$N$3,O49))</f>
        <v>0</v>
      </c>
      <c r="O49" s="164">
        <f t="shared" si="19"/>
        <v>0</v>
      </c>
      <c r="P49" s="617">
        <v>0</v>
      </c>
      <c r="Q49" s="617">
        <v>0</v>
      </c>
      <c r="R49" s="617">
        <v>0</v>
      </c>
      <c r="S49" s="617">
        <v>0</v>
      </c>
      <c r="T49" s="617">
        <v>0</v>
      </c>
      <c r="U49" s="617">
        <v>0</v>
      </c>
      <c r="V49" s="617">
        <v>0</v>
      </c>
      <c r="W49" s="617">
        <v>0</v>
      </c>
      <c r="X49" s="617">
        <v>0</v>
      </c>
      <c r="Y49" s="617">
        <v>0</v>
      </c>
      <c r="Z49" s="617">
        <v>0</v>
      </c>
      <c r="AA49" s="617">
        <v>0</v>
      </c>
    </row>
    <row r="50" spans="1:27">
      <c r="A50" t="s">
        <v>128</v>
      </c>
      <c r="B50" t="s">
        <v>128</v>
      </c>
      <c r="C50" t="s">
        <v>129</v>
      </c>
      <c r="D50" t="s">
        <v>899</v>
      </c>
      <c r="E50" t="s">
        <v>289</v>
      </c>
      <c r="F50" t="s">
        <v>898</v>
      </c>
      <c r="H50" t="s">
        <v>900</v>
      </c>
      <c r="J50" s="163" t="s">
        <v>169</v>
      </c>
      <c r="K50" t="s">
        <v>170</v>
      </c>
      <c r="L50" t="s">
        <v>171</v>
      </c>
      <c r="M50" t="s">
        <v>102</v>
      </c>
      <c r="N50" s="158">
        <f t="shared" ref="N50" si="21">+IF(M50="MXN",O50/$N$2,IF(M50="BRL",O50/$N$3,O50))</f>
        <v>8108.1081081081084</v>
      </c>
      <c r="O50" s="164">
        <f t="shared" si="19"/>
        <v>150000</v>
      </c>
      <c r="P50" s="165"/>
      <c r="Q50" s="165">
        <v>25000</v>
      </c>
      <c r="R50" s="165">
        <v>25000</v>
      </c>
      <c r="S50" s="165">
        <v>25000</v>
      </c>
      <c r="T50" s="165">
        <v>25000</v>
      </c>
      <c r="U50" s="165">
        <v>25000</v>
      </c>
      <c r="V50" s="165">
        <v>25000</v>
      </c>
      <c r="W50" s="165"/>
      <c r="X50" s="165"/>
      <c r="Y50" s="165"/>
      <c r="Z50" s="165"/>
      <c r="AA50" s="165"/>
    </row>
  </sheetData>
  <autoFilter ref="B4:AA39" xr:uid="{70B640AC-6C6C-F14E-820D-EB9D989EA1A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AEE65-4505-A840-9002-68A701174EB1}">
  <sheetPr codeName="Sheet9"/>
  <dimension ref="A1:AA43"/>
  <sheetViews>
    <sheetView showGridLines="0" topLeftCell="H1" zoomScale="86" zoomScaleNormal="75" workbookViewId="0">
      <selection activeCell="P13" sqref="P13"/>
    </sheetView>
  </sheetViews>
  <sheetFormatPr baseColWidth="10" defaultRowHeight="16"/>
  <cols>
    <col min="3" max="4" width="17.1640625" bestFit="1" customWidth="1"/>
    <col min="5" max="5" width="39.5" bestFit="1" customWidth="1"/>
    <col min="6" max="6" width="54" customWidth="1"/>
    <col min="7" max="7" width="17.5" bestFit="1" customWidth="1"/>
    <col min="8" max="8" width="31.5" bestFit="1" customWidth="1"/>
    <col min="9" max="9" width="28" customWidth="1"/>
    <col min="10" max="10" width="25.5" customWidth="1"/>
    <col min="11" max="11" width="25.33203125" customWidth="1"/>
    <col min="12" max="12" width="15.83203125" customWidth="1"/>
    <col min="14" max="14" width="14.5" style="5" bestFit="1" customWidth="1"/>
    <col min="15" max="15" width="15.1640625" bestFit="1" customWidth="1"/>
    <col min="16" max="16" width="14.5" bestFit="1" customWidth="1"/>
    <col min="17" max="26" width="13.1640625" bestFit="1" customWidth="1"/>
    <col min="27" max="27" width="13.6640625" bestFit="1" customWidth="1"/>
  </cols>
  <sheetData>
    <row r="1" spans="1:27">
      <c r="E1" s="152"/>
      <c r="F1" s="152"/>
      <c r="G1" s="152"/>
      <c r="H1" s="152"/>
      <c r="I1" s="152"/>
      <c r="J1" s="152"/>
      <c r="M1" t="s">
        <v>190</v>
      </c>
      <c r="N1">
        <v>1.1599999999999999</v>
      </c>
    </row>
    <row r="2" spans="1:27">
      <c r="E2" s="152"/>
      <c r="F2" s="152"/>
      <c r="G2" s="152"/>
      <c r="H2" s="152"/>
      <c r="I2" s="152"/>
      <c r="J2" s="152"/>
      <c r="M2" s="496" t="s">
        <v>102</v>
      </c>
      <c r="N2" s="496">
        <f>+Supuestos!$M$9</f>
        <v>18.5</v>
      </c>
    </row>
    <row r="3" spans="1:27">
      <c r="E3" s="152"/>
      <c r="F3" s="152"/>
      <c r="G3" s="152"/>
      <c r="H3" s="152"/>
      <c r="I3" s="152"/>
      <c r="J3" s="152"/>
      <c r="M3" s="496" t="s">
        <v>19</v>
      </c>
      <c r="N3" s="496">
        <f>+Supuestos!$M$10</f>
        <v>5.5</v>
      </c>
    </row>
    <row r="4" spans="1:27">
      <c r="A4" s="153" t="s">
        <v>354</v>
      </c>
      <c r="B4" s="153" t="s">
        <v>103</v>
      </c>
      <c r="C4" s="153" t="s">
        <v>104</v>
      </c>
      <c r="D4" s="153" t="s">
        <v>109</v>
      </c>
      <c r="E4" s="153" t="s">
        <v>110</v>
      </c>
      <c r="F4" s="153" t="s">
        <v>111</v>
      </c>
      <c r="G4" s="153" t="s">
        <v>355</v>
      </c>
      <c r="H4" s="153"/>
      <c r="I4" s="153"/>
      <c r="J4" s="153" t="s">
        <v>112</v>
      </c>
      <c r="K4" s="153" t="s">
        <v>113</v>
      </c>
      <c r="L4" s="153" t="s">
        <v>114</v>
      </c>
      <c r="M4" s="153" t="s">
        <v>115</v>
      </c>
      <c r="N4" s="471" t="str">
        <f>+IF(M4="MXN",O4/$N$2,IF(M4="BRL",O4/$N$3,O4))</f>
        <v>Total Cost</v>
      </c>
      <c r="O4" s="153" t="s">
        <v>116</v>
      </c>
      <c r="P4" s="153" t="s">
        <v>117</v>
      </c>
      <c r="Q4" s="153" t="s">
        <v>118</v>
      </c>
      <c r="R4" s="153" t="s">
        <v>119</v>
      </c>
      <c r="S4" s="153" t="s">
        <v>120</v>
      </c>
      <c r="T4" s="153" t="s">
        <v>24</v>
      </c>
      <c r="U4" s="153" t="s">
        <v>121</v>
      </c>
      <c r="V4" s="153" t="s">
        <v>122</v>
      </c>
      <c r="W4" s="153" t="s">
        <v>123</v>
      </c>
      <c r="X4" s="153" t="s">
        <v>124</v>
      </c>
      <c r="Y4" s="153" t="s">
        <v>125</v>
      </c>
      <c r="Z4" s="153" t="s">
        <v>126</v>
      </c>
      <c r="AA4" s="153" t="s">
        <v>127</v>
      </c>
    </row>
    <row r="5" spans="1:27">
      <c r="A5" s="472"/>
      <c r="B5" s="472" t="s">
        <v>356</v>
      </c>
      <c r="C5" s="472"/>
      <c r="D5" s="472"/>
      <c r="E5" s="472"/>
      <c r="F5" s="472"/>
      <c r="G5" s="472"/>
      <c r="H5" s="472" t="s">
        <v>357</v>
      </c>
      <c r="I5" s="472" t="s">
        <v>358</v>
      </c>
      <c r="J5" s="472"/>
      <c r="K5" s="472"/>
      <c r="L5" s="472"/>
      <c r="M5" s="472"/>
      <c r="N5" s="472"/>
      <c r="O5" s="472"/>
      <c r="P5" s="472"/>
      <c r="Q5" s="472"/>
      <c r="R5" s="472"/>
      <c r="S5" s="472"/>
      <c r="T5" s="472"/>
      <c r="U5" s="472"/>
      <c r="V5" s="472"/>
      <c r="W5" s="472"/>
      <c r="X5" s="472"/>
      <c r="Y5" s="472"/>
      <c r="Z5" s="472"/>
      <c r="AA5" s="472"/>
    </row>
    <row r="6" spans="1:27">
      <c r="A6" t="s">
        <v>359</v>
      </c>
      <c r="B6" t="s">
        <v>360</v>
      </c>
      <c r="C6" t="s">
        <v>168</v>
      </c>
      <c r="D6" t="s">
        <v>361</v>
      </c>
      <c r="E6" t="s">
        <v>362</v>
      </c>
      <c r="F6" t="s">
        <v>363</v>
      </c>
      <c r="G6" t="s">
        <v>364</v>
      </c>
      <c r="H6" t="s">
        <v>365</v>
      </c>
      <c r="I6" t="s">
        <v>366</v>
      </c>
      <c r="J6" s="163" t="s">
        <v>130</v>
      </c>
      <c r="K6" t="str">
        <f>VLOOKUP(J6,Accounts!A:C,2,0)</f>
        <v>Servicios de Informatica</v>
      </c>
      <c r="L6" t="str">
        <f>VLOOKUP(J6,Accounts!A:C,3,0)</f>
        <v>Servicios</v>
      </c>
      <c r="M6" t="s">
        <v>102</v>
      </c>
      <c r="N6" s="471">
        <f t="shared" ref="N6:N10" si="0">+IF(M6="MXN",O6/$N$2,IF(M6="BRL",O6/$N$3,O6))</f>
        <v>900.90162162162142</v>
      </c>
      <c r="O6" s="164">
        <f>+SUM(P6:AA6)</f>
        <v>16666.679999999997</v>
      </c>
      <c r="P6" s="165">
        <v>1388.89</v>
      </c>
      <c r="Q6" s="165">
        <v>1388.89</v>
      </c>
      <c r="R6" s="165">
        <v>1388.89</v>
      </c>
      <c r="S6" s="165">
        <v>1388.89</v>
      </c>
      <c r="T6" s="165">
        <v>1388.89</v>
      </c>
      <c r="U6" s="165">
        <v>1388.89</v>
      </c>
      <c r="V6" s="165">
        <v>1388.89</v>
      </c>
      <c r="W6" s="165">
        <v>1388.89</v>
      </c>
      <c r="X6" s="165">
        <v>1388.89</v>
      </c>
      <c r="Y6" s="165">
        <v>1388.89</v>
      </c>
      <c r="Z6" s="165">
        <v>1388.89</v>
      </c>
      <c r="AA6" s="165">
        <v>1388.89</v>
      </c>
    </row>
    <row r="7" spans="1:27">
      <c r="A7" t="s">
        <v>359</v>
      </c>
      <c r="B7" t="s">
        <v>360</v>
      </c>
      <c r="C7" t="s">
        <v>168</v>
      </c>
      <c r="D7" t="s">
        <v>361</v>
      </c>
      <c r="E7" t="s">
        <v>367</v>
      </c>
      <c r="F7" t="s">
        <v>368</v>
      </c>
      <c r="G7" t="s">
        <v>364</v>
      </c>
      <c r="H7" t="s">
        <v>365</v>
      </c>
      <c r="I7" t="s">
        <v>366</v>
      </c>
      <c r="J7" s="163" t="s">
        <v>130</v>
      </c>
      <c r="K7" t="str">
        <f>VLOOKUP(J7,Accounts!A:C,2,0)</f>
        <v>Servicios de Informatica</v>
      </c>
      <c r="L7" t="str">
        <f>VLOOKUP(J7,Accounts!A:C,3,0)</f>
        <v>Servicios</v>
      </c>
      <c r="M7" t="s">
        <v>101</v>
      </c>
      <c r="N7" s="471">
        <f t="shared" si="0"/>
        <v>2160</v>
      </c>
      <c r="O7" s="164">
        <f t="shared" ref="O7:O10" si="1">+SUM(P7:AA7)</f>
        <v>2160</v>
      </c>
      <c r="P7" s="165">
        <v>180</v>
      </c>
      <c r="Q7" s="165">
        <v>180</v>
      </c>
      <c r="R7" s="165">
        <v>180</v>
      </c>
      <c r="S7" s="165">
        <v>180</v>
      </c>
      <c r="T7" s="165">
        <v>180</v>
      </c>
      <c r="U7" s="165">
        <v>180</v>
      </c>
      <c r="V7" s="165">
        <v>180</v>
      </c>
      <c r="W7" s="165">
        <v>180</v>
      </c>
      <c r="X7" s="165">
        <v>180</v>
      </c>
      <c r="Y7" s="165">
        <v>180</v>
      </c>
      <c r="Z7" s="165">
        <v>180</v>
      </c>
      <c r="AA7" s="165">
        <v>180</v>
      </c>
    </row>
    <row r="8" spans="1:27">
      <c r="A8" t="s">
        <v>369</v>
      </c>
      <c r="B8" t="s">
        <v>360</v>
      </c>
      <c r="C8" t="s">
        <v>168</v>
      </c>
      <c r="D8" t="s">
        <v>361</v>
      </c>
      <c r="E8" t="s">
        <v>370</v>
      </c>
      <c r="F8" t="s">
        <v>820</v>
      </c>
      <c r="G8" t="s">
        <v>371</v>
      </c>
      <c r="H8" t="s">
        <v>372</v>
      </c>
      <c r="I8" t="s">
        <v>373</v>
      </c>
      <c r="J8" s="163" t="s">
        <v>130</v>
      </c>
      <c r="K8" t="str">
        <f>VLOOKUP(J8,Accounts!A:C,2,0)</f>
        <v>Servicios de Informatica</v>
      </c>
      <c r="L8" t="str">
        <f>VLOOKUP(J8,Accounts!A:C,3,0)</f>
        <v>Servicios</v>
      </c>
      <c r="M8" t="s">
        <v>101</v>
      </c>
      <c r="N8" s="471">
        <f t="shared" si="0"/>
        <v>1326.82</v>
      </c>
      <c r="O8" s="164">
        <f t="shared" si="1"/>
        <v>1326.82</v>
      </c>
      <c r="P8" s="165">
        <v>0</v>
      </c>
      <c r="Q8" s="165">
        <v>0</v>
      </c>
      <c r="R8" s="165">
        <v>0</v>
      </c>
      <c r="S8" s="165">
        <v>0</v>
      </c>
      <c r="T8" s="165">
        <v>0</v>
      </c>
      <c r="U8" s="165">
        <v>0</v>
      </c>
      <c r="V8" s="165">
        <f>1170+156.82</f>
        <v>1326.82</v>
      </c>
      <c r="W8" s="165">
        <v>0</v>
      </c>
      <c r="X8" s="165">
        <v>0</v>
      </c>
      <c r="Y8" s="165">
        <v>0</v>
      </c>
      <c r="Z8" s="165">
        <v>0</v>
      </c>
      <c r="AA8" s="165">
        <v>0</v>
      </c>
    </row>
    <row r="9" spans="1:27">
      <c r="A9" t="s">
        <v>369</v>
      </c>
      <c r="B9" t="s">
        <v>360</v>
      </c>
      <c r="C9" t="s">
        <v>168</v>
      </c>
      <c r="D9" t="s">
        <v>374</v>
      </c>
      <c r="E9" t="s">
        <v>375</v>
      </c>
      <c r="F9" t="s">
        <v>376</v>
      </c>
      <c r="G9" t="s">
        <v>371</v>
      </c>
      <c r="H9" t="s">
        <v>377</v>
      </c>
      <c r="J9" s="163" t="s">
        <v>130</v>
      </c>
      <c r="K9" t="str">
        <f>VLOOKUP(J9,Accounts!A:C,2,0)</f>
        <v>Servicios de Informatica</v>
      </c>
      <c r="L9" t="str">
        <f>VLOOKUP(J9,Accounts!A:C,3,0)</f>
        <v>Servicios</v>
      </c>
      <c r="M9" t="s">
        <v>101</v>
      </c>
      <c r="N9" s="471">
        <f t="shared" si="0"/>
        <v>900</v>
      </c>
      <c r="O9" s="164">
        <f t="shared" si="1"/>
        <v>900</v>
      </c>
      <c r="P9" s="165">
        <v>0</v>
      </c>
      <c r="Q9" s="165">
        <v>900</v>
      </c>
      <c r="R9" s="165">
        <v>0</v>
      </c>
      <c r="S9" s="165">
        <v>0</v>
      </c>
      <c r="T9" s="165">
        <v>0</v>
      </c>
      <c r="U9" s="165">
        <v>0</v>
      </c>
      <c r="V9" s="165">
        <v>0</v>
      </c>
      <c r="W9" s="165">
        <v>0</v>
      </c>
      <c r="X9" s="165">
        <v>0</v>
      </c>
      <c r="Y9" s="165">
        <v>0</v>
      </c>
      <c r="Z9" s="165">
        <v>0</v>
      </c>
      <c r="AA9" s="165">
        <v>0</v>
      </c>
    </row>
    <row r="10" spans="1:27">
      <c r="A10" t="s">
        <v>359</v>
      </c>
      <c r="B10" t="s">
        <v>360</v>
      </c>
      <c r="C10" t="s">
        <v>168</v>
      </c>
      <c r="D10" t="s">
        <v>374</v>
      </c>
      <c r="E10" t="s">
        <v>378</v>
      </c>
      <c r="F10" s="473"/>
      <c r="G10" t="s">
        <v>379</v>
      </c>
      <c r="H10" t="s">
        <v>379</v>
      </c>
      <c r="I10" t="s">
        <v>379</v>
      </c>
      <c r="J10" s="163" t="s">
        <v>130</v>
      </c>
      <c r="K10" t="str">
        <f>VLOOKUP(J10,Accounts!A:C,2,0)</f>
        <v>Servicios de Informatica</v>
      </c>
      <c r="L10" t="str">
        <f>VLOOKUP(J10,Accounts!A:C,3,0)</f>
        <v>Servicios</v>
      </c>
      <c r="M10" t="s">
        <v>101</v>
      </c>
      <c r="N10" s="471">
        <f t="shared" si="0"/>
        <v>29000</v>
      </c>
      <c r="O10" s="164">
        <f t="shared" si="1"/>
        <v>29000</v>
      </c>
      <c r="P10" s="165"/>
      <c r="Q10" s="165">
        <v>29000</v>
      </c>
      <c r="R10" s="165"/>
      <c r="S10" s="165"/>
      <c r="T10" s="165"/>
      <c r="U10" s="165"/>
      <c r="V10" s="165"/>
      <c r="W10" s="165"/>
      <c r="X10" s="165"/>
      <c r="Y10" s="165"/>
      <c r="Z10" s="165"/>
      <c r="AA10" s="165"/>
    </row>
    <row r="11" spans="1:27">
      <c r="A11" s="472"/>
      <c r="B11" s="472" t="s">
        <v>381</v>
      </c>
      <c r="C11" s="474"/>
      <c r="D11" s="474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72"/>
      <c r="R11" s="472"/>
      <c r="S11" s="472"/>
      <c r="T11" s="472"/>
      <c r="U11" s="472"/>
      <c r="V11" s="472"/>
      <c r="W11" s="472"/>
      <c r="X11" s="472"/>
      <c r="Y11" s="472"/>
      <c r="Z11" s="472"/>
      <c r="AA11" s="472"/>
    </row>
    <row r="12" spans="1:27">
      <c r="A12" s="475"/>
      <c r="B12" s="475" t="s">
        <v>382</v>
      </c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6"/>
      <c r="O12" s="476"/>
      <c r="P12" s="476"/>
      <c r="Q12" s="476"/>
      <c r="R12" s="476"/>
      <c r="S12" s="476"/>
      <c r="T12" s="476"/>
      <c r="U12" s="476"/>
      <c r="V12" s="476"/>
      <c r="W12" s="476"/>
      <c r="X12" s="476"/>
      <c r="Y12" s="476"/>
      <c r="Z12" s="476"/>
      <c r="AA12" s="476"/>
    </row>
    <row r="13" spans="1:27">
      <c r="A13" t="s">
        <v>369</v>
      </c>
      <c r="B13" t="s">
        <v>360</v>
      </c>
      <c r="C13" t="s">
        <v>168</v>
      </c>
      <c r="D13" t="s">
        <v>140</v>
      </c>
      <c r="E13" t="s">
        <v>168</v>
      </c>
      <c r="F13" t="s">
        <v>383</v>
      </c>
      <c r="G13" t="s">
        <v>384</v>
      </c>
      <c r="J13" s="163" t="s">
        <v>146</v>
      </c>
      <c r="K13" t="str">
        <f>VLOOKUP(J13,Accounts!A:C,2,0)</f>
        <v>Sueldos y salarios</v>
      </c>
      <c r="L13" t="str">
        <f>VLOOKUP(J13,Accounts!A:C,3,0)</f>
        <v>Sueldos y Salarios</v>
      </c>
      <c r="M13" t="s">
        <v>102</v>
      </c>
      <c r="N13" s="471">
        <f t="shared" ref="N13:N15" si="2">+IF(M13="MXN",O13/$N$2,IF(M13="BRL",O13/$N$3,O13))</f>
        <v>58736.432432432433</v>
      </c>
      <c r="O13" s="164">
        <f t="shared" ref="O13:O23" si="3">+SUM(P13:AA13)</f>
        <v>1086624</v>
      </c>
      <c r="P13" s="477">
        <f>+'Salary Increases'!L18*0.6</f>
        <v>90552</v>
      </c>
      <c r="Q13" s="165">
        <f>P13</f>
        <v>90552</v>
      </c>
      <c r="R13" s="165">
        <f t="shared" ref="R13:AA13" si="4">Q13</f>
        <v>90552</v>
      </c>
      <c r="S13" s="165">
        <f t="shared" si="4"/>
        <v>90552</v>
      </c>
      <c r="T13" s="165">
        <f t="shared" si="4"/>
        <v>90552</v>
      </c>
      <c r="U13" s="165">
        <f t="shared" si="4"/>
        <v>90552</v>
      </c>
      <c r="V13" s="165">
        <f t="shared" si="4"/>
        <v>90552</v>
      </c>
      <c r="W13" s="165">
        <f t="shared" si="4"/>
        <v>90552</v>
      </c>
      <c r="X13" s="165">
        <f t="shared" si="4"/>
        <v>90552</v>
      </c>
      <c r="Y13" s="165">
        <f t="shared" si="4"/>
        <v>90552</v>
      </c>
      <c r="Z13" s="165">
        <f t="shared" si="4"/>
        <v>90552</v>
      </c>
      <c r="AA13" s="165">
        <f t="shared" si="4"/>
        <v>90552</v>
      </c>
    </row>
    <row r="14" spans="1:27">
      <c r="A14" t="s">
        <v>369</v>
      </c>
      <c r="B14" t="s">
        <v>360</v>
      </c>
      <c r="C14" t="s">
        <v>168</v>
      </c>
      <c r="D14" t="s">
        <v>140</v>
      </c>
      <c r="E14" t="s">
        <v>385</v>
      </c>
      <c r="F14" t="s">
        <v>386</v>
      </c>
      <c r="G14" t="s">
        <v>384</v>
      </c>
      <c r="J14" s="163" t="s">
        <v>146</v>
      </c>
      <c r="K14" t="str">
        <f>VLOOKUP(J14,Accounts!A:C,2,0)</f>
        <v>Sueldos y salarios</v>
      </c>
      <c r="L14" t="str">
        <f>VLOOKUP(J14,Accounts!A:C,3,0)</f>
        <v>Sueldos y Salarios</v>
      </c>
      <c r="M14" t="s">
        <v>102</v>
      </c>
      <c r="N14" s="471">
        <f t="shared" si="2"/>
        <v>39366.486486486487</v>
      </c>
      <c r="O14" s="164">
        <f>+SUM(P14:AA14)</f>
        <v>728280</v>
      </c>
      <c r="P14" s="650">
        <f>+'Salary Increases'!L20</f>
        <v>60690</v>
      </c>
      <c r="Q14" s="165">
        <f>+P14</f>
        <v>60690</v>
      </c>
      <c r="R14" s="165">
        <f t="shared" ref="R14:AA17" si="5">+Q14</f>
        <v>60690</v>
      </c>
      <c r="S14" s="165">
        <f t="shared" si="5"/>
        <v>60690</v>
      </c>
      <c r="T14" s="165">
        <f t="shared" si="5"/>
        <v>60690</v>
      </c>
      <c r="U14" s="165">
        <f t="shared" si="5"/>
        <v>60690</v>
      </c>
      <c r="V14" s="165">
        <f t="shared" si="5"/>
        <v>60690</v>
      </c>
      <c r="W14" s="165">
        <f t="shared" si="5"/>
        <v>60690</v>
      </c>
      <c r="X14" s="165">
        <f t="shared" si="5"/>
        <v>60690</v>
      </c>
      <c r="Y14" s="165">
        <f t="shared" si="5"/>
        <v>60690</v>
      </c>
      <c r="Z14" s="165">
        <f t="shared" si="5"/>
        <v>60690</v>
      </c>
      <c r="AA14" s="165">
        <f t="shared" si="5"/>
        <v>60690</v>
      </c>
    </row>
    <row r="15" spans="1:27">
      <c r="A15" t="s">
        <v>369</v>
      </c>
      <c r="B15" t="s">
        <v>360</v>
      </c>
      <c r="C15" t="s">
        <v>168</v>
      </c>
      <c r="D15" t="s">
        <v>140</v>
      </c>
      <c r="E15" t="s">
        <v>388</v>
      </c>
      <c r="F15" t="s">
        <v>389</v>
      </c>
      <c r="G15" t="s">
        <v>384</v>
      </c>
      <c r="J15" s="163" t="s">
        <v>146</v>
      </c>
      <c r="K15" t="str">
        <f>VLOOKUP(J15,Accounts!A:C,2,0)</f>
        <v>Sueldos y salarios</v>
      </c>
      <c r="L15" t="str">
        <f>VLOOKUP(J15,Accounts!A:C,3,0)</f>
        <v>Sueldos y Salarios</v>
      </c>
      <c r="M15" t="s">
        <v>102</v>
      </c>
      <c r="N15" s="471">
        <f t="shared" si="2"/>
        <v>22268.54054054054</v>
      </c>
      <c r="O15" s="164">
        <f>+SUM(P15:AA15)</f>
        <v>411968</v>
      </c>
      <c r="P15" s="165">
        <v>32800</v>
      </c>
      <c r="Q15" s="165">
        <f>+P15</f>
        <v>32800</v>
      </c>
      <c r="R15" s="165">
        <f t="shared" si="5"/>
        <v>32800</v>
      </c>
      <c r="S15" s="165">
        <f t="shared" si="5"/>
        <v>32800</v>
      </c>
      <c r="T15" s="165">
        <f t="shared" si="5"/>
        <v>32800</v>
      </c>
      <c r="U15" s="650">
        <f>'Salary Increases'!M19</f>
        <v>35424</v>
      </c>
      <c r="V15" s="165">
        <f t="shared" si="5"/>
        <v>35424</v>
      </c>
      <c r="W15" s="165">
        <f t="shared" si="5"/>
        <v>35424</v>
      </c>
      <c r="X15" s="165">
        <f t="shared" si="5"/>
        <v>35424</v>
      </c>
      <c r="Y15" s="165">
        <f t="shared" si="5"/>
        <v>35424</v>
      </c>
      <c r="Z15" s="165">
        <f t="shared" si="5"/>
        <v>35424</v>
      </c>
      <c r="AA15" s="165">
        <f t="shared" si="5"/>
        <v>35424</v>
      </c>
    </row>
    <row r="16" spans="1:27">
      <c r="A16" s="475"/>
      <c r="B16" s="475" t="s">
        <v>390</v>
      </c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475"/>
      <c r="N16" s="476"/>
      <c r="O16" s="476"/>
      <c r="P16" s="476"/>
      <c r="Q16" s="476"/>
      <c r="R16" s="476"/>
      <c r="S16" s="476"/>
      <c r="T16" s="476"/>
      <c r="U16" s="476"/>
      <c r="V16" s="476"/>
      <c r="W16" s="476"/>
      <c r="X16" s="476"/>
      <c r="Y16" s="476"/>
      <c r="Z16" s="476"/>
      <c r="AA16" s="476"/>
    </row>
    <row r="17" spans="1:27">
      <c r="A17" t="s">
        <v>359</v>
      </c>
      <c r="B17" t="s">
        <v>360</v>
      </c>
      <c r="C17" t="s">
        <v>168</v>
      </c>
      <c r="D17" t="s">
        <v>140</v>
      </c>
      <c r="E17" t="s">
        <v>391</v>
      </c>
      <c r="F17" t="s">
        <v>392</v>
      </c>
      <c r="G17" t="s">
        <v>393</v>
      </c>
      <c r="J17" s="163" t="s">
        <v>146</v>
      </c>
      <c r="K17" t="str">
        <f>VLOOKUP(J17,Accounts!A:C,2,0)</f>
        <v>Sueldos y salarios</v>
      </c>
      <c r="L17" t="str">
        <f>VLOOKUP(J17,Accounts!A:C,3,0)</f>
        <v>Sueldos y Salarios</v>
      </c>
      <c r="M17" t="s">
        <v>102</v>
      </c>
      <c r="N17" s="471">
        <f t="shared" ref="N17:N18" si="6">+IF(M17="MXN",O17/$N$2,IF(M17="BRL",O17/$N$3,O17))</f>
        <v>21016.21621621622</v>
      </c>
      <c r="O17" s="164">
        <f t="shared" si="3"/>
        <v>388800.00000000006</v>
      </c>
      <c r="P17" s="650">
        <f>'Salary Increases'!L21</f>
        <v>32400.000000000004</v>
      </c>
      <c r="Q17" s="165">
        <f>+P17</f>
        <v>32400.000000000004</v>
      </c>
      <c r="R17" s="165">
        <f t="shared" si="5"/>
        <v>32400.000000000004</v>
      </c>
      <c r="S17" s="165">
        <f t="shared" si="5"/>
        <v>32400.000000000004</v>
      </c>
      <c r="T17" s="165">
        <f t="shared" si="5"/>
        <v>32400.000000000004</v>
      </c>
      <c r="U17" s="165">
        <f t="shared" si="5"/>
        <v>32400.000000000004</v>
      </c>
      <c r="V17" s="165">
        <f t="shared" si="5"/>
        <v>32400.000000000004</v>
      </c>
      <c r="W17" s="165">
        <f t="shared" si="5"/>
        <v>32400.000000000004</v>
      </c>
      <c r="X17" s="165">
        <f t="shared" si="5"/>
        <v>32400.000000000004</v>
      </c>
      <c r="Y17" s="165">
        <f t="shared" si="5"/>
        <v>32400.000000000004</v>
      </c>
      <c r="Z17" s="165">
        <f t="shared" si="5"/>
        <v>32400.000000000004</v>
      </c>
      <c r="AA17" s="165">
        <f t="shared" si="5"/>
        <v>32400.000000000004</v>
      </c>
    </row>
    <row r="18" spans="1:27">
      <c r="A18" t="s">
        <v>359</v>
      </c>
      <c r="B18" t="s">
        <v>360</v>
      </c>
      <c r="C18" t="s">
        <v>168</v>
      </c>
      <c r="D18" t="s">
        <v>140</v>
      </c>
      <c r="E18" t="s">
        <v>794</v>
      </c>
      <c r="F18" t="s">
        <v>824</v>
      </c>
      <c r="G18" t="s">
        <v>825</v>
      </c>
      <c r="J18" s="163" t="s">
        <v>146</v>
      </c>
      <c r="K18" t="str">
        <f>VLOOKUP(J18,Accounts!A:C,2,0)</f>
        <v>Sueldos y salarios</v>
      </c>
      <c r="L18" t="str">
        <f>VLOOKUP(J18,Accounts!A:C,3,0)</f>
        <v>Sueldos y Salarios</v>
      </c>
      <c r="M18" t="s">
        <v>102</v>
      </c>
      <c r="N18" s="471">
        <f t="shared" si="6"/>
        <v>6486.4864864864867</v>
      </c>
      <c r="O18" s="164">
        <f>+SUM(P18:AA18)</f>
        <v>120000</v>
      </c>
      <c r="P18" s="477">
        <v>10000</v>
      </c>
      <c r="Q18" s="165">
        <f>+P18</f>
        <v>10000</v>
      </c>
      <c r="R18" s="165">
        <f t="shared" ref="R18" si="7">+Q18</f>
        <v>10000</v>
      </c>
      <c r="S18" s="165">
        <f t="shared" ref="S18" si="8">+R18</f>
        <v>10000</v>
      </c>
      <c r="T18" s="165">
        <f t="shared" ref="T18" si="9">+S18</f>
        <v>10000</v>
      </c>
      <c r="U18" s="165">
        <f t="shared" ref="U18" si="10">+T18</f>
        <v>10000</v>
      </c>
      <c r="V18" s="165">
        <f t="shared" ref="V18" si="11">+U18</f>
        <v>10000</v>
      </c>
      <c r="W18" s="165">
        <f t="shared" ref="W18" si="12">+V18</f>
        <v>10000</v>
      </c>
      <c r="X18" s="165">
        <f t="shared" ref="X18" si="13">+W18</f>
        <v>10000</v>
      </c>
      <c r="Y18" s="165">
        <f t="shared" ref="Y18" si="14">+X18</f>
        <v>10000</v>
      </c>
      <c r="Z18" s="165">
        <f t="shared" ref="Z18" si="15">+Y18</f>
        <v>10000</v>
      </c>
      <c r="AA18" s="165">
        <f t="shared" ref="AA18" si="16">+Z18</f>
        <v>10000</v>
      </c>
    </row>
    <row r="19" spans="1:27">
      <c r="A19" s="475"/>
      <c r="B19" s="475" t="s">
        <v>394</v>
      </c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6"/>
      <c r="O19" s="476"/>
      <c r="P19" s="476"/>
      <c r="Q19" s="476"/>
      <c r="R19" s="476"/>
      <c r="S19" s="476"/>
      <c r="T19" s="476"/>
      <c r="U19" s="476"/>
      <c r="V19" s="476"/>
      <c r="W19" s="476"/>
      <c r="X19" s="476"/>
      <c r="Y19" s="476"/>
      <c r="Z19" s="476"/>
      <c r="AA19" s="476"/>
    </row>
    <row r="20" spans="1:27">
      <c r="A20" t="s">
        <v>359</v>
      </c>
      <c r="B20" t="s">
        <v>360</v>
      </c>
      <c r="C20" t="s">
        <v>168</v>
      </c>
      <c r="D20" t="s">
        <v>149</v>
      </c>
      <c r="E20" t="s">
        <v>395</v>
      </c>
      <c r="F20" t="s">
        <v>396</v>
      </c>
      <c r="G20" t="s">
        <v>379</v>
      </c>
      <c r="J20" s="163" t="s">
        <v>397</v>
      </c>
      <c r="K20" t="str">
        <f>VLOOKUP(J20,Accounts!A:C,2,0)</f>
        <v>Despensa</v>
      </c>
      <c r="L20" t="str">
        <f>VLOOKUP(J20,Accounts!A:C,3,0)</f>
        <v>Sueldos y Salarios</v>
      </c>
      <c r="M20" t="s">
        <v>102</v>
      </c>
      <c r="N20" s="471">
        <f t="shared" ref="N20:N24" si="17">+IF(M20="MXN",O20/$N$2,IF(M20="BRL",O20/$N$3,O20))</f>
        <v>518.91891891891896</v>
      </c>
      <c r="O20" s="164">
        <f t="shared" si="3"/>
        <v>9600</v>
      </c>
      <c r="P20" s="165">
        <v>800</v>
      </c>
      <c r="Q20" s="165">
        <v>800</v>
      </c>
      <c r="R20" s="165">
        <v>800</v>
      </c>
      <c r="S20" s="165">
        <v>800</v>
      </c>
      <c r="T20" s="165">
        <v>800</v>
      </c>
      <c r="U20" s="165">
        <v>800</v>
      </c>
      <c r="V20" s="165">
        <v>800</v>
      </c>
      <c r="W20" s="165">
        <v>800</v>
      </c>
      <c r="X20" s="165">
        <v>800</v>
      </c>
      <c r="Y20" s="165">
        <v>800</v>
      </c>
      <c r="Z20" s="165">
        <v>800</v>
      </c>
      <c r="AA20" s="165">
        <v>800</v>
      </c>
    </row>
    <row r="21" spans="1:27">
      <c r="A21" t="s">
        <v>359</v>
      </c>
      <c r="B21" t="s">
        <v>360</v>
      </c>
      <c r="C21" t="s">
        <v>168</v>
      </c>
      <c r="D21" t="s">
        <v>149</v>
      </c>
      <c r="E21" t="s">
        <v>398</v>
      </c>
      <c r="F21" t="s">
        <v>399</v>
      </c>
      <c r="G21" t="s">
        <v>379</v>
      </c>
      <c r="J21" s="163" t="s">
        <v>400</v>
      </c>
      <c r="K21" t="str">
        <f>VLOOKUP(J21,Accounts!A:C,2,0)</f>
        <v>Aguinaldo</v>
      </c>
      <c r="L21" t="str">
        <f>VLOOKUP(J21,Accounts!A:C,3,0)</f>
        <v>Sueldos y Salarios</v>
      </c>
      <c r="M21" t="s">
        <v>102</v>
      </c>
      <c r="N21" s="471">
        <f t="shared" si="17"/>
        <v>875.67567567567573</v>
      </c>
      <c r="O21" s="164">
        <f t="shared" si="3"/>
        <v>16200.000000000002</v>
      </c>
      <c r="P21" s="165">
        <v>0</v>
      </c>
      <c r="Q21" s="165">
        <v>0</v>
      </c>
      <c r="R21" s="165">
        <v>0</v>
      </c>
      <c r="S21" s="165">
        <v>0</v>
      </c>
      <c r="T21" s="165">
        <v>0</v>
      </c>
      <c r="U21" s="165">
        <v>0</v>
      </c>
      <c r="V21" s="165">
        <v>0</v>
      </c>
      <c r="W21" s="165">
        <v>0</v>
      </c>
      <c r="X21" s="165">
        <v>0</v>
      </c>
      <c r="Y21" s="165">
        <v>0</v>
      </c>
      <c r="Z21" s="165">
        <v>0</v>
      </c>
      <c r="AA21" s="165">
        <f>+AA17/2</f>
        <v>16200.000000000002</v>
      </c>
    </row>
    <row r="22" spans="1:27">
      <c r="A22" t="s">
        <v>369</v>
      </c>
      <c r="B22" t="s">
        <v>360</v>
      </c>
      <c r="C22" t="s">
        <v>168</v>
      </c>
      <c r="D22" t="s">
        <v>149</v>
      </c>
      <c r="E22" t="s">
        <v>401</v>
      </c>
      <c r="F22" t="s">
        <v>399</v>
      </c>
      <c r="G22" t="s">
        <v>379</v>
      </c>
      <c r="J22" s="163" t="s">
        <v>400</v>
      </c>
      <c r="K22" t="str">
        <f>VLOOKUP(J22,Accounts!A:C,2,0)</f>
        <v>Aguinaldo</v>
      </c>
      <c r="L22" t="str">
        <f>VLOOKUP(J22,Accounts!A:C,3,0)</f>
        <v>Sueldos y Salarios</v>
      </c>
      <c r="M22" t="s">
        <v>102</v>
      </c>
      <c r="N22" s="471">
        <f t="shared" si="17"/>
        <v>7063.0378378378373</v>
      </c>
      <c r="O22" s="164">
        <f t="shared" si="3"/>
        <v>130666.2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f>+SUM(AA13:AA15)*0.7</f>
        <v>130666.2</v>
      </c>
    </row>
    <row r="23" spans="1:27">
      <c r="A23" t="s">
        <v>359</v>
      </c>
      <c r="B23" t="s">
        <v>360</v>
      </c>
      <c r="C23" t="s">
        <v>168</v>
      </c>
      <c r="D23" t="s">
        <v>149</v>
      </c>
      <c r="E23" t="s">
        <v>402</v>
      </c>
      <c r="F23" t="s">
        <v>402</v>
      </c>
      <c r="G23" t="s">
        <v>379</v>
      </c>
      <c r="J23" s="163" t="s">
        <v>403</v>
      </c>
      <c r="K23" t="str">
        <f>VLOOKUP(J23,Accounts!A:C,2,0)</f>
        <v>Prima vacacional</v>
      </c>
      <c r="L23" t="str">
        <f>VLOOKUP(J23,Accounts!A:C,3,0)</f>
        <v>Sueldos y Salarios</v>
      </c>
      <c r="M23" t="s">
        <v>102</v>
      </c>
      <c r="N23" s="471">
        <f t="shared" si="17"/>
        <v>36.486486486486491</v>
      </c>
      <c r="O23" s="164">
        <f t="shared" si="3"/>
        <v>675.00000000000011</v>
      </c>
      <c r="P23" s="165">
        <v>0</v>
      </c>
      <c r="Q23" s="165">
        <v>0</v>
      </c>
      <c r="R23" s="165">
        <v>0</v>
      </c>
      <c r="S23" s="165">
        <v>0</v>
      </c>
      <c r="T23" s="165">
        <v>0</v>
      </c>
      <c r="U23" s="165">
        <f>+U17*0.25/12</f>
        <v>675.00000000000011</v>
      </c>
      <c r="V23" s="165">
        <v>0</v>
      </c>
      <c r="W23" s="165">
        <v>0</v>
      </c>
      <c r="X23" s="165">
        <v>0</v>
      </c>
      <c r="Y23" s="165">
        <v>0</v>
      </c>
      <c r="Z23" s="165">
        <v>0</v>
      </c>
      <c r="AA23" s="165">
        <v>0</v>
      </c>
    </row>
    <row r="24" spans="1:27">
      <c r="A24" t="s">
        <v>359</v>
      </c>
      <c r="B24" t="s">
        <v>360</v>
      </c>
      <c r="C24" t="s">
        <v>168</v>
      </c>
      <c r="D24" t="s">
        <v>140</v>
      </c>
      <c r="E24" t="s">
        <v>404</v>
      </c>
      <c r="F24" s="50" t="s">
        <v>909</v>
      </c>
      <c r="G24" t="s">
        <v>379</v>
      </c>
      <c r="H24" s="50"/>
      <c r="J24" s="163" t="s">
        <v>146</v>
      </c>
      <c r="K24" t="str">
        <f>VLOOKUP(J24,Accounts!A:C,2,0)</f>
        <v>Sueldos y salarios</v>
      </c>
      <c r="L24" t="str">
        <f>VLOOKUP(J24,Accounts!A:C,3,0)</f>
        <v>Sueldos y Salarios</v>
      </c>
      <c r="M24" t="s">
        <v>102</v>
      </c>
      <c r="N24" s="471">
        <f t="shared" si="17"/>
        <v>630.48648648648657</v>
      </c>
      <c r="O24" s="164">
        <f>+SUM(P24:AA24)</f>
        <v>11664.000000000002</v>
      </c>
      <c r="P24" s="165">
        <f>+P17*0.03</f>
        <v>972.00000000000011</v>
      </c>
      <c r="Q24" s="165">
        <f t="shared" ref="Q24:AA24" si="18">+Q17*0.03</f>
        <v>972.00000000000011</v>
      </c>
      <c r="R24" s="165">
        <f t="shared" si="18"/>
        <v>972.00000000000011</v>
      </c>
      <c r="S24" s="165">
        <f t="shared" si="18"/>
        <v>972.00000000000011</v>
      </c>
      <c r="T24" s="165">
        <f t="shared" si="18"/>
        <v>972.00000000000011</v>
      </c>
      <c r="U24" s="165">
        <f t="shared" si="18"/>
        <v>972.00000000000011</v>
      </c>
      <c r="V24" s="165">
        <f t="shared" si="18"/>
        <v>972.00000000000011</v>
      </c>
      <c r="W24" s="165">
        <f t="shared" si="18"/>
        <v>972.00000000000011</v>
      </c>
      <c r="X24" s="165">
        <f t="shared" si="18"/>
        <v>972.00000000000011</v>
      </c>
      <c r="Y24" s="165">
        <f t="shared" si="18"/>
        <v>972.00000000000011</v>
      </c>
      <c r="Z24" s="165">
        <f t="shared" si="18"/>
        <v>972.00000000000011</v>
      </c>
      <c r="AA24" s="165">
        <f t="shared" si="18"/>
        <v>972.00000000000011</v>
      </c>
    </row>
    <row r="25" spans="1:27">
      <c r="A25" t="s">
        <v>359</v>
      </c>
      <c r="B25" t="s">
        <v>360</v>
      </c>
      <c r="C25" t="s">
        <v>168</v>
      </c>
      <c r="D25" t="s">
        <v>140</v>
      </c>
      <c r="E25" t="s">
        <v>404</v>
      </c>
      <c r="F25" s="50" t="s">
        <v>910</v>
      </c>
      <c r="G25" t="s">
        <v>379</v>
      </c>
      <c r="H25" s="50"/>
      <c r="J25" s="163" t="s">
        <v>146</v>
      </c>
      <c r="K25" t="str">
        <f>VLOOKUP(J25,Accounts!A:C,2,0)</f>
        <v>Sueldos y salarios</v>
      </c>
      <c r="L25" t="str">
        <f>VLOOKUP(J25,Accounts!A:C,3,0)</f>
        <v>Sueldos y Salarios</v>
      </c>
      <c r="M25" t="s">
        <v>102</v>
      </c>
      <c r="N25" s="471">
        <f t="shared" ref="N25" si="19">+IF(M25="MXN",O25/$N$2,IF(M25="BRL",O25/$N$3,O25))</f>
        <v>5043.8918918918926</v>
      </c>
      <c r="O25" s="164">
        <f>+SUM(P25:AA25)</f>
        <v>93312.000000000015</v>
      </c>
      <c r="P25" s="165">
        <f>+P17*0.24*2</f>
        <v>15552.000000000002</v>
      </c>
      <c r="Q25" s="165">
        <v>0</v>
      </c>
      <c r="R25" s="165">
        <f>+R17*0.24*2</f>
        <v>15552.000000000002</v>
      </c>
      <c r="S25" s="165">
        <v>0</v>
      </c>
      <c r="T25" s="165">
        <f>+T17*0.24*2</f>
        <v>15552.000000000002</v>
      </c>
      <c r="U25" s="165">
        <v>0</v>
      </c>
      <c r="V25" s="165">
        <f>+V17*0.24*2</f>
        <v>15552.000000000002</v>
      </c>
      <c r="W25" s="165">
        <v>0</v>
      </c>
      <c r="X25" s="165">
        <f>+X17*0.24*2</f>
        <v>15552.000000000002</v>
      </c>
      <c r="Y25" s="165">
        <v>0</v>
      </c>
      <c r="Z25" s="165">
        <f>+Z17*0.24*2</f>
        <v>15552.000000000002</v>
      </c>
      <c r="AA25" s="165">
        <v>0</v>
      </c>
    </row>
    <row r="26" spans="1:27">
      <c r="A26" s="472"/>
      <c r="B26" s="472" t="s">
        <v>405</v>
      </c>
      <c r="C26" s="472"/>
      <c r="D26" s="472"/>
      <c r="E26" s="472"/>
      <c r="F26" s="472"/>
      <c r="G26" s="472"/>
      <c r="H26" s="472"/>
      <c r="I26" s="472"/>
      <c r="J26" s="472"/>
      <c r="K26" s="472"/>
      <c r="L26" s="472"/>
      <c r="M26" s="472"/>
      <c r="N26" s="472"/>
      <c r="O26" s="472"/>
      <c r="P26" s="472"/>
      <c r="Q26" s="472"/>
      <c r="R26" s="472"/>
      <c r="S26" s="472"/>
      <c r="T26" s="472"/>
      <c r="U26" s="472"/>
      <c r="V26" s="472"/>
      <c r="W26" s="472"/>
      <c r="X26" s="472"/>
      <c r="Y26" s="472"/>
      <c r="Z26" s="472"/>
      <c r="AA26" s="472"/>
    </row>
    <row r="27" spans="1:27">
      <c r="A27" t="s">
        <v>359</v>
      </c>
      <c r="B27" t="s">
        <v>360</v>
      </c>
      <c r="C27" t="s">
        <v>168</v>
      </c>
      <c r="D27" t="s">
        <v>153</v>
      </c>
      <c r="E27" t="s">
        <v>154</v>
      </c>
      <c r="F27" t="s">
        <v>406</v>
      </c>
      <c r="G27" t="s">
        <v>379</v>
      </c>
      <c r="J27" s="167" t="s">
        <v>156</v>
      </c>
      <c r="K27" t="str">
        <f>VLOOKUP(J27,Accounts!A:C,2,0)</f>
        <v>Viaticos Hotel</v>
      </c>
      <c r="L27" t="str">
        <f>VLOOKUP(J27,Accounts!A:C,3,0)</f>
        <v>Gastos de Viaje</v>
      </c>
      <c r="M27" t="s">
        <v>102</v>
      </c>
      <c r="N27" s="471">
        <f t="shared" ref="N27:N30" si="20">+IF(M27="MXN",O27/$N$2,IF(M27="BRL",O27/$N$3,O27))</f>
        <v>1081.081081081081</v>
      </c>
      <c r="O27" s="164">
        <f t="shared" ref="O27:O30" si="21">+SUM(P27:AA27)</f>
        <v>20000</v>
      </c>
      <c r="P27" s="478">
        <v>0</v>
      </c>
      <c r="Q27" s="478">
        <v>0</v>
      </c>
      <c r="R27" s="478">
        <v>10000</v>
      </c>
      <c r="S27" s="478">
        <v>0</v>
      </c>
      <c r="T27" s="478">
        <v>0</v>
      </c>
      <c r="U27" s="478">
        <v>0</v>
      </c>
      <c r="V27" s="478">
        <v>0</v>
      </c>
      <c r="W27" s="478">
        <v>10000</v>
      </c>
      <c r="X27" s="478">
        <v>0</v>
      </c>
      <c r="Y27" s="478">
        <v>0</v>
      </c>
      <c r="Z27" s="478">
        <v>0</v>
      </c>
      <c r="AA27" s="478">
        <v>0</v>
      </c>
    </row>
    <row r="28" spans="1:27">
      <c r="A28" t="s">
        <v>359</v>
      </c>
      <c r="B28" t="s">
        <v>360</v>
      </c>
      <c r="C28" t="s">
        <v>168</v>
      </c>
      <c r="D28" t="s">
        <v>159</v>
      </c>
      <c r="E28" t="s">
        <v>154</v>
      </c>
      <c r="F28" t="s">
        <v>407</v>
      </c>
      <c r="G28" t="s">
        <v>379</v>
      </c>
      <c r="J28" s="167" t="s">
        <v>160</v>
      </c>
      <c r="K28" t="str">
        <f>VLOOKUP(J28,Accounts!A:C,2,0)</f>
        <v>Vaticos Taxi</v>
      </c>
      <c r="L28" t="str">
        <f>VLOOKUP(J28,Accounts!A:C,3,0)</f>
        <v>Gastos de Viaje</v>
      </c>
      <c r="M28" t="s">
        <v>102</v>
      </c>
      <c r="N28" s="471">
        <f t="shared" si="20"/>
        <v>108.10810810810811</v>
      </c>
      <c r="O28" s="164">
        <f t="shared" si="21"/>
        <v>2000</v>
      </c>
      <c r="P28" s="478">
        <v>0</v>
      </c>
      <c r="Q28" s="478">
        <v>0</v>
      </c>
      <c r="R28" s="478">
        <v>1000</v>
      </c>
      <c r="S28" s="478">
        <v>0</v>
      </c>
      <c r="T28" s="478">
        <v>0</v>
      </c>
      <c r="U28" s="478">
        <v>0</v>
      </c>
      <c r="V28" s="478">
        <v>0</v>
      </c>
      <c r="W28" s="478">
        <v>1000</v>
      </c>
      <c r="X28" s="478">
        <v>0</v>
      </c>
      <c r="Y28" s="478">
        <v>0</v>
      </c>
      <c r="Z28" s="478">
        <v>0</v>
      </c>
      <c r="AA28" s="478">
        <v>0</v>
      </c>
    </row>
    <row r="29" spans="1:27">
      <c r="A29" t="s">
        <v>359</v>
      </c>
      <c r="B29" t="s">
        <v>360</v>
      </c>
      <c r="C29" t="s">
        <v>168</v>
      </c>
      <c r="D29" t="s">
        <v>162</v>
      </c>
      <c r="E29" t="s">
        <v>154</v>
      </c>
      <c r="F29" t="s">
        <v>408</v>
      </c>
      <c r="G29" t="s">
        <v>379</v>
      </c>
      <c r="J29" s="167" t="s">
        <v>163</v>
      </c>
      <c r="K29" t="str">
        <f>VLOOKUP(J29,Accounts!A:C,2,0)</f>
        <v>Viaticos Avion</v>
      </c>
      <c r="L29" t="str">
        <f>VLOOKUP(J29,Accounts!A:C,3,0)</f>
        <v>Gastos de Viaje</v>
      </c>
      <c r="M29" t="s">
        <v>102</v>
      </c>
      <c r="N29" s="471">
        <f t="shared" si="20"/>
        <v>864.8648648648649</v>
      </c>
      <c r="O29" s="164">
        <f t="shared" si="21"/>
        <v>16000</v>
      </c>
      <c r="P29" s="478">
        <v>0</v>
      </c>
      <c r="Q29" s="478">
        <v>0</v>
      </c>
      <c r="R29" s="478">
        <v>8000</v>
      </c>
      <c r="S29" s="478">
        <v>0</v>
      </c>
      <c r="T29" s="478">
        <v>0</v>
      </c>
      <c r="U29" s="478">
        <v>0</v>
      </c>
      <c r="V29" s="478">
        <v>0</v>
      </c>
      <c r="W29" s="478">
        <v>8000</v>
      </c>
      <c r="X29" s="478">
        <v>0</v>
      </c>
      <c r="Y29" s="478">
        <v>0</v>
      </c>
      <c r="Z29" s="478">
        <v>0</v>
      </c>
      <c r="AA29" s="478">
        <v>0</v>
      </c>
    </row>
    <row r="30" spans="1:27">
      <c r="A30" t="s">
        <v>359</v>
      </c>
      <c r="B30" t="s">
        <v>360</v>
      </c>
      <c r="C30" t="s">
        <v>168</v>
      </c>
      <c r="D30" t="s">
        <v>165</v>
      </c>
      <c r="E30" t="s">
        <v>154</v>
      </c>
      <c r="F30" t="s">
        <v>409</v>
      </c>
      <c r="G30" t="s">
        <v>379</v>
      </c>
      <c r="J30" s="167" t="s">
        <v>166</v>
      </c>
      <c r="K30" t="str">
        <f>VLOOKUP(J30,Accounts!A:C,2,0)</f>
        <v>Viaticos Comidas</v>
      </c>
      <c r="L30" t="str">
        <f>VLOOKUP(J30,Accounts!A:C,3,0)</f>
        <v>Gastos de Viaje</v>
      </c>
      <c r="M30" t="s">
        <v>102</v>
      </c>
      <c r="N30" s="471">
        <f t="shared" si="20"/>
        <v>432.43243243243245</v>
      </c>
      <c r="O30" s="164">
        <f t="shared" si="21"/>
        <v>8000</v>
      </c>
      <c r="P30" s="478">
        <v>0</v>
      </c>
      <c r="Q30" s="478">
        <v>0</v>
      </c>
      <c r="R30" s="478">
        <v>4000</v>
      </c>
      <c r="S30" s="478">
        <v>0</v>
      </c>
      <c r="T30" s="478">
        <v>0</v>
      </c>
      <c r="U30" s="478">
        <v>0</v>
      </c>
      <c r="V30" s="478">
        <v>0</v>
      </c>
      <c r="W30" s="478">
        <v>4000</v>
      </c>
      <c r="X30" s="478">
        <v>0</v>
      </c>
      <c r="Y30" s="478">
        <v>0</v>
      </c>
      <c r="Z30" s="478">
        <v>0</v>
      </c>
      <c r="AA30" s="478">
        <v>0</v>
      </c>
    </row>
    <row r="32" spans="1:27">
      <c r="N32" s="479"/>
    </row>
    <row r="34" spans="5:9">
      <c r="E34" s="480"/>
    </row>
    <row r="35" spans="5:9">
      <c r="E35" s="480"/>
    </row>
    <row r="36" spans="5:9">
      <c r="E36" s="480"/>
    </row>
    <row r="37" spans="5:9">
      <c r="E37" s="480"/>
    </row>
    <row r="38" spans="5:9">
      <c r="E38" s="480"/>
    </row>
    <row r="39" spans="5:9">
      <c r="E39" s="480"/>
    </row>
    <row r="43" spans="5:9">
      <c r="I43" t="s">
        <v>819</v>
      </c>
    </row>
  </sheetData>
  <autoFilter ref="B4:AA30" xr:uid="{8E804FE4-AFA2-954E-BE47-C90EC28D8B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315BF-A843-8A4B-85C4-D2695BB67A25}">
  <sheetPr codeName="Sheet10"/>
  <dimension ref="A1:AA43"/>
  <sheetViews>
    <sheetView showGridLines="0" topLeftCell="I1" zoomScale="85" zoomScaleNormal="75" workbookViewId="0">
      <selection activeCell="P36" sqref="P36"/>
    </sheetView>
  </sheetViews>
  <sheetFormatPr baseColWidth="10" defaultRowHeight="16"/>
  <cols>
    <col min="3" max="4" width="17.1640625" bestFit="1" customWidth="1"/>
    <col min="5" max="5" width="35.83203125" bestFit="1" customWidth="1"/>
    <col min="6" max="6" width="44" customWidth="1"/>
    <col min="7" max="7" width="17.5" bestFit="1" customWidth="1"/>
    <col min="8" max="9" width="44" customWidth="1"/>
    <col min="10" max="10" width="10.5" bestFit="1" customWidth="1"/>
    <col min="11" max="11" width="23" bestFit="1" customWidth="1"/>
    <col min="12" max="12" width="16.83203125" bestFit="1" customWidth="1"/>
    <col min="14" max="14" width="14.5" style="5" bestFit="1" customWidth="1"/>
    <col min="15" max="15" width="15.5" bestFit="1" customWidth="1"/>
    <col min="16" max="16" width="14.5" bestFit="1" customWidth="1"/>
    <col min="17" max="27" width="12.6640625" bestFit="1" customWidth="1"/>
  </cols>
  <sheetData>
    <row r="1" spans="1:27">
      <c r="E1" s="152"/>
      <c r="F1" s="152"/>
      <c r="G1" s="152"/>
      <c r="H1" s="152"/>
      <c r="I1" s="152"/>
      <c r="J1" s="152"/>
      <c r="M1" t="s">
        <v>190</v>
      </c>
      <c r="N1">
        <v>1.1599999999999999</v>
      </c>
    </row>
    <row r="2" spans="1:27">
      <c r="E2" s="152"/>
      <c r="F2" s="152"/>
      <c r="G2" s="152"/>
      <c r="H2" s="152"/>
      <c r="I2" s="152"/>
      <c r="J2" s="152"/>
      <c r="M2" s="496" t="s">
        <v>102</v>
      </c>
      <c r="N2" s="496">
        <f>+Supuestos!$M$9</f>
        <v>18.5</v>
      </c>
    </row>
    <row r="3" spans="1:27">
      <c r="E3" s="152"/>
      <c r="F3" s="152"/>
      <c r="G3" s="152"/>
      <c r="H3" s="152"/>
      <c r="I3" s="152"/>
      <c r="J3" s="152"/>
      <c r="M3" s="496" t="s">
        <v>19</v>
      </c>
      <c r="N3" s="496">
        <f>+Supuestos!$M$10</f>
        <v>5.5</v>
      </c>
    </row>
    <row r="4" spans="1:27">
      <c r="A4" s="153" t="s">
        <v>354</v>
      </c>
      <c r="B4" s="153" t="s">
        <v>103</v>
      </c>
      <c r="C4" s="153" t="s">
        <v>104</v>
      </c>
      <c r="D4" s="153" t="s">
        <v>109</v>
      </c>
      <c r="E4" s="153" t="s">
        <v>110</v>
      </c>
      <c r="F4" s="153" t="s">
        <v>111</v>
      </c>
      <c r="G4" s="153" t="s">
        <v>355</v>
      </c>
      <c r="H4" s="153" t="s">
        <v>410</v>
      </c>
      <c r="I4" s="153" t="s">
        <v>410</v>
      </c>
      <c r="J4" s="153" t="s">
        <v>112</v>
      </c>
      <c r="K4" s="153" t="s">
        <v>113</v>
      </c>
      <c r="L4" s="153" t="s">
        <v>114</v>
      </c>
      <c r="M4" s="153" t="s">
        <v>115</v>
      </c>
      <c r="N4" s="471" t="str">
        <f>+IF(M4="MXN",O4/#REF!,IF(M4="BRL",O4/$N$1,O4))</f>
        <v>Total Cost</v>
      </c>
      <c r="O4" s="153" t="s">
        <v>116</v>
      </c>
      <c r="P4" s="153" t="s">
        <v>117</v>
      </c>
      <c r="Q4" s="153" t="s">
        <v>118</v>
      </c>
      <c r="R4" s="153" t="s">
        <v>119</v>
      </c>
      <c r="S4" s="153" t="s">
        <v>120</v>
      </c>
      <c r="T4" s="153" t="s">
        <v>24</v>
      </c>
      <c r="U4" s="153" t="s">
        <v>121</v>
      </c>
      <c r="V4" s="153" t="s">
        <v>122</v>
      </c>
      <c r="W4" s="153" t="s">
        <v>123</v>
      </c>
      <c r="X4" s="153" t="s">
        <v>124</v>
      </c>
      <c r="Y4" s="153" t="s">
        <v>125</v>
      </c>
      <c r="Z4" s="153" t="s">
        <v>126</v>
      </c>
      <c r="AA4" s="153" t="s">
        <v>127</v>
      </c>
    </row>
    <row r="5" spans="1:27">
      <c r="A5" s="472"/>
      <c r="B5" s="472" t="s">
        <v>411</v>
      </c>
      <c r="C5" s="472"/>
      <c r="D5" s="472"/>
      <c r="E5" s="472"/>
      <c r="F5" s="472"/>
      <c r="G5" s="472"/>
      <c r="H5" s="472" t="s">
        <v>357</v>
      </c>
      <c r="I5" s="472" t="s">
        <v>358</v>
      </c>
      <c r="J5" s="472"/>
      <c r="K5" s="472"/>
      <c r="L5" s="472"/>
      <c r="M5" s="472"/>
      <c r="N5" s="472"/>
      <c r="O5" s="472"/>
      <c r="P5" s="472"/>
      <c r="Q5" s="472"/>
      <c r="R5" s="472"/>
      <c r="S5" s="472"/>
      <c r="T5" s="472"/>
      <c r="U5" s="472"/>
      <c r="V5" s="472"/>
      <c r="W5" s="472"/>
      <c r="X5" s="472"/>
      <c r="Y5" s="472"/>
      <c r="Z5" s="472"/>
      <c r="AA5" s="472"/>
    </row>
    <row r="6" spans="1:27" ht="18" customHeight="1">
      <c r="A6" s="175" t="s">
        <v>369</v>
      </c>
      <c r="B6" s="175" t="s">
        <v>173</v>
      </c>
      <c r="C6" t="s">
        <v>168</v>
      </c>
      <c r="D6" t="s">
        <v>412</v>
      </c>
      <c r="E6" s="166" t="s">
        <v>413</v>
      </c>
      <c r="F6" t="s">
        <v>414</v>
      </c>
      <c r="G6" t="s">
        <v>371</v>
      </c>
      <c r="H6" t="s">
        <v>415</v>
      </c>
      <c r="J6" s="175" t="s">
        <v>416</v>
      </c>
      <c r="K6" t="str">
        <f>VLOOKUP(J6,Accounts!A:C,2,0)</f>
        <v>Almacenamiento de datos</v>
      </c>
      <c r="L6" t="s">
        <v>417</v>
      </c>
      <c r="M6" t="s">
        <v>101</v>
      </c>
      <c r="N6" s="471">
        <f>+IF(M6="MXN",O6/$N$2,IF(M6="BRL",O6/$N$3,O6))</f>
        <v>84000</v>
      </c>
      <c r="O6" s="164">
        <f>+SUM(P6:AA6)</f>
        <v>84000</v>
      </c>
      <c r="P6" s="481">
        <v>7000</v>
      </c>
      <c r="Q6" s="481">
        <v>7000</v>
      </c>
      <c r="R6" s="481">
        <v>7000</v>
      </c>
      <c r="S6" s="481">
        <v>7000</v>
      </c>
      <c r="T6" s="481">
        <v>7000</v>
      </c>
      <c r="U6" s="481">
        <v>7000</v>
      </c>
      <c r="V6" s="481">
        <v>7000</v>
      </c>
      <c r="W6" s="481">
        <v>7000</v>
      </c>
      <c r="X6" s="481">
        <v>7000</v>
      </c>
      <c r="Y6" s="481">
        <v>7000</v>
      </c>
      <c r="Z6" s="481">
        <v>7000</v>
      </c>
      <c r="AA6" s="481">
        <v>7000</v>
      </c>
    </row>
    <row r="7" spans="1:27" ht="18" customHeight="1">
      <c r="A7" s="175" t="s">
        <v>359</v>
      </c>
      <c r="B7" s="175" t="s">
        <v>173</v>
      </c>
      <c r="C7" t="s">
        <v>168</v>
      </c>
      <c r="D7" s="171" t="s">
        <v>412</v>
      </c>
      <c r="E7" t="s">
        <v>418</v>
      </c>
      <c r="F7" t="s">
        <v>414</v>
      </c>
      <c r="G7" t="s">
        <v>364</v>
      </c>
      <c r="H7" t="s">
        <v>419</v>
      </c>
      <c r="I7" t="s">
        <v>366</v>
      </c>
      <c r="J7" s="175" t="s">
        <v>416</v>
      </c>
      <c r="K7" t="str">
        <f>VLOOKUP(J7,Accounts!A:C,2,0)</f>
        <v>Almacenamiento de datos</v>
      </c>
      <c r="L7" t="s">
        <v>417</v>
      </c>
      <c r="M7" t="s">
        <v>101</v>
      </c>
      <c r="N7" s="471">
        <f>+IF(M7="MXN",O7/$N$2,IF(M7="BRL",O7/$N$3,O7))</f>
        <v>16800</v>
      </c>
      <c r="O7" s="164">
        <f>+SUM(P7:AA7)</f>
        <v>16800</v>
      </c>
      <c r="P7" s="481">
        <v>1400</v>
      </c>
      <c r="Q7" s="481">
        <f>+P7</f>
        <v>1400</v>
      </c>
      <c r="R7" s="481">
        <f t="shared" ref="R7:AA7" si="0">+Q7</f>
        <v>1400</v>
      </c>
      <c r="S7" s="481">
        <f t="shared" si="0"/>
        <v>1400</v>
      </c>
      <c r="T7" s="481">
        <f t="shared" si="0"/>
        <v>1400</v>
      </c>
      <c r="U7" s="481">
        <f t="shared" si="0"/>
        <v>1400</v>
      </c>
      <c r="V7" s="481">
        <f t="shared" si="0"/>
        <v>1400</v>
      </c>
      <c r="W7" s="481">
        <f t="shared" si="0"/>
        <v>1400</v>
      </c>
      <c r="X7" s="481">
        <f t="shared" si="0"/>
        <v>1400</v>
      </c>
      <c r="Y7" s="481">
        <f t="shared" si="0"/>
        <v>1400</v>
      </c>
      <c r="Z7" s="481">
        <f t="shared" si="0"/>
        <v>1400</v>
      </c>
      <c r="AA7" s="481">
        <f t="shared" si="0"/>
        <v>1400</v>
      </c>
    </row>
    <row r="8" spans="1:27">
      <c r="A8" s="472"/>
      <c r="B8" s="472" t="s">
        <v>356</v>
      </c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72"/>
      <c r="R8" s="472"/>
      <c r="S8" s="472"/>
      <c r="T8" s="472"/>
      <c r="U8" s="472"/>
      <c r="V8" s="472"/>
      <c r="W8" s="472"/>
      <c r="X8" s="472"/>
      <c r="Y8" s="472"/>
      <c r="Z8" s="472"/>
      <c r="AA8" s="472"/>
    </row>
    <row r="9" spans="1:27" ht="18" customHeight="1">
      <c r="A9" s="175" t="s">
        <v>369</v>
      </c>
      <c r="B9" s="175" t="s">
        <v>173</v>
      </c>
      <c r="C9" t="s">
        <v>168</v>
      </c>
      <c r="D9" s="171" t="s">
        <v>361</v>
      </c>
      <c r="E9" t="s">
        <v>420</v>
      </c>
      <c r="F9" t="s">
        <v>421</v>
      </c>
      <c r="G9" t="s">
        <v>371</v>
      </c>
      <c r="H9" t="s">
        <v>422</v>
      </c>
      <c r="J9" s="175" t="s">
        <v>130</v>
      </c>
      <c r="K9" t="str">
        <f>VLOOKUP(J9,Accounts!A:C,2,0)</f>
        <v>Servicios de Informatica</v>
      </c>
      <c r="L9" t="str">
        <f>VLOOKUP(J9,Accounts!A:C,3,0)</f>
        <v>Servicios</v>
      </c>
      <c r="M9" t="s">
        <v>101</v>
      </c>
      <c r="N9" s="471">
        <f t="shared" ref="N9:N16" si="1">+IF(M9="MXN",O9/$N$2,IF(M9="BRL",O9/$N$3,O9))</f>
        <v>432</v>
      </c>
      <c r="O9" s="164">
        <f t="shared" ref="O9:O15" si="2">+SUM(P9:AA9)</f>
        <v>432</v>
      </c>
      <c r="P9" s="481">
        <v>36</v>
      </c>
      <c r="Q9" s="481">
        <v>36</v>
      </c>
      <c r="R9" s="481">
        <v>36</v>
      </c>
      <c r="S9" s="481">
        <v>36</v>
      </c>
      <c r="T9" s="481">
        <v>36</v>
      </c>
      <c r="U9" s="481">
        <v>36</v>
      </c>
      <c r="V9" s="481">
        <v>36</v>
      </c>
      <c r="W9" s="481">
        <v>36</v>
      </c>
      <c r="X9" s="481">
        <v>36</v>
      </c>
      <c r="Y9" s="481">
        <v>36</v>
      </c>
      <c r="Z9" s="481">
        <v>36</v>
      </c>
      <c r="AA9" s="481">
        <v>36</v>
      </c>
    </row>
    <row r="10" spans="1:27" ht="18" customHeight="1">
      <c r="A10" s="175" t="s">
        <v>359</v>
      </c>
      <c r="B10" s="175" t="s">
        <v>173</v>
      </c>
      <c r="C10" t="s">
        <v>168</v>
      </c>
      <c r="D10" s="171" t="s">
        <v>361</v>
      </c>
      <c r="E10" t="s">
        <v>423</v>
      </c>
      <c r="F10" t="s">
        <v>424</v>
      </c>
      <c r="G10" t="s">
        <v>364</v>
      </c>
      <c r="H10" t="s">
        <v>425</v>
      </c>
      <c r="I10" t="s">
        <v>366</v>
      </c>
      <c r="J10" s="175" t="s">
        <v>130</v>
      </c>
      <c r="K10" t="str">
        <f>VLOOKUP(J10,Accounts!A:C,2,0)</f>
        <v>Servicios de Informatica</v>
      </c>
      <c r="L10" t="str">
        <f>VLOOKUP(J10,Accounts!A:C,3,0)</f>
        <v>Servicios</v>
      </c>
      <c r="M10" t="s">
        <v>101</v>
      </c>
      <c r="N10" s="471">
        <f t="shared" si="1"/>
        <v>83.88</v>
      </c>
      <c r="O10" s="164">
        <f t="shared" si="2"/>
        <v>83.88</v>
      </c>
      <c r="P10" s="481">
        <v>6.99</v>
      </c>
      <c r="Q10" s="481">
        <v>6.99</v>
      </c>
      <c r="R10" s="481">
        <v>6.99</v>
      </c>
      <c r="S10" s="481">
        <v>6.99</v>
      </c>
      <c r="T10" s="481">
        <v>6.99</v>
      </c>
      <c r="U10" s="481">
        <v>6.99</v>
      </c>
      <c r="V10" s="481">
        <v>6.99</v>
      </c>
      <c r="W10" s="481">
        <v>6.99</v>
      </c>
      <c r="X10" s="481">
        <v>6.99</v>
      </c>
      <c r="Y10" s="481">
        <v>6.99</v>
      </c>
      <c r="Z10" s="481">
        <v>6.99</v>
      </c>
      <c r="AA10" s="481">
        <v>6.99</v>
      </c>
    </row>
    <row r="11" spans="1:27" ht="18" customHeight="1">
      <c r="A11" s="175" t="s">
        <v>359</v>
      </c>
      <c r="B11" s="175" t="s">
        <v>173</v>
      </c>
      <c r="C11" t="s">
        <v>168</v>
      </c>
      <c r="D11" s="171" t="s">
        <v>361</v>
      </c>
      <c r="E11" t="s">
        <v>426</v>
      </c>
      <c r="F11" t="s">
        <v>427</v>
      </c>
      <c r="G11" t="s">
        <v>364</v>
      </c>
      <c r="I11" t="s">
        <v>366</v>
      </c>
      <c r="J11" s="175" t="s">
        <v>130</v>
      </c>
      <c r="K11" t="str">
        <f>VLOOKUP(J11,Accounts!A:C,2,0)</f>
        <v>Servicios de Informatica</v>
      </c>
      <c r="L11" t="str">
        <f>VLOOKUP(J11,Accounts!A:C,3,0)</f>
        <v>Servicios</v>
      </c>
      <c r="M11" t="s">
        <v>102</v>
      </c>
      <c r="N11" s="471">
        <f t="shared" si="1"/>
        <v>1.1351351351351351</v>
      </c>
      <c r="O11" s="164">
        <f t="shared" si="2"/>
        <v>21</v>
      </c>
      <c r="P11" s="481">
        <v>0</v>
      </c>
      <c r="Q11" s="481">
        <v>21</v>
      </c>
      <c r="R11" s="481">
        <v>0</v>
      </c>
      <c r="S11" s="481">
        <v>0</v>
      </c>
      <c r="T11" s="481">
        <v>0</v>
      </c>
      <c r="U11" s="481">
        <v>0</v>
      </c>
      <c r="V11" s="481">
        <v>0</v>
      </c>
      <c r="W11" s="481">
        <v>0</v>
      </c>
      <c r="X11" s="481">
        <v>0</v>
      </c>
      <c r="Y11" s="481">
        <v>0</v>
      </c>
      <c r="Z11" s="481">
        <v>0</v>
      </c>
      <c r="AA11" s="481">
        <v>0</v>
      </c>
    </row>
    <row r="12" spans="1:27" ht="18" customHeight="1">
      <c r="A12" s="175" t="s">
        <v>359</v>
      </c>
      <c r="B12" s="175" t="s">
        <v>173</v>
      </c>
      <c r="C12" t="s">
        <v>168</v>
      </c>
      <c r="D12" s="171" t="s">
        <v>361</v>
      </c>
      <c r="E12" t="s">
        <v>428</v>
      </c>
      <c r="F12" t="s">
        <v>429</v>
      </c>
      <c r="G12" t="s">
        <v>364</v>
      </c>
      <c r="H12" t="s">
        <v>430</v>
      </c>
      <c r="I12" t="s">
        <v>366</v>
      </c>
      <c r="J12" s="175" t="s">
        <v>130</v>
      </c>
      <c r="K12" t="str">
        <f>VLOOKUP(J12,Accounts!A:C,2,0)</f>
        <v>Servicios de Informatica</v>
      </c>
      <c r="L12" t="str">
        <f>VLOOKUP(J12,Accounts!A:C,3,0)</f>
        <v>Servicios</v>
      </c>
      <c r="M12" t="s">
        <v>101</v>
      </c>
      <c r="N12" s="471">
        <f t="shared" si="1"/>
        <v>336</v>
      </c>
      <c r="O12" s="164">
        <f t="shared" si="2"/>
        <v>336</v>
      </c>
      <c r="P12" s="481">
        <v>0</v>
      </c>
      <c r="Q12" s="481">
        <v>0</v>
      </c>
      <c r="R12" s="481">
        <v>0</v>
      </c>
      <c r="S12" s="481">
        <v>0</v>
      </c>
      <c r="T12" s="481">
        <v>0</v>
      </c>
      <c r="U12" s="481">
        <v>0</v>
      </c>
      <c r="V12" s="481">
        <v>0</v>
      </c>
      <c r="W12" s="481">
        <v>336</v>
      </c>
      <c r="X12" s="481">
        <v>0</v>
      </c>
      <c r="Y12" s="481">
        <v>0</v>
      </c>
      <c r="Z12" s="481">
        <v>0</v>
      </c>
      <c r="AA12" s="481">
        <v>0</v>
      </c>
    </row>
    <row r="13" spans="1:27" ht="18" customHeight="1">
      <c r="A13" s="175" t="s">
        <v>369</v>
      </c>
      <c r="B13" s="175" t="s">
        <v>173</v>
      </c>
      <c r="C13" t="s">
        <v>168</v>
      </c>
      <c r="D13" s="171" t="s">
        <v>361</v>
      </c>
      <c r="E13" t="s">
        <v>431</v>
      </c>
      <c r="F13" t="s">
        <v>432</v>
      </c>
      <c r="G13" t="s">
        <v>371</v>
      </c>
      <c r="H13" t="s">
        <v>433</v>
      </c>
      <c r="I13" t="s">
        <v>373</v>
      </c>
      <c r="J13" s="175" t="s">
        <v>130</v>
      </c>
      <c r="K13" t="str">
        <f>VLOOKUP(J13,Accounts!A:C,2,0)</f>
        <v>Servicios de Informatica</v>
      </c>
      <c r="L13" t="str">
        <f>VLOOKUP(J13,Accounts!A:C,3,0)</f>
        <v>Servicios</v>
      </c>
      <c r="M13" t="s">
        <v>101</v>
      </c>
      <c r="N13" s="471">
        <f t="shared" si="1"/>
        <v>588</v>
      </c>
      <c r="O13" s="164">
        <f t="shared" si="2"/>
        <v>588</v>
      </c>
      <c r="P13" s="481">
        <v>49</v>
      </c>
      <c r="Q13" s="481">
        <v>49</v>
      </c>
      <c r="R13" s="481">
        <v>49</v>
      </c>
      <c r="S13" s="481">
        <v>49</v>
      </c>
      <c r="T13" s="481">
        <v>49</v>
      </c>
      <c r="U13" s="481">
        <v>49</v>
      </c>
      <c r="V13" s="481">
        <v>49</v>
      </c>
      <c r="W13" s="481">
        <v>49</v>
      </c>
      <c r="X13" s="481">
        <v>49</v>
      </c>
      <c r="Y13" s="481">
        <v>49</v>
      </c>
      <c r="Z13" s="481">
        <v>49</v>
      </c>
      <c r="AA13" s="481">
        <v>49</v>
      </c>
    </row>
    <row r="14" spans="1:27" ht="18" customHeight="1">
      <c r="A14" s="175" t="s">
        <v>359</v>
      </c>
      <c r="B14" s="175" t="s">
        <v>173</v>
      </c>
      <c r="C14" t="s">
        <v>168</v>
      </c>
      <c r="D14" s="171" t="s">
        <v>361</v>
      </c>
      <c r="E14" t="s">
        <v>434</v>
      </c>
      <c r="F14" t="s">
        <v>435</v>
      </c>
      <c r="G14" t="s">
        <v>364</v>
      </c>
      <c r="H14" t="s">
        <v>425</v>
      </c>
      <c r="I14" t="s">
        <v>366</v>
      </c>
      <c r="J14" s="175" t="s">
        <v>130</v>
      </c>
      <c r="K14" t="str">
        <f>VLOOKUP(J14,Accounts!A:C,2,0)</f>
        <v>Servicios de Informatica</v>
      </c>
      <c r="L14" t="str">
        <f>VLOOKUP(J14,Accounts!A:C,3,0)</f>
        <v>Servicios</v>
      </c>
      <c r="M14" t="s">
        <v>101</v>
      </c>
      <c r="N14" s="471">
        <f t="shared" si="1"/>
        <v>13728</v>
      </c>
      <c r="O14" s="164">
        <f>+SUM(P14:AA14)</f>
        <v>13728</v>
      </c>
      <c r="P14" s="481">
        <v>0</v>
      </c>
      <c r="Q14" s="481">
        <v>6864</v>
      </c>
      <c r="R14" s="481">
        <v>0</v>
      </c>
      <c r="S14" s="481">
        <v>0</v>
      </c>
      <c r="T14" s="481">
        <v>0</v>
      </c>
      <c r="U14" s="481">
        <v>0</v>
      </c>
      <c r="V14" s="481">
        <v>0</v>
      </c>
      <c r="W14" s="481">
        <v>6864</v>
      </c>
      <c r="X14" s="481">
        <v>0</v>
      </c>
      <c r="Y14" s="481">
        <v>0</v>
      </c>
      <c r="Z14" s="481">
        <v>0</v>
      </c>
      <c r="AA14" s="481">
        <v>0</v>
      </c>
    </row>
    <row r="15" spans="1:27" ht="18" customHeight="1">
      <c r="A15" s="175" t="s">
        <v>359</v>
      </c>
      <c r="B15" s="175" t="s">
        <v>173</v>
      </c>
      <c r="C15" t="s">
        <v>168</v>
      </c>
      <c r="D15" s="171" t="s">
        <v>361</v>
      </c>
      <c r="E15" t="s">
        <v>436</v>
      </c>
      <c r="F15" t="s">
        <v>437</v>
      </c>
      <c r="G15" t="s">
        <v>364</v>
      </c>
      <c r="H15" t="s">
        <v>436</v>
      </c>
      <c r="I15" t="s">
        <v>366</v>
      </c>
      <c r="J15" s="175" t="s">
        <v>130</v>
      </c>
      <c r="K15" t="str">
        <f>VLOOKUP(J15,Accounts!A:C,2,0)</f>
        <v>Servicios de Informatica</v>
      </c>
      <c r="L15" t="str">
        <f>VLOOKUP(J15,Accounts!A:C,3,0)</f>
        <v>Servicios</v>
      </c>
      <c r="M15" t="s">
        <v>101</v>
      </c>
      <c r="N15" s="471">
        <f t="shared" si="1"/>
        <v>120</v>
      </c>
      <c r="O15" s="164">
        <f t="shared" si="2"/>
        <v>120</v>
      </c>
      <c r="P15" s="481">
        <v>10</v>
      </c>
      <c r="Q15" s="481">
        <v>10</v>
      </c>
      <c r="R15" s="481">
        <v>10</v>
      </c>
      <c r="S15" s="481">
        <v>10</v>
      </c>
      <c r="T15" s="481">
        <v>10</v>
      </c>
      <c r="U15" s="481">
        <v>10</v>
      </c>
      <c r="V15" s="481">
        <v>10</v>
      </c>
      <c r="W15" s="481">
        <v>10</v>
      </c>
      <c r="X15" s="481">
        <v>10</v>
      </c>
      <c r="Y15" s="481">
        <v>10</v>
      </c>
      <c r="Z15" s="481">
        <v>10</v>
      </c>
      <c r="AA15" s="481">
        <v>10</v>
      </c>
    </row>
    <row r="16" spans="1:27" ht="18" customHeight="1">
      <c r="A16" s="175" t="s">
        <v>359</v>
      </c>
      <c r="B16" s="175" t="s">
        <v>173</v>
      </c>
      <c r="C16" t="s">
        <v>168</v>
      </c>
      <c r="D16" s="171" t="s">
        <v>361</v>
      </c>
      <c r="E16" t="s">
        <v>438</v>
      </c>
      <c r="F16" t="s">
        <v>439</v>
      </c>
      <c r="G16" t="s">
        <v>364</v>
      </c>
      <c r="H16" t="s">
        <v>425</v>
      </c>
      <c r="I16" t="s">
        <v>366</v>
      </c>
      <c r="J16" s="175" t="s">
        <v>130</v>
      </c>
      <c r="K16" t="str">
        <f>VLOOKUP(J16,Accounts!A:C,2,0)</f>
        <v>Servicios de Informatica</v>
      </c>
      <c r="L16" t="str">
        <f>VLOOKUP(J16,Accounts!A:C,3,0)</f>
        <v>Servicios</v>
      </c>
      <c r="M16" t="s">
        <v>101</v>
      </c>
      <c r="N16" s="471">
        <f t="shared" si="1"/>
        <v>120</v>
      </c>
      <c r="O16" s="164">
        <f>+SUM(P16:AA16)</f>
        <v>120</v>
      </c>
      <c r="P16" s="481">
        <v>10</v>
      </c>
      <c r="Q16" s="481">
        <v>10</v>
      </c>
      <c r="R16" s="481">
        <v>10</v>
      </c>
      <c r="S16" s="481">
        <v>10</v>
      </c>
      <c r="T16" s="481">
        <v>10</v>
      </c>
      <c r="U16" s="481">
        <v>10</v>
      </c>
      <c r="V16" s="481">
        <v>10</v>
      </c>
      <c r="W16" s="481">
        <v>10</v>
      </c>
      <c r="X16" s="481">
        <v>10</v>
      </c>
      <c r="Y16" s="481">
        <v>10</v>
      </c>
      <c r="Z16" s="481">
        <v>10</v>
      </c>
      <c r="AA16" s="481">
        <v>10</v>
      </c>
    </row>
    <row r="17" spans="1:27">
      <c r="A17" s="472"/>
      <c r="B17" s="472" t="s">
        <v>381</v>
      </c>
      <c r="C17" s="472"/>
      <c r="D17" s="472"/>
      <c r="E17" s="472"/>
      <c r="F17" s="472"/>
      <c r="G17" s="472"/>
      <c r="H17" s="472"/>
      <c r="I17" s="472"/>
      <c r="J17" s="472"/>
      <c r="K17" s="472"/>
      <c r="L17" s="472"/>
      <c r="M17" s="472"/>
      <c r="N17" s="472"/>
      <c r="O17" s="472"/>
      <c r="P17" s="472"/>
      <c r="Q17" s="472"/>
      <c r="R17" s="472"/>
      <c r="S17" s="472"/>
      <c r="T17" s="472"/>
      <c r="U17" s="472"/>
      <c r="V17" s="472"/>
      <c r="W17" s="472"/>
      <c r="X17" s="472"/>
      <c r="Y17" s="472"/>
      <c r="Z17" s="472"/>
      <c r="AA17" s="472"/>
    </row>
    <row r="18" spans="1:27">
      <c r="A18" s="475"/>
      <c r="B18" s="475" t="s">
        <v>390</v>
      </c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6"/>
      <c r="O18" s="476"/>
      <c r="P18" s="476"/>
      <c r="Q18" s="476"/>
      <c r="R18" s="476"/>
      <c r="S18" s="476"/>
      <c r="T18" s="476"/>
      <c r="U18" s="476"/>
      <c r="V18" s="476"/>
      <c r="W18" s="476"/>
      <c r="X18" s="476"/>
      <c r="Y18" s="476"/>
      <c r="Z18" s="476"/>
      <c r="AA18" s="476"/>
    </row>
    <row r="19" spans="1:27">
      <c r="A19" s="175" t="s">
        <v>359</v>
      </c>
      <c r="B19" s="175" t="s">
        <v>173</v>
      </c>
      <c r="C19" t="s">
        <v>168</v>
      </c>
      <c r="D19" t="s">
        <v>140</v>
      </c>
      <c r="E19" t="s">
        <v>440</v>
      </c>
      <c r="F19" t="s">
        <v>179</v>
      </c>
      <c r="G19" t="s">
        <v>441</v>
      </c>
      <c r="I19" s="482"/>
      <c r="J19" s="175" t="s">
        <v>146</v>
      </c>
      <c r="K19" t="str">
        <f>VLOOKUP(J19,Accounts!A:C,2,0)</f>
        <v>Sueldos y salarios</v>
      </c>
      <c r="L19" t="str">
        <f>VLOOKUP(J19,Accounts!A:C,3,0)</f>
        <v>Sueldos y Salarios</v>
      </c>
      <c r="M19" s="175" t="s">
        <v>102</v>
      </c>
      <c r="N19" s="471">
        <f t="shared" ref="N19:N30" si="3">+IF(M19="MXN",O19/$N$2,IF(M19="BRL",O19/$N$3,O19))</f>
        <v>24032.432432432433</v>
      </c>
      <c r="O19" s="164">
        <f t="shared" ref="O19:O36" si="4">+SUM(P19:AA19)</f>
        <v>444600</v>
      </c>
      <c r="P19" s="483">
        <v>36000</v>
      </c>
      <c r="Q19" s="483">
        <f t="shared" ref="Q19:V19" si="5">+P19</f>
        <v>36000</v>
      </c>
      <c r="R19" s="483">
        <f t="shared" si="5"/>
        <v>36000</v>
      </c>
      <c r="S19" s="483">
        <f t="shared" si="5"/>
        <v>36000</v>
      </c>
      <c r="T19" s="483">
        <f t="shared" si="5"/>
        <v>36000</v>
      </c>
      <c r="U19" s="629">
        <f>+'Salary Increases'!M22</f>
        <v>37800</v>
      </c>
      <c r="V19" s="483">
        <f t="shared" si="5"/>
        <v>37800</v>
      </c>
      <c r="W19" s="483">
        <f t="shared" ref="W19:AA19" si="6">+V19</f>
        <v>37800</v>
      </c>
      <c r="X19" s="483">
        <f t="shared" si="6"/>
        <v>37800</v>
      </c>
      <c r="Y19" s="483">
        <f t="shared" si="6"/>
        <v>37800</v>
      </c>
      <c r="Z19" s="483">
        <f t="shared" si="6"/>
        <v>37800</v>
      </c>
      <c r="AA19" s="483">
        <f t="shared" si="6"/>
        <v>37800</v>
      </c>
    </row>
    <row r="20" spans="1:27">
      <c r="A20" s="175" t="s">
        <v>359</v>
      </c>
      <c r="B20" s="175" t="s">
        <v>173</v>
      </c>
      <c r="C20" t="s">
        <v>168</v>
      </c>
      <c r="D20" t="s">
        <v>140</v>
      </c>
      <c r="E20" t="s">
        <v>442</v>
      </c>
      <c r="F20" t="s">
        <v>443</v>
      </c>
      <c r="G20" t="s">
        <v>441</v>
      </c>
      <c r="J20" s="175" t="s">
        <v>146</v>
      </c>
      <c r="K20" t="str">
        <f>VLOOKUP(J20,Accounts!A:C,2,0)</f>
        <v>Sueldos y salarios</v>
      </c>
      <c r="L20" t="str">
        <f>VLOOKUP(J20,Accounts!A:C,3,0)</f>
        <v>Sueldos y Salarios</v>
      </c>
      <c r="M20" s="175" t="s">
        <v>102</v>
      </c>
      <c r="N20" s="471">
        <f t="shared" si="3"/>
        <v>41513.513513513513</v>
      </c>
      <c r="O20" s="164">
        <f t="shared" si="4"/>
        <v>768000</v>
      </c>
      <c r="P20" s="483">
        <v>64000</v>
      </c>
      <c r="Q20" s="483">
        <f t="shared" ref="Q20:U30" si="7">+P20</f>
        <v>64000</v>
      </c>
      <c r="R20" s="483">
        <f t="shared" si="7"/>
        <v>64000</v>
      </c>
      <c r="S20" s="483">
        <f t="shared" si="7"/>
        <v>64000</v>
      </c>
      <c r="T20" s="483">
        <f t="shared" si="7"/>
        <v>64000</v>
      </c>
      <c r="U20" s="483">
        <f t="shared" si="7"/>
        <v>64000</v>
      </c>
      <c r="V20" s="483">
        <f t="shared" ref="V20:AA23" si="8">+U20</f>
        <v>64000</v>
      </c>
      <c r="W20" s="483">
        <f t="shared" si="8"/>
        <v>64000</v>
      </c>
      <c r="X20" s="483">
        <f t="shared" si="8"/>
        <v>64000</v>
      </c>
      <c r="Y20" s="483">
        <f t="shared" si="8"/>
        <v>64000</v>
      </c>
      <c r="Z20" s="483">
        <f t="shared" si="8"/>
        <v>64000</v>
      </c>
      <c r="AA20" s="483">
        <f t="shared" si="8"/>
        <v>64000</v>
      </c>
    </row>
    <row r="21" spans="1:27">
      <c r="A21" s="175" t="s">
        <v>359</v>
      </c>
      <c r="B21" s="175" t="s">
        <v>173</v>
      </c>
      <c r="C21" t="s">
        <v>168</v>
      </c>
      <c r="D21" t="s">
        <v>140</v>
      </c>
      <c r="E21" t="s">
        <v>444</v>
      </c>
      <c r="F21" t="s">
        <v>179</v>
      </c>
      <c r="G21" t="s">
        <v>441</v>
      </c>
      <c r="I21" s="484"/>
      <c r="J21" s="175" t="s">
        <v>146</v>
      </c>
      <c r="K21" t="str">
        <f>VLOOKUP(J21,Accounts!A:C,2,0)</f>
        <v>Sueldos y salarios</v>
      </c>
      <c r="L21" t="str">
        <f>VLOOKUP(J21,Accounts!A:C,3,0)</f>
        <v>Sueldos y Salarios</v>
      </c>
      <c r="M21" s="175" t="s">
        <v>102</v>
      </c>
      <c r="N21" s="471">
        <f t="shared" si="3"/>
        <v>21016.21621621622</v>
      </c>
      <c r="O21" s="164">
        <f t="shared" si="4"/>
        <v>388800.00000000006</v>
      </c>
      <c r="P21" s="629">
        <f>'Salary Increases'!L24</f>
        <v>32400.000000000004</v>
      </c>
      <c r="Q21" s="483">
        <f t="shared" si="7"/>
        <v>32400.000000000004</v>
      </c>
      <c r="R21" s="483">
        <f t="shared" si="7"/>
        <v>32400.000000000004</v>
      </c>
      <c r="S21" s="483">
        <f t="shared" si="7"/>
        <v>32400.000000000004</v>
      </c>
      <c r="T21" s="483">
        <f t="shared" si="7"/>
        <v>32400.000000000004</v>
      </c>
      <c r="U21" s="483">
        <f t="shared" si="7"/>
        <v>32400.000000000004</v>
      </c>
      <c r="V21" s="483">
        <f t="shared" si="8"/>
        <v>32400.000000000004</v>
      </c>
      <c r="W21" s="483">
        <f t="shared" si="8"/>
        <v>32400.000000000004</v>
      </c>
      <c r="X21" s="483">
        <f t="shared" si="8"/>
        <v>32400.000000000004</v>
      </c>
      <c r="Y21" s="483">
        <f t="shared" si="8"/>
        <v>32400.000000000004</v>
      </c>
      <c r="Z21" s="483">
        <f t="shared" si="8"/>
        <v>32400.000000000004</v>
      </c>
      <c r="AA21" s="483">
        <f t="shared" si="8"/>
        <v>32400.000000000004</v>
      </c>
    </row>
    <row r="22" spans="1:27">
      <c r="A22" s="175" t="s">
        <v>359</v>
      </c>
      <c r="B22" s="175" t="s">
        <v>173</v>
      </c>
      <c r="C22" t="s">
        <v>168</v>
      </c>
      <c r="D22" t="s">
        <v>140</v>
      </c>
      <c r="E22" t="s">
        <v>445</v>
      </c>
      <c r="F22" t="s">
        <v>446</v>
      </c>
      <c r="G22" t="s">
        <v>441</v>
      </c>
      <c r="I22" s="482"/>
      <c r="J22" s="175" t="s">
        <v>146</v>
      </c>
      <c r="K22" t="str">
        <f>VLOOKUP(J22,Accounts!A:C,2,0)</f>
        <v>Sueldos y salarios</v>
      </c>
      <c r="L22" t="str">
        <f>VLOOKUP(J22,Accounts!A:C,3,0)</f>
        <v>Sueldos y Salarios</v>
      </c>
      <c r="M22" s="175" t="s">
        <v>102</v>
      </c>
      <c r="N22" s="471">
        <f t="shared" si="3"/>
        <v>38718.91891891892</v>
      </c>
      <c r="O22" s="164">
        <f t="shared" si="4"/>
        <v>716300</v>
      </c>
      <c r="P22" s="483">
        <v>58000</v>
      </c>
      <c r="Q22" s="483">
        <f t="shared" si="7"/>
        <v>58000</v>
      </c>
      <c r="R22" s="483">
        <f t="shared" si="7"/>
        <v>58000</v>
      </c>
      <c r="S22" s="483">
        <f t="shared" si="7"/>
        <v>58000</v>
      </c>
      <c r="T22" s="483">
        <f t="shared" si="7"/>
        <v>58000</v>
      </c>
      <c r="U22" s="629">
        <f>+'Salary Increases'!M25</f>
        <v>60900</v>
      </c>
      <c r="V22" s="483">
        <f t="shared" si="8"/>
        <v>60900</v>
      </c>
      <c r="W22" s="483">
        <f t="shared" si="8"/>
        <v>60900</v>
      </c>
      <c r="X22" s="483">
        <f t="shared" si="8"/>
        <v>60900</v>
      </c>
      <c r="Y22" s="483">
        <f t="shared" si="8"/>
        <v>60900</v>
      </c>
      <c r="Z22" s="483">
        <f t="shared" si="8"/>
        <v>60900</v>
      </c>
      <c r="AA22" s="483">
        <f t="shared" si="8"/>
        <v>60900</v>
      </c>
    </row>
    <row r="23" spans="1:27">
      <c r="A23" s="175" t="s">
        <v>359</v>
      </c>
      <c r="B23" s="175" t="s">
        <v>173</v>
      </c>
      <c r="C23" t="s">
        <v>168</v>
      </c>
      <c r="D23" t="s">
        <v>140</v>
      </c>
      <c r="E23" t="s">
        <v>447</v>
      </c>
      <c r="F23" t="s">
        <v>448</v>
      </c>
      <c r="G23" t="s">
        <v>441</v>
      </c>
      <c r="I23" s="484"/>
      <c r="J23" s="175" t="s">
        <v>146</v>
      </c>
      <c r="K23" t="str">
        <f>VLOOKUP(J23,Accounts!A:C,2,0)</f>
        <v>Sueldos y salarios</v>
      </c>
      <c r="L23" t="str">
        <f>VLOOKUP(J23,Accounts!A:C,3,0)</f>
        <v>Sueldos y Salarios</v>
      </c>
      <c r="M23" s="175" t="s">
        <v>102</v>
      </c>
      <c r="N23" s="471">
        <f t="shared" si="3"/>
        <v>51805.945945945947</v>
      </c>
      <c r="O23" s="164">
        <f t="shared" si="4"/>
        <v>958410</v>
      </c>
      <c r="P23" s="629">
        <f>'Salary Increases'!L26</f>
        <v>79867.5</v>
      </c>
      <c r="Q23" s="483">
        <f t="shared" si="7"/>
        <v>79867.5</v>
      </c>
      <c r="R23" s="483">
        <f t="shared" ref="R23" si="9">+Q23</f>
        <v>79867.5</v>
      </c>
      <c r="S23" s="483">
        <f t="shared" ref="S23" si="10">+R23</f>
        <v>79867.5</v>
      </c>
      <c r="T23" s="483">
        <f t="shared" ref="T23:U23" si="11">+S23</f>
        <v>79867.5</v>
      </c>
      <c r="U23" s="483">
        <f t="shared" si="11"/>
        <v>79867.5</v>
      </c>
      <c r="V23" s="483">
        <f t="shared" si="8"/>
        <v>79867.5</v>
      </c>
      <c r="W23" s="483">
        <f t="shared" si="8"/>
        <v>79867.5</v>
      </c>
      <c r="X23" s="483">
        <f t="shared" si="8"/>
        <v>79867.5</v>
      </c>
      <c r="Y23" s="483">
        <f t="shared" si="8"/>
        <v>79867.5</v>
      </c>
      <c r="Z23" s="483">
        <f t="shared" si="8"/>
        <v>79867.5</v>
      </c>
      <c r="AA23" s="483">
        <f t="shared" si="8"/>
        <v>79867.5</v>
      </c>
    </row>
    <row r="24" spans="1:27">
      <c r="A24" s="175" t="s">
        <v>359</v>
      </c>
      <c r="B24" s="175" t="s">
        <v>173</v>
      </c>
      <c r="C24" t="s">
        <v>168</v>
      </c>
      <c r="D24" t="s">
        <v>140</v>
      </c>
      <c r="E24" t="s">
        <v>449</v>
      </c>
      <c r="F24" t="s">
        <v>179</v>
      </c>
      <c r="G24" t="s">
        <v>441</v>
      </c>
      <c r="I24" s="482"/>
      <c r="J24" s="175" t="s">
        <v>146</v>
      </c>
      <c r="K24" t="str">
        <f>VLOOKUP(J24,Accounts!A:C,2,0)</f>
        <v>Sueldos y salarios</v>
      </c>
      <c r="L24" t="str">
        <f>VLOOKUP(J24,Accounts!A:C,3,0)</f>
        <v>Sueldos y Salarios</v>
      </c>
      <c r="M24" s="175" t="s">
        <v>102</v>
      </c>
      <c r="N24" s="471">
        <f t="shared" si="3"/>
        <v>20432.432432432433</v>
      </c>
      <c r="O24" s="164">
        <f t="shared" si="4"/>
        <v>378000</v>
      </c>
      <c r="P24" s="629">
        <f>'Salary Increases'!L27</f>
        <v>31500</v>
      </c>
      <c r="Q24" s="483">
        <f t="shared" ref="Q24:Q27" si="12">+P24</f>
        <v>31500</v>
      </c>
      <c r="R24" s="483">
        <f t="shared" ref="R24:R27" si="13">+Q24</f>
        <v>31500</v>
      </c>
      <c r="S24" s="483">
        <f t="shared" ref="S24:S27" si="14">+R24</f>
        <v>31500</v>
      </c>
      <c r="T24" s="483">
        <f t="shared" ref="T24:U27" si="15">+S24</f>
        <v>31500</v>
      </c>
      <c r="U24" s="483">
        <f t="shared" si="15"/>
        <v>31500</v>
      </c>
      <c r="V24" s="483">
        <f t="shared" ref="V24:V27" si="16">+U24</f>
        <v>31500</v>
      </c>
      <c r="W24" s="483">
        <f t="shared" ref="W24:W27" si="17">+V24</f>
        <v>31500</v>
      </c>
      <c r="X24" s="483">
        <f t="shared" ref="X24:X27" si="18">+W24</f>
        <v>31500</v>
      </c>
      <c r="Y24" s="483">
        <f t="shared" ref="Y24:Y27" si="19">+X24</f>
        <v>31500</v>
      </c>
      <c r="Z24" s="483">
        <f t="shared" ref="Z24:Z27" si="20">+Y24</f>
        <v>31500</v>
      </c>
      <c r="AA24" s="483">
        <f t="shared" ref="AA24:AA27" si="21">+Z24</f>
        <v>31500</v>
      </c>
    </row>
    <row r="25" spans="1:27">
      <c r="A25" s="175" t="s">
        <v>359</v>
      </c>
      <c r="B25" s="485" t="s">
        <v>173</v>
      </c>
      <c r="C25" s="172" t="s">
        <v>168</v>
      </c>
      <c r="D25" s="172" t="s">
        <v>140</v>
      </c>
      <c r="E25" t="s">
        <v>450</v>
      </c>
      <c r="F25" t="s">
        <v>177</v>
      </c>
      <c r="G25" t="s">
        <v>441</v>
      </c>
      <c r="H25" s="172"/>
      <c r="I25" s="482"/>
      <c r="J25" s="485" t="s">
        <v>146</v>
      </c>
      <c r="K25" t="str">
        <f>VLOOKUP(J25,Accounts!A:C,2,0)</f>
        <v>Sueldos y salarios</v>
      </c>
      <c r="L25" t="str">
        <f>VLOOKUP(J25,Accounts!A:C,3,0)</f>
        <v>Sueldos y Salarios</v>
      </c>
      <c r="M25" s="485" t="s">
        <v>102</v>
      </c>
      <c r="N25" s="471">
        <f t="shared" si="3"/>
        <v>43929.729729729726</v>
      </c>
      <c r="O25" s="164">
        <f t="shared" si="4"/>
        <v>812700</v>
      </c>
      <c r="P25" s="629">
        <f>'Salary Increases'!L28</f>
        <v>67725</v>
      </c>
      <c r="Q25" s="483">
        <f t="shared" si="12"/>
        <v>67725</v>
      </c>
      <c r="R25" s="483">
        <f t="shared" si="13"/>
        <v>67725</v>
      </c>
      <c r="S25" s="483">
        <f t="shared" si="14"/>
        <v>67725</v>
      </c>
      <c r="T25" s="483">
        <f t="shared" si="15"/>
        <v>67725</v>
      </c>
      <c r="U25" s="483">
        <f t="shared" si="15"/>
        <v>67725</v>
      </c>
      <c r="V25" s="483">
        <f t="shared" si="16"/>
        <v>67725</v>
      </c>
      <c r="W25" s="483">
        <f t="shared" si="17"/>
        <v>67725</v>
      </c>
      <c r="X25" s="483">
        <f t="shared" si="18"/>
        <v>67725</v>
      </c>
      <c r="Y25" s="483">
        <f t="shared" si="19"/>
        <v>67725</v>
      </c>
      <c r="Z25" s="483">
        <f t="shared" si="20"/>
        <v>67725</v>
      </c>
      <c r="AA25" s="483">
        <f t="shared" si="21"/>
        <v>67725</v>
      </c>
    </row>
    <row r="26" spans="1:27">
      <c r="A26" s="175" t="s">
        <v>359</v>
      </c>
      <c r="B26" s="175" t="s">
        <v>173</v>
      </c>
      <c r="C26" t="s">
        <v>168</v>
      </c>
      <c r="D26" t="s">
        <v>140</v>
      </c>
      <c r="E26" t="s">
        <v>451</v>
      </c>
      <c r="F26" t="s">
        <v>452</v>
      </c>
      <c r="G26" t="s">
        <v>441</v>
      </c>
      <c r="I26" s="482"/>
      <c r="J26" s="175" t="s">
        <v>146</v>
      </c>
      <c r="K26" t="str">
        <f>VLOOKUP(J26,Accounts!A:C,2,0)</f>
        <v>Sueldos y salarios</v>
      </c>
      <c r="L26" t="str">
        <f>VLOOKUP(J26,Accounts!A:C,3,0)</f>
        <v>Sueldos y Salarios</v>
      </c>
      <c r="M26" s="175" t="s">
        <v>102</v>
      </c>
      <c r="N26" s="471">
        <f t="shared" si="3"/>
        <v>22067.027027027027</v>
      </c>
      <c r="O26" s="164">
        <f t="shared" si="4"/>
        <v>408240</v>
      </c>
      <c r="P26" s="629">
        <f>'Salary Increases'!L29</f>
        <v>34020</v>
      </c>
      <c r="Q26" s="483">
        <f t="shared" si="12"/>
        <v>34020</v>
      </c>
      <c r="R26" s="483">
        <f t="shared" si="13"/>
        <v>34020</v>
      </c>
      <c r="S26" s="483">
        <f t="shared" si="14"/>
        <v>34020</v>
      </c>
      <c r="T26" s="483">
        <f t="shared" si="15"/>
        <v>34020</v>
      </c>
      <c r="U26" s="483">
        <f t="shared" si="15"/>
        <v>34020</v>
      </c>
      <c r="V26" s="483">
        <f t="shared" si="16"/>
        <v>34020</v>
      </c>
      <c r="W26" s="483">
        <f t="shared" si="17"/>
        <v>34020</v>
      </c>
      <c r="X26" s="483">
        <f t="shared" si="18"/>
        <v>34020</v>
      </c>
      <c r="Y26" s="483">
        <f t="shared" si="19"/>
        <v>34020</v>
      </c>
      <c r="Z26" s="483">
        <f t="shared" si="20"/>
        <v>34020</v>
      </c>
      <c r="AA26" s="483">
        <f t="shared" si="21"/>
        <v>34020</v>
      </c>
    </row>
    <row r="27" spans="1:27">
      <c r="A27" s="175" t="s">
        <v>359</v>
      </c>
      <c r="B27" s="175" t="s">
        <v>173</v>
      </c>
      <c r="C27" t="s">
        <v>168</v>
      </c>
      <c r="D27" t="s">
        <v>140</v>
      </c>
      <c r="E27" t="s">
        <v>453</v>
      </c>
      <c r="F27" t="s">
        <v>446</v>
      </c>
      <c r="G27" t="s">
        <v>441</v>
      </c>
      <c r="I27" s="482"/>
      <c r="J27" s="175" t="s">
        <v>146</v>
      </c>
      <c r="K27" t="str">
        <f>VLOOKUP(J27,Accounts!A:C,2,0)</f>
        <v>Sueldos y salarios</v>
      </c>
      <c r="L27" t="str">
        <f>VLOOKUP(J27,Accounts!A:C,3,0)</f>
        <v>Sueldos y Salarios</v>
      </c>
      <c r="M27" s="175" t="s">
        <v>102</v>
      </c>
      <c r="N27" s="471">
        <f t="shared" si="3"/>
        <v>25945.945945945947</v>
      </c>
      <c r="O27" s="164">
        <f t="shared" si="4"/>
        <v>480000</v>
      </c>
      <c r="P27" s="483">
        <v>40000</v>
      </c>
      <c r="Q27" s="483">
        <f t="shared" si="12"/>
        <v>40000</v>
      </c>
      <c r="R27" s="483">
        <f t="shared" si="13"/>
        <v>40000</v>
      </c>
      <c r="S27" s="483">
        <f t="shared" si="14"/>
        <v>40000</v>
      </c>
      <c r="T27" s="483">
        <f t="shared" si="15"/>
        <v>40000</v>
      </c>
      <c r="U27" s="483">
        <f t="shared" si="15"/>
        <v>40000</v>
      </c>
      <c r="V27" s="483">
        <f t="shared" si="16"/>
        <v>40000</v>
      </c>
      <c r="W27" s="483">
        <f t="shared" si="17"/>
        <v>40000</v>
      </c>
      <c r="X27" s="483">
        <f t="shared" si="18"/>
        <v>40000</v>
      </c>
      <c r="Y27" s="483">
        <f t="shared" si="19"/>
        <v>40000</v>
      </c>
      <c r="Z27" s="483">
        <f t="shared" si="20"/>
        <v>40000</v>
      </c>
      <c r="AA27" s="483">
        <f t="shared" si="21"/>
        <v>40000</v>
      </c>
    </row>
    <row r="28" spans="1:27">
      <c r="A28" s="175" t="s">
        <v>359</v>
      </c>
      <c r="B28" s="175" t="s">
        <v>173</v>
      </c>
      <c r="C28" t="s">
        <v>168</v>
      </c>
      <c r="D28" t="s">
        <v>140</v>
      </c>
      <c r="E28" t="s">
        <v>826</v>
      </c>
      <c r="F28" t="s">
        <v>827</v>
      </c>
      <c r="G28" t="s">
        <v>825</v>
      </c>
      <c r="I28" s="482"/>
      <c r="J28" s="175" t="s">
        <v>146</v>
      </c>
      <c r="K28" t="str">
        <f>VLOOKUP(J28,Accounts!A:C,2,0)</f>
        <v>Sueldos y salarios</v>
      </c>
      <c r="L28" t="str">
        <f>VLOOKUP(J28,Accounts!A:C,3,0)</f>
        <v>Sueldos y Salarios</v>
      </c>
      <c r="M28" s="175" t="s">
        <v>102</v>
      </c>
      <c r="N28" s="471">
        <f>+IF(M28="MXN",O28/$N$2,IF(M28="BRL",O28/$N$3,O28))</f>
        <v>6486.4864864864867</v>
      </c>
      <c r="O28" s="164">
        <f>+SUM(P28:AA28)</f>
        <v>120000</v>
      </c>
      <c r="P28" s="629">
        <v>10000</v>
      </c>
      <c r="Q28" s="483">
        <f t="shared" ref="Q28:AA28" si="22">+P28</f>
        <v>10000</v>
      </c>
      <c r="R28" s="483">
        <f t="shared" si="22"/>
        <v>10000</v>
      </c>
      <c r="S28" s="483">
        <f t="shared" si="22"/>
        <v>10000</v>
      </c>
      <c r="T28" s="483">
        <f t="shared" si="22"/>
        <v>10000</v>
      </c>
      <c r="U28" s="483">
        <f t="shared" si="22"/>
        <v>10000</v>
      </c>
      <c r="V28" s="483">
        <f t="shared" si="22"/>
        <v>10000</v>
      </c>
      <c r="W28" s="483">
        <f t="shared" si="22"/>
        <v>10000</v>
      </c>
      <c r="X28" s="483">
        <f t="shared" si="22"/>
        <v>10000</v>
      </c>
      <c r="Y28" s="483">
        <f t="shared" si="22"/>
        <v>10000</v>
      </c>
      <c r="Z28" s="483">
        <f t="shared" si="22"/>
        <v>10000</v>
      </c>
      <c r="AA28" s="483">
        <f t="shared" si="22"/>
        <v>10000</v>
      </c>
    </row>
    <row r="29" spans="1:27">
      <c r="A29" s="475"/>
      <c r="B29" s="475" t="s">
        <v>821</v>
      </c>
      <c r="C29" s="475"/>
      <c r="D29" s="475"/>
      <c r="E29" s="475"/>
      <c r="F29" s="475"/>
      <c r="G29" s="475"/>
      <c r="H29" s="475"/>
      <c r="I29" s="475"/>
      <c r="J29" s="475"/>
      <c r="K29" s="475"/>
      <c r="L29" s="475"/>
      <c r="M29" s="475"/>
      <c r="N29" s="476"/>
      <c r="O29" s="476"/>
      <c r="P29" s="476"/>
      <c r="Q29" s="476"/>
      <c r="R29" s="476"/>
      <c r="S29" s="476"/>
      <c r="T29" s="476"/>
      <c r="U29" s="476"/>
      <c r="V29" s="476"/>
      <c r="W29" s="476"/>
      <c r="X29" s="476"/>
      <c r="Y29" s="476"/>
      <c r="Z29" s="476"/>
      <c r="AA29" s="476"/>
    </row>
    <row r="30" spans="1:27">
      <c r="A30" s="175" t="s">
        <v>359</v>
      </c>
      <c r="B30" s="175" t="s">
        <v>173</v>
      </c>
      <c r="C30" t="s">
        <v>168</v>
      </c>
      <c r="D30" t="s">
        <v>140</v>
      </c>
      <c r="E30" t="s">
        <v>454</v>
      </c>
      <c r="F30" t="s">
        <v>455</v>
      </c>
      <c r="G30" t="s">
        <v>441</v>
      </c>
      <c r="I30" s="482"/>
      <c r="J30" s="175" t="s">
        <v>146</v>
      </c>
      <c r="K30" t="str">
        <f>VLOOKUP(J30,Accounts!A:C,2,0)</f>
        <v>Sueldos y salarios</v>
      </c>
      <c r="L30" t="str">
        <f>VLOOKUP(J30,Accounts!A:C,3,0)</f>
        <v>Sueldos y Salarios</v>
      </c>
      <c r="M30" s="175" t="s">
        <v>101</v>
      </c>
      <c r="N30" s="471">
        <f t="shared" si="3"/>
        <v>27216</v>
      </c>
      <c r="O30" s="164">
        <f t="shared" si="4"/>
        <v>27216</v>
      </c>
      <c r="P30" s="629">
        <f>+'Salary Increases'!D31*(1+'Salary Increases'!K31)</f>
        <v>2268</v>
      </c>
      <c r="Q30" s="483">
        <f t="shared" si="7"/>
        <v>2268</v>
      </c>
      <c r="R30" s="483">
        <f t="shared" si="7"/>
        <v>2268</v>
      </c>
      <c r="S30" s="483">
        <f t="shared" si="7"/>
        <v>2268</v>
      </c>
      <c r="T30" s="483">
        <f t="shared" ref="T30:U30" si="23">+S30</f>
        <v>2268</v>
      </c>
      <c r="U30" s="483">
        <f t="shared" si="23"/>
        <v>2268</v>
      </c>
      <c r="V30" s="483">
        <f t="shared" ref="V30" si="24">+U30</f>
        <v>2268</v>
      </c>
      <c r="W30" s="483">
        <f t="shared" ref="W30" si="25">+V30</f>
        <v>2268</v>
      </c>
      <c r="X30" s="483">
        <f t="shared" ref="X30" si="26">+W30</f>
        <v>2268</v>
      </c>
      <c r="Y30" s="483">
        <f t="shared" ref="Y30" si="27">+X30</f>
        <v>2268</v>
      </c>
      <c r="Z30" s="483">
        <f t="shared" ref="Z30" si="28">+Y30</f>
        <v>2268</v>
      </c>
      <c r="AA30" s="483">
        <f t="shared" ref="AA30" si="29">+Z30</f>
        <v>2268</v>
      </c>
    </row>
    <row r="31" spans="1:27">
      <c r="A31" s="475"/>
      <c r="B31" s="475" t="s">
        <v>394</v>
      </c>
      <c r="C31" s="475"/>
      <c r="D31" s="475"/>
      <c r="E31" s="475"/>
      <c r="F31" s="475"/>
      <c r="G31" s="475"/>
      <c r="H31" s="475"/>
      <c r="I31" s="475"/>
      <c r="J31" s="475"/>
      <c r="K31" s="475"/>
      <c r="L31" s="475"/>
      <c r="M31" s="475"/>
      <c r="N31" s="476"/>
      <c r="O31" s="476"/>
      <c r="P31" s="476"/>
      <c r="Q31" s="476"/>
      <c r="R31" s="476"/>
      <c r="S31" s="476"/>
      <c r="T31" s="476"/>
      <c r="U31" s="476"/>
      <c r="V31" s="476"/>
      <c r="W31" s="476"/>
      <c r="X31" s="476"/>
      <c r="Y31" s="476"/>
      <c r="Z31" s="476"/>
      <c r="AA31" s="476"/>
    </row>
    <row r="32" spans="1:27" ht="15.25" customHeight="1">
      <c r="A32" s="175" t="s">
        <v>359</v>
      </c>
      <c r="B32" s="175" t="s">
        <v>173</v>
      </c>
      <c r="C32" t="s">
        <v>168</v>
      </c>
      <c r="D32" t="s">
        <v>149</v>
      </c>
      <c r="E32" s="175" t="s">
        <v>395</v>
      </c>
      <c r="F32" s="175" t="s">
        <v>456</v>
      </c>
      <c r="G32" t="s">
        <v>379</v>
      </c>
      <c r="I32" s="175"/>
      <c r="J32" s="175" t="s">
        <v>397</v>
      </c>
      <c r="K32" t="str">
        <f>VLOOKUP(J32,Accounts!A:C,2,0)</f>
        <v>Despensa</v>
      </c>
      <c r="L32" t="str">
        <f>VLOOKUP(J32,Accounts!A:C,3,0)</f>
        <v>Sueldos y Salarios</v>
      </c>
      <c r="M32" s="175" t="s">
        <v>102</v>
      </c>
      <c r="N32" s="471">
        <f>+IF(M32="MXN",O32/$N$2,IF(M32="BRL",O32/$N$3,O32))</f>
        <v>4670.27027027027</v>
      </c>
      <c r="O32" s="164">
        <f t="shared" si="4"/>
        <v>86400</v>
      </c>
      <c r="P32" s="177">
        <f>800*9</f>
        <v>7200</v>
      </c>
      <c r="Q32" s="177">
        <f t="shared" ref="Q32:AA32" si="30">800*9</f>
        <v>7200</v>
      </c>
      <c r="R32" s="177">
        <f t="shared" si="30"/>
        <v>7200</v>
      </c>
      <c r="S32" s="177">
        <f t="shared" si="30"/>
        <v>7200</v>
      </c>
      <c r="T32" s="177">
        <f t="shared" si="30"/>
        <v>7200</v>
      </c>
      <c r="U32" s="177">
        <f t="shared" si="30"/>
        <v>7200</v>
      </c>
      <c r="V32" s="177">
        <f t="shared" si="30"/>
        <v>7200</v>
      </c>
      <c r="W32" s="177">
        <f t="shared" si="30"/>
        <v>7200</v>
      </c>
      <c r="X32" s="177">
        <f t="shared" si="30"/>
        <v>7200</v>
      </c>
      <c r="Y32" s="177">
        <f t="shared" si="30"/>
        <v>7200</v>
      </c>
      <c r="Z32" s="177">
        <f t="shared" si="30"/>
        <v>7200</v>
      </c>
      <c r="AA32" s="177">
        <f t="shared" si="30"/>
        <v>7200</v>
      </c>
    </row>
    <row r="33" spans="1:27">
      <c r="A33" t="s">
        <v>359</v>
      </c>
      <c r="B33" t="s">
        <v>173</v>
      </c>
      <c r="C33" t="s">
        <v>168</v>
      </c>
      <c r="D33" t="s">
        <v>149</v>
      </c>
      <c r="E33" t="s">
        <v>398</v>
      </c>
      <c r="F33" t="s">
        <v>399</v>
      </c>
      <c r="G33" t="s">
        <v>379</v>
      </c>
      <c r="J33" s="163" t="s">
        <v>400</v>
      </c>
      <c r="K33" t="str">
        <f>VLOOKUP(J33,Accounts!A:C,2,0)</f>
        <v>Aguinaldo</v>
      </c>
      <c r="L33" t="str">
        <f>VLOOKUP(J33,Accounts!A:C,3,0)</f>
        <v>Sueldos y Salarios</v>
      </c>
      <c r="M33" t="s">
        <v>102</v>
      </c>
      <c r="N33" s="471">
        <f>+IF(M33="MXN",O33/$N$2,IF(M33="BRL",O33/$N$3,O33))</f>
        <v>12113.851351351352</v>
      </c>
      <c r="O33" s="164">
        <f>+SUM(Q33:AB33)</f>
        <v>224106.25</v>
      </c>
      <c r="P33" s="165">
        <v>0</v>
      </c>
      <c r="Q33" s="165">
        <v>0</v>
      </c>
      <c r="R33" s="165">
        <v>0</v>
      </c>
      <c r="S33" s="165">
        <v>0</v>
      </c>
      <c r="T33" s="165">
        <v>0</v>
      </c>
      <c r="U33" s="165">
        <v>0</v>
      </c>
      <c r="V33" s="165">
        <v>0</v>
      </c>
      <c r="W33" s="165">
        <v>0</v>
      </c>
      <c r="X33" s="165">
        <v>0</v>
      </c>
      <c r="Y33" s="165">
        <v>0</v>
      </c>
      <c r="Z33" s="165">
        <v>0</v>
      </c>
      <c r="AA33" s="165">
        <f>+SUM(AA19:AA27)/2</f>
        <v>224106.25</v>
      </c>
    </row>
    <row r="34" spans="1:27" ht="15.25" customHeight="1">
      <c r="A34" s="175" t="s">
        <v>359</v>
      </c>
      <c r="B34" s="175" t="s">
        <v>173</v>
      </c>
      <c r="C34" t="s">
        <v>168</v>
      </c>
      <c r="D34" t="s">
        <v>149</v>
      </c>
      <c r="E34" s="175" t="s">
        <v>402</v>
      </c>
      <c r="F34" s="175" t="s">
        <v>402</v>
      </c>
      <c r="G34" t="s">
        <v>379</v>
      </c>
      <c r="I34" s="175"/>
      <c r="J34" s="163" t="s">
        <v>403</v>
      </c>
      <c r="K34" t="str">
        <f>VLOOKUP(J34,Accounts!A:C,2,0)</f>
        <v>Prima vacacional</v>
      </c>
      <c r="L34" t="str">
        <f>VLOOKUP(J34,Accounts!A:C,3,0)</f>
        <v>Sueldos y Salarios</v>
      </c>
      <c r="M34" s="175" t="s">
        <v>102</v>
      </c>
      <c r="N34" s="471">
        <f>+IF(M34="MXN",O34/$N$2,IF(M34="BRL",O34/$N$3,O34))</f>
        <v>504.74380630630628</v>
      </c>
      <c r="O34" s="164">
        <f t="shared" si="4"/>
        <v>9337.7604166666661</v>
      </c>
      <c r="P34" s="165">
        <v>0</v>
      </c>
      <c r="Q34" s="165">
        <v>0</v>
      </c>
      <c r="R34" s="165">
        <v>0</v>
      </c>
      <c r="S34" s="165">
        <v>0</v>
      </c>
      <c r="T34" s="165">
        <v>0</v>
      </c>
      <c r="U34" s="486">
        <f>+SUM(U19:U27)*0.25/12</f>
        <v>9337.7604166666661</v>
      </c>
      <c r="V34" s="165">
        <v>0</v>
      </c>
      <c r="W34" s="165">
        <v>0</v>
      </c>
      <c r="X34" s="165">
        <v>0</v>
      </c>
      <c r="Y34" s="165">
        <v>0</v>
      </c>
      <c r="Z34" s="165">
        <v>0</v>
      </c>
      <c r="AA34" s="165">
        <v>0</v>
      </c>
    </row>
    <row r="35" spans="1:27" ht="15.25" customHeight="1">
      <c r="A35" s="175" t="s">
        <v>359</v>
      </c>
      <c r="B35" s="175" t="s">
        <v>173</v>
      </c>
      <c r="C35" t="s">
        <v>168</v>
      </c>
      <c r="D35" t="s">
        <v>140</v>
      </c>
      <c r="E35" t="s">
        <v>404</v>
      </c>
      <c r="F35" s="50" t="s">
        <v>909</v>
      </c>
      <c r="G35" t="s">
        <v>379</v>
      </c>
      <c r="I35" s="175"/>
      <c r="J35" s="175" t="s">
        <v>146</v>
      </c>
      <c r="K35" t="str">
        <f>VLOOKUP(J35,Accounts!A:C,2,0)</f>
        <v>Sueldos y salarios</v>
      </c>
      <c r="L35" t="str">
        <f>VLOOKUP(J35,Accounts!A:C,3,0)</f>
        <v>Sueldos y Salarios</v>
      </c>
      <c r="M35" s="175" t="s">
        <v>102</v>
      </c>
      <c r="N35" s="471">
        <f>+IF(M35="MXN",O35/$N$2,IF(M35="BRL",O35/$N$3,O35))</f>
        <v>8683.864864864865</v>
      </c>
      <c r="O35" s="164">
        <f t="shared" ref="O35" si="31">+SUM(P35:AA35)</f>
        <v>160651.5</v>
      </c>
      <c r="P35" s="486">
        <f>+SUM(P19:P27)*0.03</f>
        <v>13305.375</v>
      </c>
      <c r="Q35" s="486">
        <f t="shared" ref="Q35:AA35" si="32">+SUM(Q19:Q27)*0.03</f>
        <v>13305.375</v>
      </c>
      <c r="R35" s="486">
        <f t="shared" si="32"/>
        <v>13305.375</v>
      </c>
      <c r="S35" s="486">
        <f t="shared" si="32"/>
        <v>13305.375</v>
      </c>
      <c r="T35" s="486">
        <f t="shared" si="32"/>
        <v>13305.375</v>
      </c>
      <c r="U35" s="486">
        <f t="shared" si="32"/>
        <v>13446.375</v>
      </c>
      <c r="V35" s="486">
        <f t="shared" si="32"/>
        <v>13446.375</v>
      </c>
      <c r="W35" s="486">
        <f t="shared" si="32"/>
        <v>13446.375</v>
      </c>
      <c r="X35" s="486">
        <f t="shared" si="32"/>
        <v>13446.375</v>
      </c>
      <c r="Y35" s="486">
        <f t="shared" si="32"/>
        <v>13446.375</v>
      </c>
      <c r="Z35" s="486">
        <f t="shared" si="32"/>
        <v>13446.375</v>
      </c>
      <c r="AA35" s="486">
        <f t="shared" si="32"/>
        <v>13446.375</v>
      </c>
    </row>
    <row r="36" spans="1:27" ht="15.25" customHeight="1">
      <c r="A36" s="175" t="s">
        <v>359</v>
      </c>
      <c r="B36" s="175" t="s">
        <v>173</v>
      </c>
      <c r="C36" t="s">
        <v>168</v>
      </c>
      <c r="D36" t="s">
        <v>140</v>
      </c>
      <c r="E36" t="s">
        <v>404</v>
      </c>
      <c r="F36" s="50" t="s">
        <v>910</v>
      </c>
      <c r="G36" t="s">
        <v>379</v>
      </c>
      <c r="I36" s="175"/>
      <c r="J36" s="175" t="s">
        <v>146</v>
      </c>
      <c r="K36" t="str">
        <f>VLOOKUP(J36,Accounts!A:C,2,0)</f>
        <v>Sueldos y salarios</v>
      </c>
      <c r="L36" t="str">
        <f>VLOOKUP(J36,Accounts!A:C,3,0)</f>
        <v>Sueldos y Salarios</v>
      </c>
      <c r="M36" s="175" t="s">
        <v>102</v>
      </c>
      <c r="N36" s="471">
        <f>+IF(M36="MXN",O36/$N$2,IF(M36="BRL",O36/$N$3,O36))</f>
        <v>63625.783783783787</v>
      </c>
      <c r="O36" s="164">
        <f t="shared" si="4"/>
        <v>1177077</v>
      </c>
      <c r="P36" s="486">
        <f>+SUM(P19:P27)*0.22*2</f>
        <v>195145.5</v>
      </c>
      <c r="Q36" s="486">
        <v>0</v>
      </c>
      <c r="R36" s="486">
        <f>+SUM(R19:R27)*0.22*2</f>
        <v>195145.5</v>
      </c>
      <c r="S36" s="486">
        <v>0</v>
      </c>
      <c r="T36" s="486">
        <f>+SUM(T19:T27)*0.22*2</f>
        <v>195145.5</v>
      </c>
      <c r="U36" s="486">
        <v>0</v>
      </c>
      <c r="V36" s="486">
        <f>+SUM(V19:V27)*0.22*2</f>
        <v>197213.5</v>
      </c>
      <c r="W36" s="486">
        <v>0</v>
      </c>
      <c r="X36" s="486">
        <f>+SUM(X19:X27)*0.22*2</f>
        <v>197213.5</v>
      </c>
      <c r="Y36" s="486">
        <v>0</v>
      </c>
      <c r="Z36" s="486">
        <f>+SUM(Z19:Z27)*0.22*2</f>
        <v>197213.5</v>
      </c>
      <c r="AA36" s="486">
        <v>0</v>
      </c>
    </row>
    <row r="38" spans="1:27">
      <c r="N38" s="479"/>
    </row>
    <row r="39" spans="1:27">
      <c r="E39" s="487"/>
    </row>
    <row r="40" spans="1:27">
      <c r="E40" s="480"/>
    </row>
    <row r="41" spans="1:27">
      <c r="E41" s="480"/>
    </row>
    <row r="42" spans="1:27">
      <c r="E42" s="488"/>
    </row>
    <row r="43" spans="1:27">
      <c r="I43" t="s">
        <v>819</v>
      </c>
    </row>
  </sheetData>
  <autoFilter ref="B4:AA36" xr:uid="{C81103F0-2A1E-F446-AFF9-0B7929DA9BC4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81F99-30F1-0946-BB3D-BAB2803301D9}">
  <sheetPr codeName="Sheet11"/>
  <dimension ref="A1:AB61"/>
  <sheetViews>
    <sheetView showGridLines="0" topLeftCell="H9" zoomScale="107" workbookViewId="0">
      <selection activeCell="P28" sqref="P28"/>
    </sheetView>
  </sheetViews>
  <sheetFormatPr baseColWidth="10" defaultColWidth="10.83203125" defaultRowHeight="16" customHeight="1"/>
  <cols>
    <col min="1" max="2" width="10.83203125" customWidth="1"/>
    <col min="3" max="4" width="17.1640625" customWidth="1"/>
    <col min="5" max="5" width="36.1640625" customWidth="1"/>
    <col min="6" max="9" width="35.5" customWidth="1"/>
    <col min="10" max="10" width="10.83203125" customWidth="1"/>
    <col min="11" max="11" width="25.33203125" customWidth="1"/>
    <col min="12" max="12" width="15.83203125" customWidth="1"/>
    <col min="13" max="13" width="10.6640625" customWidth="1"/>
    <col min="14" max="24" width="13.1640625" customWidth="1"/>
    <col min="25" max="27" width="13.33203125" customWidth="1"/>
  </cols>
  <sheetData>
    <row r="1" spans="1:28" ht="17" customHeight="1">
      <c r="E1" s="600"/>
      <c r="F1" s="600"/>
      <c r="G1" s="600"/>
      <c r="H1" s="600"/>
      <c r="I1" s="600"/>
      <c r="J1" s="600"/>
      <c r="M1" s="175" t="s">
        <v>190</v>
      </c>
      <c r="N1">
        <v>1.1599999999999999</v>
      </c>
    </row>
    <row r="2" spans="1:28" ht="17" customHeight="1">
      <c r="E2" s="600"/>
      <c r="F2" s="600"/>
      <c r="G2" s="600"/>
      <c r="H2" s="600"/>
      <c r="I2" s="600"/>
      <c r="J2" s="600"/>
      <c r="M2" s="496" t="s">
        <v>102</v>
      </c>
      <c r="N2" s="496">
        <f>+Supuestos!$M$9</f>
        <v>18.5</v>
      </c>
    </row>
    <row r="3" spans="1:28" ht="17" customHeight="1">
      <c r="E3" s="600"/>
      <c r="F3" s="600"/>
      <c r="G3" s="600"/>
      <c r="H3" s="600"/>
      <c r="I3" s="600"/>
      <c r="J3" s="600"/>
      <c r="M3" s="496" t="s">
        <v>19</v>
      </c>
      <c r="N3" s="496">
        <f>+Supuestos!$M$10</f>
        <v>5.5</v>
      </c>
    </row>
    <row r="4" spans="1:28">
      <c r="A4" s="153" t="s">
        <v>354</v>
      </c>
      <c r="B4" s="153" t="s">
        <v>103</v>
      </c>
      <c r="C4" s="153" t="s">
        <v>104</v>
      </c>
      <c r="D4" s="153" t="s">
        <v>109</v>
      </c>
      <c r="E4" s="153" t="s">
        <v>110</v>
      </c>
      <c r="F4" s="153" t="s">
        <v>111</v>
      </c>
      <c r="G4" s="153" t="s">
        <v>355</v>
      </c>
      <c r="H4" s="153"/>
      <c r="I4" s="153"/>
      <c r="J4" s="153" t="s">
        <v>112</v>
      </c>
      <c r="K4" s="153" t="s">
        <v>113</v>
      </c>
      <c r="L4" s="153" t="s">
        <v>114</v>
      </c>
      <c r="M4" s="153" t="s">
        <v>115</v>
      </c>
      <c r="N4" s="153" t="str">
        <f>IF(M4="MXN",O4/$N$2,IF(M4="BRL",O4/$N$3,O4))</f>
        <v>Total Cost</v>
      </c>
      <c r="O4" s="153" t="s">
        <v>116</v>
      </c>
      <c r="P4" s="153" t="s">
        <v>117</v>
      </c>
      <c r="Q4" s="153" t="s">
        <v>118</v>
      </c>
      <c r="R4" s="153" t="s">
        <v>119</v>
      </c>
      <c r="S4" s="153" t="s">
        <v>120</v>
      </c>
      <c r="T4" s="153" t="s">
        <v>24</v>
      </c>
      <c r="U4" s="153" t="s">
        <v>121</v>
      </c>
      <c r="V4" s="153" t="s">
        <v>122</v>
      </c>
      <c r="W4" s="153" t="s">
        <v>123</v>
      </c>
      <c r="X4" s="153" t="s">
        <v>124</v>
      </c>
      <c r="Y4" s="153" t="s">
        <v>125</v>
      </c>
      <c r="Z4" s="153" t="s">
        <v>126</v>
      </c>
      <c r="AA4" s="611" t="s">
        <v>127</v>
      </c>
    </row>
    <row r="5" spans="1:28">
      <c r="A5" s="472"/>
      <c r="B5" s="472" t="s">
        <v>48</v>
      </c>
      <c r="C5" s="472"/>
      <c r="D5" s="472"/>
      <c r="E5" s="472"/>
      <c r="F5" s="472"/>
      <c r="G5" s="472"/>
      <c r="H5" s="472" t="s">
        <v>357</v>
      </c>
      <c r="I5" s="472" t="s">
        <v>358</v>
      </c>
      <c r="J5" s="472"/>
      <c r="K5" s="472"/>
      <c r="L5" s="472"/>
      <c r="M5" s="472"/>
      <c r="N5" s="472"/>
      <c r="O5" s="472"/>
      <c r="P5" s="472"/>
      <c r="Q5" s="472"/>
      <c r="R5" s="472"/>
      <c r="S5" s="472"/>
      <c r="T5" s="472"/>
      <c r="U5" s="472"/>
      <c r="V5" s="472"/>
      <c r="W5" s="472"/>
      <c r="X5" s="472"/>
      <c r="Y5" s="472"/>
      <c r="Z5" s="472"/>
      <c r="AA5" s="612"/>
    </row>
    <row r="6" spans="1:28" ht="18" customHeight="1">
      <c r="A6" s="175" t="s">
        <v>369</v>
      </c>
      <c r="B6" s="175" t="s">
        <v>199</v>
      </c>
      <c r="C6" t="s">
        <v>200</v>
      </c>
      <c r="D6" t="s">
        <v>201</v>
      </c>
      <c r="E6" s="166" t="s">
        <v>765</v>
      </c>
      <c r="F6" t="s">
        <v>766</v>
      </c>
      <c r="G6" t="s">
        <v>379</v>
      </c>
      <c r="H6" t="s">
        <v>379</v>
      </c>
      <c r="I6" t="s">
        <v>379</v>
      </c>
      <c r="J6" t="s">
        <v>202</v>
      </c>
      <c r="K6" t="str">
        <f>VLOOKUP(J6,Accounts!A:C,2,0)</f>
        <v>COSTO DE VENTA</v>
      </c>
      <c r="L6" t="str">
        <f>VLOOKUP(J6,Accounts!A:C,3,0)</f>
        <v>CAC</v>
      </c>
      <c r="M6" s="50" t="s">
        <v>101</v>
      </c>
      <c r="N6" s="471">
        <f>IF(M6="MXN",O6/$N$2,IF(M6="BRL",O6/$N$3,O6))</f>
        <v>2850000</v>
      </c>
      <c r="O6" s="481">
        <f>SUM(P6:AA6)</f>
        <v>2850000</v>
      </c>
      <c r="P6" s="619">
        <f>+Supuestos!$G$7</f>
        <v>200000</v>
      </c>
      <c r="Q6" s="619">
        <f>+Supuestos!$G$7</f>
        <v>200000</v>
      </c>
      <c r="R6" s="619">
        <f>+Supuestos!$G$7</f>
        <v>200000</v>
      </c>
      <c r="S6" s="619">
        <f>+Supuestos!$H$7</f>
        <v>230000</v>
      </c>
      <c r="T6" s="619">
        <f>+Supuestos!$H$7</f>
        <v>230000</v>
      </c>
      <c r="U6" s="619">
        <f>+Supuestos!$H$7</f>
        <v>230000</v>
      </c>
      <c r="V6" s="619">
        <f>+Supuestos!$I$7</f>
        <v>250000</v>
      </c>
      <c r="W6" s="619">
        <f>+Supuestos!$I$7</f>
        <v>250000</v>
      </c>
      <c r="X6" s="619">
        <f>+Supuestos!$I$7</f>
        <v>250000</v>
      </c>
      <c r="Y6" s="619">
        <f>+Supuestos!$J$7</f>
        <v>270000</v>
      </c>
      <c r="Z6" s="619">
        <f>+Supuestos!$J$7</f>
        <v>270000</v>
      </c>
      <c r="AA6" s="619">
        <f>+Supuestos!$J$7</f>
        <v>270000</v>
      </c>
    </row>
    <row r="7" spans="1:28" ht="18" customHeight="1">
      <c r="A7" s="175" t="s">
        <v>369</v>
      </c>
      <c r="B7" s="175" t="s">
        <v>199</v>
      </c>
      <c r="C7" t="s">
        <v>200</v>
      </c>
      <c r="D7" t="s">
        <v>201</v>
      </c>
      <c r="E7" s="166" t="s">
        <v>767</v>
      </c>
      <c r="F7" t="s">
        <v>766</v>
      </c>
      <c r="G7" t="s">
        <v>808</v>
      </c>
      <c r="H7" t="s">
        <v>768</v>
      </c>
      <c r="J7" t="s">
        <v>202</v>
      </c>
      <c r="K7" t="str">
        <f>VLOOKUP(J7,Accounts!A:C,2,0)</f>
        <v>COSTO DE VENTA</v>
      </c>
      <c r="L7" t="str">
        <f>VLOOKUP(J7,Accounts!A:C,3,0)</f>
        <v>CAC</v>
      </c>
      <c r="M7" s="50" t="s">
        <v>101</v>
      </c>
      <c r="N7" s="471">
        <f>IF(M7="MXN",O7/$N$2,IF(M7="BRL",O7/$N$3,O7))</f>
        <v>0</v>
      </c>
      <c r="O7" s="481">
        <f>SUM(P7:AA7)</f>
        <v>0</v>
      </c>
      <c r="P7" s="624">
        <v>0</v>
      </c>
      <c r="Q7" s="624">
        <v>0</v>
      </c>
      <c r="R7" s="624">
        <v>0</v>
      </c>
      <c r="S7" s="624">
        <v>0</v>
      </c>
      <c r="T7" s="624">
        <v>0</v>
      </c>
      <c r="U7" s="624">
        <v>0</v>
      </c>
      <c r="V7" s="624">
        <v>0</v>
      </c>
      <c r="W7" s="624">
        <v>0</v>
      </c>
      <c r="X7" s="624">
        <v>0</v>
      </c>
      <c r="Y7" s="624">
        <v>0</v>
      </c>
      <c r="Z7" s="624">
        <v>0</v>
      </c>
      <c r="AA7" s="624">
        <v>0</v>
      </c>
    </row>
    <row r="8" spans="1:28" ht="18" customHeight="1">
      <c r="A8" s="175" t="s">
        <v>369</v>
      </c>
      <c r="B8" s="175" t="s">
        <v>199</v>
      </c>
      <c r="C8" t="s">
        <v>200</v>
      </c>
      <c r="D8" t="s">
        <v>201</v>
      </c>
      <c r="E8" s="166" t="s">
        <v>205</v>
      </c>
      <c r="G8" t="s">
        <v>808</v>
      </c>
      <c r="H8" t="s">
        <v>768</v>
      </c>
      <c r="J8" t="s">
        <v>202</v>
      </c>
      <c r="K8" t="str">
        <f>VLOOKUP(J8,Accounts!A:C,2,0)</f>
        <v>COSTO DE VENTA</v>
      </c>
      <c r="L8" t="str">
        <f>VLOOKUP(J8,Accounts!A:C,3,0)</f>
        <v>CAC</v>
      </c>
      <c r="M8" s="50" t="s">
        <v>101</v>
      </c>
      <c r="N8" s="471">
        <f>IF(M8="MXN",O8/$N$2,IF(M8="BRL",O8/$N$3,O8))</f>
        <v>60000</v>
      </c>
      <c r="O8" s="481">
        <f>SUM(P8:AA8)</f>
        <v>60000</v>
      </c>
      <c r="P8" s="481">
        <v>5000</v>
      </c>
      <c r="Q8" s="481">
        <v>5000</v>
      </c>
      <c r="R8" s="481">
        <v>5000</v>
      </c>
      <c r="S8" s="481">
        <v>5000</v>
      </c>
      <c r="T8" s="481">
        <v>5000</v>
      </c>
      <c r="U8" s="481">
        <v>5000</v>
      </c>
      <c r="V8" s="481">
        <v>5000</v>
      </c>
      <c r="W8" s="481">
        <v>5000</v>
      </c>
      <c r="X8" s="481">
        <v>5000</v>
      </c>
      <c r="Y8" s="481">
        <v>5000</v>
      </c>
      <c r="Z8" s="609">
        <v>5000</v>
      </c>
      <c r="AA8" s="613">
        <v>5000</v>
      </c>
    </row>
    <row r="9" spans="1:28" ht="18" customHeight="1">
      <c r="A9" s="175" t="s">
        <v>369</v>
      </c>
      <c r="B9" s="175" t="s">
        <v>199</v>
      </c>
      <c r="C9" t="s">
        <v>200</v>
      </c>
      <c r="D9" t="s">
        <v>201</v>
      </c>
      <c r="E9" s="166" t="s">
        <v>769</v>
      </c>
      <c r="F9" t="s">
        <v>770</v>
      </c>
      <c r="J9" t="s">
        <v>202</v>
      </c>
      <c r="K9" t="str">
        <f>VLOOKUP(J9,Accounts!A:C,2,0)</f>
        <v>COSTO DE VENTA</v>
      </c>
      <c r="L9" t="str">
        <f>VLOOKUP(J9,Accounts!A:C,3,0)</f>
        <v>CAC</v>
      </c>
      <c r="M9" s="50" t="s">
        <v>101</v>
      </c>
      <c r="N9" s="471">
        <f>IF(M9="MXN",O9/$N$2,IF(M9="BRL",O9/$N$3,O9))</f>
        <v>240000</v>
      </c>
      <c r="O9" s="481">
        <f>SUM(P9:AA9)</f>
        <v>240000</v>
      </c>
      <c r="P9" s="624">
        <v>20000</v>
      </c>
      <c r="Q9" s="624">
        <v>20000</v>
      </c>
      <c r="R9" s="624">
        <v>20000</v>
      </c>
      <c r="S9" s="624">
        <v>20000</v>
      </c>
      <c r="T9" s="624">
        <v>20000</v>
      </c>
      <c r="U9" s="624">
        <v>20000</v>
      </c>
      <c r="V9" s="624">
        <v>20000</v>
      </c>
      <c r="W9" s="624">
        <v>20000</v>
      </c>
      <c r="X9" s="624">
        <v>20000</v>
      </c>
      <c r="Y9" s="624">
        <v>20000</v>
      </c>
      <c r="Z9" s="624">
        <v>20000</v>
      </c>
      <c r="AA9" s="624">
        <v>20000</v>
      </c>
    </row>
    <row r="10" spans="1:28">
      <c r="A10" s="472"/>
      <c r="B10" s="472" t="s">
        <v>356</v>
      </c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72"/>
      <c r="R10" s="472"/>
      <c r="S10" s="472"/>
      <c r="T10" s="472"/>
      <c r="U10" s="472"/>
      <c r="V10" s="472"/>
      <c r="W10" s="472"/>
      <c r="X10" s="472"/>
      <c r="Y10" s="472"/>
      <c r="Z10" s="472"/>
      <c r="AA10" s="612"/>
    </row>
    <row r="11" spans="1:28" ht="17" customHeight="1">
      <c r="A11" s="175" t="s">
        <v>359</v>
      </c>
      <c r="B11" s="175" t="s">
        <v>199</v>
      </c>
      <c r="C11" s="175" t="s">
        <v>200</v>
      </c>
      <c r="D11" s="175" t="s">
        <v>361</v>
      </c>
      <c r="E11" s="601" t="s">
        <v>669</v>
      </c>
      <c r="F11" s="175" t="s">
        <v>771</v>
      </c>
      <c r="G11" s="175" t="s">
        <v>364</v>
      </c>
      <c r="H11" s="175" t="s">
        <v>772</v>
      </c>
      <c r="I11" s="175" t="s">
        <v>772</v>
      </c>
      <c r="J11" s="175" t="s">
        <v>130</v>
      </c>
      <c r="K11" t="str">
        <f>VLOOKUP(J11,Accounts!A:C,2,0)</f>
        <v>Servicios de Informatica</v>
      </c>
      <c r="L11" t="str">
        <f>VLOOKUP(J11,Accounts!A:C,3,0)</f>
        <v>Servicios</v>
      </c>
      <c r="M11" s="602" t="s">
        <v>102</v>
      </c>
      <c r="N11" s="471">
        <f t="shared" ref="N11:N21" si="0">IF(M11="MXN",O11/$N$2,IF(M11="BRL",O11/$N$3,O11))</f>
        <v>1016.2162162162163</v>
      </c>
      <c r="O11" s="603">
        <f t="shared" ref="O11:O21" si="1">SUM(P11:AA11)</f>
        <v>18800</v>
      </c>
      <c r="P11" s="603">
        <v>0</v>
      </c>
      <c r="Q11" s="603">
        <v>0</v>
      </c>
      <c r="R11" s="603">
        <v>0</v>
      </c>
      <c r="S11" s="603">
        <v>0</v>
      </c>
      <c r="T11" s="603">
        <v>0</v>
      </c>
      <c r="U11" s="603">
        <v>0</v>
      </c>
      <c r="V11" s="603">
        <v>0</v>
      </c>
      <c r="W11" s="603">
        <v>0</v>
      </c>
      <c r="X11" s="603">
        <v>0</v>
      </c>
      <c r="Y11" s="603">
        <v>18800</v>
      </c>
      <c r="Z11" s="610">
        <v>0</v>
      </c>
      <c r="AA11" s="614">
        <v>0</v>
      </c>
    </row>
    <row r="12" spans="1:28" ht="17" customHeight="1">
      <c r="A12" s="175" t="s">
        <v>359</v>
      </c>
      <c r="B12" s="175" t="s">
        <v>199</v>
      </c>
      <c r="C12" s="175" t="s">
        <v>200</v>
      </c>
      <c r="D12" s="175" t="s">
        <v>361</v>
      </c>
      <c r="E12" s="601" t="s">
        <v>773</v>
      </c>
      <c r="F12" s="175" t="s">
        <v>774</v>
      </c>
      <c r="G12" s="175" t="s">
        <v>364</v>
      </c>
      <c r="H12" s="175" t="s">
        <v>775</v>
      </c>
      <c r="I12" s="175" t="s">
        <v>772</v>
      </c>
      <c r="J12" s="175" t="s">
        <v>130</v>
      </c>
      <c r="K12" t="str">
        <f>VLOOKUP(J12,Accounts!A:C,2,0)</f>
        <v>Servicios de Informatica</v>
      </c>
      <c r="L12" t="str">
        <f>VLOOKUP(J12,Accounts!A:C,3,0)</f>
        <v>Servicios</v>
      </c>
      <c r="M12" s="602" t="s">
        <v>101</v>
      </c>
      <c r="N12" s="471">
        <f t="shared" si="0"/>
        <v>1044</v>
      </c>
      <c r="O12" s="603">
        <f t="shared" si="1"/>
        <v>1044</v>
      </c>
      <c r="P12" s="603">
        <v>87</v>
      </c>
      <c r="Q12" s="603">
        <v>87</v>
      </c>
      <c r="R12" s="603">
        <v>87</v>
      </c>
      <c r="S12" s="603">
        <v>87</v>
      </c>
      <c r="T12" s="603">
        <v>87</v>
      </c>
      <c r="U12" s="603">
        <v>87</v>
      </c>
      <c r="V12" s="603">
        <v>87</v>
      </c>
      <c r="W12" s="603">
        <v>87</v>
      </c>
      <c r="X12" s="603">
        <v>87</v>
      </c>
      <c r="Y12" s="603">
        <v>87</v>
      </c>
      <c r="Z12" s="610">
        <v>87</v>
      </c>
      <c r="AA12" s="614">
        <v>87</v>
      </c>
    </row>
    <row r="13" spans="1:28" ht="17" customHeight="1">
      <c r="A13" s="175" t="s">
        <v>359</v>
      </c>
      <c r="B13" s="175" t="s">
        <v>199</v>
      </c>
      <c r="C13" s="175" t="s">
        <v>200</v>
      </c>
      <c r="D13" s="175" t="s">
        <v>361</v>
      </c>
      <c r="E13" s="601" t="s">
        <v>776</v>
      </c>
      <c r="F13" s="175" t="s">
        <v>777</v>
      </c>
      <c r="G13" s="175" t="s">
        <v>364</v>
      </c>
      <c r="H13" s="175" t="s">
        <v>772</v>
      </c>
      <c r="I13" s="175" t="s">
        <v>772</v>
      </c>
      <c r="J13" s="175" t="s">
        <v>130</v>
      </c>
      <c r="K13" t="str">
        <f>VLOOKUP(J13,Accounts!A:C,2,0)</f>
        <v>Servicios de Informatica</v>
      </c>
      <c r="L13" t="str">
        <f>VLOOKUP(J13,Accounts!A:C,3,0)</f>
        <v>Servicios</v>
      </c>
      <c r="M13" s="602" t="s">
        <v>101</v>
      </c>
      <c r="N13" s="471">
        <f t="shared" si="0"/>
        <v>12000</v>
      </c>
      <c r="O13" s="603">
        <f t="shared" si="1"/>
        <v>12000</v>
      </c>
      <c r="P13" s="603">
        <v>1000</v>
      </c>
      <c r="Q13" s="603">
        <v>1000</v>
      </c>
      <c r="R13" s="603">
        <v>1000</v>
      </c>
      <c r="S13" s="603">
        <v>1000</v>
      </c>
      <c r="T13" s="603">
        <v>1000</v>
      </c>
      <c r="U13" s="603">
        <v>1000</v>
      </c>
      <c r="V13" s="603">
        <v>1000</v>
      </c>
      <c r="W13" s="603">
        <v>1000</v>
      </c>
      <c r="X13" s="603">
        <v>1000</v>
      </c>
      <c r="Y13" s="603">
        <v>1000</v>
      </c>
      <c r="Z13" s="610">
        <v>1000</v>
      </c>
      <c r="AA13" s="614">
        <v>1000</v>
      </c>
    </row>
    <row r="14" spans="1:28" ht="17" customHeight="1">
      <c r="A14" s="175" t="s">
        <v>359</v>
      </c>
      <c r="B14" s="175" t="s">
        <v>199</v>
      </c>
      <c r="C14" s="175" t="s">
        <v>200</v>
      </c>
      <c r="D14" s="175" t="s">
        <v>361</v>
      </c>
      <c r="E14" s="601" t="s">
        <v>778</v>
      </c>
      <c r="F14" s="601" t="s">
        <v>779</v>
      </c>
      <c r="G14" s="175" t="s">
        <v>364</v>
      </c>
      <c r="H14" s="175" t="s">
        <v>772</v>
      </c>
      <c r="I14" s="175" t="s">
        <v>772</v>
      </c>
      <c r="J14" s="175" t="s">
        <v>130</v>
      </c>
      <c r="K14" t="str">
        <f>VLOOKUP(J14,Accounts!A:C,2,0)</f>
        <v>Servicios de Informatica</v>
      </c>
      <c r="L14" t="str">
        <f>VLOOKUP(J14,Accounts!A:C,3,0)</f>
        <v>Servicios</v>
      </c>
      <c r="M14" s="602" t="s">
        <v>101</v>
      </c>
      <c r="N14" s="471">
        <f t="shared" si="0"/>
        <v>230</v>
      </c>
      <c r="O14" s="603">
        <f t="shared" si="1"/>
        <v>230</v>
      </c>
      <c r="P14" s="603">
        <v>0</v>
      </c>
      <c r="Q14" s="603">
        <v>0</v>
      </c>
      <c r="R14" s="603">
        <v>230</v>
      </c>
      <c r="S14" s="603">
        <v>0</v>
      </c>
      <c r="T14" s="603">
        <v>0</v>
      </c>
      <c r="U14" s="603">
        <v>0</v>
      </c>
      <c r="V14" s="603">
        <v>0</v>
      </c>
      <c r="W14" s="603">
        <v>0</v>
      </c>
      <c r="X14" s="603">
        <v>0</v>
      </c>
      <c r="Y14" s="603">
        <v>0</v>
      </c>
      <c r="Z14" s="610">
        <v>0</v>
      </c>
      <c r="AA14" s="614">
        <v>0</v>
      </c>
    </row>
    <row r="15" spans="1:28" ht="17" customHeight="1">
      <c r="A15" s="175" t="s">
        <v>359</v>
      </c>
      <c r="B15" s="175" t="s">
        <v>199</v>
      </c>
      <c r="C15" s="175" t="s">
        <v>200</v>
      </c>
      <c r="D15" s="175" t="s">
        <v>361</v>
      </c>
      <c r="E15" s="601" t="s">
        <v>780</v>
      </c>
      <c r="F15" s="175" t="s">
        <v>781</v>
      </c>
      <c r="G15" s="175" t="s">
        <v>364</v>
      </c>
      <c r="H15" s="175" t="s">
        <v>775</v>
      </c>
      <c r="I15" s="175" t="s">
        <v>772</v>
      </c>
      <c r="J15" s="175" t="s">
        <v>130</v>
      </c>
      <c r="K15" t="str">
        <f>VLOOKUP(J15,Accounts!A:C,2,0)</f>
        <v>Servicios de Informatica</v>
      </c>
      <c r="L15" t="str">
        <f>VLOOKUP(J15,Accounts!A:C,3,0)</f>
        <v>Servicios</v>
      </c>
      <c r="M15" s="602" t="s">
        <v>101</v>
      </c>
      <c r="N15" s="471">
        <f t="shared" si="0"/>
        <v>0</v>
      </c>
      <c r="O15" s="603">
        <f t="shared" si="1"/>
        <v>0</v>
      </c>
      <c r="P15" s="624">
        <v>0</v>
      </c>
      <c r="Q15" s="624">
        <v>0</v>
      </c>
      <c r="R15" s="624">
        <v>0</v>
      </c>
      <c r="S15" s="624">
        <v>0</v>
      </c>
      <c r="T15" s="624">
        <v>0</v>
      </c>
      <c r="U15" s="624">
        <v>0</v>
      </c>
      <c r="V15" s="624">
        <v>0</v>
      </c>
      <c r="W15" s="624">
        <v>0</v>
      </c>
      <c r="X15" s="624">
        <v>0</v>
      </c>
      <c r="Y15" s="624">
        <v>0</v>
      </c>
      <c r="Z15" s="625">
        <v>0</v>
      </c>
      <c r="AA15" s="626">
        <v>0</v>
      </c>
      <c r="AB15" t="s">
        <v>822</v>
      </c>
    </row>
    <row r="16" spans="1:28" ht="17" customHeight="1">
      <c r="A16" s="175" t="s">
        <v>359</v>
      </c>
      <c r="B16" s="175" t="s">
        <v>199</v>
      </c>
      <c r="C16" s="175" t="s">
        <v>200</v>
      </c>
      <c r="D16" s="175" t="s">
        <v>361</v>
      </c>
      <c r="E16" s="601" t="s">
        <v>782</v>
      </c>
      <c r="F16" s="175" t="s">
        <v>781</v>
      </c>
      <c r="G16" s="175" t="s">
        <v>364</v>
      </c>
      <c r="H16" s="175" t="s">
        <v>772</v>
      </c>
      <c r="I16" s="175" t="s">
        <v>772</v>
      </c>
      <c r="J16" s="175" t="s">
        <v>130</v>
      </c>
      <c r="K16" t="str">
        <f>VLOOKUP(J16,Accounts!A:C,2,0)</f>
        <v>Servicios de Informatica</v>
      </c>
      <c r="L16" t="str">
        <f>VLOOKUP(J16,Accounts!A:C,3,0)</f>
        <v>Servicios</v>
      </c>
      <c r="M16" s="602" t="s">
        <v>101</v>
      </c>
      <c r="N16" s="471">
        <f t="shared" si="0"/>
        <v>7759</v>
      </c>
      <c r="O16" s="603">
        <f t="shared" si="1"/>
        <v>7759</v>
      </c>
      <c r="P16" s="603">
        <v>499</v>
      </c>
      <c r="Q16" s="603">
        <v>660</v>
      </c>
      <c r="R16" s="603">
        <v>660</v>
      </c>
      <c r="S16" s="603">
        <v>660</v>
      </c>
      <c r="T16" s="603">
        <v>660</v>
      </c>
      <c r="U16" s="603">
        <v>660</v>
      </c>
      <c r="V16" s="603">
        <v>660</v>
      </c>
      <c r="W16" s="603">
        <v>660</v>
      </c>
      <c r="X16" s="603">
        <v>660</v>
      </c>
      <c r="Y16" s="603">
        <v>660</v>
      </c>
      <c r="Z16" s="610">
        <v>660</v>
      </c>
      <c r="AA16" s="614">
        <v>660</v>
      </c>
    </row>
    <row r="17" spans="1:28" ht="17" customHeight="1">
      <c r="A17" s="175" t="s">
        <v>359</v>
      </c>
      <c r="B17" s="175" t="s">
        <v>199</v>
      </c>
      <c r="C17" s="175" t="s">
        <v>200</v>
      </c>
      <c r="D17" s="175" t="s">
        <v>361</v>
      </c>
      <c r="E17" s="601" t="s">
        <v>783</v>
      </c>
      <c r="F17" s="175" t="s">
        <v>784</v>
      </c>
      <c r="G17" s="175" t="s">
        <v>364</v>
      </c>
      <c r="H17" s="175" t="s">
        <v>775</v>
      </c>
      <c r="I17" s="175" t="s">
        <v>772</v>
      </c>
      <c r="J17" s="175" t="s">
        <v>130</v>
      </c>
      <c r="K17" t="str">
        <f>VLOOKUP(J17,Accounts!A:C,2,0)</f>
        <v>Servicios de Informatica</v>
      </c>
      <c r="L17" t="str">
        <f>VLOOKUP(J17,Accounts!A:C,3,0)</f>
        <v>Servicios</v>
      </c>
      <c r="M17" s="602" t="s">
        <v>101</v>
      </c>
      <c r="N17" s="471">
        <f t="shared" si="0"/>
        <v>99</v>
      </c>
      <c r="O17" s="603">
        <f t="shared" si="1"/>
        <v>99</v>
      </c>
      <c r="P17" s="603">
        <v>0</v>
      </c>
      <c r="Q17" s="603">
        <v>0</v>
      </c>
      <c r="R17" s="603">
        <v>0</v>
      </c>
      <c r="S17" s="603">
        <v>0</v>
      </c>
      <c r="T17" s="603">
        <v>0</v>
      </c>
      <c r="U17" s="603">
        <v>0</v>
      </c>
      <c r="V17" s="603">
        <v>0</v>
      </c>
      <c r="W17" s="603">
        <v>99</v>
      </c>
      <c r="X17" s="603">
        <v>0</v>
      </c>
      <c r="Y17" s="603">
        <v>0</v>
      </c>
      <c r="Z17" s="610">
        <v>0</v>
      </c>
      <c r="AA17" s="614">
        <v>0</v>
      </c>
    </row>
    <row r="18" spans="1:28" ht="17" customHeight="1">
      <c r="A18" s="175" t="s">
        <v>359</v>
      </c>
      <c r="B18" s="175" t="s">
        <v>199</v>
      </c>
      <c r="C18" s="175" t="s">
        <v>200</v>
      </c>
      <c r="D18" s="175" t="s">
        <v>361</v>
      </c>
      <c r="E18" s="601" t="s">
        <v>785</v>
      </c>
      <c r="F18" s="175" t="s">
        <v>786</v>
      </c>
      <c r="G18" s="175" t="s">
        <v>364</v>
      </c>
      <c r="H18" s="175" t="s">
        <v>772</v>
      </c>
      <c r="I18" s="175" t="s">
        <v>772</v>
      </c>
      <c r="J18" s="175" t="s">
        <v>130</v>
      </c>
      <c r="K18" t="str">
        <f>VLOOKUP(J18,Accounts!A:C,2,0)</f>
        <v>Servicios de Informatica</v>
      </c>
      <c r="L18" t="str">
        <f>VLOOKUP(J18,Accounts!A:C,3,0)</f>
        <v>Servicios</v>
      </c>
      <c r="M18" s="602" t="s">
        <v>101</v>
      </c>
      <c r="N18" s="471">
        <f t="shared" si="0"/>
        <v>1227</v>
      </c>
      <c r="O18" s="603">
        <f t="shared" si="1"/>
        <v>1227</v>
      </c>
      <c r="P18" s="603">
        <v>15</v>
      </c>
      <c r="Q18" s="603">
        <v>15</v>
      </c>
      <c r="R18" s="603">
        <v>15</v>
      </c>
      <c r="S18" s="603">
        <v>15</v>
      </c>
      <c r="T18" s="603">
        <v>15</v>
      </c>
      <c r="U18" s="603">
        <v>15</v>
      </c>
      <c r="V18" s="603">
        <v>15</v>
      </c>
      <c r="W18" s="603">
        <v>15</v>
      </c>
      <c r="X18" s="603">
        <v>15</v>
      </c>
      <c r="Y18" s="603">
        <v>15</v>
      </c>
      <c r="Z18" s="610">
        <v>15</v>
      </c>
      <c r="AA18" s="614">
        <v>1062</v>
      </c>
    </row>
    <row r="19" spans="1:28" ht="17" customHeight="1">
      <c r="A19" s="175" t="s">
        <v>369</v>
      </c>
      <c r="B19" s="175" t="s">
        <v>199</v>
      </c>
      <c r="C19" s="175" t="s">
        <v>200</v>
      </c>
      <c r="D19" s="175" t="s">
        <v>361</v>
      </c>
      <c r="E19" s="601" t="s">
        <v>787</v>
      </c>
      <c r="F19" s="175" t="s">
        <v>788</v>
      </c>
      <c r="G19" s="175" t="s">
        <v>379</v>
      </c>
      <c r="H19" s="175" t="s">
        <v>379</v>
      </c>
      <c r="I19" s="175" t="s">
        <v>379</v>
      </c>
      <c r="J19" s="175" t="s">
        <v>130</v>
      </c>
      <c r="K19" t="str">
        <f>VLOOKUP(J19,Accounts!A:C,2,0)</f>
        <v>Servicios de Informatica</v>
      </c>
      <c r="L19" t="str">
        <f>VLOOKUP(J19,Accounts!A:C,3,0)</f>
        <v>Servicios</v>
      </c>
      <c r="M19" s="602" t="s">
        <v>101</v>
      </c>
      <c r="N19" s="471">
        <f t="shared" si="0"/>
        <v>40000</v>
      </c>
      <c r="O19" s="603">
        <f t="shared" si="1"/>
        <v>40000</v>
      </c>
      <c r="P19" s="603"/>
      <c r="Q19" s="603">
        <v>40000</v>
      </c>
      <c r="R19" s="603"/>
      <c r="S19" s="603"/>
      <c r="T19" s="603"/>
      <c r="U19" s="603"/>
      <c r="V19" s="603"/>
      <c r="W19" s="603"/>
      <c r="X19" s="603"/>
      <c r="Y19" s="603"/>
      <c r="Z19" s="610"/>
      <c r="AA19" s="614"/>
    </row>
    <row r="20" spans="1:28" ht="17" customHeight="1">
      <c r="A20" s="175" t="s">
        <v>359</v>
      </c>
      <c r="B20" s="175" t="s">
        <v>199</v>
      </c>
      <c r="C20" s="175" t="s">
        <v>200</v>
      </c>
      <c r="D20" s="175" t="s">
        <v>361</v>
      </c>
      <c r="E20" s="601" t="s">
        <v>789</v>
      </c>
      <c r="F20" s="601" t="s">
        <v>779</v>
      </c>
      <c r="G20" s="601" t="s">
        <v>364</v>
      </c>
      <c r="H20" s="175" t="s">
        <v>772</v>
      </c>
      <c r="I20" s="175" t="s">
        <v>772</v>
      </c>
      <c r="J20" s="175" t="s">
        <v>130</v>
      </c>
      <c r="K20" t="str">
        <f>VLOOKUP(J20,Accounts!A:C,2,0)</f>
        <v>Servicios de Informatica</v>
      </c>
      <c r="L20" t="str">
        <f>VLOOKUP(J20,Accounts!A:C,3,0)</f>
        <v>Servicios</v>
      </c>
      <c r="M20" s="602" t="s">
        <v>101</v>
      </c>
      <c r="N20" s="471">
        <f t="shared" si="0"/>
        <v>708</v>
      </c>
      <c r="O20" s="603">
        <f t="shared" si="1"/>
        <v>708</v>
      </c>
      <c r="P20" s="603">
        <v>0</v>
      </c>
      <c r="Q20" s="603">
        <v>0</v>
      </c>
      <c r="R20" s="603">
        <v>708</v>
      </c>
      <c r="S20" s="603">
        <v>0</v>
      </c>
      <c r="T20" s="603">
        <v>0</v>
      </c>
      <c r="U20" s="603">
        <v>0</v>
      </c>
      <c r="V20" s="603">
        <v>0</v>
      </c>
      <c r="W20" s="603">
        <v>0</v>
      </c>
      <c r="X20" s="603">
        <v>0</v>
      </c>
      <c r="Y20" s="603">
        <v>0</v>
      </c>
      <c r="Z20" s="610">
        <v>0</v>
      </c>
      <c r="AA20" s="614">
        <v>0</v>
      </c>
    </row>
    <row r="21" spans="1:28" ht="17" customHeight="1">
      <c r="A21" s="175" t="s">
        <v>359</v>
      </c>
      <c r="B21" s="175" t="s">
        <v>199</v>
      </c>
      <c r="C21" s="175" t="s">
        <v>200</v>
      </c>
      <c r="D21" s="175" t="s">
        <v>361</v>
      </c>
      <c r="E21" s="601" t="s">
        <v>790</v>
      </c>
      <c r="F21" s="601" t="s">
        <v>791</v>
      </c>
      <c r="G21" s="601" t="s">
        <v>809</v>
      </c>
      <c r="H21" s="175" t="s">
        <v>792</v>
      </c>
      <c r="I21" s="175" t="s">
        <v>792</v>
      </c>
      <c r="J21" s="175" t="s">
        <v>130</v>
      </c>
      <c r="K21" t="str">
        <f>VLOOKUP(J21,Accounts!A:C,2,0)</f>
        <v>Servicios de Informatica</v>
      </c>
      <c r="L21" t="str">
        <f>VLOOKUP(J21,Accounts!A:C,3,0)</f>
        <v>Servicios</v>
      </c>
      <c r="M21" s="602" t="s">
        <v>101</v>
      </c>
      <c r="N21" s="471">
        <f t="shared" si="0"/>
        <v>204</v>
      </c>
      <c r="O21" s="603">
        <f t="shared" si="1"/>
        <v>204</v>
      </c>
      <c r="P21" s="603">
        <v>17</v>
      </c>
      <c r="Q21" s="603">
        <v>17</v>
      </c>
      <c r="R21" s="603">
        <v>17</v>
      </c>
      <c r="S21" s="603">
        <v>17</v>
      </c>
      <c r="T21" s="603">
        <v>17</v>
      </c>
      <c r="U21" s="603">
        <v>17</v>
      </c>
      <c r="V21" s="603">
        <v>17</v>
      </c>
      <c r="W21" s="603">
        <v>17</v>
      </c>
      <c r="X21" s="603">
        <v>17</v>
      </c>
      <c r="Y21" s="603">
        <v>17</v>
      </c>
      <c r="Z21" s="610">
        <v>17</v>
      </c>
      <c r="AA21" s="614">
        <v>17</v>
      </c>
    </row>
    <row r="22" spans="1:28" ht="17" customHeight="1">
      <c r="A22" s="175" t="s">
        <v>359</v>
      </c>
      <c r="B22" s="175" t="s">
        <v>199</v>
      </c>
      <c r="C22" s="175" t="s">
        <v>200</v>
      </c>
      <c r="D22" s="175" t="s">
        <v>361</v>
      </c>
      <c r="E22" s="601" t="s">
        <v>816</v>
      </c>
      <c r="F22" s="601" t="s">
        <v>817</v>
      </c>
      <c r="G22" s="601" t="s">
        <v>818</v>
      </c>
      <c r="H22" s="175"/>
      <c r="I22" s="175"/>
      <c r="J22" s="175" t="s">
        <v>130</v>
      </c>
      <c r="K22" t="str">
        <f>VLOOKUP(J22,Accounts!A:C,2,0)</f>
        <v>Servicios de Informatica</v>
      </c>
      <c r="L22" t="str">
        <f>VLOOKUP(J22,Accounts!A:C,3,0)</f>
        <v>Servicios</v>
      </c>
      <c r="M22" s="602" t="s">
        <v>101</v>
      </c>
      <c r="N22" s="471">
        <f>IF(M22="MXN",O22/$N$2,IF(M22="BRL",O22/$N$3,O22))</f>
        <v>42000</v>
      </c>
      <c r="O22" s="603">
        <f>SUM(P22:AA22)</f>
        <v>42000</v>
      </c>
      <c r="P22" s="603">
        <v>3500</v>
      </c>
      <c r="Q22" s="603">
        <v>3500</v>
      </c>
      <c r="R22" s="603">
        <v>3500</v>
      </c>
      <c r="S22" s="603">
        <v>3500</v>
      </c>
      <c r="T22" s="603">
        <v>3500</v>
      </c>
      <c r="U22" s="603">
        <v>3500</v>
      </c>
      <c r="V22" s="603">
        <v>3500</v>
      </c>
      <c r="W22" s="603">
        <v>3500</v>
      </c>
      <c r="X22" s="603">
        <v>3500</v>
      </c>
      <c r="Y22" s="603">
        <v>3500</v>
      </c>
      <c r="Z22" s="603">
        <v>3500</v>
      </c>
      <c r="AA22" s="603">
        <v>3500</v>
      </c>
    </row>
    <row r="23" spans="1:28">
      <c r="A23" s="472"/>
      <c r="B23" s="472" t="s">
        <v>686</v>
      </c>
      <c r="C23" s="472"/>
      <c r="D23" s="472"/>
      <c r="E23" s="472"/>
      <c r="F23" s="472"/>
      <c r="G23" s="472"/>
      <c r="H23" s="472"/>
      <c r="I23" s="472"/>
      <c r="J23" s="472"/>
      <c r="K23" s="472"/>
      <c r="L23" s="472"/>
      <c r="M23" s="472"/>
      <c r="N23" s="472"/>
      <c r="O23" s="472"/>
      <c r="P23" s="472"/>
      <c r="Q23" s="472"/>
      <c r="R23" s="472"/>
      <c r="S23" s="472"/>
      <c r="T23" s="472"/>
      <c r="U23" s="472"/>
      <c r="V23" s="472"/>
      <c r="W23" s="472"/>
      <c r="X23" s="472"/>
      <c r="Y23" s="472"/>
      <c r="Z23" s="472"/>
      <c r="AA23" s="612"/>
    </row>
    <row r="24" spans="1:28" ht="18" customHeight="1">
      <c r="A24" s="175" t="s">
        <v>359</v>
      </c>
      <c r="B24" s="175" t="s">
        <v>199</v>
      </c>
      <c r="C24" t="s">
        <v>200</v>
      </c>
      <c r="D24" t="s">
        <v>140</v>
      </c>
      <c r="E24" s="166" t="s">
        <v>793</v>
      </c>
      <c r="F24" t="s">
        <v>794</v>
      </c>
      <c r="J24" t="s">
        <v>135</v>
      </c>
      <c r="K24" t="str">
        <f>VLOOKUP(J24,Accounts!A:C,2,0)</f>
        <v>Honorarios A Personas Morales Nacionales</v>
      </c>
      <c r="L24" t="str">
        <f>VLOOKUP(J24,Accounts!A:C,3,0)</f>
        <v>Servicios Externos</v>
      </c>
      <c r="M24" t="s">
        <v>102</v>
      </c>
      <c r="N24" s="471">
        <f>IF(M24="MXN",O24/$N$2,IF(M24="BRL",O24/$N$3,O24))</f>
        <v>0</v>
      </c>
      <c r="O24" s="481">
        <f>SUM(P24:AA24)</f>
        <v>0</v>
      </c>
      <c r="P24" s="624">
        <v>0</v>
      </c>
      <c r="Q24" s="624">
        <v>0</v>
      </c>
      <c r="R24" s="624">
        <v>0</v>
      </c>
      <c r="S24" s="624">
        <v>0</v>
      </c>
      <c r="T24" s="624">
        <v>0</v>
      </c>
      <c r="U24" s="624">
        <v>0</v>
      </c>
      <c r="V24" s="624">
        <v>0</v>
      </c>
      <c r="W24" s="624">
        <v>0</v>
      </c>
      <c r="X24" s="624">
        <v>0</v>
      </c>
      <c r="Y24" s="624">
        <v>0</v>
      </c>
      <c r="Z24" s="625">
        <v>0</v>
      </c>
      <c r="AA24" s="626">
        <v>0</v>
      </c>
      <c r="AB24" t="s">
        <v>822</v>
      </c>
    </row>
    <row r="25" spans="1:28">
      <c r="A25" s="472"/>
      <c r="B25" s="472" t="s">
        <v>381</v>
      </c>
      <c r="C25" s="472"/>
      <c r="D25" s="472"/>
      <c r="E25" s="472"/>
      <c r="F25" s="472"/>
      <c r="G25" s="472"/>
      <c r="H25" s="472"/>
      <c r="I25" s="472"/>
      <c r="J25" s="472"/>
      <c r="K25" s="472"/>
      <c r="L25" s="472"/>
      <c r="M25" s="472"/>
      <c r="N25" s="472"/>
      <c r="O25" s="472"/>
      <c r="P25" s="472"/>
      <c r="Q25" s="472"/>
      <c r="R25" s="472"/>
      <c r="S25" s="472"/>
      <c r="T25" s="472"/>
      <c r="U25" s="472"/>
      <c r="V25" s="472"/>
      <c r="W25" s="472"/>
      <c r="X25" s="472"/>
      <c r="Y25" s="472"/>
      <c r="Z25" s="472"/>
      <c r="AA25" s="612"/>
    </row>
    <row r="26" spans="1:28">
      <c r="A26" s="475"/>
      <c r="B26" s="475" t="s">
        <v>382</v>
      </c>
      <c r="C26" s="475"/>
      <c r="D26" s="475"/>
      <c r="E26" s="475"/>
      <c r="F26" s="475"/>
      <c r="G26" s="475"/>
      <c r="H26" s="475"/>
      <c r="I26" s="475"/>
      <c r="J26" s="475"/>
      <c r="K26" s="475"/>
      <c r="L26" s="475"/>
      <c r="M26" s="475"/>
      <c r="N26" s="476"/>
      <c r="O26" s="476"/>
      <c r="P26" s="476"/>
      <c r="Q26" s="476"/>
      <c r="R26" s="476"/>
      <c r="S26" s="476"/>
      <c r="T26" s="476"/>
      <c r="U26" s="476"/>
      <c r="V26" s="476"/>
      <c r="W26" s="476"/>
      <c r="X26" s="476"/>
      <c r="Y26" s="476"/>
      <c r="Z26" s="476"/>
      <c r="AA26" s="615"/>
    </row>
    <row r="27" spans="1:28" ht="17" customHeight="1">
      <c r="A27" s="175" t="s">
        <v>369</v>
      </c>
      <c r="B27" s="175" t="s">
        <v>199</v>
      </c>
      <c r="C27" s="175" t="s">
        <v>200</v>
      </c>
      <c r="D27" s="175" t="s">
        <v>140</v>
      </c>
      <c r="E27" s="601" t="s">
        <v>795</v>
      </c>
      <c r="F27" s="175" t="s">
        <v>796</v>
      </c>
      <c r="G27" s="175"/>
      <c r="H27" s="175" t="s">
        <v>912</v>
      </c>
      <c r="I27" s="175"/>
      <c r="J27" s="175" t="s">
        <v>146</v>
      </c>
      <c r="K27" t="str">
        <f>VLOOKUP(J27,Accounts!A:C,2,0)</f>
        <v>Sueldos y salarios</v>
      </c>
      <c r="L27" t="str">
        <f>VLOOKUP(J27,Accounts!A:C,3,0)</f>
        <v>Sueldos y Salarios</v>
      </c>
      <c r="M27" s="602" t="s">
        <v>102</v>
      </c>
      <c r="N27" s="471">
        <f>IF(M27="MXN",O27/$N$2,IF(M27="BRL",O27/$N$3,O27))</f>
        <v>73647.567567567574</v>
      </c>
      <c r="O27" s="603">
        <f>SUM(P27:AA27)</f>
        <v>1362480</v>
      </c>
      <c r="P27" s="622">
        <f>+'Salary Increases'!L34</f>
        <v>113540</v>
      </c>
      <c r="Q27" s="603">
        <f t="shared" ref="Q27:AA27" si="2">P27</f>
        <v>113540</v>
      </c>
      <c r="R27" s="603">
        <f t="shared" si="2"/>
        <v>113540</v>
      </c>
      <c r="S27" s="603">
        <f t="shared" si="2"/>
        <v>113540</v>
      </c>
      <c r="T27" s="603">
        <f t="shared" si="2"/>
        <v>113540</v>
      </c>
      <c r="U27" s="603">
        <f t="shared" si="2"/>
        <v>113540</v>
      </c>
      <c r="V27" s="603">
        <f t="shared" si="2"/>
        <v>113540</v>
      </c>
      <c r="W27" s="603">
        <f t="shared" si="2"/>
        <v>113540</v>
      </c>
      <c r="X27" s="603">
        <f t="shared" si="2"/>
        <v>113540</v>
      </c>
      <c r="Y27" s="603">
        <f t="shared" si="2"/>
        <v>113540</v>
      </c>
      <c r="Z27" s="610">
        <f t="shared" si="2"/>
        <v>113540</v>
      </c>
      <c r="AA27" s="614">
        <f t="shared" si="2"/>
        <v>113540</v>
      </c>
    </row>
    <row r="28" spans="1:28">
      <c r="A28" s="475"/>
      <c r="B28" s="475" t="s">
        <v>694</v>
      </c>
      <c r="C28" s="475"/>
      <c r="D28" s="475"/>
      <c r="E28" s="475"/>
      <c r="F28" s="475"/>
      <c r="G28" s="475"/>
      <c r="H28" s="475"/>
      <c r="I28" s="475"/>
      <c r="J28" s="475"/>
      <c r="K28" s="475"/>
      <c r="L28" s="475"/>
      <c r="M28" s="475"/>
      <c r="N28" s="476"/>
      <c r="O28" s="476"/>
      <c r="P28" s="476"/>
      <c r="Q28" s="476"/>
      <c r="R28" s="476"/>
      <c r="S28" s="476"/>
      <c r="T28" s="476"/>
      <c r="U28" s="476"/>
      <c r="V28" s="476"/>
      <c r="W28" s="476"/>
      <c r="X28" s="476"/>
      <c r="Y28" s="476"/>
      <c r="Z28" s="476"/>
      <c r="AA28" s="615"/>
    </row>
    <row r="29" spans="1:28" ht="17" customHeight="1">
      <c r="A29" s="175" t="s">
        <v>359</v>
      </c>
      <c r="B29" s="175" t="s">
        <v>199</v>
      </c>
      <c r="C29" s="175" t="s">
        <v>200</v>
      </c>
      <c r="D29" s="175" t="s">
        <v>140</v>
      </c>
      <c r="E29" s="601" t="s">
        <v>797</v>
      </c>
      <c r="F29" s="175" t="s">
        <v>798</v>
      </c>
      <c r="G29" s="175"/>
      <c r="H29" s="175" t="s">
        <v>387</v>
      </c>
      <c r="I29" s="175"/>
      <c r="J29" s="175" t="s">
        <v>146</v>
      </c>
      <c r="K29" t="str">
        <f>VLOOKUP(J29,Accounts!A:C,2,0)</f>
        <v>Sueldos y salarios</v>
      </c>
      <c r="L29" t="str">
        <f>VLOOKUP(J29,Accounts!A:C,3,0)</f>
        <v>Sueldos y Salarios</v>
      </c>
      <c r="M29" s="602" t="s">
        <v>19</v>
      </c>
      <c r="N29" s="471">
        <f>IF(M29="MXN",O29/$N$2,IF(M29="BRL",O29/$N$3,O29))</f>
        <v>44474.181818181816</v>
      </c>
      <c r="O29" s="603">
        <f>SUM(P29:AA29)</f>
        <v>244608</v>
      </c>
      <c r="P29" s="622">
        <v>20384</v>
      </c>
      <c r="Q29" s="603">
        <f t="shared" ref="Q29:AA29" si="3">P29</f>
        <v>20384</v>
      </c>
      <c r="R29" s="603">
        <f t="shared" si="3"/>
        <v>20384</v>
      </c>
      <c r="S29" s="603">
        <f t="shared" si="3"/>
        <v>20384</v>
      </c>
      <c r="T29" s="603">
        <f t="shared" si="3"/>
        <v>20384</v>
      </c>
      <c r="U29" s="603">
        <f t="shared" si="3"/>
        <v>20384</v>
      </c>
      <c r="V29" s="603">
        <f t="shared" si="3"/>
        <v>20384</v>
      </c>
      <c r="W29" s="603">
        <f t="shared" si="3"/>
        <v>20384</v>
      </c>
      <c r="X29" s="603">
        <f t="shared" si="3"/>
        <v>20384</v>
      </c>
      <c r="Y29" s="603">
        <f t="shared" si="3"/>
        <v>20384</v>
      </c>
      <c r="Z29" s="610">
        <f t="shared" si="3"/>
        <v>20384</v>
      </c>
      <c r="AA29" s="614">
        <f t="shared" si="3"/>
        <v>20384</v>
      </c>
    </row>
    <row r="30" spans="1:28">
      <c r="A30" s="475"/>
      <c r="B30" s="475" t="s">
        <v>390</v>
      </c>
      <c r="C30" s="475"/>
      <c r="D30" s="475"/>
      <c r="E30" s="475"/>
      <c r="F30" s="475"/>
      <c r="G30" s="475"/>
      <c r="H30" s="475"/>
      <c r="I30" s="475"/>
      <c r="J30" s="475"/>
      <c r="K30" s="475"/>
      <c r="L30" s="475"/>
      <c r="M30" s="475"/>
      <c r="N30" s="476"/>
      <c r="O30" s="476"/>
      <c r="P30" s="476"/>
      <c r="Q30" s="476"/>
      <c r="R30" s="476"/>
      <c r="S30" s="476"/>
      <c r="T30" s="476"/>
      <c r="U30" s="476"/>
      <c r="V30" s="476"/>
      <c r="W30" s="476"/>
      <c r="X30" s="476"/>
      <c r="Y30" s="476"/>
      <c r="Z30" s="476"/>
      <c r="AA30" s="615"/>
    </row>
    <row r="31" spans="1:28" ht="17" customHeight="1">
      <c r="A31" s="175" t="s">
        <v>359</v>
      </c>
      <c r="B31" s="175" t="s">
        <v>199</v>
      </c>
      <c r="C31" s="175" t="s">
        <v>200</v>
      </c>
      <c r="D31" s="175" t="s">
        <v>140</v>
      </c>
      <c r="E31" s="601" t="s">
        <v>799</v>
      </c>
      <c r="F31" s="175" t="s">
        <v>800</v>
      </c>
      <c r="G31" s="175"/>
      <c r="H31" s="175"/>
      <c r="I31" s="175"/>
      <c r="J31" s="175" t="s">
        <v>146</v>
      </c>
      <c r="K31" t="str">
        <f>VLOOKUP(J31,Accounts!A:C,2,0)</f>
        <v>Sueldos y salarios</v>
      </c>
      <c r="L31" t="str">
        <f>VLOOKUP(J31,Accounts!A:C,3,0)</f>
        <v>Sueldos y Salarios</v>
      </c>
      <c r="M31" s="602" t="s">
        <v>102</v>
      </c>
      <c r="N31" s="471">
        <f>IF(M31="MXN",O31/$N$2,IF(M31="BRL",O31/$N$3,O31))</f>
        <v>12940.54054054054</v>
      </c>
      <c r="O31" s="603">
        <f>SUM(P31:AA31)</f>
        <v>239400</v>
      </c>
      <c r="P31" s="622">
        <f>'Salary Increases'!L35</f>
        <v>19950</v>
      </c>
      <c r="Q31" s="603">
        <f>+P31</f>
        <v>19950</v>
      </c>
      <c r="R31" s="603">
        <f t="shared" ref="R31:AA31" si="4">+Q31</f>
        <v>19950</v>
      </c>
      <c r="S31" s="603">
        <f t="shared" si="4"/>
        <v>19950</v>
      </c>
      <c r="T31" s="603">
        <f t="shared" si="4"/>
        <v>19950</v>
      </c>
      <c r="U31" s="603">
        <f t="shared" si="4"/>
        <v>19950</v>
      </c>
      <c r="V31" s="603">
        <f t="shared" si="4"/>
        <v>19950</v>
      </c>
      <c r="W31" s="603">
        <f t="shared" si="4"/>
        <v>19950</v>
      </c>
      <c r="X31" s="603">
        <f t="shared" si="4"/>
        <v>19950</v>
      </c>
      <c r="Y31" s="603">
        <f t="shared" si="4"/>
        <v>19950</v>
      </c>
      <c r="Z31" s="603">
        <f t="shared" si="4"/>
        <v>19950</v>
      </c>
      <c r="AA31" s="603">
        <f t="shared" si="4"/>
        <v>19950</v>
      </c>
    </row>
    <row r="32" spans="1:28" ht="17" customHeight="1">
      <c r="A32" s="175" t="s">
        <v>359</v>
      </c>
      <c r="B32" s="175" t="s">
        <v>199</v>
      </c>
      <c r="C32" s="175" t="s">
        <v>200</v>
      </c>
      <c r="D32" s="175" t="s">
        <v>140</v>
      </c>
      <c r="E32" s="601" t="s">
        <v>801</v>
      </c>
      <c r="F32" s="175" t="s">
        <v>802</v>
      </c>
      <c r="G32" s="175"/>
      <c r="H32" s="175"/>
      <c r="I32" s="175"/>
      <c r="J32" s="175" t="s">
        <v>146</v>
      </c>
      <c r="K32" t="str">
        <f>VLOOKUP(J32,Accounts!A:C,2,0)</f>
        <v>Sueldos y salarios</v>
      </c>
      <c r="L32" t="str">
        <f>VLOOKUP(J32,Accounts!A:C,3,0)</f>
        <v>Sueldos y Salarios</v>
      </c>
      <c r="M32" s="602" t="s">
        <v>102</v>
      </c>
      <c r="N32" s="471">
        <f>IF(M32="MXN",O32/$N$2,IF(M32="BRL",O32/$N$3,O32))</f>
        <v>17027.027027027027</v>
      </c>
      <c r="O32" s="603">
        <f>SUM(P32:AA32)</f>
        <v>315000</v>
      </c>
      <c r="P32" s="622">
        <f>'Salary Increases'!L36</f>
        <v>26250</v>
      </c>
      <c r="Q32" s="603">
        <f>+P32</f>
        <v>26250</v>
      </c>
      <c r="R32" s="603">
        <f t="shared" ref="R32:AA32" si="5">+Q32</f>
        <v>26250</v>
      </c>
      <c r="S32" s="603">
        <f t="shared" si="5"/>
        <v>26250</v>
      </c>
      <c r="T32" s="603">
        <f t="shared" si="5"/>
        <v>26250</v>
      </c>
      <c r="U32" s="603">
        <f t="shared" si="5"/>
        <v>26250</v>
      </c>
      <c r="V32" s="603">
        <f t="shared" si="5"/>
        <v>26250</v>
      </c>
      <c r="W32" s="603">
        <f t="shared" si="5"/>
        <v>26250</v>
      </c>
      <c r="X32" s="603">
        <f t="shared" si="5"/>
        <v>26250</v>
      </c>
      <c r="Y32" s="603">
        <f t="shared" si="5"/>
        <v>26250</v>
      </c>
      <c r="Z32" s="603">
        <f t="shared" si="5"/>
        <v>26250</v>
      </c>
      <c r="AA32" s="603">
        <f t="shared" si="5"/>
        <v>26250</v>
      </c>
    </row>
    <row r="33" spans="1:27" ht="17" customHeight="1">
      <c r="A33" s="175" t="s">
        <v>359</v>
      </c>
      <c r="B33" s="175" t="s">
        <v>199</v>
      </c>
      <c r="C33" s="175" t="s">
        <v>200</v>
      </c>
      <c r="D33" s="175" t="s">
        <v>140</v>
      </c>
      <c r="E33" s="601" t="s">
        <v>803</v>
      </c>
      <c r="F33" s="175" t="s">
        <v>804</v>
      </c>
      <c r="G33" s="175"/>
      <c r="H33" s="175"/>
      <c r="I33" s="175"/>
      <c r="J33" s="175" t="s">
        <v>146</v>
      </c>
      <c r="K33" t="str">
        <f>VLOOKUP(J33,Accounts!A:C,2,0)</f>
        <v>Sueldos y salarios</v>
      </c>
      <c r="L33" t="str">
        <f>VLOOKUP(J33,Accounts!A:C,3,0)</f>
        <v>Sueldos y Salarios</v>
      </c>
      <c r="M33" s="602" t="s">
        <v>102</v>
      </c>
      <c r="N33" s="471">
        <f>IF(M33="MXN",O33/$N$2,IF(M33="BRL",O33/$N$3,O33))</f>
        <v>30376.216216216217</v>
      </c>
      <c r="O33" s="603">
        <f>SUM(P33:AA33)</f>
        <v>561960</v>
      </c>
      <c r="P33" s="622">
        <f>'Salary Increases'!L37</f>
        <v>46830</v>
      </c>
      <c r="Q33" s="603">
        <f>+P33</f>
        <v>46830</v>
      </c>
      <c r="R33" s="603">
        <f t="shared" ref="R33:AA33" si="6">+Q33</f>
        <v>46830</v>
      </c>
      <c r="S33" s="603">
        <f t="shared" si="6"/>
        <v>46830</v>
      </c>
      <c r="T33" s="603">
        <f t="shared" si="6"/>
        <v>46830</v>
      </c>
      <c r="U33" s="603">
        <f t="shared" si="6"/>
        <v>46830</v>
      </c>
      <c r="V33" s="603">
        <f t="shared" si="6"/>
        <v>46830</v>
      </c>
      <c r="W33" s="603">
        <f t="shared" si="6"/>
        <v>46830</v>
      </c>
      <c r="X33" s="603">
        <f t="shared" si="6"/>
        <v>46830</v>
      </c>
      <c r="Y33" s="603">
        <f t="shared" si="6"/>
        <v>46830</v>
      </c>
      <c r="Z33" s="603">
        <f t="shared" si="6"/>
        <v>46830</v>
      </c>
      <c r="AA33" s="603">
        <f t="shared" si="6"/>
        <v>46830</v>
      </c>
    </row>
    <row r="34" spans="1:27" ht="17" customHeight="1">
      <c r="A34" s="175" t="s">
        <v>359</v>
      </c>
      <c r="B34" s="175" t="s">
        <v>199</v>
      </c>
      <c r="C34" s="175" t="s">
        <v>200</v>
      </c>
      <c r="D34" s="175" t="s">
        <v>140</v>
      </c>
      <c r="E34" s="601" t="s">
        <v>805</v>
      </c>
      <c r="F34" s="175" t="s">
        <v>207</v>
      </c>
      <c r="G34" s="175" t="s">
        <v>911</v>
      </c>
      <c r="H34" s="175"/>
      <c r="I34" s="175"/>
      <c r="J34" s="175" t="s">
        <v>146</v>
      </c>
      <c r="K34" t="str">
        <f>VLOOKUP(J34,Accounts!A:C,2,0)</f>
        <v>Sueldos y salarios</v>
      </c>
      <c r="L34" t="str">
        <f>VLOOKUP(J34,Accounts!A:C,3,0)</f>
        <v>Sueldos y Salarios</v>
      </c>
      <c r="M34" s="602" t="s">
        <v>102</v>
      </c>
      <c r="N34" s="471">
        <f>IF(M34="MXN",O34/$N$2,IF(M34="BRL",O34/$N$3,O34))</f>
        <v>2594.5945945945946</v>
      </c>
      <c r="O34" s="603">
        <f>SUM(P34:AA34)</f>
        <v>48000</v>
      </c>
      <c r="P34" s="603">
        <v>4000</v>
      </c>
      <c r="Q34" s="603">
        <f t="shared" ref="Q34:AA34" si="7">P34</f>
        <v>4000</v>
      </c>
      <c r="R34" s="603">
        <f t="shared" si="7"/>
        <v>4000</v>
      </c>
      <c r="S34" s="603">
        <f t="shared" si="7"/>
        <v>4000</v>
      </c>
      <c r="T34" s="603">
        <f t="shared" si="7"/>
        <v>4000</v>
      </c>
      <c r="U34" s="603">
        <f t="shared" si="7"/>
        <v>4000</v>
      </c>
      <c r="V34" s="603">
        <f t="shared" si="7"/>
        <v>4000</v>
      </c>
      <c r="W34" s="603">
        <f t="shared" si="7"/>
        <v>4000</v>
      </c>
      <c r="X34" s="603">
        <f t="shared" si="7"/>
        <v>4000</v>
      </c>
      <c r="Y34" s="603">
        <f t="shared" si="7"/>
        <v>4000</v>
      </c>
      <c r="Z34" s="610">
        <f t="shared" si="7"/>
        <v>4000</v>
      </c>
      <c r="AA34" s="614">
        <f t="shared" si="7"/>
        <v>4000</v>
      </c>
    </row>
    <row r="35" spans="1:27" ht="17" customHeight="1">
      <c r="A35" s="605"/>
      <c r="B35" s="604" t="s">
        <v>394</v>
      </c>
      <c r="C35" s="605"/>
      <c r="D35" s="605"/>
      <c r="E35" s="605"/>
      <c r="F35" s="605"/>
      <c r="G35" s="605"/>
      <c r="H35" s="605"/>
      <c r="I35" s="605"/>
      <c r="J35" s="605"/>
      <c r="K35" s="605"/>
      <c r="L35" s="605"/>
      <c r="M35" s="605"/>
      <c r="N35" s="606"/>
      <c r="O35" s="606"/>
      <c r="P35" s="606"/>
      <c r="Q35" s="606"/>
      <c r="R35" s="606"/>
      <c r="S35" s="606"/>
      <c r="T35" s="606"/>
      <c r="U35" s="606"/>
      <c r="V35" s="606"/>
      <c r="W35" s="606"/>
      <c r="X35" s="606"/>
      <c r="Y35" s="606"/>
      <c r="Z35" s="606"/>
      <c r="AA35" s="616"/>
    </row>
    <row r="36" spans="1:27" ht="17" customHeight="1">
      <c r="A36" s="175" t="s">
        <v>359</v>
      </c>
      <c r="B36" s="175" t="s">
        <v>199</v>
      </c>
      <c r="C36" s="175" t="s">
        <v>200</v>
      </c>
      <c r="D36" s="175" t="s">
        <v>149</v>
      </c>
      <c r="E36" s="601" t="s">
        <v>395</v>
      </c>
      <c r="F36" s="175" t="s">
        <v>806</v>
      </c>
      <c r="G36" s="175"/>
      <c r="H36" s="175"/>
      <c r="I36" s="175"/>
      <c r="J36" s="175" t="s">
        <v>397</v>
      </c>
      <c r="K36" t="str">
        <f>VLOOKUP(J36,Accounts!A:C,2,0)</f>
        <v>Despensa</v>
      </c>
      <c r="L36" t="str">
        <f>VLOOKUP(J36,Accounts!A:C,3,0)</f>
        <v>Sueldos y Salarios</v>
      </c>
      <c r="M36" s="602" t="s">
        <v>102</v>
      </c>
      <c r="N36" s="471">
        <f t="shared" ref="N36:N41" si="8">IF(M36="MXN",O36/$N$2,IF(M36="BRL",O36/$N$3,O36))</f>
        <v>1556.7567567567567</v>
      </c>
      <c r="O36" s="603">
        <f t="shared" ref="O36:O41" si="9">SUM(P36:AA36)</f>
        <v>28800</v>
      </c>
      <c r="P36" s="603">
        <f t="shared" ref="P36:AA36" si="10">3*800</f>
        <v>2400</v>
      </c>
      <c r="Q36" s="603">
        <f t="shared" si="10"/>
        <v>2400</v>
      </c>
      <c r="R36" s="603">
        <f t="shared" si="10"/>
        <v>2400</v>
      </c>
      <c r="S36" s="603">
        <f t="shared" si="10"/>
        <v>2400</v>
      </c>
      <c r="T36" s="603">
        <f t="shared" si="10"/>
        <v>2400</v>
      </c>
      <c r="U36" s="603">
        <f t="shared" si="10"/>
        <v>2400</v>
      </c>
      <c r="V36" s="603">
        <f t="shared" si="10"/>
        <v>2400</v>
      </c>
      <c r="W36" s="603">
        <f t="shared" si="10"/>
        <v>2400</v>
      </c>
      <c r="X36" s="603">
        <f t="shared" si="10"/>
        <v>2400</v>
      </c>
      <c r="Y36" s="603">
        <f t="shared" si="10"/>
        <v>2400</v>
      </c>
      <c r="Z36" s="610">
        <f t="shared" si="10"/>
        <v>2400</v>
      </c>
      <c r="AA36" s="614">
        <f t="shared" si="10"/>
        <v>2400</v>
      </c>
    </row>
    <row r="37" spans="1:27" ht="17" customHeight="1">
      <c r="A37" s="175" t="s">
        <v>359</v>
      </c>
      <c r="B37" s="175" t="s">
        <v>199</v>
      </c>
      <c r="C37" s="175" t="s">
        <v>200</v>
      </c>
      <c r="D37" s="175" t="s">
        <v>149</v>
      </c>
      <c r="E37" s="601" t="s">
        <v>399</v>
      </c>
      <c r="F37" s="175" t="s">
        <v>807</v>
      </c>
      <c r="G37" s="175"/>
      <c r="H37" s="175"/>
      <c r="I37" s="175"/>
      <c r="J37" s="175" t="s">
        <v>400</v>
      </c>
      <c r="K37" t="str">
        <f>VLOOKUP(J37,Accounts!A:C,2,0)</f>
        <v>Aguinaldo</v>
      </c>
      <c r="L37" t="str">
        <f>VLOOKUP(J37,Accounts!A:C,3,0)</f>
        <v>Sueldos y Salarios</v>
      </c>
      <c r="M37" s="602" t="s">
        <v>102</v>
      </c>
      <c r="N37" s="471">
        <f t="shared" si="8"/>
        <v>2622.4324324324325</v>
      </c>
      <c r="O37" s="603">
        <f t="shared" si="9"/>
        <v>48515</v>
      </c>
      <c r="P37" s="603">
        <v>0</v>
      </c>
      <c r="Q37" s="603">
        <v>0</v>
      </c>
      <c r="R37" s="603">
        <v>0</v>
      </c>
      <c r="S37" s="603">
        <v>0</v>
      </c>
      <c r="T37" s="603">
        <v>0</v>
      </c>
      <c r="U37" s="603">
        <v>0</v>
      </c>
      <c r="V37" s="603">
        <v>0</v>
      </c>
      <c r="W37" s="603">
        <v>0</v>
      </c>
      <c r="X37" s="603">
        <v>0</v>
      </c>
      <c r="Y37" s="603">
        <v>0</v>
      </c>
      <c r="Z37" s="610">
        <v>0</v>
      </c>
      <c r="AA37" s="614">
        <f>SUM(AA31:AA34)/2</f>
        <v>48515</v>
      </c>
    </row>
    <row r="38" spans="1:27" ht="17" customHeight="1">
      <c r="A38" s="175" t="s">
        <v>369</v>
      </c>
      <c r="B38" s="175" t="s">
        <v>199</v>
      </c>
      <c r="C38" s="175" t="s">
        <v>200</v>
      </c>
      <c r="D38" s="175" t="s">
        <v>149</v>
      </c>
      <c r="E38" s="601" t="s">
        <v>399</v>
      </c>
      <c r="F38" s="175" t="s">
        <v>401</v>
      </c>
      <c r="G38" s="175"/>
      <c r="H38" s="175"/>
      <c r="I38" s="175"/>
      <c r="J38" s="175" t="s">
        <v>400</v>
      </c>
      <c r="K38" t="str">
        <f>VLOOKUP(J38,Accounts!A:C,2,0)</f>
        <v>Aguinaldo</v>
      </c>
      <c r="L38" t="str">
        <f>VLOOKUP(J38,Accounts!A:C,3,0)</f>
        <v>Sueldos y Salarios</v>
      </c>
      <c r="M38" s="602" t="s">
        <v>102</v>
      </c>
      <c r="N38" s="471">
        <f t="shared" si="8"/>
        <v>4296.1081081081084</v>
      </c>
      <c r="O38" s="603">
        <f t="shared" si="9"/>
        <v>79478</v>
      </c>
      <c r="P38" s="603">
        <v>0</v>
      </c>
      <c r="Q38" s="603">
        <v>0</v>
      </c>
      <c r="R38" s="603">
        <v>0</v>
      </c>
      <c r="S38" s="603">
        <v>0</v>
      </c>
      <c r="T38" s="603">
        <v>0</v>
      </c>
      <c r="U38" s="603">
        <v>0</v>
      </c>
      <c r="V38" s="603">
        <v>0</v>
      </c>
      <c r="W38" s="603">
        <v>0</v>
      </c>
      <c r="X38" s="603">
        <v>0</v>
      </c>
      <c r="Y38" s="603">
        <v>0</v>
      </c>
      <c r="Z38" s="610">
        <v>0</v>
      </c>
      <c r="AA38" s="614">
        <f>AA27*0.7</f>
        <v>79478</v>
      </c>
    </row>
    <row r="39" spans="1:27" ht="17" customHeight="1">
      <c r="A39" s="175" t="s">
        <v>359</v>
      </c>
      <c r="B39" s="175" t="s">
        <v>199</v>
      </c>
      <c r="C39" s="175" t="s">
        <v>200</v>
      </c>
      <c r="D39" s="175" t="s">
        <v>149</v>
      </c>
      <c r="E39" s="601" t="s">
        <v>402</v>
      </c>
      <c r="F39" s="175" t="s">
        <v>402</v>
      </c>
      <c r="G39" s="175"/>
      <c r="H39" s="175"/>
      <c r="I39" s="175"/>
      <c r="J39" s="175" t="s">
        <v>403</v>
      </c>
      <c r="K39" t="str">
        <f>VLOOKUP(J39,Accounts!A:C,2,0)</f>
        <v>Prima vacacional</v>
      </c>
      <c r="L39" t="str">
        <f>VLOOKUP(J39,Accounts!A:C,3,0)</f>
        <v>Sueldos y Salarios</v>
      </c>
      <c r="M39" s="602" t="s">
        <v>102</v>
      </c>
      <c r="N39" s="471">
        <f t="shared" si="8"/>
        <v>109.26801801801801</v>
      </c>
      <c r="O39" s="603">
        <f t="shared" si="9"/>
        <v>2021.4583333333333</v>
      </c>
      <c r="P39" s="603">
        <v>0</v>
      </c>
      <c r="Q39" s="603">
        <v>0</v>
      </c>
      <c r="R39" s="603">
        <v>0</v>
      </c>
      <c r="S39" s="603">
        <v>0</v>
      </c>
      <c r="T39" s="603">
        <v>0</v>
      </c>
      <c r="U39" s="603">
        <f>SUM(U31:U34)*0.25/12</f>
        <v>2021.4583333333333</v>
      </c>
      <c r="V39" s="603">
        <v>0</v>
      </c>
      <c r="W39" s="603">
        <v>0</v>
      </c>
      <c r="X39" s="603">
        <v>0</v>
      </c>
      <c r="Y39" s="603">
        <v>0</v>
      </c>
      <c r="Z39" s="610">
        <v>0</v>
      </c>
      <c r="AA39" s="614">
        <v>0</v>
      </c>
    </row>
    <row r="40" spans="1:27" ht="17" customHeight="1">
      <c r="A40" s="175" t="s">
        <v>359</v>
      </c>
      <c r="B40" s="175" t="s">
        <v>199</v>
      </c>
      <c r="C40" s="175" t="s">
        <v>200</v>
      </c>
      <c r="D40" s="175" t="s">
        <v>140</v>
      </c>
      <c r="E40" t="s">
        <v>404</v>
      </c>
      <c r="F40" s="50" t="s">
        <v>909</v>
      </c>
      <c r="G40" s="175"/>
      <c r="H40" s="175"/>
      <c r="I40" s="175"/>
      <c r="J40" s="175" t="s">
        <v>146</v>
      </c>
      <c r="K40" t="str">
        <f>VLOOKUP(J40,Accounts!A:C,2,0)</f>
        <v>Sueldos y salarios</v>
      </c>
      <c r="L40" t="str">
        <f>VLOOKUP(J40,Accounts!A:C,3,0)</f>
        <v>Sueldos y Salarios</v>
      </c>
      <c r="M40" s="602" t="s">
        <v>102</v>
      </c>
      <c r="N40" s="471">
        <f t="shared" si="8"/>
        <v>1810.313513513514</v>
      </c>
      <c r="O40" s="603">
        <f t="shared" si="9"/>
        <v>33490.80000000001</v>
      </c>
      <c r="P40" s="603">
        <f>SUM(P31:P33)*0.03</f>
        <v>2790.9</v>
      </c>
      <c r="Q40" s="603">
        <f t="shared" ref="Q40:AA40" si="11">SUM(Q31:Q33)*0.03</f>
        <v>2790.9</v>
      </c>
      <c r="R40" s="603">
        <f t="shared" si="11"/>
        <v>2790.9</v>
      </c>
      <c r="S40" s="603">
        <f t="shared" si="11"/>
        <v>2790.9</v>
      </c>
      <c r="T40" s="603">
        <f t="shared" si="11"/>
        <v>2790.9</v>
      </c>
      <c r="U40" s="603">
        <f t="shared" si="11"/>
        <v>2790.9</v>
      </c>
      <c r="V40" s="603">
        <f t="shared" si="11"/>
        <v>2790.9</v>
      </c>
      <c r="W40" s="603">
        <f t="shared" si="11"/>
        <v>2790.9</v>
      </c>
      <c r="X40" s="603">
        <f t="shared" si="11"/>
        <v>2790.9</v>
      </c>
      <c r="Y40" s="603">
        <f t="shared" si="11"/>
        <v>2790.9</v>
      </c>
      <c r="Z40" s="603">
        <f t="shared" si="11"/>
        <v>2790.9</v>
      </c>
      <c r="AA40" s="603">
        <f t="shared" si="11"/>
        <v>2790.9</v>
      </c>
    </row>
    <row r="41" spans="1:27" ht="17" customHeight="1">
      <c r="A41" s="175" t="s">
        <v>359</v>
      </c>
      <c r="B41" s="175" t="s">
        <v>199</v>
      </c>
      <c r="C41" s="175" t="s">
        <v>200</v>
      </c>
      <c r="D41" s="175" t="s">
        <v>140</v>
      </c>
      <c r="E41" t="s">
        <v>404</v>
      </c>
      <c r="F41" s="50" t="s">
        <v>910</v>
      </c>
      <c r="G41" s="175"/>
      <c r="H41" s="175"/>
      <c r="I41" s="175"/>
      <c r="J41" s="175" t="s">
        <v>146</v>
      </c>
      <c r="K41" t="str">
        <f>VLOOKUP(J41,Accounts!A:C,2,0)</f>
        <v>Sueldos y salarios</v>
      </c>
      <c r="L41" t="str">
        <f>VLOOKUP(J41,Accounts!A:C,3,0)</f>
        <v>Sueldos y Salarios</v>
      </c>
      <c r="M41" s="602" t="s">
        <v>102</v>
      </c>
      <c r="N41" s="471">
        <f t="shared" si="8"/>
        <v>13275.632432432432</v>
      </c>
      <c r="O41" s="603">
        <f t="shared" si="9"/>
        <v>245599.2</v>
      </c>
      <c r="P41" s="603">
        <f>SUM(P31:P33)*0.22*2</f>
        <v>40933.199999999997</v>
      </c>
      <c r="Q41" s="603">
        <v>0</v>
      </c>
      <c r="R41" s="603">
        <f>SUM(R31:R33)*0.22*2</f>
        <v>40933.199999999997</v>
      </c>
      <c r="S41" s="603">
        <v>0</v>
      </c>
      <c r="T41" s="603">
        <f>SUM(T31:T33)*0.22*2</f>
        <v>40933.199999999997</v>
      </c>
      <c r="U41" s="603">
        <v>0</v>
      </c>
      <c r="V41" s="603">
        <f>SUM(V31:V33)*0.22*2</f>
        <v>40933.199999999997</v>
      </c>
      <c r="W41" s="603">
        <v>0</v>
      </c>
      <c r="X41" s="603">
        <f>SUM(X31:X33)*0.22*2</f>
        <v>40933.199999999997</v>
      </c>
      <c r="Y41" s="603">
        <v>0</v>
      </c>
      <c r="Z41" s="603">
        <f>SUM(Z31:Z33)*0.22*2</f>
        <v>40933.199999999997</v>
      </c>
      <c r="AA41" s="614">
        <v>0</v>
      </c>
    </row>
    <row r="42" spans="1:27" ht="17" customHeight="1">
      <c r="E42" s="166"/>
      <c r="I42" t="s">
        <v>819</v>
      </c>
      <c r="N42" s="607"/>
      <c r="O42" s="607"/>
      <c r="P42" s="607"/>
      <c r="Q42" s="607"/>
      <c r="R42" s="607"/>
      <c r="S42" s="607"/>
      <c r="T42" s="607"/>
      <c r="U42" s="607"/>
      <c r="V42" s="607"/>
      <c r="W42" s="607"/>
      <c r="X42" s="607"/>
      <c r="Y42" s="607"/>
      <c r="Z42" s="607"/>
      <c r="AA42" s="607"/>
    </row>
    <row r="43" spans="1:27" ht="17" customHeight="1">
      <c r="E43" s="166"/>
    </row>
    <row r="44" spans="1:27" ht="17" customHeight="1">
      <c r="E44" s="166"/>
    </row>
    <row r="45" spans="1:27" ht="17" customHeight="1">
      <c r="E45" s="608"/>
    </row>
    <row r="46" spans="1:27" ht="17" customHeight="1">
      <c r="E46" s="166"/>
    </row>
    <row r="47" spans="1:27" ht="17" customHeight="1">
      <c r="E47" s="166"/>
    </row>
    <row r="48" spans="1:27" ht="17" customHeight="1">
      <c r="E48" s="608"/>
    </row>
    <row r="49" spans="5:5" ht="17" customHeight="1">
      <c r="E49" s="166"/>
    </row>
    <row r="50" spans="5:5" ht="17" customHeight="1">
      <c r="E50" s="608"/>
    </row>
    <row r="51" spans="5:5" ht="17" customHeight="1"/>
    <row r="52" spans="5:5" ht="17" customHeight="1"/>
    <row r="53" spans="5:5" ht="17" customHeight="1"/>
    <row r="54" spans="5:5" ht="17" customHeight="1"/>
    <row r="55" spans="5:5" ht="17" customHeight="1"/>
    <row r="56" spans="5:5" ht="17" customHeight="1"/>
    <row r="57" spans="5:5" ht="17" customHeight="1"/>
    <row r="58" spans="5:5" ht="17" customHeight="1">
      <c r="E58" s="608"/>
    </row>
    <row r="59" spans="5:5" ht="17" customHeight="1">
      <c r="E59" s="166"/>
    </row>
    <row r="60" spans="5:5" ht="17" customHeight="1">
      <c r="E60" s="166"/>
    </row>
    <row r="61" spans="5:5" ht="17" customHeight="1">
      <c r="E61" s="166"/>
    </row>
  </sheetData>
  <pageMargins left="0.7" right="0.7" top="0.75" bottom="0.75" header="0.3" footer="0.3"/>
  <pageSetup orientation="portrait"/>
  <headerFooter>
    <oddFooter>&amp;C&amp;"Helvetica Neue,Regular"&amp;12&amp;K000000&amp;P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B285-83AD-8A49-AB0F-9986AB9C7102}">
  <sheetPr codeName="Sheet12"/>
  <dimension ref="A1:AA999"/>
  <sheetViews>
    <sheetView showGridLines="0" topLeftCell="C8" zoomScale="125" workbookViewId="0">
      <selection activeCell="P33" sqref="P33"/>
    </sheetView>
  </sheetViews>
  <sheetFormatPr baseColWidth="10" defaultColWidth="11.1640625" defaultRowHeight="15" customHeight="1"/>
  <cols>
    <col min="1" max="1" width="5.83203125" style="494" bestFit="1" customWidth="1"/>
    <col min="2" max="2" width="19.33203125" style="494" bestFit="1" customWidth="1"/>
    <col min="3" max="3" width="14" style="494" bestFit="1" customWidth="1"/>
    <col min="4" max="4" width="10.5" style="494" bestFit="1" customWidth="1"/>
    <col min="5" max="6" width="39.1640625" style="494" bestFit="1" customWidth="1"/>
    <col min="7" max="7" width="39.1640625" style="494" customWidth="1"/>
    <col min="8" max="8" width="44" style="494" bestFit="1" customWidth="1"/>
    <col min="9" max="9" width="25.83203125" style="494" bestFit="1" customWidth="1"/>
    <col min="10" max="10" width="10.1640625" style="494" bestFit="1" customWidth="1"/>
    <col min="11" max="11" width="36.1640625" style="494" bestFit="1" customWidth="1"/>
    <col min="12" max="12" width="15.83203125" style="494" customWidth="1"/>
    <col min="13" max="13" width="8.6640625" style="494" customWidth="1"/>
    <col min="14" max="14" width="14" style="494" bestFit="1" customWidth="1"/>
    <col min="15" max="27" width="13.83203125" style="494" customWidth="1"/>
    <col min="28" max="16384" width="11.1640625" style="494"/>
  </cols>
  <sheetData>
    <row r="1" spans="1:27" ht="15.75" customHeight="1">
      <c r="E1" s="495"/>
      <c r="F1" s="495"/>
      <c r="G1" s="495"/>
      <c r="H1" s="495"/>
      <c r="I1" s="495"/>
      <c r="J1" s="495"/>
      <c r="K1" s="495"/>
      <c r="L1" s="495"/>
      <c r="M1" s="494" t="s">
        <v>190</v>
      </c>
      <c r="N1" s="494">
        <v>1.1599999999999999</v>
      </c>
    </row>
    <row r="2" spans="1:27" ht="15.75" customHeight="1">
      <c r="E2" s="495"/>
      <c r="F2" s="495"/>
      <c r="G2" s="495"/>
      <c r="H2" s="495"/>
      <c r="I2" s="495"/>
      <c r="J2" s="495"/>
      <c r="K2" s="495"/>
      <c r="L2" s="495"/>
      <c r="M2" s="496" t="s">
        <v>102</v>
      </c>
      <c r="N2" s="496">
        <f>+Supuestos!$M$9</f>
        <v>18.5</v>
      </c>
    </row>
    <row r="3" spans="1:27" ht="15.75" customHeight="1">
      <c r="E3" s="495"/>
      <c r="F3" s="495"/>
      <c r="G3" s="495"/>
      <c r="H3" s="495"/>
      <c r="I3" s="495"/>
      <c r="J3" s="495"/>
      <c r="K3" s="495"/>
      <c r="L3" s="495"/>
      <c r="M3" s="496" t="s">
        <v>19</v>
      </c>
      <c r="N3" s="496">
        <f>+Supuestos!$M$10</f>
        <v>5.5</v>
      </c>
    </row>
    <row r="4" spans="1:27" ht="15.75" customHeight="1">
      <c r="A4" s="497" t="s">
        <v>354</v>
      </c>
      <c r="B4" s="497" t="s">
        <v>103</v>
      </c>
      <c r="C4" s="497" t="s">
        <v>104</v>
      </c>
      <c r="D4" s="497" t="s">
        <v>109</v>
      </c>
      <c r="E4" s="497" t="s">
        <v>110</v>
      </c>
      <c r="F4" s="497" t="s">
        <v>663</v>
      </c>
      <c r="G4" s="497"/>
      <c r="H4" s="497"/>
      <c r="I4" s="497"/>
      <c r="J4" s="497" t="s">
        <v>112</v>
      </c>
      <c r="K4" s="497" t="s">
        <v>113</v>
      </c>
      <c r="L4" s="497" t="s">
        <v>114</v>
      </c>
      <c r="M4" s="497" t="s">
        <v>115</v>
      </c>
      <c r="N4" s="498" t="s">
        <v>664</v>
      </c>
      <c r="O4" s="499" t="s">
        <v>116</v>
      </c>
      <c r="P4" s="499" t="s">
        <v>117</v>
      </c>
      <c r="Q4" s="499" t="s">
        <v>118</v>
      </c>
      <c r="R4" s="499" t="s">
        <v>119</v>
      </c>
      <c r="S4" s="499" t="s">
        <v>120</v>
      </c>
      <c r="T4" s="499" t="s">
        <v>24</v>
      </c>
      <c r="U4" s="499" t="s">
        <v>121</v>
      </c>
      <c r="V4" s="499" t="s">
        <v>122</v>
      </c>
      <c r="W4" s="499" t="s">
        <v>123</v>
      </c>
      <c r="X4" s="499" t="s">
        <v>124</v>
      </c>
      <c r="Y4" s="499" t="s">
        <v>125</v>
      </c>
      <c r="Z4" s="499" t="s">
        <v>126</v>
      </c>
      <c r="AA4" s="499" t="s">
        <v>127</v>
      </c>
    </row>
    <row r="5" spans="1:27" ht="15.75" customHeight="1">
      <c r="A5" s="500"/>
      <c r="B5" s="500" t="s">
        <v>356</v>
      </c>
      <c r="C5" s="500"/>
      <c r="D5" s="500"/>
      <c r="E5" s="500"/>
      <c r="F5" s="500"/>
      <c r="G5" s="500"/>
      <c r="H5" s="500" t="s">
        <v>357</v>
      </c>
      <c r="I5" s="500" t="s">
        <v>358</v>
      </c>
      <c r="J5" s="500"/>
      <c r="K5" s="500"/>
      <c r="L5" s="500"/>
      <c r="M5" s="500"/>
      <c r="N5" s="501"/>
      <c r="O5" s="501"/>
      <c r="P5" s="501"/>
      <c r="Q5" s="501"/>
      <c r="R5" s="501"/>
      <c r="S5" s="501"/>
      <c r="T5" s="501"/>
      <c r="U5" s="501"/>
      <c r="V5" s="501"/>
      <c r="W5" s="501"/>
      <c r="X5" s="501"/>
      <c r="Y5" s="501"/>
      <c r="Z5" s="501"/>
      <c r="AA5" s="501"/>
    </row>
    <row r="6" spans="1:27" ht="15.75" customHeight="1">
      <c r="A6" s="494" t="s">
        <v>359</v>
      </c>
      <c r="B6" s="494" t="s">
        <v>185</v>
      </c>
      <c r="C6" s="494" t="s">
        <v>186</v>
      </c>
      <c r="D6" s="494" t="s">
        <v>361</v>
      </c>
      <c r="E6" s="494" t="s">
        <v>665</v>
      </c>
      <c r="F6" s="502" t="s">
        <v>666</v>
      </c>
      <c r="G6" s="502" t="s">
        <v>364</v>
      </c>
      <c r="H6" s="494" t="s">
        <v>667</v>
      </c>
      <c r="I6" s="494" t="s">
        <v>668</v>
      </c>
      <c r="J6" s="503" t="s">
        <v>130</v>
      </c>
      <c r="K6" t="str">
        <f>VLOOKUP(J6,Accounts!A:C,2,0)</f>
        <v>Servicios de Informatica</v>
      </c>
      <c r="L6" t="str">
        <f>VLOOKUP(J6,Accounts!A:C,3,0)</f>
        <v>Servicios</v>
      </c>
      <c r="M6" s="494" t="s">
        <v>101</v>
      </c>
      <c r="N6" s="498">
        <f t="shared" ref="N6:N16" si="0">+IF(M6="MXN",O6/$N$2,IF(M6="BRL",O6/$N$3,O6))</f>
        <v>2304</v>
      </c>
      <c r="O6" s="504">
        <f t="shared" ref="O6:O20" si="1">+SUM(P6:AA6)</f>
        <v>2304</v>
      </c>
      <c r="P6" s="505">
        <v>0</v>
      </c>
      <c r="Q6" s="505">
        <v>0</v>
      </c>
      <c r="R6" s="505">
        <v>0</v>
      </c>
      <c r="S6" s="505">
        <v>0</v>
      </c>
      <c r="T6" s="505">
        <v>0</v>
      </c>
      <c r="U6" s="505">
        <v>0</v>
      </c>
      <c r="V6" s="505">
        <v>2304</v>
      </c>
      <c r="W6" s="505">
        <v>0</v>
      </c>
      <c r="X6" s="505">
        <v>0</v>
      </c>
      <c r="Y6" s="505">
        <v>0</v>
      </c>
      <c r="Z6" s="505">
        <v>0</v>
      </c>
      <c r="AA6" s="505">
        <v>0</v>
      </c>
    </row>
    <row r="7" spans="1:27" ht="15.75" customHeight="1">
      <c r="A7" s="494" t="s">
        <v>359</v>
      </c>
      <c r="B7" s="494" t="s">
        <v>185</v>
      </c>
      <c r="C7" s="494" t="s">
        <v>186</v>
      </c>
      <c r="D7" s="494" t="s">
        <v>361</v>
      </c>
      <c r="E7" s="494" t="s">
        <v>669</v>
      </c>
      <c r="F7" s="506" t="s">
        <v>670</v>
      </c>
      <c r="G7" s="502" t="s">
        <v>364</v>
      </c>
      <c r="H7" s="494" t="s">
        <v>667</v>
      </c>
      <c r="I7" s="494" t="s">
        <v>668</v>
      </c>
      <c r="J7" s="507" t="s">
        <v>130</v>
      </c>
      <c r="K7" t="str">
        <f>VLOOKUP(J7,Accounts!A:C,2,0)</f>
        <v>Servicios de Informatica</v>
      </c>
      <c r="L7" t="str">
        <f>VLOOKUP(J7,Accounts!A:C,3,0)</f>
        <v>Servicios</v>
      </c>
      <c r="M7" s="494" t="s">
        <v>102</v>
      </c>
      <c r="N7" s="498">
        <f t="shared" si="0"/>
        <v>1803.2432432432433</v>
      </c>
      <c r="O7" s="504">
        <f t="shared" si="1"/>
        <v>33360</v>
      </c>
      <c r="P7" s="505">
        <f t="shared" ref="P7:AA7" si="2">1390*2</f>
        <v>2780</v>
      </c>
      <c r="Q7" s="505">
        <f t="shared" si="2"/>
        <v>2780</v>
      </c>
      <c r="R7" s="505">
        <f t="shared" si="2"/>
        <v>2780</v>
      </c>
      <c r="S7" s="505">
        <f t="shared" si="2"/>
        <v>2780</v>
      </c>
      <c r="T7" s="505">
        <f t="shared" si="2"/>
        <v>2780</v>
      </c>
      <c r="U7" s="505">
        <f t="shared" si="2"/>
        <v>2780</v>
      </c>
      <c r="V7" s="505">
        <f t="shared" si="2"/>
        <v>2780</v>
      </c>
      <c r="W7" s="505">
        <f t="shared" si="2"/>
        <v>2780</v>
      </c>
      <c r="X7" s="505">
        <f t="shared" si="2"/>
        <v>2780</v>
      </c>
      <c r="Y7" s="505">
        <f t="shared" si="2"/>
        <v>2780</v>
      </c>
      <c r="Z7" s="505">
        <f t="shared" si="2"/>
        <v>2780</v>
      </c>
      <c r="AA7" s="505">
        <f t="shared" si="2"/>
        <v>2780</v>
      </c>
    </row>
    <row r="8" spans="1:27" ht="15.75" customHeight="1">
      <c r="A8" s="494" t="s">
        <v>359</v>
      </c>
      <c r="B8" s="494" t="s">
        <v>185</v>
      </c>
      <c r="C8" s="494" t="s">
        <v>186</v>
      </c>
      <c r="D8" s="494" t="s">
        <v>361</v>
      </c>
      <c r="E8" s="494" t="s">
        <v>671</v>
      </c>
      <c r="F8" s="502" t="s">
        <v>672</v>
      </c>
      <c r="G8" s="502" t="s">
        <v>364</v>
      </c>
      <c r="H8" s="494" t="s">
        <v>667</v>
      </c>
      <c r="I8" s="494" t="s">
        <v>668</v>
      </c>
      <c r="J8" s="507" t="s">
        <v>130</v>
      </c>
      <c r="K8" t="str">
        <f>VLOOKUP(J8,Accounts!A:C,2,0)</f>
        <v>Servicios de Informatica</v>
      </c>
      <c r="L8" t="str">
        <f>VLOOKUP(J8,Accounts!A:C,3,0)</f>
        <v>Servicios</v>
      </c>
      <c r="M8" s="494" t="s">
        <v>101</v>
      </c>
      <c r="N8" s="498">
        <f t="shared" si="0"/>
        <v>360</v>
      </c>
      <c r="O8" s="504">
        <f t="shared" si="1"/>
        <v>360</v>
      </c>
      <c r="P8" s="505">
        <v>30</v>
      </c>
      <c r="Q8" s="505">
        <v>30</v>
      </c>
      <c r="R8" s="505">
        <v>30</v>
      </c>
      <c r="S8" s="505">
        <v>30</v>
      </c>
      <c r="T8" s="505">
        <v>30</v>
      </c>
      <c r="U8" s="505">
        <v>30</v>
      </c>
      <c r="V8" s="505">
        <v>30</v>
      </c>
      <c r="W8" s="505">
        <v>30</v>
      </c>
      <c r="X8" s="505">
        <v>30</v>
      </c>
      <c r="Y8" s="505">
        <v>30</v>
      </c>
      <c r="Z8" s="505">
        <v>30</v>
      </c>
      <c r="AA8" s="505">
        <v>30</v>
      </c>
    </row>
    <row r="9" spans="1:27" ht="15.75" customHeight="1">
      <c r="A9" s="494" t="s">
        <v>359</v>
      </c>
      <c r="B9" s="494" t="s">
        <v>185</v>
      </c>
      <c r="C9" s="494" t="s">
        <v>186</v>
      </c>
      <c r="D9" s="494" t="s">
        <v>361</v>
      </c>
      <c r="E9" s="494" t="s">
        <v>673</v>
      </c>
      <c r="F9" s="502" t="s">
        <v>672</v>
      </c>
      <c r="G9" s="502" t="s">
        <v>364</v>
      </c>
      <c r="H9" s="494" t="s">
        <v>667</v>
      </c>
      <c r="I9" s="494" t="s">
        <v>668</v>
      </c>
      <c r="J9" s="507" t="s">
        <v>130</v>
      </c>
      <c r="K9" t="str">
        <f>VLOOKUP(J9,Accounts!A:C,2,0)</f>
        <v>Servicios de Informatica</v>
      </c>
      <c r="L9" t="str">
        <f>VLOOKUP(J9,Accounts!A:C,3,0)</f>
        <v>Servicios</v>
      </c>
      <c r="M9" s="494" t="s">
        <v>101</v>
      </c>
      <c r="N9" s="498">
        <f t="shared" si="0"/>
        <v>1608</v>
      </c>
      <c r="O9" s="504">
        <f t="shared" si="1"/>
        <v>1608</v>
      </c>
      <c r="P9" s="505">
        <v>134</v>
      </c>
      <c r="Q9" s="505">
        <v>134</v>
      </c>
      <c r="R9" s="505">
        <v>134</v>
      </c>
      <c r="S9" s="505">
        <v>134</v>
      </c>
      <c r="T9" s="505">
        <v>134</v>
      </c>
      <c r="U9" s="505">
        <v>134</v>
      </c>
      <c r="V9" s="505">
        <v>134</v>
      </c>
      <c r="W9" s="505">
        <v>134</v>
      </c>
      <c r="X9" s="505">
        <v>134</v>
      </c>
      <c r="Y9" s="505">
        <v>134</v>
      </c>
      <c r="Z9" s="505">
        <v>134</v>
      </c>
      <c r="AA9" s="505">
        <v>134</v>
      </c>
    </row>
    <row r="10" spans="1:27" ht="15.75" customHeight="1">
      <c r="A10" s="494" t="s">
        <v>359</v>
      </c>
      <c r="B10" s="494" t="s">
        <v>185</v>
      </c>
      <c r="C10" s="494" t="s">
        <v>186</v>
      </c>
      <c r="D10" s="494" t="s">
        <v>361</v>
      </c>
      <c r="E10" s="502" t="s">
        <v>674</v>
      </c>
      <c r="F10" s="502" t="s">
        <v>666</v>
      </c>
      <c r="G10" s="502" t="s">
        <v>364</v>
      </c>
      <c r="H10" s="494" t="s">
        <v>667</v>
      </c>
      <c r="I10" s="494" t="s">
        <v>668</v>
      </c>
      <c r="J10" s="507" t="s">
        <v>130</v>
      </c>
      <c r="K10" t="str">
        <f>VLOOKUP(J10,Accounts!A:C,2,0)</f>
        <v>Servicios de Informatica</v>
      </c>
      <c r="L10" t="str">
        <f>VLOOKUP(J10,Accounts!A:C,3,0)</f>
        <v>Servicios</v>
      </c>
      <c r="M10" s="494" t="s">
        <v>101</v>
      </c>
      <c r="N10" s="498">
        <f t="shared" si="0"/>
        <v>180</v>
      </c>
      <c r="O10" s="504">
        <f t="shared" si="1"/>
        <v>180</v>
      </c>
      <c r="P10" s="505"/>
      <c r="Q10" s="505"/>
      <c r="R10" s="505"/>
      <c r="S10" s="505"/>
      <c r="T10" s="505"/>
      <c r="U10" s="505"/>
      <c r="V10" s="505"/>
      <c r="W10" s="505"/>
      <c r="X10" s="505"/>
      <c r="Y10" s="505">
        <v>180</v>
      </c>
      <c r="Z10" s="505"/>
      <c r="AA10" s="505"/>
    </row>
    <row r="11" spans="1:27" ht="15.75" customHeight="1">
      <c r="A11" s="494" t="s">
        <v>359</v>
      </c>
      <c r="B11" s="494" t="s">
        <v>185</v>
      </c>
      <c r="C11" s="494" t="s">
        <v>186</v>
      </c>
      <c r="D11" s="494" t="s">
        <v>361</v>
      </c>
      <c r="E11" s="502" t="s">
        <v>908</v>
      </c>
      <c r="F11" s="502" t="s">
        <v>675</v>
      </c>
      <c r="G11" s="502" t="s">
        <v>364</v>
      </c>
      <c r="H11" s="494" t="s">
        <v>667</v>
      </c>
      <c r="I11" s="494" t="s">
        <v>668</v>
      </c>
      <c r="J11" s="507" t="s">
        <v>130</v>
      </c>
      <c r="K11" t="str">
        <f>VLOOKUP(J11,Accounts!A:C,2,0)</f>
        <v>Servicios de Informatica</v>
      </c>
      <c r="L11" t="str">
        <f>VLOOKUP(J11,Accounts!A:C,3,0)</f>
        <v>Servicios</v>
      </c>
      <c r="M11" s="494" t="s">
        <v>101</v>
      </c>
      <c r="N11" s="498">
        <f t="shared" si="0"/>
        <v>9600</v>
      </c>
      <c r="O11" s="504">
        <f t="shared" si="1"/>
        <v>9600</v>
      </c>
      <c r="P11" s="505">
        <v>800</v>
      </c>
      <c r="Q11" s="505">
        <v>800</v>
      </c>
      <c r="R11" s="505">
        <v>800</v>
      </c>
      <c r="S11" s="505">
        <v>800</v>
      </c>
      <c r="T11" s="505">
        <v>800</v>
      </c>
      <c r="U11" s="505">
        <v>800</v>
      </c>
      <c r="V11" s="505">
        <v>800</v>
      </c>
      <c r="W11" s="505">
        <v>800</v>
      </c>
      <c r="X11" s="505">
        <v>800</v>
      </c>
      <c r="Y11" s="505">
        <v>800</v>
      </c>
      <c r="Z11" s="505">
        <v>800</v>
      </c>
      <c r="AA11" s="505">
        <v>800</v>
      </c>
    </row>
    <row r="12" spans="1:27" ht="15.75" customHeight="1">
      <c r="A12" s="494" t="s">
        <v>359</v>
      </c>
      <c r="B12" s="494" t="s">
        <v>185</v>
      </c>
      <c r="C12" s="494" t="s">
        <v>186</v>
      </c>
      <c r="D12" s="494" t="s">
        <v>361</v>
      </c>
      <c r="E12" s="494" t="s">
        <v>188</v>
      </c>
      <c r="F12" s="506" t="s">
        <v>676</v>
      </c>
      <c r="G12" s="502" t="s">
        <v>364</v>
      </c>
      <c r="H12" s="494" t="s">
        <v>667</v>
      </c>
      <c r="I12" s="494" t="s">
        <v>668</v>
      </c>
      <c r="J12" s="507" t="s">
        <v>130</v>
      </c>
      <c r="K12" t="str">
        <f>VLOOKUP(J12,Accounts!A:C,2,0)</f>
        <v>Servicios de Informatica</v>
      </c>
      <c r="L12" t="str">
        <f>VLOOKUP(J12,Accounts!A:C,3,0)</f>
        <v>Servicios</v>
      </c>
      <c r="M12" s="494" t="s">
        <v>101</v>
      </c>
      <c r="N12" s="498">
        <f t="shared" si="0"/>
        <v>3588</v>
      </c>
      <c r="O12" s="504">
        <f t="shared" si="1"/>
        <v>3588</v>
      </c>
      <c r="P12" s="505">
        <v>299</v>
      </c>
      <c r="Q12" s="505">
        <v>299</v>
      </c>
      <c r="R12" s="505">
        <v>299</v>
      </c>
      <c r="S12" s="505">
        <v>299</v>
      </c>
      <c r="T12" s="505">
        <v>299</v>
      </c>
      <c r="U12" s="505">
        <v>299</v>
      </c>
      <c r="V12" s="505">
        <v>299</v>
      </c>
      <c r="W12" s="505">
        <v>299</v>
      </c>
      <c r="X12" s="505">
        <v>299</v>
      </c>
      <c r="Y12" s="505">
        <v>299</v>
      </c>
      <c r="Z12" s="505">
        <v>299</v>
      </c>
      <c r="AA12" s="505">
        <v>299</v>
      </c>
    </row>
    <row r="13" spans="1:27" ht="15.75" customHeight="1">
      <c r="A13" s="494" t="s">
        <v>359</v>
      </c>
      <c r="B13" s="494" t="s">
        <v>185</v>
      </c>
      <c r="C13" s="494" t="s">
        <v>186</v>
      </c>
      <c r="D13" s="494" t="s">
        <v>361</v>
      </c>
      <c r="E13" s="494" t="s">
        <v>677</v>
      </c>
      <c r="F13" s="506" t="s">
        <v>678</v>
      </c>
      <c r="G13" s="502" t="s">
        <v>364</v>
      </c>
      <c r="H13" s="494" t="s">
        <v>679</v>
      </c>
      <c r="I13" s="494" t="s">
        <v>668</v>
      </c>
      <c r="J13" s="507" t="s">
        <v>130</v>
      </c>
      <c r="K13" t="str">
        <f>VLOOKUP(J13,Accounts!A:C,2,0)</f>
        <v>Servicios de Informatica</v>
      </c>
      <c r="L13" t="str">
        <f>VLOOKUP(J13,Accounts!A:C,3,0)</f>
        <v>Servicios</v>
      </c>
      <c r="M13" s="494" t="s">
        <v>101</v>
      </c>
      <c r="N13" s="498">
        <f t="shared" si="0"/>
        <v>469.78999999999996</v>
      </c>
      <c r="O13" s="504">
        <f t="shared" si="1"/>
        <v>469.78999999999996</v>
      </c>
      <c r="P13" s="505"/>
      <c r="Q13" s="505"/>
      <c r="R13" s="505"/>
      <c r="S13" s="505"/>
      <c r="T13" s="505"/>
      <c r="U13" s="505"/>
      <c r="V13" s="505"/>
      <c r="W13" s="505">
        <v>159.9</v>
      </c>
      <c r="X13" s="505">
        <f>149.9+159.99</f>
        <v>309.89</v>
      </c>
      <c r="Y13" s="505"/>
      <c r="Z13" s="505"/>
      <c r="AA13" s="505"/>
    </row>
    <row r="14" spans="1:27" ht="15.75" customHeight="1">
      <c r="A14" s="494" t="s">
        <v>359</v>
      </c>
      <c r="B14" s="494" t="s">
        <v>185</v>
      </c>
      <c r="C14" s="494" t="s">
        <v>186</v>
      </c>
      <c r="D14" s="494" t="s">
        <v>680</v>
      </c>
      <c r="E14" s="494" t="s">
        <v>681</v>
      </c>
      <c r="F14" s="506" t="s">
        <v>682</v>
      </c>
      <c r="G14" s="502" t="s">
        <v>364</v>
      </c>
      <c r="H14" s="494" t="s">
        <v>679</v>
      </c>
      <c r="I14" s="494" t="s">
        <v>668</v>
      </c>
      <c r="J14" s="507" t="s">
        <v>502</v>
      </c>
      <c r="K14" t="str">
        <f>VLOOKUP(J14,Accounts!A:C,2,0)</f>
        <v>Comisiones sobre ventas 0%</v>
      </c>
      <c r="L14" t="str">
        <f>VLOOKUP(J14,Accounts!A:C,3,0)</f>
        <v>Comisiones</v>
      </c>
      <c r="M14" s="494" t="s">
        <v>101</v>
      </c>
      <c r="N14" s="498">
        <f t="shared" si="0"/>
        <v>444</v>
      </c>
      <c r="O14" s="504">
        <f t="shared" si="1"/>
        <v>444</v>
      </c>
      <c r="P14" s="505">
        <v>26</v>
      </c>
      <c r="Q14" s="505">
        <v>38</v>
      </c>
      <c r="R14" s="505">
        <v>38</v>
      </c>
      <c r="S14" s="505">
        <v>38</v>
      </c>
      <c r="T14" s="505">
        <v>38</v>
      </c>
      <c r="U14" s="505">
        <v>38</v>
      </c>
      <c r="V14" s="505">
        <v>38</v>
      </c>
      <c r="W14" s="505">
        <v>38</v>
      </c>
      <c r="X14" s="505">
        <v>38</v>
      </c>
      <c r="Y14" s="505">
        <v>38</v>
      </c>
      <c r="Z14" s="505">
        <v>38</v>
      </c>
      <c r="AA14" s="505">
        <v>38</v>
      </c>
    </row>
    <row r="15" spans="1:27" ht="15.75" customHeight="1">
      <c r="A15" s="494" t="s">
        <v>359</v>
      </c>
      <c r="B15" s="494" t="s">
        <v>185</v>
      </c>
      <c r="C15" s="494" t="s">
        <v>186</v>
      </c>
      <c r="D15" s="494" t="s">
        <v>680</v>
      </c>
      <c r="E15" s="494" t="s">
        <v>683</v>
      </c>
      <c r="F15" s="506" t="s">
        <v>684</v>
      </c>
      <c r="G15" s="502" t="s">
        <v>364</v>
      </c>
      <c r="H15" s="494" t="s">
        <v>679</v>
      </c>
      <c r="I15" s="494" t="s">
        <v>668</v>
      </c>
      <c r="J15" s="507" t="s">
        <v>502</v>
      </c>
      <c r="K15" t="str">
        <f>VLOOKUP(J15,Accounts!A:C,2,0)</f>
        <v>Comisiones sobre ventas 0%</v>
      </c>
      <c r="L15" t="str">
        <f>VLOOKUP(J15,Accounts!A:C,3,0)</f>
        <v>Comisiones</v>
      </c>
      <c r="M15" s="494" t="s">
        <v>101</v>
      </c>
      <c r="N15" s="498">
        <f t="shared" si="0"/>
        <v>6650</v>
      </c>
      <c r="O15" s="504">
        <f t="shared" si="1"/>
        <v>6650</v>
      </c>
      <c r="P15" s="505">
        <v>490</v>
      </c>
      <c r="Q15" s="505">
        <v>560</v>
      </c>
      <c r="R15" s="505">
        <v>560</v>
      </c>
      <c r="S15" s="505">
        <v>560</v>
      </c>
      <c r="T15" s="505">
        <v>560</v>
      </c>
      <c r="U15" s="505">
        <v>560</v>
      </c>
      <c r="V15" s="505">
        <v>560</v>
      </c>
      <c r="W15" s="505">
        <v>560</v>
      </c>
      <c r="X15" s="505">
        <v>560</v>
      </c>
      <c r="Y15" s="505">
        <v>560</v>
      </c>
      <c r="Z15" s="505">
        <v>560</v>
      </c>
      <c r="AA15" s="505">
        <v>560</v>
      </c>
    </row>
    <row r="16" spans="1:27" ht="15.75" customHeight="1">
      <c r="A16" s="494" t="s">
        <v>359</v>
      </c>
      <c r="B16" s="494" t="s">
        <v>185</v>
      </c>
      <c r="C16" s="494" t="s">
        <v>186</v>
      </c>
      <c r="D16" s="494" t="s">
        <v>680</v>
      </c>
      <c r="E16" s="502" t="s">
        <v>685</v>
      </c>
      <c r="F16" s="502" t="s">
        <v>685</v>
      </c>
      <c r="G16" s="502" t="s">
        <v>364</v>
      </c>
      <c r="H16" s="494" t="s">
        <v>679</v>
      </c>
      <c r="I16" s="494" t="s">
        <v>668</v>
      </c>
      <c r="J16" s="507" t="s">
        <v>130</v>
      </c>
      <c r="K16" t="str">
        <f>VLOOKUP(J16,Accounts!A:C,2,0)</f>
        <v>Servicios de Informatica</v>
      </c>
      <c r="L16" t="str">
        <f>VLOOKUP(J16,Accounts!A:C,3,0)</f>
        <v>Servicios</v>
      </c>
      <c r="M16" s="494" t="s">
        <v>101</v>
      </c>
      <c r="N16" s="498">
        <f t="shared" si="0"/>
        <v>4800</v>
      </c>
      <c r="O16" s="504">
        <f t="shared" si="1"/>
        <v>4800</v>
      </c>
      <c r="P16" s="505">
        <v>400</v>
      </c>
      <c r="Q16" s="505">
        <v>400</v>
      </c>
      <c r="R16" s="505">
        <v>400</v>
      </c>
      <c r="S16" s="505">
        <v>400</v>
      </c>
      <c r="T16" s="505">
        <v>400</v>
      </c>
      <c r="U16" s="505">
        <v>400</v>
      </c>
      <c r="V16" s="505">
        <v>400</v>
      </c>
      <c r="W16" s="505">
        <v>400</v>
      </c>
      <c r="X16" s="505">
        <v>400</v>
      </c>
      <c r="Y16" s="505">
        <v>400</v>
      </c>
      <c r="Z16" s="505">
        <v>400</v>
      </c>
      <c r="AA16" s="505">
        <v>400</v>
      </c>
    </row>
    <row r="17" spans="1:27" ht="15.75" customHeight="1">
      <c r="A17" s="500"/>
      <c r="B17" s="500" t="s">
        <v>686</v>
      </c>
      <c r="C17" s="500"/>
      <c r="D17" s="500"/>
      <c r="E17" s="500"/>
      <c r="F17" s="500"/>
      <c r="G17" s="500"/>
      <c r="H17" s="500"/>
      <c r="I17" s="500"/>
      <c r="J17" s="500"/>
      <c r="K17" s="500"/>
      <c r="L17" s="500"/>
      <c r="M17" s="500"/>
      <c r="N17" s="501"/>
      <c r="O17" s="501"/>
      <c r="P17" s="501"/>
      <c r="Q17" s="501"/>
      <c r="R17" s="501"/>
      <c r="S17" s="501"/>
      <c r="T17" s="501"/>
      <c r="U17" s="501"/>
      <c r="V17" s="501"/>
      <c r="W17" s="501"/>
      <c r="X17" s="501"/>
      <c r="Y17" s="501"/>
      <c r="Z17" s="501"/>
      <c r="AA17" s="501"/>
    </row>
    <row r="18" spans="1:27" ht="15.75" customHeight="1">
      <c r="A18" s="494" t="s">
        <v>359</v>
      </c>
      <c r="B18" s="494" t="s">
        <v>185</v>
      </c>
      <c r="C18" s="494" t="s">
        <v>186</v>
      </c>
      <c r="D18" s="494" t="s">
        <v>687</v>
      </c>
      <c r="E18" s="503" t="s">
        <v>688</v>
      </c>
      <c r="F18" s="503" t="s">
        <v>689</v>
      </c>
      <c r="G18" s="503"/>
      <c r="H18" s="503"/>
      <c r="I18" s="503"/>
      <c r="J18" s="508" t="s">
        <v>135</v>
      </c>
      <c r="K18" t="str">
        <f>VLOOKUP(J18,Accounts!A:C,2,0)</f>
        <v>Honorarios A Personas Morales Nacionales</v>
      </c>
      <c r="L18" t="str">
        <f>VLOOKUP(J18,Accounts!A:C,3,0)</f>
        <v>Servicios Externos</v>
      </c>
      <c r="M18" s="494" t="s">
        <v>101</v>
      </c>
      <c r="N18" s="498">
        <f>+IF(M18="MXN",O18/$N$2,IF(M18="BRL",O18/$N$3,O18))</f>
        <v>18000</v>
      </c>
      <c r="O18" s="504">
        <f t="shared" si="1"/>
        <v>18000</v>
      </c>
      <c r="P18" s="505">
        <v>1500</v>
      </c>
      <c r="Q18" s="505">
        <v>1500</v>
      </c>
      <c r="R18" s="505">
        <v>1500</v>
      </c>
      <c r="S18" s="505">
        <v>1500</v>
      </c>
      <c r="T18" s="505">
        <v>1500</v>
      </c>
      <c r="U18" s="505">
        <v>1500</v>
      </c>
      <c r="V18" s="505">
        <v>1500</v>
      </c>
      <c r="W18" s="505">
        <v>1500</v>
      </c>
      <c r="X18" s="505">
        <v>1500</v>
      </c>
      <c r="Y18" s="505">
        <v>1500</v>
      </c>
      <c r="Z18" s="505">
        <v>1500</v>
      </c>
      <c r="AA18" s="505">
        <v>1500</v>
      </c>
    </row>
    <row r="19" spans="1:27" ht="15.75" customHeight="1">
      <c r="A19" s="494" t="s">
        <v>359</v>
      </c>
      <c r="B19" s="494" t="s">
        <v>185</v>
      </c>
      <c r="C19" s="494" t="s">
        <v>186</v>
      </c>
      <c r="D19" s="494" t="s">
        <v>690</v>
      </c>
      <c r="E19" s="503" t="s">
        <v>691</v>
      </c>
      <c r="F19" s="503" t="s">
        <v>689</v>
      </c>
      <c r="G19" s="503"/>
      <c r="H19" s="503"/>
      <c r="I19" s="503"/>
      <c r="J19" s="508" t="s">
        <v>135</v>
      </c>
      <c r="K19" t="str">
        <f>VLOOKUP(J19,Accounts!A:C,2,0)</f>
        <v>Honorarios A Personas Morales Nacionales</v>
      </c>
      <c r="L19" t="str">
        <f>VLOOKUP(J19,Accounts!A:C,3,0)</f>
        <v>Servicios Externos</v>
      </c>
      <c r="M19" s="494" t="s">
        <v>101</v>
      </c>
      <c r="N19" s="498">
        <f>+IF(M19="MXN",O19/$N$2,IF(M19="BRL",O19/$N$3,O19))</f>
        <v>36000</v>
      </c>
      <c r="O19" s="504">
        <f t="shared" si="1"/>
        <v>36000</v>
      </c>
      <c r="P19" s="505">
        <v>3000</v>
      </c>
      <c r="Q19" s="505">
        <v>3000</v>
      </c>
      <c r="R19" s="505">
        <v>3000</v>
      </c>
      <c r="S19" s="505">
        <v>3000</v>
      </c>
      <c r="T19" s="505">
        <v>3000</v>
      </c>
      <c r="U19" s="505">
        <v>3000</v>
      </c>
      <c r="V19" s="505">
        <v>3000</v>
      </c>
      <c r="W19" s="505">
        <v>3000</v>
      </c>
      <c r="X19" s="505">
        <v>3000</v>
      </c>
      <c r="Y19" s="505">
        <v>3000</v>
      </c>
      <c r="Z19" s="505">
        <v>3000</v>
      </c>
      <c r="AA19" s="505">
        <v>3000</v>
      </c>
    </row>
    <row r="20" spans="1:27" ht="15.75" customHeight="1">
      <c r="A20" s="494" t="s">
        <v>369</v>
      </c>
      <c r="B20" s="494" t="s">
        <v>185</v>
      </c>
      <c r="C20" s="494" t="s">
        <v>186</v>
      </c>
      <c r="D20" s="494" t="s">
        <v>692</v>
      </c>
      <c r="E20" s="494" t="s">
        <v>693</v>
      </c>
      <c r="F20" s="503" t="s">
        <v>689</v>
      </c>
      <c r="G20" s="503"/>
      <c r="H20" s="503"/>
      <c r="I20" s="503"/>
      <c r="J20" s="508" t="s">
        <v>135</v>
      </c>
      <c r="K20" t="str">
        <f>VLOOKUP(J20,Accounts!A:C,2,0)</f>
        <v>Honorarios A Personas Morales Nacionales</v>
      </c>
      <c r="L20" t="str">
        <f>VLOOKUP(J20,Accounts!A:C,3,0)</f>
        <v>Servicios Externos</v>
      </c>
      <c r="M20" s="494" t="s">
        <v>101</v>
      </c>
      <c r="N20" s="498">
        <f>+IF(M20="MXN",O20/$N$2,IF(M20="BRL",O20/$N$3,O20))</f>
        <v>36000</v>
      </c>
      <c r="O20" s="504">
        <f t="shared" si="1"/>
        <v>36000</v>
      </c>
      <c r="P20" s="505">
        <v>3000</v>
      </c>
      <c r="Q20" s="505">
        <v>3000</v>
      </c>
      <c r="R20" s="505">
        <v>3000</v>
      </c>
      <c r="S20" s="505">
        <v>3000</v>
      </c>
      <c r="T20" s="505">
        <v>3000</v>
      </c>
      <c r="U20" s="505">
        <v>3000</v>
      </c>
      <c r="V20" s="505">
        <v>3000</v>
      </c>
      <c r="W20" s="505">
        <v>3000</v>
      </c>
      <c r="X20" s="505">
        <v>3000</v>
      </c>
      <c r="Y20" s="505">
        <v>3000</v>
      </c>
      <c r="Z20" s="505">
        <v>3000</v>
      </c>
      <c r="AA20" s="505">
        <v>3000</v>
      </c>
    </row>
    <row r="21" spans="1:27" ht="15.75" customHeight="1">
      <c r="A21" s="500"/>
      <c r="B21" s="500" t="s">
        <v>381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1"/>
      <c r="O21" s="501"/>
      <c r="P21" s="501"/>
      <c r="Q21" s="501"/>
      <c r="R21" s="501"/>
      <c r="S21" s="501"/>
      <c r="T21" s="501"/>
      <c r="U21" s="501"/>
      <c r="V21" s="501"/>
      <c r="W21" s="501"/>
      <c r="X21" s="501"/>
      <c r="Y21" s="501"/>
      <c r="Z21" s="501"/>
      <c r="AA21" s="501"/>
    </row>
    <row r="22" spans="1:27" ht="15.75" customHeight="1">
      <c r="A22" s="509"/>
      <c r="B22" s="509" t="s">
        <v>694</v>
      </c>
      <c r="C22" s="509"/>
      <c r="D22" s="509"/>
      <c r="E22" s="509"/>
      <c r="F22" s="509"/>
      <c r="G22" s="509"/>
      <c r="H22" s="509"/>
      <c r="I22" s="509"/>
      <c r="J22" s="509"/>
      <c r="K22" s="509"/>
      <c r="L22" s="509"/>
      <c r="M22" s="509"/>
      <c r="N22" s="510"/>
      <c r="O22" s="510"/>
      <c r="P22" s="510"/>
      <c r="Q22" s="510"/>
      <c r="R22" s="510"/>
      <c r="S22" s="510"/>
      <c r="T22" s="510"/>
      <c r="U22" s="510"/>
      <c r="V22" s="510"/>
      <c r="W22" s="510"/>
      <c r="X22" s="510"/>
      <c r="Y22" s="510"/>
      <c r="Z22" s="510"/>
      <c r="AA22" s="510"/>
    </row>
    <row r="23" spans="1:27" ht="15.75" customHeight="1">
      <c r="A23" s="507" t="s">
        <v>359</v>
      </c>
      <c r="B23" s="507" t="s">
        <v>185</v>
      </c>
      <c r="C23" s="507" t="s">
        <v>186</v>
      </c>
      <c r="D23" s="507" t="s">
        <v>140</v>
      </c>
      <c r="E23" s="507" t="s">
        <v>186</v>
      </c>
      <c r="F23" s="507" t="s">
        <v>695</v>
      </c>
      <c r="G23" s="507"/>
      <c r="H23" s="507"/>
      <c r="I23" s="507"/>
      <c r="J23" s="507" t="s">
        <v>146</v>
      </c>
      <c r="K23" t="str">
        <f>VLOOKUP(J23,Accounts!A:C,2,0)</f>
        <v>Sueldos y salarios</v>
      </c>
      <c r="L23" t="str">
        <f>VLOOKUP(J23,Accounts!A:C,3,0)</f>
        <v>Sueldos y Salarios</v>
      </c>
      <c r="M23" s="507" t="s">
        <v>19</v>
      </c>
      <c r="N23" s="498">
        <f t="shared" ref="N23" si="3">+IF(M23="MXN",O23/$N$2,IF(M23="BRL",O23/$N$3,O23))</f>
        <v>85527.272727272721</v>
      </c>
      <c r="O23" s="504">
        <f t="shared" ref="O23" si="4">+SUM(P23:AA23)</f>
        <v>470400</v>
      </c>
      <c r="P23" s="641">
        <f>'Salary Increases'!D7*1.4</f>
        <v>39200</v>
      </c>
      <c r="Q23" s="505">
        <f>+P23</f>
        <v>39200</v>
      </c>
      <c r="R23" s="505">
        <f t="shared" ref="R23:AA25" si="5">+Q23</f>
        <v>39200</v>
      </c>
      <c r="S23" s="505">
        <f t="shared" si="5"/>
        <v>39200</v>
      </c>
      <c r="T23" s="505">
        <f t="shared" si="5"/>
        <v>39200</v>
      </c>
      <c r="U23" s="505">
        <f t="shared" si="5"/>
        <v>39200</v>
      </c>
      <c r="V23" s="505">
        <f t="shared" si="5"/>
        <v>39200</v>
      </c>
      <c r="W23" s="505">
        <f t="shared" si="5"/>
        <v>39200</v>
      </c>
      <c r="X23" s="505">
        <f t="shared" si="5"/>
        <v>39200</v>
      </c>
      <c r="Y23" s="505">
        <f t="shared" si="5"/>
        <v>39200</v>
      </c>
      <c r="Z23" s="505">
        <f t="shared" si="5"/>
        <v>39200</v>
      </c>
      <c r="AA23" s="505">
        <f t="shared" si="5"/>
        <v>39200</v>
      </c>
    </row>
    <row r="24" spans="1:27" ht="15.75" customHeight="1">
      <c r="A24" s="509"/>
      <c r="B24" s="509" t="s">
        <v>696</v>
      </c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10"/>
      <c r="O24" s="510"/>
      <c r="P24" s="510"/>
      <c r="Q24" s="510"/>
      <c r="R24" s="510"/>
      <c r="S24" s="510"/>
      <c r="T24" s="510"/>
      <c r="U24" s="510"/>
      <c r="V24" s="510"/>
      <c r="W24" s="510"/>
      <c r="X24" s="510"/>
      <c r="Y24" s="510"/>
      <c r="Z24" s="510"/>
      <c r="AA24" s="510"/>
    </row>
    <row r="25" spans="1:27" ht="15.75" customHeight="1">
      <c r="A25" s="507" t="s">
        <v>359</v>
      </c>
      <c r="B25" s="507" t="s">
        <v>185</v>
      </c>
      <c r="C25" s="507" t="s">
        <v>186</v>
      </c>
      <c r="D25" s="507" t="s">
        <v>140</v>
      </c>
      <c r="E25" s="507" t="s">
        <v>697</v>
      </c>
      <c r="F25" s="511" t="s">
        <v>698</v>
      </c>
      <c r="G25" s="511"/>
      <c r="H25" s="511"/>
      <c r="I25" s="507"/>
      <c r="J25" s="507" t="s">
        <v>146</v>
      </c>
      <c r="K25" t="str">
        <f>VLOOKUP(J25,Accounts!A:C,2,0)</f>
        <v>Sueldos y salarios</v>
      </c>
      <c r="L25" t="str">
        <f>VLOOKUP(J25,Accounts!A:C,3,0)</f>
        <v>Sueldos y Salarios</v>
      </c>
      <c r="M25" s="507" t="s">
        <v>101</v>
      </c>
      <c r="N25" s="498">
        <f t="shared" ref="N25" si="6">+IF(M25="MXN",O25/$N$2,IF(M25="BRL",O25/$N$3,O25))</f>
        <v>13860</v>
      </c>
      <c r="O25" s="504">
        <f t="shared" ref="O25" si="7">+SUM(P25:AA25)</f>
        <v>13860</v>
      </c>
      <c r="P25" s="641">
        <f>'Salary Increases'!D14*(1+'Salary Increases'!P5)</f>
        <v>1155</v>
      </c>
      <c r="Q25" s="505">
        <f>+P25</f>
        <v>1155</v>
      </c>
      <c r="R25" s="505">
        <f t="shared" si="5"/>
        <v>1155</v>
      </c>
      <c r="S25" s="505">
        <f t="shared" si="5"/>
        <v>1155</v>
      </c>
      <c r="T25" s="505">
        <f t="shared" si="5"/>
        <v>1155</v>
      </c>
      <c r="U25" s="505">
        <f t="shared" si="5"/>
        <v>1155</v>
      </c>
      <c r="V25" s="505">
        <f t="shared" si="5"/>
        <v>1155</v>
      </c>
      <c r="W25" s="505">
        <f t="shared" si="5"/>
        <v>1155</v>
      </c>
      <c r="X25" s="505">
        <f t="shared" si="5"/>
        <v>1155</v>
      </c>
      <c r="Y25" s="505">
        <f t="shared" si="5"/>
        <v>1155</v>
      </c>
      <c r="Z25" s="505">
        <f t="shared" si="5"/>
        <v>1155</v>
      </c>
      <c r="AA25" s="505">
        <f t="shared" si="5"/>
        <v>1155</v>
      </c>
    </row>
    <row r="26" spans="1:27" ht="15.75" customHeight="1">
      <c r="A26" s="509"/>
      <c r="B26" s="509" t="s">
        <v>382</v>
      </c>
      <c r="C26" s="509"/>
      <c r="D26" s="509"/>
      <c r="E26" s="509"/>
      <c r="F26" s="509"/>
      <c r="G26" s="509"/>
      <c r="H26" s="509"/>
      <c r="I26" s="509"/>
      <c r="J26" s="509"/>
      <c r="K26" s="509"/>
      <c r="L26" s="509"/>
      <c r="M26" s="509"/>
      <c r="N26" s="510"/>
      <c r="O26" s="510"/>
      <c r="P26" s="510"/>
      <c r="Q26" s="510"/>
      <c r="R26" s="510"/>
      <c r="S26" s="510"/>
      <c r="T26" s="510"/>
      <c r="U26" s="510"/>
      <c r="V26" s="510"/>
      <c r="W26" s="510"/>
      <c r="X26" s="510"/>
      <c r="Y26" s="510"/>
      <c r="Z26" s="510"/>
      <c r="AA26" s="510"/>
    </row>
    <row r="27" spans="1:27" ht="15.75" customHeight="1">
      <c r="A27" s="507" t="s">
        <v>359</v>
      </c>
      <c r="B27" s="507" t="s">
        <v>185</v>
      </c>
      <c r="C27" s="507" t="s">
        <v>186</v>
      </c>
      <c r="D27" s="507" t="s">
        <v>140</v>
      </c>
      <c r="E27" s="507" t="s">
        <v>699</v>
      </c>
      <c r="F27" s="507" t="s">
        <v>700</v>
      </c>
      <c r="G27" s="507"/>
      <c r="H27" s="507"/>
      <c r="I27" s="512"/>
      <c r="J27" s="507" t="s">
        <v>146</v>
      </c>
      <c r="K27" t="str">
        <f>VLOOKUP(J27,Accounts!A:C,2,0)</f>
        <v>Sueldos y salarios</v>
      </c>
      <c r="L27" t="str">
        <f>VLOOKUP(J27,Accounts!A:C,3,0)</f>
        <v>Sueldos y Salarios</v>
      </c>
      <c r="M27" s="507" t="s">
        <v>102</v>
      </c>
      <c r="N27" s="498">
        <f t="shared" ref="N27:N28" si="8">+IF(M27="MXN",O27/$N$2,IF(M27="BRL",O27/$N$3,O27))</f>
        <v>20977.297297297297</v>
      </c>
      <c r="O27" s="504">
        <f t="shared" ref="O27:O28" si="9">+SUM(P27:AA27)</f>
        <v>388080</v>
      </c>
      <c r="P27" s="641">
        <f>'Salary Increases'!L8</f>
        <v>32340</v>
      </c>
      <c r="Q27" s="505">
        <f t="shared" ref="Q27:AA28" si="10">+P27</f>
        <v>32340</v>
      </c>
      <c r="R27" s="505">
        <f t="shared" si="10"/>
        <v>32340</v>
      </c>
      <c r="S27" s="505">
        <f t="shared" si="10"/>
        <v>32340</v>
      </c>
      <c r="T27" s="505">
        <f t="shared" si="10"/>
        <v>32340</v>
      </c>
      <c r="U27" s="505">
        <f t="shared" si="10"/>
        <v>32340</v>
      </c>
      <c r="V27" s="505">
        <f t="shared" si="10"/>
        <v>32340</v>
      </c>
      <c r="W27" s="505">
        <f t="shared" si="10"/>
        <v>32340</v>
      </c>
      <c r="X27" s="505">
        <f t="shared" si="10"/>
        <v>32340</v>
      </c>
      <c r="Y27" s="505">
        <f t="shared" si="10"/>
        <v>32340</v>
      </c>
      <c r="Z27" s="505">
        <f t="shared" si="10"/>
        <v>32340</v>
      </c>
      <c r="AA27" s="505">
        <f t="shared" si="10"/>
        <v>32340</v>
      </c>
    </row>
    <row r="28" spans="1:27" ht="15.75" customHeight="1">
      <c r="A28" s="507" t="s">
        <v>369</v>
      </c>
      <c r="B28" s="507" t="s">
        <v>185</v>
      </c>
      <c r="C28" s="507" t="s">
        <v>186</v>
      </c>
      <c r="D28" s="507" t="s">
        <v>140</v>
      </c>
      <c r="E28" s="507" t="s">
        <v>701</v>
      </c>
      <c r="F28" s="507" t="s">
        <v>702</v>
      </c>
      <c r="G28" s="507"/>
      <c r="H28" s="507"/>
      <c r="I28" s="507"/>
      <c r="J28" s="507" t="s">
        <v>146</v>
      </c>
      <c r="K28" t="str">
        <f>VLOOKUP(J28,Accounts!A:C,2,0)</f>
        <v>Sueldos y salarios</v>
      </c>
      <c r="L28" t="str">
        <f>VLOOKUP(J28,Accounts!A:C,3,0)</f>
        <v>Sueldos y Salarios</v>
      </c>
      <c r="M28" s="507" t="s">
        <v>102</v>
      </c>
      <c r="N28" s="498">
        <f t="shared" si="8"/>
        <v>18558.37837837838</v>
      </c>
      <c r="O28" s="504">
        <f t="shared" si="9"/>
        <v>343330</v>
      </c>
      <c r="P28" s="505">
        <v>27800</v>
      </c>
      <c r="Q28" s="505">
        <f t="shared" si="10"/>
        <v>27800</v>
      </c>
      <c r="R28" s="505">
        <f t="shared" si="10"/>
        <v>27800</v>
      </c>
      <c r="S28" s="505">
        <f t="shared" si="10"/>
        <v>27800</v>
      </c>
      <c r="T28" s="505">
        <f t="shared" si="10"/>
        <v>27800</v>
      </c>
      <c r="U28" s="641">
        <f>'Salary Increases'!M9</f>
        <v>29190</v>
      </c>
      <c r="V28" s="505">
        <f>+U28</f>
        <v>29190</v>
      </c>
      <c r="W28" s="505">
        <f t="shared" si="10"/>
        <v>29190</v>
      </c>
      <c r="X28" s="505">
        <f t="shared" si="10"/>
        <v>29190</v>
      </c>
      <c r="Y28" s="505">
        <f t="shared" si="10"/>
        <v>29190</v>
      </c>
      <c r="Z28" s="505">
        <f t="shared" si="10"/>
        <v>29190</v>
      </c>
      <c r="AA28" s="505">
        <f t="shared" si="10"/>
        <v>29190</v>
      </c>
    </row>
    <row r="29" spans="1:27" ht="15.75" customHeight="1">
      <c r="A29" s="509"/>
      <c r="B29" s="509" t="s">
        <v>390</v>
      </c>
      <c r="C29" s="509"/>
      <c r="D29" s="509"/>
      <c r="E29" s="509"/>
      <c r="F29" s="509"/>
      <c r="G29" s="509"/>
      <c r="H29" s="509"/>
      <c r="I29" s="509"/>
      <c r="J29" s="509"/>
      <c r="K29" s="509"/>
      <c r="L29" s="509"/>
      <c r="M29" s="509"/>
      <c r="N29" s="510"/>
      <c r="O29" s="510"/>
      <c r="P29" s="510"/>
      <c r="Q29" s="510"/>
      <c r="R29" s="510"/>
      <c r="S29" s="510"/>
      <c r="T29" s="510"/>
      <c r="U29" s="510"/>
      <c r="V29" s="510"/>
      <c r="W29" s="510"/>
      <c r="X29" s="510"/>
      <c r="Y29" s="510"/>
      <c r="Z29" s="510"/>
      <c r="AA29" s="510"/>
    </row>
    <row r="30" spans="1:27" ht="15.75" customHeight="1">
      <c r="A30" s="507" t="s">
        <v>359</v>
      </c>
      <c r="B30" s="507" t="s">
        <v>185</v>
      </c>
      <c r="C30" s="507" t="s">
        <v>186</v>
      </c>
      <c r="D30" s="507" t="s">
        <v>140</v>
      </c>
      <c r="E30" s="507" t="s">
        <v>703</v>
      </c>
      <c r="F30" s="507" t="s">
        <v>197</v>
      </c>
      <c r="G30" s="507"/>
      <c r="H30" s="507"/>
      <c r="I30" s="507"/>
      <c r="J30" s="507" t="s">
        <v>146</v>
      </c>
      <c r="K30" t="str">
        <f>VLOOKUP(J30,Accounts!A:C,2,0)</f>
        <v>Sueldos y salarios</v>
      </c>
      <c r="L30" t="str">
        <f>VLOOKUP(J30,Accounts!A:C,3,0)</f>
        <v>Sueldos y Salarios</v>
      </c>
      <c r="M30" s="507" t="s">
        <v>102</v>
      </c>
      <c r="N30" s="498">
        <f t="shared" ref="N30:N33" si="11">+IF(M30="MXN",O30/$N$2,IF(M30="BRL",O30/$N$3,O30))</f>
        <v>17708.108108108107</v>
      </c>
      <c r="O30" s="504">
        <f t="shared" ref="O30:O33" si="12">+SUM(P30:AA30)</f>
        <v>327600</v>
      </c>
      <c r="P30" s="641">
        <f>'Salary Increases'!L11</f>
        <v>27300</v>
      </c>
      <c r="Q30" s="505">
        <f t="shared" ref="Q30:AA33" si="13">+P30</f>
        <v>27300</v>
      </c>
      <c r="R30" s="505">
        <f t="shared" si="13"/>
        <v>27300</v>
      </c>
      <c r="S30" s="505">
        <f t="shared" si="13"/>
        <v>27300</v>
      </c>
      <c r="T30" s="505">
        <f t="shared" si="13"/>
        <v>27300</v>
      </c>
      <c r="U30" s="505">
        <f t="shared" si="13"/>
        <v>27300</v>
      </c>
      <c r="V30" s="505">
        <f t="shared" si="13"/>
        <v>27300</v>
      </c>
      <c r="W30" s="505">
        <f t="shared" si="13"/>
        <v>27300</v>
      </c>
      <c r="X30" s="505">
        <f t="shared" si="13"/>
        <v>27300</v>
      </c>
      <c r="Y30" s="505">
        <f t="shared" si="13"/>
        <v>27300</v>
      </c>
      <c r="Z30" s="505">
        <f t="shared" si="13"/>
        <v>27300</v>
      </c>
      <c r="AA30" s="505">
        <f t="shared" si="13"/>
        <v>27300</v>
      </c>
    </row>
    <row r="31" spans="1:27" ht="15.75" customHeight="1">
      <c r="A31" s="507" t="s">
        <v>359</v>
      </c>
      <c r="B31" s="507" t="s">
        <v>185</v>
      </c>
      <c r="C31" s="507" t="s">
        <v>186</v>
      </c>
      <c r="D31" s="507" t="s">
        <v>140</v>
      </c>
      <c r="E31" s="507" t="s">
        <v>704</v>
      </c>
      <c r="F31" s="507" t="s">
        <v>705</v>
      </c>
      <c r="G31" s="507"/>
      <c r="H31" s="507"/>
      <c r="I31" s="507"/>
      <c r="J31" s="507" t="s">
        <v>146</v>
      </c>
      <c r="K31" t="str">
        <f>VLOOKUP(J31,Accounts!A:C,2,0)</f>
        <v>Sueldos y salarios</v>
      </c>
      <c r="L31" t="str">
        <f>VLOOKUP(J31,Accounts!A:C,3,0)</f>
        <v>Sueldos y Salarios</v>
      </c>
      <c r="M31" s="507" t="s">
        <v>102</v>
      </c>
      <c r="N31" s="498">
        <f t="shared" si="11"/>
        <v>26970.81081081081</v>
      </c>
      <c r="O31" s="504">
        <f t="shared" si="12"/>
        <v>498960</v>
      </c>
      <c r="P31" s="641">
        <f>'Salary Increases'!L12</f>
        <v>41580</v>
      </c>
      <c r="Q31" s="505">
        <f t="shared" si="13"/>
        <v>41580</v>
      </c>
      <c r="R31" s="505">
        <f t="shared" si="13"/>
        <v>41580</v>
      </c>
      <c r="S31" s="505">
        <f t="shared" si="13"/>
        <v>41580</v>
      </c>
      <c r="T31" s="505">
        <f t="shared" si="13"/>
        <v>41580</v>
      </c>
      <c r="U31" s="505">
        <f t="shared" si="13"/>
        <v>41580</v>
      </c>
      <c r="V31" s="505">
        <f t="shared" si="13"/>
        <v>41580</v>
      </c>
      <c r="W31" s="505">
        <f t="shared" si="13"/>
        <v>41580</v>
      </c>
      <c r="X31" s="505">
        <f t="shared" si="13"/>
        <v>41580</v>
      </c>
      <c r="Y31" s="505">
        <f t="shared" si="13"/>
        <v>41580</v>
      </c>
      <c r="Z31" s="505">
        <f t="shared" si="13"/>
        <v>41580</v>
      </c>
      <c r="AA31" s="505">
        <f t="shared" si="13"/>
        <v>41580</v>
      </c>
    </row>
    <row r="32" spans="1:27" ht="15.75" customHeight="1">
      <c r="A32" s="507" t="s">
        <v>359</v>
      </c>
      <c r="B32" s="507" t="s">
        <v>185</v>
      </c>
      <c r="C32" s="507" t="s">
        <v>186</v>
      </c>
      <c r="D32" s="507" t="s">
        <v>140</v>
      </c>
      <c r="E32" s="507" t="s">
        <v>706</v>
      </c>
      <c r="F32" s="507" t="s">
        <v>197</v>
      </c>
      <c r="G32" s="507"/>
      <c r="H32" s="507"/>
      <c r="I32" s="507"/>
      <c r="J32" s="507" t="s">
        <v>146</v>
      </c>
      <c r="K32" t="str">
        <f>VLOOKUP(J32,Accounts!A:C,2,0)</f>
        <v>Sueldos y salarios</v>
      </c>
      <c r="L32" t="str">
        <f>VLOOKUP(J32,Accounts!A:C,3,0)</f>
        <v>Sueldos y Salarios</v>
      </c>
      <c r="M32" s="507" t="s">
        <v>102</v>
      </c>
      <c r="N32" s="498">
        <f t="shared" si="11"/>
        <v>13351.351351351352</v>
      </c>
      <c r="O32" s="504">
        <f t="shared" si="12"/>
        <v>247000</v>
      </c>
      <c r="P32" s="505">
        <v>20000</v>
      </c>
      <c r="Q32" s="505">
        <f t="shared" si="13"/>
        <v>20000</v>
      </c>
      <c r="R32" s="505">
        <f t="shared" si="13"/>
        <v>20000</v>
      </c>
      <c r="S32" s="505">
        <f t="shared" si="13"/>
        <v>20000</v>
      </c>
      <c r="T32" s="505">
        <f t="shared" si="13"/>
        <v>20000</v>
      </c>
      <c r="U32" s="641">
        <f>'Salary Increases'!M10</f>
        <v>21000</v>
      </c>
      <c r="V32" s="505">
        <f t="shared" si="13"/>
        <v>21000</v>
      </c>
      <c r="W32" s="505">
        <f t="shared" si="13"/>
        <v>21000</v>
      </c>
      <c r="X32" s="505">
        <f t="shared" si="13"/>
        <v>21000</v>
      </c>
      <c r="Y32" s="505">
        <f t="shared" si="13"/>
        <v>21000</v>
      </c>
      <c r="Z32" s="505">
        <f t="shared" si="13"/>
        <v>21000</v>
      </c>
      <c r="AA32" s="505">
        <f t="shared" si="13"/>
        <v>21000</v>
      </c>
    </row>
    <row r="33" spans="1:27" ht="15.75" customHeight="1">
      <c r="A33" s="507" t="s">
        <v>359</v>
      </c>
      <c r="B33" s="507" t="s">
        <v>185</v>
      </c>
      <c r="C33" s="507" t="s">
        <v>186</v>
      </c>
      <c r="D33" s="507" t="s">
        <v>140</v>
      </c>
      <c r="E33" s="513" t="s">
        <v>707</v>
      </c>
      <c r="F33" s="507" t="s">
        <v>708</v>
      </c>
      <c r="G33" s="507"/>
      <c r="H33" s="507"/>
      <c r="I33" s="512"/>
      <c r="J33" s="507" t="s">
        <v>146</v>
      </c>
      <c r="K33" t="str">
        <f>VLOOKUP(J33,Accounts!A:C,2,0)</f>
        <v>Sueldos y salarios</v>
      </c>
      <c r="L33" t="str">
        <f>VLOOKUP(J33,Accounts!A:C,3,0)</f>
        <v>Sueldos y Salarios</v>
      </c>
      <c r="M33" s="507" t="s">
        <v>102</v>
      </c>
      <c r="N33" s="498">
        <f t="shared" si="11"/>
        <v>9843.3243243243251</v>
      </c>
      <c r="O33" s="504">
        <f t="shared" si="12"/>
        <v>182101.5</v>
      </c>
      <c r="P33" s="641">
        <f>'Salary Increases'!L13</f>
        <v>15175.125</v>
      </c>
      <c r="Q33" s="505">
        <f t="shared" si="13"/>
        <v>15175.125</v>
      </c>
      <c r="R33" s="505">
        <f t="shared" si="13"/>
        <v>15175.125</v>
      </c>
      <c r="S33" s="505">
        <f t="shared" si="13"/>
        <v>15175.125</v>
      </c>
      <c r="T33" s="505">
        <f t="shared" si="13"/>
        <v>15175.125</v>
      </c>
      <c r="U33" s="505">
        <f t="shared" si="13"/>
        <v>15175.125</v>
      </c>
      <c r="V33" s="505">
        <f t="shared" si="13"/>
        <v>15175.125</v>
      </c>
      <c r="W33" s="505">
        <f t="shared" si="13"/>
        <v>15175.125</v>
      </c>
      <c r="X33" s="505">
        <f t="shared" si="13"/>
        <v>15175.125</v>
      </c>
      <c r="Y33" s="505">
        <f t="shared" si="13"/>
        <v>15175.125</v>
      </c>
      <c r="Z33" s="505">
        <f t="shared" si="13"/>
        <v>15175.125</v>
      </c>
      <c r="AA33" s="505">
        <f t="shared" si="13"/>
        <v>15175.125</v>
      </c>
    </row>
    <row r="34" spans="1:27" ht="15.75" customHeight="1">
      <c r="A34" s="509"/>
      <c r="B34" s="509" t="s">
        <v>709</v>
      </c>
      <c r="C34" s="509"/>
      <c r="D34" s="509"/>
      <c r="E34" s="509"/>
      <c r="F34" s="509"/>
      <c r="G34" s="509"/>
      <c r="H34" s="509"/>
      <c r="I34" s="509"/>
      <c r="J34" s="509"/>
      <c r="K34" s="509"/>
      <c r="L34" s="509"/>
      <c r="M34" s="509"/>
      <c r="N34" s="510"/>
      <c r="O34" s="510"/>
      <c r="P34" s="510"/>
      <c r="Q34" s="510"/>
      <c r="R34" s="510"/>
      <c r="S34" s="510"/>
      <c r="T34" s="510"/>
      <c r="U34" s="510"/>
      <c r="V34" s="510"/>
      <c r="W34" s="510"/>
      <c r="X34" s="510"/>
      <c r="Y34" s="510"/>
      <c r="Z34" s="510"/>
      <c r="AA34" s="510"/>
    </row>
    <row r="35" spans="1:27" ht="15.75" customHeight="1">
      <c r="A35" s="507" t="s">
        <v>359</v>
      </c>
      <c r="B35" s="507" t="s">
        <v>185</v>
      </c>
      <c r="C35" s="507" t="s">
        <v>186</v>
      </c>
      <c r="D35" s="507" t="s">
        <v>149</v>
      </c>
      <c r="E35" s="507" t="s">
        <v>395</v>
      </c>
      <c r="F35" s="507" t="s">
        <v>710</v>
      </c>
      <c r="G35" s="507"/>
      <c r="H35" s="507"/>
      <c r="I35" s="507"/>
      <c r="J35" s="507" t="s">
        <v>397</v>
      </c>
      <c r="K35" t="str">
        <f>VLOOKUP(J35,Accounts!A:C,2,0)</f>
        <v>Despensa</v>
      </c>
      <c r="L35" t="str">
        <f>VLOOKUP(J35,Accounts!A:C,3,0)</f>
        <v>Sueldos y Salarios</v>
      </c>
      <c r="M35" s="507" t="s">
        <v>102</v>
      </c>
      <c r="N35" s="498">
        <f t="shared" ref="N35:N40" si="14">+IF(M35="MXN",O35/$N$2,IF(M35="BRL",O35/$N$3,O35))</f>
        <v>2075.6756756756758</v>
      </c>
      <c r="O35" s="504">
        <f t="shared" ref="O35:O40" si="15">+SUM(P35:AA35)</f>
        <v>38400</v>
      </c>
      <c r="P35" s="505">
        <f t="shared" ref="P35:AA35" si="16">800*4</f>
        <v>3200</v>
      </c>
      <c r="Q35" s="505">
        <f t="shared" si="16"/>
        <v>3200</v>
      </c>
      <c r="R35" s="505">
        <f t="shared" si="16"/>
        <v>3200</v>
      </c>
      <c r="S35" s="505">
        <f t="shared" si="16"/>
        <v>3200</v>
      </c>
      <c r="T35" s="505">
        <f t="shared" si="16"/>
        <v>3200</v>
      </c>
      <c r="U35" s="505">
        <f t="shared" si="16"/>
        <v>3200</v>
      </c>
      <c r="V35" s="505">
        <f t="shared" si="16"/>
        <v>3200</v>
      </c>
      <c r="W35" s="505">
        <f t="shared" si="16"/>
        <v>3200</v>
      </c>
      <c r="X35" s="505">
        <f t="shared" si="16"/>
        <v>3200</v>
      </c>
      <c r="Y35" s="505">
        <f t="shared" si="16"/>
        <v>3200</v>
      </c>
      <c r="Z35" s="505">
        <f t="shared" si="16"/>
        <v>3200</v>
      </c>
      <c r="AA35" s="505">
        <f t="shared" si="16"/>
        <v>3200</v>
      </c>
    </row>
    <row r="36" spans="1:27" ht="15.75" customHeight="1">
      <c r="A36" s="507" t="s">
        <v>359</v>
      </c>
      <c r="B36" s="507" t="s">
        <v>185</v>
      </c>
      <c r="C36" s="507" t="s">
        <v>186</v>
      </c>
      <c r="D36" s="507" t="s">
        <v>149</v>
      </c>
      <c r="E36" s="507" t="s">
        <v>711</v>
      </c>
      <c r="F36" s="507" t="s">
        <v>399</v>
      </c>
      <c r="G36" s="507"/>
      <c r="H36" s="507"/>
      <c r="I36" s="507"/>
      <c r="J36" s="507" t="s">
        <v>403</v>
      </c>
      <c r="K36" t="str">
        <f>VLOOKUP(J36,Accounts!A:C,2,0)</f>
        <v>Prima vacacional</v>
      </c>
      <c r="L36" t="str">
        <f>VLOOKUP(J36,Accounts!A:C,3,0)</f>
        <v>Sueldos y Salarios</v>
      </c>
      <c r="M36" s="507" t="s">
        <v>102</v>
      </c>
      <c r="N36" s="498">
        <f t="shared" si="14"/>
        <v>2839.3277027027025</v>
      </c>
      <c r="O36" s="504">
        <f t="shared" si="15"/>
        <v>52527.5625</v>
      </c>
      <c r="P36" s="505">
        <v>0</v>
      </c>
      <c r="Q36" s="505">
        <v>0</v>
      </c>
      <c r="R36" s="505">
        <v>0</v>
      </c>
      <c r="S36" s="505">
        <v>0</v>
      </c>
      <c r="T36" s="505">
        <v>0</v>
      </c>
      <c r="U36" s="505">
        <v>0</v>
      </c>
      <c r="V36" s="505">
        <v>0</v>
      </c>
      <c r="W36" s="505">
        <v>0</v>
      </c>
      <c r="X36" s="505">
        <v>0</v>
      </c>
      <c r="Y36" s="505">
        <v>0</v>
      </c>
      <c r="Z36" s="505">
        <v>0</v>
      </c>
      <c r="AA36" s="505">
        <f>+SUM(AA30:AA33)/2</f>
        <v>52527.5625</v>
      </c>
    </row>
    <row r="37" spans="1:27" ht="15.75" customHeight="1">
      <c r="A37" s="507" t="s">
        <v>369</v>
      </c>
      <c r="B37" s="507" t="s">
        <v>185</v>
      </c>
      <c r="C37" s="507" t="s">
        <v>186</v>
      </c>
      <c r="D37" s="507" t="s">
        <v>149</v>
      </c>
      <c r="E37" s="507" t="s">
        <v>712</v>
      </c>
      <c r="F37" s="507" t="s">
        <v>399</v>
      </c>
      <c r="G37" s="507"/>
      <c r="H37" s="507"/>
      <c r="I37" s="507"/>
      <c r="J37" s="507" t="s">
        <v>403</v>
      </c>
      <c r="K37" t="str">
        <f>VLOOKUP(J37,Accounts!A:C,2,0)</f>
        <v>Prima vacacional</v>
      </c>
      <c r="L37" t="str">
        <f>VLOOKUP(J37,Accounts!A:C,3,0)</f>
        <v>Sueldos y Salarios</v>
      </c>
      <c r="M37" s="507" t="s">
        <v>102</v>
      </c>
      <c r="N37" s="498">
        <f t="shared" si="14"/>
        <v>2328.1621621621621</v>
      </c>
      <c r="O37" s="504">
        <f t="shared" si="15"/>
        <v>43071</v>
      </c>
      <c r="P37" s="505">
        <v>0</v>
      </c>
      <c r="Q37" s="505">
        <v>0</v>
      </c>
      <c r="R37" s="505">
        <v>0</v>
      </c>
      <c r="S37" s="505">
        <v>0</v>
      </c>
      <c r="T37" s="505">
        <v>0</v>
      </c>
      <c r="U37" s="505">
        <v>0</v>
      </c>
      <c r="V37" s="505">
        <v>0</v>
      </c>
      <c r="W37" s="505">
        <v>0</v>
      </c>
      <c r="X37" s="505">
        <v>0</v>
      </c>
      <c r="Y37" s="505">
        <v>0</v>
      </c>
      <c r="Z37" s="505">
        <v>0</v>
      </c>
      <c r="AA37" s="505">
        <f>+SUM(AA27:AA28)*0.7</f>
        <v>43071</v>
      </c>
    </row>
    <row r="38" spans="1:27" ht="15.75" customHeight="1">
      <c r="A38" s="507" t="s">
        <v>359</v>
      </c>
      <c r="B38" s="507" t="s">
        <v>185</v>
      </c>
      <c r="C38" s="507" t="s">
        <v>186</v>
      </c>
      <c r="D38" s="507" t="s">
        <v>149</v>
      </c>
      <c r="E38" s="507" t="s">
        <v>402</v>
      </c>
      <c r="F38" s="507" t="s">
        <v>402</v>
      </c>
      <c r="G38" s="507"/>
      <c r="H38" s="507"/>
      <c r="I38" s="507"/>
      <c r="J38" s="507" t="s">
        <v>400</v>
      </c>
      <c r="K38" t="str">
        <f>VLOOKUP(J38,Accounts!A:C,2,0)</f>
        <v>Aguinaldo</v>
      </c>
      <c r="L38" t="str">
        <f>VLOOKUP(J38,Accounts!A:C,3,0)</f>
        <v>Sueldos y Salarios</v>
      </c>
      <c r="M38" s="507" t="s">
        <v>102</v>
      </c>
      <c r="N38" s="498">
        <f t="shared" si="14"/>
        <v>118.30532094594595</v>
      </c>
      <c r="O38" s="504">
        <f t="shared" si="15"/>
        <v>2188.6484375</v>
      </c>
      <c r="P38" s="505">
        <v>0</v>
      </c>
      <c r="Q38" s="505">
        <v>0</v>
      </c>
      <c r="R38" s="505">
        <v>0</v>
      </c>
      <c r="S38" s="505">
        <v>0</v>
      </c>
      <c r="T38" s="505">
        <v>0</v>
      </c>
      <c r="U38" s="505">
        <f>+SUM(U30:U33)*0.25/12</f>
        <v>2188.6484375</v>
      </c>
      <c r="V38" s="505">
        <v>0</v>
      </c>
      <c r="W38" s="505">
        <v>0</v>
      </c>
      <c r="X38" s="505">
        <v>0</v>
      </c>
      <c r="Y38" s="505">
        <v>0</v>
      </c>
      <c r="Z38" s="505">
        <v>0</v>
      </c>
      <c r="AA38" s="505"/>
    </row>
    <row r="39" spans="1:27" ht="15.75" customHeight="1">
      <c r="A39" s="507" t="s">
        <v>359</v>
      </c>
      <c r="B39" s="507" t="s">
        <v>185</v>
      </c>
      <c r="C39" s="507" t="s">
        <v>186</v>
      </c>
      <c r="D39" s="507" t="s">
        <v>140</v>
      </c>
      <c r="E39" t="s">
        <v>404</v>
      </c>
      <c r="F39" s="50" t="s">
        <v>909</v>
      </c>
      <c r="G39" s="507"/>
      <c r="H39" s="507"/>
      <c r="I39" s="507"/>
      <c r="J39" s="507" t="s">
        <v>146</v>
      </c>
      <c r="K39" t="str">
        <f>VLOOKUP(J39,Accounts!A:C,2,0)</f>
        <v>Sueldos y salarios</v>
      </c>
      <c r="L39" t="str">
        <f>VLOOKUP(J39,Accounts!A:C,3,0)</f>
        <v>Sueldos y Salarios</v>
      </c>
      <c r="M39" s="507" t="s">
        <v>102</v>
      </c>
      <c r="N39" s="498">
        <f t="shared" ref="N39" si="17">+IF(M39="MXN",O39/$N$2,IF(M39="BRL",O39/$N$3,O39))</f>
        <v>2036.2078378378378</v>
      </c>
      <c r="O39" s="504">
        <f t="shared" ref="O39" si="18">+SUM(P39:AA39)</f>
        <v>37669.845000000001</v>
      </c>
      <c r="P39" s="505">
        <f>+SUM(P30:P33)*0.03</f>
        <v>3121.6537499999999</v>
      </c>
      <c r="Q39" s="505">
        <f t="shared" ref="Q39:AA39" si="19">+SUM(Q30:Q33)*0.03</f>
        <v>3121.6537499999999</v>
      </c>
      <c r="R39" s="505">
        <f t="shared" si="19"/>
        <v>3121.6537499999999</v>
      </c>
      <c r="S39" s="505">
        <f t="shared" si="19"/>
        <v>3121.6537499999999</v>
      </c>
      <c r="T39" s="505">
        <f t="shared" si="19"/>
        <v>3121.6537499999999</v>
      </c>
      <c r="U39" s="505">
        <f t="shared" si="19"/>
        <v>3151.6537499999999</v>
      </c>
      <c r="V39" s="505">
        <f t="shared" si="19"/>
        <v>3151.6537499999999</v>
      </c>
      <c r="W39" s="505">
        <f t="shared" si="19"/>
        <v>3151.6537499999999</v>
      </c>
      <c r="X39" s="505">
        <f t="shared" si="19"/>
        <v>3151.6537499999999</v>
      </c>
      <c r="Y39" s="505">
        <f t="shared" si="19"/>
        <v>3151.6537499999999</v>
      </c>
      <c r="Z39" s="505">
        <f t="shared" si="19"/>
        <v>3151.6537499999999</v>
      </c>
      <c r="AA39" s="505">
        <f t="shared" si="19"/>
        <v>3151.6537499999999</v>
      </c>
    </row>
    <row r="40" spans="1:27" ht="15.75" customHeight="1">
      <c r="A40" s="507" t="s">
        <v>359</v>
      </c>
      <c r="B40" s="507" t="s">
        <v>185</v>
      </c>
      <c r="C40" s="507" t="s">
        <v>186</v>
      </c>
      <c r="D40" s="507" t="s">
        <v>140</v>
      </c>
      <c r="E40" t="s">
        <v>404</v>
      </c>
      <c r="F40" s="50" t="s">
        <v>910</v>
      </c>
      <c r="G40" s="507"/>
      <c r="H40" s="507"/>
      <c r="I40" s="507"/>
      <c r="J40" s="507" t="s">
        <v>146</v>
      </c>
      <c r="K40" t="str">
        <f>VLOOKUP(J40,Accounts!A:C,2,0)</f>
        <v>Sueldos y salarios</v>
      </c>
      <c r="L40" t="str">
        <f>VLOOKUP(J40,Accounts!A:C,3,0)</f>
        <v>Sueldos y Salarios</v>
      </c>
      <c r="M40" s="507" t="s">
        <v>102</v>
      </c>
      <c r="N40" s="498">
        <f t="shared" si="14"/>
        <v>14920.298918918917</v>
      </c>
      <c r="O40" s="504">
        <f t="shared" si="15"/>
        <v>276025.52999999997</v>
      </c>
      <c r="P40" s="505">
        <f>+SUM(P30:P33)*0.22*2</f>
        <v>45784.254999999997</v>
      </c>
      <c r="Q40" s="505">
        <v>0</v>
      </c>
      <c r="R40" s="505">
        <f>+SUM(R30:R33)*0.22*2</f>
        <v>45784.254999999997</v>
      </c>
      <c r="S40" s="505">
        <v>0</v>
      </c>
      <c r="T40" s="505">
        <f>+SUM(T30:T33)*0.22*2</f>
        <v>45784.254999999997</v>
      </c>
      <c r="U40" s="505">
        <v>0</v>
      </c>
      <c r="V40" s="505">
        <f>+SUM(V30:V33)*0.22*2</f>
        <v>46224.254999999997</v>
      </c>
      <c r="W40" s="505">
        <v>0</v>
      </c>
      <c r="X40" s="505">
        <f>+SUM(X30:X33)*0.22*2</f>
        <v>46224.254999999997</v>
      </c>
      <c r="Y40" s="505">
        <v>0</v>
      </c>
      <c r="Z40" s="505">
        <f>+SUM(Z30:Z33)*0.22*2</f>
        <v>46224.254999999997</v>
      </c>
      <c r="AA40" s="505">
        <v>0</v>
      </c>
    </row>
    <row r="41" spans="1:27" ht="15.75" customHeight="1">
      <c r="A41" s="500"/>
      <c r="B41" s="500" t="s">
        <v>405</v>
      </c>
      <c r="C41" s="500"/>
      <c r="D41" s="500"/>
      <c r="E41" s="500"/>
      <c r="F41" s="500"/>
      <c r="G41" s="500"/>
      <c r="H41" s="500"/>
      <c r="I41" s="500"/>
      <c r="J41" s="500"/>
      <c r="K41" s="500"/>
      <c r="L41" s="500"/>
      <c r="M41" s="500"/>
      <c r="N41" s="501"/>
      <c r="O41" s="501"/>
      <c r="P41" s="501"/>
      <c r="Q41" s="501"/>
      <c r="R41" s="501"/>
      <c r="S41" s="501"/>
      <c r="T41" s="501"/>
      <c r="U41" s="501"/>
      <c r="V41" s="501"/>
      <c r="W41" s="501"/>
      <c r="X41" s="501"/>
      <c r="Y41" s="501"/>
      <c r="Z41" s="501"/>
      <c r="AA41" s="501"/>
    </row>
    <row r="42" spans="1:27" ht="15.75" customHeight="1">
      <c r="A42" s="507" t="s">
        <v>359</v>
      </c>
      <c r="B42" s="494" t="s">
        <v>185</v>
      </c>
      <c r="C42" s="494" t="s">
        <v>186</v>
      </c>
      <c r="D42" s="494" t="s">
        <v>153</v>
      </c>
      <c r="E42" s="494" t="s">
        <v>154</v>
      </c>
      <c r="F42" s="507" t="s">
        <v>713</v>
      </c>
      <c r="G42" s="507"/>
      <c r="J42" s="508" t="s">
        <v>156</v>
      </c>
      <c r="K42" t="str">
        <f>VLOOKUP(J42,Accounts!A:C,2,0)</f>
        <v>Viaticos Hotel</v>
      </c>
      <c r="L42" t="str">
        <f>VLOOKUP(J42,Accounts!A:C,3,0)</f>
        <v>Gastos de Viaje</v>
      </c>
      <c r="M42" s="494" t="s">
        <v>101</v>
      </c>
      <c r="N42" s="498">
        <f t="shared" ref="N42:N45" si="20">+IF(M42="MXN",O42/$N$2,IF(M42="BRL",O42/$N$3,O42))</f>
        <v>25000</v>
      </c>
      <c r="O42" s="504">
        <f t="shared" ref="O42:O45" si="21">+SUM(P42:AA42)</f>
        <v>25000</v>
      </c>
      <c r="P42" s="505">
        <v>0</v>
      </c>
      <c r="Q42" s="505">
        <v>0</v>
      </c>
      <c r="R42" s="505">
        <v>0</v>
      </c>
      <c r="S42" s="505">
        <v>0</v>
      </c>
      <c r="T42" s="505">
        <v>0</v>
      </c>
      <c r="U42" s="505">
        <v>0</v>
      </c>
      <c r="V42" s="505">
        <f>5000*5</f>
        <v>25000</v>
      </c>
      <c r="W42" s="505">
        <v>0</v>
      </c>
      <c r="X42" s="505">
        <v>0</v>
      </c>
      <c r="Y42" s="505">
        <v>0</v>
      </c>
      <c r="Z42" s="505">
        <v>0</v>
      </c>
      <c r="AA42" s="505">
        <v>0</v>
      </c>
    </row>
    <row r="43" spans="1:27" ht="15.75" customHeight="1">
      <c r="A43" s="507" t="s">
        <v>359</v>
      </c>
      <c r="B43" s="494" t="s">
        <v>185</v>
      </c>
      <c r="C43" s="494" t="s">
        <v>186</v>
      </c>
      <c r="D43" s="494" t="s">
        <v>159</v>
      </c>
      <c r="E43" s="494" t="s">
        <v>154</v>
      </c>
      <c r="F43" s="507" t="s">
        <v>713</v>
      </c>
      <c r="G43" s="507"/>
      <c r="J43" s="508" t="s">
        <v>160</v>
      </c>
      <c r="K43" t="str">
        <f>VLOOKUP(J43,Accounts!A:C,2,0)</f>
        <v>Vaticos Taxi</v>
      </c>
      <c r="L43" t="str">
        <f>VLOOKUP(J43,Accounts!A:C,3,0)</f>
        <v>Gastos de Viaje</v>
      </c>
      <c r="M43" s="494" t="s">
        <v>101</v>
      </c>
      <c r="N43" s="498">
        <f t="shared" si="20"/>
        <v>2500</v>
      </c>
      <c r="O43" s="504">
        <f t="shared" si="21"/>
        <v>2500</v>
      </c>
      <c r="P43" s="505">
        <v>0</v>
      </c>
      <c r="Q43" s="505">
        <v>0</v>
      </c>
      <c r="R43" s="505">
        <v>0</v>
      </c>
      <c r="S43" s="505">
        <v>0</v>
      </c>
      <c r="T43" s="505">
        <v>0</v>
      </c>
      <c r="U43" s="505">
        <v>0</v>
      </c>
      <c r="V43" s="505">
        <f>500*5</f>
        <v>2500</v>
      </c>
      <c r="W43" s="505">
        <v>0</v>
      </c>
      <c r="X43" s="505">
        <v>0</v>
      </c>
      <c r="Y43" s="505">
        <v>0</v>
      </c>
      <c r="Z43" s="505">
        <v>0</v>
      </c>
      <c r="AA43" s="505">
        <v>0</v>
      </c>
    </row>
    <row r="44" spans="1:27" ht="15.75" customHeight="1">
      <c r="A44" s="507" t="s">
        <v>359</v>
      </c>
      <c r="B44" s="494" t="s">
        <v>185</v>
      </c>
      <c r="C44" s="494" t="s">
        <v>186</v>
      </c>
      <c r="D44" s="494" t="s">
        <v>162</v>
      </c>
      <c r="E44" s="494" t="s">
        <v>154</v>
      </c>
      <c r="F44" s="507" t="s">
        <v>713</v>
      </c>
      <c r="G44" s="507"/>
      <c r="J44" s="508" t="s">
        <v>163</v>
      </c>
      <c r="K44" t="str">
        <f>VLOOKUP(J44,Accounts!A:C,2,0)</f>
        <v>Viaticos Avion</v>
      </c>
      <c r="L44" t="str">
        <f>VLOOKUP(J44,Accounts!A:C,3,0)</f>
        <v>Gastos de Viaje</v>
      </c>
      <c r="M44" s="494" t="s">
        <v>101</v>
      </c>
      <c r="N44" s="498">
        <f t="shared" si="20"/>
        <v>20000</v>
      </c>
      <c r="O44" s="504">
        <f t="shared" si="21"/>
        <v>20000</v>
      </c>
      <c r="P44" s="505">
        <v>0</v>
      </c>
      <c r="Q44" s="505">
        <v>0</v>
      </c>
      <c r="R44" s="505">
        <v>0</v>
      </c>
      <c r="S44" s="505">
        <v>0</v>
      </c>
      <c r="T44" s="505">
        <v>0</v>
      </c>
      <c r="U44" s="505">
        <v>0</v>
      </c>
      <c r="V44" s="505">
        <v>20000</v>
      </c>
      <c r="W44" s="505">
        <v>0</v>
      </c>
      <c r="X44" s="505">
        <v>0</v>
      </c>
      <c r="Y44" s="505">
        <v>0</v>
      </c>
      <c r="Z44" s="505">
        <v>0</v>
      </c>
      <c r="AA44" s="505">
        <v>0</v>
      </c>
    </row>
    <row r="45" spans="1:27" ht="15.75" customHeight="1">
      <c r="A45" s="507" t="s">
        <v>359</v>
      </c>
      <c r="B45" s="494" t="s">
        <v>185</v>
      </c>
      <c r="C45" s="494" t="s">
        <v>186</v>
      </c>
      <c r="D45" s="494" t="s">
        <v>165</v>
      </c>
      <c r="E45" s="494" t="s">
        <v>154</v>
      </c>
      <c r="F45" s="507" t="s">
        <v>713</v>
      </c>
      <c r="G45" s="507"/>
      <c r="J45" s="508" t="s">
        <v>166</v>
      </c>
      <c r="K45" t="str">
        <f>VLOOKUP(J45,Accounts!A:C,2,0)</f>
        <v>Viaticos Comidas</v>
      </c>
      <c r="L45" t="str">
        <f>VLOOKUP(J45,Accounts!A:C,3,0)</f>
        <v>Gastos de Viaje</v>
      </c>
      <c r="M45" s="494" t="s">
        <v>101</v>
      </c>
      <c r="N45" s="498">
        <f t="shared" si="20"/>
        <v>10000</v>
      </c>
      <c r="O45" s="504">
        <f t="shared" si="21"/>
        <v>10000</v>
      </c>
      <c r="P45" s="505">
        <v>0</v>
      </c>
      <c r="Q45" s="505">
        <v>0</v>
      </c>
      <c r="R45" s="505">
        <v>0</v>
      </c>
      <c r="S45" s="505">
        <v>0</v>
      </c>
      <c r="T45" s="505">
        <v>0</v>
      </c>
      <c r="U45" s="505">
        <v>0</v>
      </c>
      <c r="V45" s="505">
        <f>2000*5</f>
        <v>10000</v>
      </c>
      <c r="W45" s="505">
        <v>0</v>
      </c>
      <c r="X45" s="505">
        <v>0</v>
      </c>
      <c r="Y45" s="505">
        <v>0</v>
      </c>
      <c r="Z45" s="505">
        <v>0</v>
      </c>
      <c r="AA45" s="505">
        <v>0</v>
      </c>
    </row>
    <row r="46" spans="1:27" ht="15.75" customHeight="1"/>
    <row r="47" spans="1:27" ht="15.75" customHeight="1"/>
    <row r="48" spans="1:27" ht="15.75" customHeight="1">
      <c r="E48" s="513"/>
    </row>
    <row r="49" spans="5:5" ht="15.75" customHeight="1">
      <c r="E49" s="513"/>
    </row>
    <row r="50" spans="5:5" ht="15.75" customHeight="1"/>
    <row r="51" spans="5:5" ht="15.75" customHeight="1"/>
    <row r="52" spans="5:5" ht="15.75" customHeight="1"/>
    <row r="53" spans="5:5" ht="15.75" customHeight="1"/>
    <row r="54" spans="5:5" ht="15.75" customHeight="1">
      <c r="E54" s="513"/>
    </row>
    <row r="55" spans="5:5" ht="15.75" customHeight="1"/>
    <row r="56" spans="5:5" ht="15.75" customHeight="1">
      <c r="E56" s="514"/>
    </row>
    <row r="57" spans="5:5" ht="15.75" customHeight="1">
      <c r="E57" s="514"/>
    </row>
    <row r="58" spans="5:5" ht="15.75" customHeight="1"/>
    <row r="59" spans="5:5" ht="15.75" customHeight="1"/>
    <row r="60" spans="5:5" ht="15.75" customHeight="1"/>
    <row r="61" spans="5:5" ht="15.75" customHeight="1"/>
    <row r="62" spans="5:5" ht="15.75" customHeight="1"/>
    <row r="63" spans="5:5" ht="15.75" customHeight="1"/>
    <row r="64" spans="5:5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1D9A-D064-3341-99CC-0A5F17771820}">
  <dimension ref="A1:P1000"/>
  <sheetViews>
    <sheetView showGridLines="0" workbookViewId="0">
      <selection activeCell="P22" sqref="P22"/>
    </sheetView>
  </sheetViews>
  <sheetFormatPr baseColWidth="10" defaultColWidth="11.1640625" defaultRowHeight="16"/>
  <cols>
    <col min="1" max="1" width="25.6640625" customWidth="1"/>
    <col min="2" max="2" width="9.33203125" customWidth="1"/>
    <col min="3" max="3" width="16.1640625" customWidth="1"/>
    <col min="4" max="4" width="12.83203125" customWidth="1"/>
    <col min="5" max="5" width="7.83203125" customWidth="1"/>
    <col min="6" max="6" width="16.5" customWidth="1"/>
    <col min="7" max="7" width="20.1640625" customWidth="1"/>
    <col min="8" max="8" width="15.33203125" customWidth="1"/>
    <col min="9" max="9" width="6.1640625" customWidth="1"/>
    <col min="10" max="10" width="14.1640625" customWidth="1"/>
    <col min="11" max="11" width="16.6640625" customWidth="1"/>
    <col min="12" max="12" width="16.1640625" customWidth="1"/>
    <col min="13" max="13" width="14.5" customWidth="1"/>
    <col min="14" max="14" width="12" customWidth="1"/>
    <col min="15" max="26" width="10.5" customWidth="1"/>
  </cols>
  <sheetData>
    <row r="1" spans="1:16" ht="15.75" customHeight="1">
      <c r="K1" s="655"/>
    </row>
    <row r="2" spans="1:16" ht="15.75" customHeight="1">
      <c r="K2" s="655"/>
      <c r="L2" s="421" t="s">
        <v>836</v>
      </c>
    </row>
    <row r="3" spans="1:16" ht="15.75" customHeight="1" thickBot="1">
      <c r="A3" s="421" t="s">
        <v>837</v>
      </c>
      <c r="B3" s="421" t="s">
        <v>838</v>
      </c>
      <c r="C3" s="421" t="s">
        <v>839</v>
      </c>
      <c r="D3" s="421" t="s">
        <v>840</v>
      </c>
      <c r="E3" s="421" t="s">
        <v>841</v>
      </c>
      <c r="F3" s="421" t="s">
        <v>842</v>
      </c>
      <c r="G3" s="421" t="s">
        <v>843</v>
      </c>
      <c r="H3" s="421" t="s">
        <v>844</v>
      </c>
      <c r="I3" s="421" t="s">
        <v>845</v>
      </c>
      <c r="J3" s="421" t="s">
        <v>846</v>
      </c>
      <c r="K3" s="655" t="s">
        <v>847</v>
      </c>
      <c r="L3" s="421" t="s">
        <v>848</v>
      </c>
      <c r="M3" s="656">
        <v>46174</v>
      </c>
    </row>
    <row r="4" spans="1:16" ht="15.75" customHeight="1">
      <c r="A4" s="421" t="s">
        <v>849</v>
      </c>
      <c r="B4" s="421" t="s">
        <v>850</v>
      </c>
      <c r="C4" s="421" t="s">
        <v>142</v>
      </c>
      <c r="D4" s="657">
        <v>6000</v>
      </c>
      <c r="E4" s="421" t="s">
        <v>101</v>
      </c>
      <c r="F4" s="657">
        <f>+IF(E4="USD",D4*$P$7,IF(E4="BRL",D4*$P$8,D4))</f>
        <v>111000</v>
      </c>
      <c r="G4" s="658">
        <v>42137</v>
      </c>
      <c r="I4" s="421" t="s">
        <v>850</v>
      </c>
      <c r="J4" s="421" t="s">
        <v>848</v>
      </c>
      <c r="K4" s="655" t="s">
        <v>373</v>
      </c>
      <c r="L4" s="657">
        <f>+F4</f>
        <v>111000</v>
      </c>
      <c r="M4" s="657">
        <f>+L4</f>
        <v>111000</v>
      </c>
      <c r="O4" s="659" t="s">
        <v>892</v>
      </c>
      <c r="P4" s="660">
        <v>0.3</v>
      </c>
    </row>
    <row r="5" spans="1:16" ht="15.75" customHeight="1" thickBot="1">
      <c r="A5" s="661" t="s">
        <v>851</v>
      </c>
      <c r="B5" s="661"/>
      <c r="C5" s="661"/>
      <c r="D5" s="661"/>
      <c r="E5" s="661"/>
      <c r="F5" s="662">
        <f>+F4</f>
        <v>111000</v>
      </c>
      <c r="G5" s="661"/>
      <c r="H5" s="661"/>
      <c r="I5" s="661"/>
      <c r="J5" s="661"/>
      <c r="K5" s="663"/>
      <c r="L5" s="662">
        <f t="shared" ref="L5:M5" si="0">+L4</f>
        <v>111000</v>
      </c>
      <c r="M5" s="662">
        <f t="shared" si="0"/>
        <v>111000</v>
      </c>
      <c r="O5" s="664" t="s">
        <v>893</v>
      </c>
      <c r="P5" s="665">
        <v>0.05</v>
      </c>
    </row>
    <row r="6" spans="1:16" ht="15.75" customHeight="1">
      <c r="K6" s="655"/>
    </row>
    <row r="7" spans="1:16" ht="15.75" customHeight="1">
      <c r="A7" s="666" t="s">
        <v>852</v>
      </c>
      <c r="B7" s="666" t="s">
        <v>185</v>
      </c>
      <c r="C7" s="666" t="s">
        <v>853</v>
      </c>
      <c r="D7" s="667">
        <v>28000</v>
      </c>
      <c r="E7" s="666" t="s">
        <v>19</v>
      </c>
      <c r="F7" s="667">
        <f t="shared" ref="F7:F14" si="1">+IF(E7="USD",D7*$P$7,IF(E7="BRL",D7*$P$8,D7))</f>
        <v>96880</v>
      </c>
      <c r="G7" s="668">
        <v>44305</v>
      </c>
      <c r="H7" s="666" t="s">
        <v>854</v>
      </c>
      <c r="I7" s="666"/>
      <c r="J7" s="666" t="s">
        <v>848</v>
      </c>
      <c r="K7" s="669" t="s">
        <v>913</v>
      </c>
      <c r="L7" s="667">
        <f>+F7*1.4</f>
        <v>135632</v>
      </c>
      <c r="M7" s="667">
        <f t="shared" ref="M7:M14" si="2">+L7</f>
        <v>135632</v>
      </c>
      <c r="O7" s="421" t="s">
        <v>102</v>
      </c>
      <c r="P7" s="298">
        <f>+[4]Supuestos!$M$9</f>
        <v>18.5</v>
      </c>
    </row>
    <row r="8" spans="1:16" ht="15.75" customHeight="1">
      <c r="A8" s="421" t="s">
        <v>855</v>
      </c>
      <c r="B8" s="421" t="s">
        <v>185</v>
      </c>
      <c r="C8" s="421" t="s">
        <v>856</v>
      </c>
      <c r="D8" s="657">
        <v>30800</v>
      </c>
      <c r="E8" s="421" t="s">
        <v>102</v>
      </c>
      <c r="F8" s="657">
        <f t="shared" si="1"/>
        <v>30800</v>
      </c>
      <c r="G8" s="658">
        <v>45139</v>
      </c>
      <c r="H8" s="421" t="s">
        <v>857</v>
      </c>
      <c r="J8" s="421" t="s">
        <v>848</v>
      </c>
      <c r="K8" s="670">
        <v>0.05</v>
      </c>
      <c r="L8" s="657">
        <f t="shared" ref="L8:L14" si="3">+F8*(1+$P$5)</f>
        <v>32340</v>
      </c>
      <c r="M8" s="657">
        <f t="shared" si="2"/>
        <v>32340</v>
      </c>
      <c r="O8" s="671" t="s">
        <v>19</v>
      </c>
      <c r="P8" s="671">
        <v>3.46</v>
      </c>
    </row>
    <row r="9" spans="1:16" ht="15.75" customHeight="1">
      <c r="A9" s="421" t="s">
        <v>858</v>
      </c>
      <c r="B9" s="421" t="s">
        <v>185</v>
      </c>
      <c r="C9" s="421" t="s">
        <v>856</v>
      </c>
      <c r="D9" s="657">
        <v>27800</v>
      </c>
      <c r="E9" s="421" t="s">
        <v>102</v>
      </c>
      <c r="F9" s="657">
        <f t="shared" si="1"/>
        <v>27800</v>
      </c>
      <c r="G9" s="658">
        <v>45061</v>
      </c>
      <c r="H9" s="421" t="s">
        <v>859</v>
      </c>
      <c r="J9" s="421" t="s">
        <v>860</v>
      </c>
      <c r="K9" s="670">
        <v>0.05</v>
      </c>
      <c r="L9" s="657">
        <f t="shared" si="3"/>
        <v>29190</v>
      </c>
      <c r="M9" s="657">
        <f t="shared" si="2"/>
        <v>29190</v>
      </c>
    </row>
    <row r="10" spans="1:16" ht="15.75" customHeight="1">
      <c r="A10" s="421" t="s">
        <v>706</v>
      </c>
      <c r="B10" s="421" t="s">
        <v>185</v>
      </c>
      <c r="C10" s="421" t="s">
        <v>145</v>
      </c>
      <c r="D10" s="657">
        <v>20000</v>
      </c>
      <c r="E10" s="421" t="s">
        <v>102</v>
      </c>
      <c r="F10" s="657">
        <f t="shared" si="1"/>
        <v>20000</v>
      </c>
      <c r="G10" s="658">
        <v>45481</v>
      </c>
      <c r="H10" s="421" t="s">
        <v>861</v>
      </c>
      <c r="J10" s="421" t="s">
        <v>860</v>
      </c>
      <c r="K10" s="670">
        <v>0.05</v>
      </c>
      <c r="L10" s="657">
        <f t="shared" si="3"/>
        <v>21000</v>
      </c>
      <c r="M10" s="657">
        <f t="shared" si="2"/>
        <v>21000</v>
      </c>
    </row>
    <row r="11" spans="1:16" ht="15.75" customHeight="1">
      <c r="A11" s="421" t="s">
        <v>862</v>
      </c>
      <c r="B11" s="421" t="s">
        <v>185</v>
      </c>
      <c r="C11" s="421" t="s">
        <v>145</v>
      </c>
      <c r="D11" s="657">
        <v>26000</v>
      </c>
      <c r="E11" s="421" t="s">
        <v>102</v>
      </c>
      <c r="F11" s="657">
        <f t="shared" si="1"/>
        <v>26000</v>
      </c>
      <c r="G11" s="658">
        <v>44284</v>
      </c>
      <c r="H11" s="421" t="s">
        <v>863</v>
      </c>
      <c r="J11" s="421" t="s">
        <v>848</v>
      </c>
      <c r="K11" s="670">
        <v>0.05</v>
      </c>
      <c r="L11" s="657">
        <f t="shared" si="3"/>
        <v>27300</v>
      </c>
      <c r="M11" s="657">
        <f t="shared" si="2"/>
        <v>27300</v>
      </c>
    </row>
    <row r="12" spans="1:16" ht="15.75" customHeight="1">
      <c r="A12" s="421" t="s">
        <v>864</v>
      </c>
      <c r="B12" s="421" t="s">
        <v>185</v>
      </c>
      <c r="C12" s="421" t="s">
        <v>145</v>
      </c>
      <c r="D12" s="657">
        <v>39600</v>
      </c>
      <c r="E12" s="421" t="s">
        <v>102</v>
      </c>
      <c r="F12" s="657">
        <f t="shared" si="1"/>
        <v>39600</v>
      </c>
      <c r="G12" s="658">
        <v>44291</v>
      </c>
      <c r="H12" s="421" t="s">
        <v>865</v>
      </c>
      <c r="J12" s="421" t="s">
        <v>848</v>
      </c>
      <c r="K12" s="670">
        <v>0.05</v>
      </c>
      <c r="L12" s="657">
        <f t="shared" si="3"/>
        <v>41580</v>
      </c>
      <c r="M12" s="657">
        <f t="shared" si="2"/>
        <v>41580</v>
      </c>
    </row>
    <row r="13" spans="1:16" ht="15.75" customHeight="1">
      <c r="A13" s="421" t="s">
        <v>866</v>
      </c>
      <c r="B13" s="421" t="s">
        <v>185</v>
      </c>
      <c r="C13" s="421" t="s">
        <v>145</v>
      </c>
      <c r="D13" s="657">
        <v>14452.5</v>
      </c>
      <c r="E13" s="421" t="s">
        <v>102</v>
      </c>
      <c r="F13" s="657">
        <f t="shared" si="1"/>
        <v>14452.5</v>
      </c>
      <c r="G13" s="658">
        <v>45495</v>
      </c>
      <c r="H13" s="421" t="s">
        <v>865</v>
      </c>
      <c r="J13" s="421" t="s">
        <v>848</v>
      </c>
      <c r="K13" s="670">
        <v>0.05</v>
      </c>
      <c r="L13" s="657">
        <f t="shared" si="3"/>
        <v>15175.125</v>
      </c>
      <c r="M13" s="657">
        <f t="shared" si="2"/>
        <v>15175.125</v>
      </c>
    </row>
    <row r="14" spans="1:16" ht="15.75" customHeight="1">
      <c r="A14" s="421" t="s">
        <v>867</v>
      </c>
      <c r="B14" s="421" t="s">
        <v>185</v>
      </c>
      <c r="C14" s="421" t="s">
        <v>853</v>
      </c>
      <c r="D14" s="657">
        <v>1100</v>
      </c>
      <c r="E14" s="421" t="s">
        <v>101</v>
      </c>
      <c r="F14" s="657">
        <f t="shared" si="1"/>
        <v>20350</v>
      </c>
      <c r="G14" s="658">
        <v>44438</v>
      </c>
      <c r="H14" s="421" t="s">
        <v>854</v>
      </c>
      <c r="J14" s="421" t="s">
        <v>848</v>
      </c>
      <c r="K14" s="670">
        <v>0</v>
      </c>
      <c r="L14" s="657">
        <f t="shared" si="3"/>
        <v>21367.5</v>
      </c>
      <c r="M14" s="657">
        <f t="shared" si="2"/>
        <v>21367.5</v>
      </c>
      <c r="N14" s="672">
        <f>+D14*(1.05)</f>
        <v>1155</v>
      </c>
      <c r="O14" s="673" t="s">
        <v>101</v>
      </c>
    </row>
    <row r="15" spans="1:16" ht="15.75" customHeight="1">
      <c r="A15" s="661" t="s">
        <v>851</v>
      </c>
      <c r="B15" s="661"/>
      <c r="C15" s="661"/>
      <c r="D15" s="661"/>
      <c r="E15" s="661"/>
      <c r="F15" s="662">
        <f>+SUM(F7:F14)</f>
        <v>275882.5</v>
      </c>
      <c r="G15" s="661"/>
      <c r="H15" s="661"/>
      <c r="I15" s="661"/>
      <c r="J15" s="661"/>
      <c r="K15" s="663"/>
      <c r="L15" s="662">
        <f t="shared" ref="L15:M15" si="4">+SUM(L7:L14)</f>
        <v>323584.625</v>
      </c>
      <c r="M15" s="662">
        <f t="shared" si="4"/>
        <v>323584.625</v>
      </c>
    </row>
    <row r="16" spans="1:16" ht="15.75" customHeight="1">
      <c r="K16" s="655"/>
    </row>
    <row r="17" spans="1:15" ht="15.75" customHeight="1">
      <c r="K17" s="655"/>
    </row>
    <row r="18" spans="1:15" ht="15.75" customHeight="1">
      <c r="A18" s="666" t="s">
        <v>868</v>
      </c>
      <c r="B18" s="666" t="s">
        <v>869</v>
      </c>
      <c r="C18" s="666" t="s">
        <v>856</v>
      </c>
      <c r="D18" s="667">
        <v>107800</v>
      </c>
      <c r="E18" s="666" t="s">
        <v>102</v>
      </c>
      <c r="F18" s="667">
        <f t="shared" ref="F18:F31" si="5">+IF(E18="USD",D18*$P$7,IF(E18="BRL",D18*$P$8,D18))</f>
        <v>107800</v>
      </c>
      <c r="G18" s="668">
        <v>44244</v>
      </c>
      <c r="H18" s="666" t="s">
        <v>870</v>
      </c>
      <c r="I18" s="666" t="s">
        <v>871</v>
      </c>
      <c r="J18" s="666" t="s">
        <v>848</v>
      </c>
      <c r="K18" s="669" t="s">
        <v>913</v>
      </c>
      <c r="L18" s="667">
        <f>+F18*1.4</f>
        <v>150920</v>
      </c>
      <c r="M18" s="667">
        <f t="shared" ref="M18:M21" si="6">+L18</f>
        <v>150920</v>
      </c>
    </row>
    <row r="19" spans="1:15" ht="15.75" customHeight="1">
      <c r="A19" s="421" t="s">
        <v>872</v>
      </c>
      <c r="B19" s="421" t="s">
        <v>869</v>
      </c>
      <c r="C19" s="421" t="s">
        <v>856</v>
      </c>
      <c r="D19" s="657">
        <v>32800</v>
      </c>
      <c r="E19" s="421" t="s">
        <v>102</v>
      </c>
      <c r="F19" s="657">
        <f t="shared" si="5"/>
        <v>32800</v>
      </c>
      <c r="G19" s="658">
        <v>45425</v>
      </c>
      <c r="H19" s="421" t="s">
        <v>873</v>
      </c>
      <c r="J19" s="421" t="s">
        <v>860</v>
      </c>
      <c r="K19" s="670">
        <v>0.08</v>
      </c>
      <c r="L19" s="657">
        <f t="shared" ref="L19:L21" si="7">+F19*(1+K19)</f>
        <v>35424</v>
      </c>
      <c r="M19" s="657">
        <f t="shared" si="6"/>
        <v>35424</v>
      </c>
    </row>
    <row r="20" spans="1:15" ht="15.75" customHeight="1">
      <c r="A20" s="421" t="s">
        <v>874</v>
      </c>
      <c r="B20" s="421" t="s">
        <v>869</v>
      </c>
      <c r="C20" s="421" t="s">
        <v>856</v>
      </c>
      <c r="D20" s="657">
        <v>57800</v>
      </c>
      <c r="E20" s="421" t="s">
        <v>102</v>
      </c>
      <c r="F20" s="657">
        <f t="shared" si="5"/>
        <v>57800</v>
      </c>
      <c r="G20" s="658">
        <v>44790</v>
      </c>
      <c r="H20" s="421" t="s">
        <v>865</v>
      </c>
      <c r="J20" s="421" t="s">
        <v>848</v>
      </c>
      <c r="K20" s="670">
        <v>0.05</v>
      </c>
      <c r="L20" s="657">
        <f t="shared" si="7"/>
        <v>60690</v>
      </c>
      <c r="M20" s="657">
        <f t="shared" si="6"/>
        <v>60690</v>
      </c>
    </row>
    <row r="21" spans="1:15" ht="15.75" customHeight="1">
      <c r="A21" s="421" t="s">
        <v>875</v>
      </c>
      <c r="B21" s="421" t="s">
        <v>869</v>
      </c>
      <c r="C21" s="421" t="s">
        <v>145</v>
      </c>
      <c r="D21" s="657">
        <v>30000</v>
      </c>
      <c r="E21" s="421" t="s">
        <v>102</v>
      </c>
      <c r="F21" s="657">
        <f t="shared" si="5"/>
        <v>30000</v>
      </c>
      <c r="G21" s="658">
        <v>44452</v>
      </c>
      <c r="H21" s="421" t="s">
        <v>865</v>
      </c>
      <c r="J21" s="421" t="s">
        <v>848</v>
      </c>
      <c r="K21" s="670">
        <v>0.08</v>
      </c>
      <c r="L21" s="657">
        <f t="shared" si="7"/>
        <v>32400.000000000004</v>
      </c>
      <c r="M21" s="657">
        <f t="shared" si="6"/>
        <v>32400.000000000004</v>
      </c>
    </row>
    <row r="22" spans="1:15" ht="15.75" customHeight="1">
      <c r="A22" s="421" t="s">
        <v>440</v>
      </c>
      <c r="B22" s="421" t="s">
        <v>876</v>
      </c>
      <c r="C22" s="421" t="s">
        <v>145</v>
      </c>
      <c r="D22" s="657">
        <v>36000</v>
      </c>
      <c r="E22" s="421" t="s">
        <v>102</v>
      </c>
      <c r="F22" s="657">
        <f t="shared" si="5"/>
        <v>36000</v>
      </c>
      <c r="G22" s="658">
        <v>45006</v>
      </c>
      <c r="H22" s="421" t="s">
        <v>877</v>
      </c>
      <c r="J22" s="421" t="s">
        <v>860</v>
      </c>
      <c r="K22" s="670">
        <v>0.05</v>
      </c>
      <c r="L22" s="657">
        <f>+D22</f>
        <v>36000</v>
      </c>
      <c r="M22" s="674">
        <f>+L22*(1+K22)</f>
        <v>37800</v>
      </c>
    </row>
    <row r="23" spans="1:15" ht="15.75" customHeight="1">
      <c r="A23" s="421" t="s">
        <v>442</v>
      </c>
      <c r="B23" s="421" t="s">
        <v>876</v>
      </c>
      <c r="C23" s="421" t="s">
        <v>145</v>
      </c>
      <c r="D23" s="657">
        <v>64000</v>
      </c>
      <c r="E23" s="421" t="s">
        <v>102</v>
      </c>
      <c r="F23" s="657">
        <f t="shared" si="5"/>
        <v>64000</v>
      </c>
      <c r="G23" s="658">
        <v>44067</v>
      </c>
      <c r="H23" s="421" t="s">
        <v>878</v>
      </c>
      <c r="J23" s="421" t="s">
        <v>848</v>
      </c>
      <c r="K23" s="670">
        <v>0</v>
      </c>
      <c r="L23" s="657">
        <f t="shared" ref="L23:L24" si="8">+F23*(1+K23)</f>
        <v>64000</v>
      </c>
      <c r="M23" s="657">
        <f t="shared" ref="M23:M24" si="9">+L23</f>
        <v>64000</v>
      </c>
    </row>
    <row r="24" spans="1:15" ht="15.75" customHeight="1">
      <c r="A24" s="421" t="s">
        <v>444</v>
      </c>
      <c r="B24" s="421" t="s">
        <v>876</v>
      </c>
      <c r="C24" s="421" t="s">
        <v>145</v>
      </c>
      <c r="D24" s="657">
        <v>30000</v>
      </c>
      <c r="E24" s="421" t="s">
        <v>102</v>
      </c>
      <c r="F24" s="657">
        <f t="shared" si="5"/>
        <v>30000</v>
      </c>
      <c r="G24" s="658">
        <v>44578</v>
      </c>
      <c r="H24" s="421" t="s">
        <v>863</v>
      </c>
      <c r="J24" s="421" t="s">
        <v>848</v>
      </c>
      <c r="K24" s="670">
        <v>0.08</v>
      </c>
      <c r="L24" s="657">
        <f t="shared" si="8"/>
        <v>32400.000000000004</v>
      </c>
      <c r="M24" s="657">
        <f t="shared" si="9"/>
        <v>32400.000000000004</v>
      </c>
    </row>
    <row r="25" spans="1:15" ht="15.75" customHeight="1">
      <c r="A25" s="421" t="s">
        <v>445</v>
      </c>
      <c r="B25" s="421" t="s">
        <v>876</v>
      </c>
      <c r="C25" s="421" t="s">
        <v>145</v>
      </c>
      <c r="D25" s="657">
        <v>58000</v>
      </c>
      <c r="E25" s="421" t="s">
        <v>102</v>
      </c>
      <c r="F25" s="657">
        <f t="shared" si="5"/>
        <v>58000</v>
      </c>
      <c r="G25" s="658">
        <v>45751</v>
      </c>
      <c r="H25" s="421" t="s">
        <v>873</v>
      </c>
      <c r="J25" s="421" t="s">
        <v>860</v>
      </c>
      <c r="K25" s="670">
        <v>0.05</v>
      </c>
      <c r="L25" s="657">
        <f>+D25</f>
        <v>58000</v>
      </c>
      <c r="M25" s="674">
        <f>+L25*(1+K25)</f>
        <v>60900</v>
      </c>
    </row>
    <row r="26" spans="1:15" ht="15.75" customHeight="1">
      <c r="A26" s="666" t="s">
        <v>447</v>
      </c>
      <c r="B26" s="666" t="s">
        <v>876</v>
      </c>
      <c r="C26" s="666" t="s">
        <v>145</v>
      </c>
      <c r="D26" s="667">
        <v>69450</v>
      </c>
      <c r="E26" s="666" t="s">
        <v>102</v>
      </c>
      <c r="F26" s="667">
        <f t="shared" si="5"/>
        <v>69450</v>
      </c>
      <c r="G26" s="668">
        <v>44473</v>
      </c>
      <c r="H26" s="666" t="s">
        <v>878</v>
      </c>
      <c r="I26" s="666"/>
      <c r="J26" s="666" t="s">
        <v>848</v>
      </c>
      <c r="K26" s="675">
        <v>0.15</v>
      </c>
      <c r="L26" s="667">
        <f t="shared" ref="L26:L31" si="10">+F26*(1+K26)</f>
        <v>79867.5</v>
      </c>
      <c r="M26" s="667">
        <f t="shared" ref="M26:M31" si="11">+L26</f>
        <v>79867.5</v>
      </c>
    </row>
    <row r="27" spans="1:15" ht="15.75" customHeight="1">
      <c r="A27" s="421" t="s">
        <v>449</v>
      </c>
      <c r="B27" s="421" t="s">
        <v>876</v>
      </c>
      <c r="C27" s="421" t="s">
        <v>145</v>
      </c>
      <c r="D27" s="657">
        <v>30000</v>
      </c>
      <c r="E27" s="421" t="s">
        <v>102</v>
      </c>
      <c r="F27" s="657">
        <f t="shared" si="5"/>
        <v>30000</v>
      </c>
      <c r="G27" s="658">
        <v>44979</v>
      </c>
      <c r="H27" s="421" t="s">
        <v>878</v>
      </c>
      <c r="J27" s="421" t="s">
        <v>848</v>
      </c>
      <c r="K27" s="670">
        <v>0.05</v>
      </c>
      <c r="L27" s="657">
        <f t="shared" si="10"/>
        <v>31500</v>
      </c>
      <c r="M27" s="657">
        <f t="shared" si="11"/>
        <v>31500</v>
      </c>
    </row>
    <row r="28" spans="1:15" ht="15.75" customHeight="1">
      <c r="A28" s="421" t="s">
        <v>450</v>
      </c>
      <c r="B28" s="421" t="s">
        <v>876</v>
      </c>
      <c r="C28" s="421" t="s">
        <v>145</v>
      </c>
      <c r="D28" s="657">
        <v>64500</v>
      </c>
      <c r="E28" s="421" t="s">
        <v>102</v>
      </c>
      <c r="F28" s="657">
        <f t="shared" si="5"/>
        <v>64500</v>
      </c>
      <c r="G28" s="658">
        <v>44550</v>
      </c>
      <c r="H28" s="421" t="s">
        <v>878</v>
      </c>
      <c r="J28" s="421" t="s">
        <v>848</v>
      </c>
      <c r="K28" s="670">
        <v>0.05</v>
      </c>
      <c r="L28" s="657">
        <f t="shared" si="10"/>
        <v>67725</v>
      </c>
      <c r="M28" s="657">
        <f t="shared" si="11"/>
        <v>67725</v>
      </c>
    </row>
    <row r="29" spans="1:15" ht="15.75" customHeight="1">
      <c r="A29" s="421" t="s">
        <v>451</v>
      </c>
      <c r="B29" s="421" t="s">
        <v>876</v>
      </c>
      <c r="C29" s="421" t="s">
        <v>145</v>
      </c>
      <c r="D29" s="657">
        <v>32400</v>
      </c>
      <c r="E29" s="421" t="s">
        <v>102</v>
      </c>
      <c r="F29" s="657">
        <f t="shared" si="5"/>
        <v>32400</v>
      </c>
      <c r="G29" s="658">
        <v>44564</v>
      </c>
      <c r="H29" s="421" t="s">
        <v>865</v>
      </c>
      <c r="J29" s="421" t="s">
        <v>848</v>
      </c>
      <c r="K29" s="670">
        <v>0.05</v>
      </c>
      <c r="L29" s="657">
        <f t="shared" si="10"/>
        <v>34020</v>
      </c>
      <c r="M29" s="657">
        <f t="shared" si="11"/>
        <v>34020</v>
      </c>
    </row>
    <row r="30" spans="1:15" ht="15.75" customHeight="1">
      <c r="A30" s="421" t="s">
        <v>453</v>
      </c>
      <c r="B30" s="421" t="s">
        <v>876</v>
      </c>
      <c r="C30" s="421" t="s">
        <v>145</v>
      </c>
      <c r="D30" s="657">
        <v>40000</v>
      </c>
      <c r="E30" s="421" t="s">
        <v>102</v>
      </c>
      <c r="F30" s="657">
        <f t="shared" si="5"/>
        <v>40000</v>
      </c>
      <c r="G30" s="658">
        <v>45747</v>
      </c>
      <c r="H30" s="421" t="s">
        <v>873</v>
      </c>
      <c r="J30" s="421" t="s">
        <v>860</v>
      </c>
      <c r="K30" s="670">
        <v>0</v>
      </c>
      <c r="L30" s="657">
        <f t="shared" si="10"/>
        <v>40000</v>
      </c>
      <c r="M30" s="657">
        <f t="shared" si="11"/>
        <v>40000</v>
      </c>
    </row>
    <row r="31" spans="1:15" ht="15.75" customHeight="1">
      <c r="A31" s="421" t="s">
        <v>454</v>
      </c>
      <c r="B31" s="421" t="s">
        <v>876</v>
      </c>
      <c r="C31" s="421" t="s">
        <v>145</v>
      </c>
      <c r="D31" s="657">
        <v>2100</v>
      </c>
      <c r="E31" s="421" t="s">
        <v>101</v>
      </c>
      <c r="F31" s="657">
        <f t="shared" si="5"/>
        <v>38850</v>
      </c>
      <c r="G31" s="658">
        <v>45631</v>
      </c>
      <c r="H31" s="421" t="s">
        <v>879</v>
      </c>
      <c r="J31" s="421" t="s">
        <v>848</v>
      </c>
      <c r="K31" s="670">
        <v>0.08</v>
      </c>
      <c r="L31" s="657">
        <f t="shared" si="10"/>
        <v>41958</v>
      </c>
      <c r="M31" s="657">
        <f t="shared" si="11"/>
        <v>41958</v>
      </c>
      <c r="N31" s="672">
        <f>+D31*(1.08)</f>
        <v>2268</v>
      </c>
      <c r="O31" s="673" t="s">
        <v>101</v>
      </c>
    </row>
    <row r="32" spans="1:15" ht="15.75" customHeight="1">
      <c r="A32" s="661" t="s">
        <v>851</v>
      </c>
      <c r="B32" s="661"/>
      <c r="C32" s="661"/>
      <c r="D32" s="661"/>
      <c r="E32" s="661"/>
      <c r="F32" s="662">
        <f>+SUM(F18:F31)</f>
        <v>691600</v>
      </c>
      <c r="G32" s="661"/>
      <c r="H32" s="661"/>
      <c r="I32" s="661"/>
      <c r="J32" s="661"/>
      <c r="K32" s="663"/>
      <c r="L32" s="662">
        <f t="shared" ref="L32:M32" si="12">+SUM(L18:L31)</f>
        <v>764904.5</v>
      </c>
      <c r="M32" s="662">
        <f t="shared" si="12"/>
        <v>769604.5</v>
      </c>
    </row>
    <row r="33" spans="1:15" ht="15.75" customHeight="1">
      <c r="K33" s="655"/>
    </row>
    <row r="34" spans="1:15" ht="15.75" customHeight="1">
      <c r="A34" s="666" t="s">
        <v>880</v>
      </c>
      <c r="B34" s="666" t="s">
        <v>881</v>
      </c>
      <c r="C34" s="666" t="s">
        <v>856</v>
      </c>
      <c r="D34" s="667">
        <v>81100</v>
      </c>
      <c r="E34" s="666" t="s">
        <v>102</v>
      </c>
      <c r="F34" s="667">
        <f t="shared" ref="F34:F39" si="13">+IF(E34="USD",D34*$P$7,IF(E34="BRL",D34*$P$8,D34))</f>
        <v>81100</v>
      </c>
      <c r="G34" s="668">
        <v>44501</v>
      </c>
      <c r="H34" s="666" t="s">
        <v>882</v>
      </c>
      <c r="I34" s="666" t="s">
        <v>871</v>
      </c>
      <c r="J34" s="666" t="s">
        <v>848</v>
      </c>
      <c r="K34" s="669" t="s">
        <v>913</v>
      </c>
      <c r="L34" s="667">
        <f>+F34*1.4</f>
        <v>113540</v>
      </c>
      <c r="M34" s="667">
        <f t="shared" ref="M34:M37" si="14">+L34</f>
        <v>113540</v>
      </c>
    </row>
    <row r="35" spans="1:15" ht="15.75" customHeight="1">
      <c r="A35" s="421" t="s">
        <v>799</v>
      </c>
      <c r="B35" s="421" t="s">
        <v>881</v>
      </c>
      <c r="C35" s="421" t="s">
        <v>145</v>
      </c>
      <c r="D35" s="657">
        <v>19000</v>
      </c>
      <c r="E35" s="421" t="s">
        <v>102</v>
      </c>
      <c r="F35" s="657">
        <f t="shared" si="13"/>
        <v>19000</v>
      </c>
      <c r="G35" s="658">
        <v>45188</v>
      </c>
      <c r="H35" s="421" t="s">
        <v>870</v>
      </c>
      <c r="J35" s="421" t="s">
        <v>848</v>
      </c>
      <c r="K35" s="670">
        <v>0.05</v>
      </c>
      <c r="L35" s="657">
        <f t="shared" ref="L35:L37" si="15">+F35*(1+$P$5)</f>
        <v>19950</v>
      </c>
      <c r="M35" s="657">
        <f t="shared" si="14"/>
        <v>19950</v>
      </c>
    </row>
    <row r="36" spans="1:15" ht="15.75" customHeight="1">
      <c r="A36" s="421" t="s">
        <v>801</v>
      </c>
      <c r="B36" s="421" t="s">
        <v>881</v>
      </c>
      <c r="C36" s="421" t="s">
        <v>145</v>
      </c>
      <c r="D36" s="657">
        <v>25000</v>
      </c>
      <c r="E36" s="421" t="s">
        <v>102</v>
      </c>
      <c r="F36" s="657">
        <f t="shared" si="13"/>
        <v>25000</v>
      </c>
      <c r="G36" s="658">
        <v>45355</v>
      </c>
      <c r="H36" s="421" t="s">
        <v>883</v>
      </c>
      <c r="J36" s="421" t="s">
        <v>848</v>
      </c>
      <c r="K36" s="670">
        <v>0.05</v>
      </c>
      <c r="L36" s="657">
        <f t="shared" si="15"/>
        <v>26250</v>
      </c>
      <c r="M36" s="657">
        <f t="shared" si="14"/>
        <v>26250</v>
      </c>
    </row>
    <row r="37" spans="1:15" ht="15.75" customHeight="1">
      <c r="A37" s="421" t="s">
        <v>803</v>
      </c>
      <c r="B37" s="421" t="s">
        <v>881</v>
      </c>
      <c r="C37" s="421" t="s">
        <v>145</v>
      </c>
      <c r="D37" s="657">
        <v>44600</v>
      </c>
      <c r="E37" s="421" t="s">
        <v>102</v>
      </c>
      <c r="F37" s="657">
        <f t="shared" si="13"/>
        <v>44600</v>
      </c>
      <c r="G37" s="658">
        <v>44263</v>
      </c>
      <c r="H37" s="421" t="s">
        <v>854</v>
      </c>
      <c r="J37" s="421" t="s">
        <v>848</v>
      </c>
      <c r="K37" s="670">
        <v>0.05</v>
      </c>
      <c r="L37" s="657">
        <f t="shared" si="15"/>
        <v>46830</v>
      </c>
      <c r="M37" s="657">
        <f t="shared" si="14"/>
        <v>46830</v>
      </c>
    </row>
    <row r="38" spans="1:15" ht="15.75" customHeight="1">
      <c r="A38" s="421" t="s">
        <v>805</v>
      </c>
      <c r="B38" s="421" t="s">
        <v>881</v>
      </c>
      <c r="C38" s="421" t="s">
        <v>145</v>
      </c>
      <c r="D38" s="657">
        <v>4000</v>
      </c>
      <c r="E38" s="421" t="s">
        <v>102</v>
      </c>
      <c r="F38" s="657">
        <f t="shared" si="13"/>
        <v>4000</v>
      </c>
      <c r="G38" s="658">
        <v>45888</v>
      </c>
      <c r="H38" s="421" t="s">
        <v>873</v>
      </c>
      <c r="I38" s="421" t="s">
        <v>884</v>
      </c>
      <c r="J38" s="421" t="s">
        <v>373</v>
      </c>
      <c r="K38" s="655" t="s">
        <v>373</v>
      </c>
      <c r="L38" s="657"/>
      <c r="M38" s="657"/>
    </row>
    <row r="39" spans="1:15" ht="15.75" customHeight="1">
      <c r="A39" s="666" t="s">
        <v>885</v>
      </c>
      <c r="B39" s="666" t="s">
        <v>881</v>
      </c>
      <c r="C39" s="666" t="s">
        <v>853</v>
      </c>
      <c r="D39" s="667">
        <v>15680.06</v>
      </c>
      <c r="E39" s="666" t="s">
        <v>19</v>
      </c>
      <c r="F39" s="667">
        <f t="shared" si="13"/>
        <v>54253.007599999997</v>
      </c>
      <c r="G39" s="668">
        <v>43682</v>
      </c>
      <c r="H39" s="666" t="s">
        <v>886</v>
      </c>
      <c r="I39" s="666"/>
      <c r="J39" s="666" t="s">
        <v>848</v>
      </c>
      <c r="K39" s="669" t="s">
        <v>915</v>
      </c>
      <c r="L39" s="667">
        <f>+F39*(1+$P$4)</f>
        <v>70528.909879999992</v>
      </c>
      <c r="M39" s="667">
        <f>+L39</f>
        <v>70528.909879999992</v>
      </c>
      <c r="N39" s="672">
        <f>+D39*(1.3)</f>
        <v>20384.078000000001</v>
      </c>
      <c r="O39" s="673" t="s">
        <v>19</v>
      </c>
    </row>
    <row r="40" spans="1:15" ht="15.75" customHeight="1">
      <c r="A40" s="661" t="s">
        <v>851</v>
      </c>
      <c r="B40" s="661"/>
      <c r="C40" s="661"/>
      <c r="D40" s="661"/>
      <c r="E40" s="661"/>
      <c r="F40" s="662">
        <f>+SUM(F34:F39)</f>
        <v>227953.00760000001</v>
      </c>
      <c r="G40" s="661"/>
      <c r="H40" s="661"/>
      <c r="I40" s="661"/>
      <c r="J40" s="661"/>
      <c r="K40" s="663"/>
      <c r="L40" s="662">
        <f t="shared" ref="L40:M40" si="16">+SUM(L34:L39)</f>
        <v>277098.90987999999</v>
      </c>
      <c r="M40" s="662">
        <f t="shared" si="16"/>
        <v>277098.90987999999</v>
      </c>
    </row>
    <row r="41" spans="1:15" ht="15.75" customHeight="1">
      <c r="K41" s="655"/>
    </row>
    <row r="42" spans="1:15" ht="15.75" customHeight="1">
      <c r="A42" s="666" t="s">
        <v>887</v>
      </c>
      <c r="B42" s="666" t="s">
        <v>888</v>
      </c>
      <c r="C42" s="666" t="s">
        <v>856</v>
      </c>
      <c r="D42" s="667">
        <v>104238</v>
      </c>
      <c r="E42" s="666" t="s">
        <v>102</v>
      </c>
      <c r="F42" s="667">
        <f t="shared" ref="F42:F44" si="17">+IF(E42="USD",D42*$P$7,IF(E42="BRL",D42*$P$8,D42))</f>
        <v>104238</v>
      </c>
      <c r="G42" s="668">
        <v>44830</v>
      </c>
      <c r="H42" s="666" t="s">
        <v>870</v>
      </c>
      <c r="I42" s="666" t="s">
        <v>871</v>
      </c>
      <c r="J42" s="666" t="s">
        <v>848</v>
      </c>
      <c r="K42" s="669" t="s">
        <v>913</v>
      </c>
      <c r="L42" s="667">
        <f>+F42*1.4</f>
        <v>145933.19999999998</v>
      </c>
      <c r="M42" s="667">
        <f t="shared" ref="M42:M43" si="18">+L42</f>
        <v>145933.19999999998</v>
      </c>
    </row>
    <row r="43" spans="1:15" ht="15.75" customHeight="1">
      <c r="A43" s="666" t="s">
        <v>889</v>
      </c>
      <c r="B43" s="666" t="s">
        <v>888</v>
      </c>
      <c r="C43" s="666" t="s">
        <v>856</v>
      </c>
      <c r="D43" s="667">
        <v>30800</v>
      </c>
      <c r="E43" s="666" t="s">
        <v>102</v>
      </c>
      <c r="F43" s="667">
        <f t="shared" si="17"/>
        <v>30800</v>
      </c>
      <c r="G43" s="668">
        <v>45404</v>
      </c>
      <c r="H43" s="666" t="s">
        <v>873</v>
      </c>
      <c r="I43" s="666"/>
      <c r="J43" s="666" t="s">
        <v>848</v>
      </c>
      <c r="K43" s="669" t="s">
        <v>915</v>
      </c>
      <c r="L43" s="667">
        <f>+F43*(1+$P$4)</f>
        <v>40040</v>
      </c>
      <c r="M43" s="667">
        <f t="shared" si="18"/>
        <v>40040</v>
      </c>
    </row>
    <row r="44" spans="1:15" ht="15.75" customHeight="1">
      <c r="A44" s="421" t="s">
        <v>890</v>
      </c>
      <c r="B44" s="421" t="s">
        <v>888</v>
      </c>
      <c r="C44" s="421" t="s">
        <v>856</v>
      </c>
      <c r="D44" s="657">
        <v>35000</v>
      </c>
      <c r="E44" s="421" t="s">
        <v>102</v>
      </c>
      <c r="F44" s="657">
        <f t="shared" si="17"/>
        <v>35000</v>
      </c>
      <c r="G44" s="658">
        <v>45776</v>
      </c>
      <c r="H44" s="421" t="s">
        <v>873</v>
      </c>
      <c r="J44" s="421" t="s">
        <v>860</v>
      </c>
      <c r="K44" s="670">
        <v>0.05</v>
      </c>
      <c r="L44" s="657">
        <f>+F44</f>
        <v>35000</v>
      </c>
      <c r="M44" s="674">
        <f>+F44*(1+$P$5)</f>
        <v>36750</v>
      </c>
    </row>
    <row r="45" spans="1:15" ht="15.75" customHeight="1">
      <c r="A45" s="661" t="s">
        <v>851</v>
      </c>
      <c r="B45" s="661"/>
      <c r="C45" s="661"/>
      <c r="D45" s="661"/>
      <c r="E45" s="661"/>
      <c r="F45" s="662">
        <f>+SUM(F42:F44)</f>
        <v>170038</v>
      </c>
      <c r="G45" s="661"/>
      <c r="H45" s="661"/>
      <c r="I45" s="661"/>
      <c r="J45" s="661"/>
      <c r="K45" s="663"/>
      <c r="L45" s="662">
        <f t="shared" ref="L45:M45" si="19">+SUM(L42:L44)</f>
        <v>220973.19999999998</v>
      </c>
      <c r="M45" s="662">
        <f t="shared" si="19"/>
        <v>222723.19999999998</v>
      </c>
    </row>
    <row r="46" spans="1:15" ht="15.75" customHeight="1">
      <c r="K46" s="655"/>
    </row>
    <row r="47" spans="1:15" ht="15.75" customHeight="1">
      <c r="A47" s="676" t="s">
        <v>891</v>
      </c>
      <c r="B47" s="676"/>
      <c r="C47" s="676"/>
      <c r="D47" s="676"/>
      <c r="E47" s="676"/>
      <c r="F47" s="677">
        <f>+F45+F40+F32+F15+F4</f>
        <v>1476473.5076000001</v>
      </c>
      <c r="G47" s="676"/>
      <c r="H47" s="676"/>
      <c r="I47" s="676"/>
      <c r="J47" s="676"/>
      <c r="K47" s="678"/>
      <c r="L47" s="677">
        <f t="shared" ref="L47:M47" si="20">+L45+L40+L32+L15+L4</f>
        <v>1697561.2348799999</v>
      </c>
      <c r="M47" s="677">
        <f t="shared" si="20"/>
        <v>1704011.2348799999</v>
      </c>
    </row>
    <row r="48" spans="1:15" ht="15.75" customHeight="1">
      <c r="A48" s="676"/>
      <c r="B48" s="676"/>
      <c r="C48" s="676"/>
      <c r="D48" s="676"/>
      <c r="E48" s="676"/>
      <c r="F48" s="676"/>
      <c r="G48" s="676"/>
      <c r="H48" s="676"/>
      <c r="I48" s="676"/>
      <c r="J48" s="676"/>
      <c r="K48" s="678"/>
      <c r="L48" s="677">
        <f>+L47-F47</f>
        <v>221087.72727999976</v>
      </c>
      <c r="M48" s="677">
        <f>+M47-F47</f>
        <v>227537.72727999976</v>
      </c>
    </row>
    <row r="49" spans="1:13" ht="15.75" customHeight="1">
      <c r="A49" s="676"/>
      <c r="B49" s="676"/>
      <c r="C49" s="676"/>
      <c r="D49" s="676"/>
      <c r="E49" s="676"/>
      <c r="F49" s="676"/>
      <c r="G49" s="676"/>
      <c r="H49" s="676"/>
      <c r="I49" s="676"/>
      <c r="J49" s="676"/>
      <c r="K49" s="678"/>
      <c r="L49" s="679">
        <f t="shared" ref="L49:M49" si="21">+L48/18.5</f>
        <v>11950.687961081068</v>
      </c>
      <c r="M49" s="679">
        <f t="shared" si="21"/>
        <v>12299.336609729717</v>
      </c>
    </row>
    <row r="50" spans="1:13" ht="15.75" customHeight="1">
      <c r="A50" s="676"/>
      <c r="B50" s="676"/>
      <c r="C50" s="676"/>
      <c r="D50" s="676"/>
      <c r="E50" s="676"/>
      <c r="F50" s="676"/>
      <c r="G50" s="676"/>
      <c r="H50" s="676"/>
      <c r="I50" s="676"/>
      <c r="J50" s="676"/>
      <c r="K50" s="678"/>
      <c r="L50" s="676"/>
      <c r="M50" s="676"/>
    </row>
    <row r="51" spans="1:13" ht="15.75" customHeight="1">
      <c r="K51" s="655"/>
    </row>
    <row r="52" spans="1:13" ht="15.75" customHeight="1">
      <c r="K52" s="655"/>
    </row>
    <row r="53" spans="1:13" ht="15.75" customHeight="1">
      <c r="K53" s="655"/>
    </row>
    <row r="54" spans="1:13" ht="15.75" customHeight="1">
      <c r="K54" s="655"/>
    </row>
    <row r="55" spans="1:13" ht="15.75" customHeight="1">
      <c r="K55" s="655"/>
    </row>
    <row r="56" spans="1:13" ht="15.75" customHeight="1">
      <c r="K56" s="655"/>
    </row>
    <row r="57" spans="1:13" ht="15.75" customHeight="1">
      <c r="K57" s="655"/>
    </row>
    <row r="58" spans="1:13" ht="15.75" customHeight="1">
      <c r="K58" s="655"/>
    </row>
    <row r="59" spans="1:13" ht="15.75" customHeight="1">
      <c r="K59" s="655"/>
    </row>
    <row r="60" spans="1:13" ht="15.75" customHeight="1">
      <c r="K60" s="655"/>
    </row>
    <row r="61" spans="1:13" ht="15.75" customHeight="1">
      <c r="K61" s="655"/>
    </row>
    <row r="62" spans="1:13" ht="15.75" customHeight="1">
      <c r="K62" s="655"/>
    </row>
    <row r="63" spans="1:13" ht="15.75" customHeight="1">
      <c r="K63" s="655"/>
    </row>
    <row r="64" spans="1:13" ht="15.75" customHeight="1">
      <c r="K64" s="655"/>
    </row>
    <row r="65" spans="11:11" ht="15.75" customHeight="1">
      <c r="K65" s="655"/>
    </row>
    <row r="66" spans="11:11" ht="15.75" customHeight="1">
      <c r="K66" s="655"/>
    </row>
    <row r="67" spans="11:11" ht="15.75" customHeight="1">
      <c r="K67" s="655"/>
    </row>
    <row r="68" spans="11:11" ht="15.75" customHeight="1">
      <c r="K68" s="655"/>
    </row>
    <row r="69" spans="11:11" ht="15.75" customHeight="1">
      <c r="K69" s="655"/>
    </row>
    <row r="70" spans="11:11" ht="15.75" customHeight="1">
      <c r="K70" s="655"/>
    </row>
    <row r="71" spans="11:11" ht="15.75" customHeight="1">
      <c r="K71" s="655"/>
    </row>
    <row r="72" spans="11:11" ht="15.75" customHeight="1">
      <c r="K72" s="655"/>
    </row>
    <row r="73" spans="11:11" ht="15.75" customHeight="1">
      <c r="K73" s="655"/>
    </row>
    <row r="74" spans="11:11" ht="15.75" customHeight="1">
      <c r="K74" s="655"/>
    </row>
    <row r="75" spans="11:11" ht="15.75" customHeight="1">
      <c r="K75" s="655"/>
    </row>
    <row r="76" spans="11:11" ht="15.75" customHeight="1">
      <c r="K76" s="655"/>
    </row>
    <row r="77" spans="11:11" ht="15.75" customHeight="1">
      <c r="K77" s="655"/>
    </row>
    <row r="78" spans="11:11" ht="15.75" customHeight="1">
      <c r="K78" s="655"/>
    </row>
    <row r="79" spans="11:11" ht="15.75" customHeight="1">
      <c r="K79" s="655"/>
    </row>
    <row r="80" spans="11:11" ht="15.75" customHeight="1">
      <c r="K80" s="655"/>
    </row>
    <row r="81" spans="11:11" ht="15.75" customHeight="1">
      <c r="K81" s="655"/>
    </row>
    <row r="82" spans="11:11" ht="15.75" customHeight="1">
      <c r="K82" s="655"/>
    </row>
    <row r="83" spans="11:11" ht="15.75" customHeight="1">
      <c r="K83" s="655"/>
    </row>
    <row r="84" spans="11:11" ht="15.75" customHeight="1">
      <c r="K84" s="655"/>
    </row>
    <row r="85" spans="11:11" ht="15.75" customHeight="1">
      <c r="K85" s="655"/>
    </row>
    <row r="86" spans="11:11" ht="15.75" customHeight="1">
      <c r="K86" s="655"/>
    </row>
    <row r="87" spans="11:11" ht="15.75" customHeight="1">
      <c r="K87" s="655"/>
    </row>
    <row r="88" spans="11:11" ht="15.75" customHeight="1">
      <c r="K88" s="655"/>
    </row>
    <row r="89" spans="11:11" ht="15.75" customHeight="1">
      <c r="K89" s="655"/>
    </row>
    <row r="90" spans="11:11" ht="15.75" customHeight="1">
      <c r="K90" s="655"/>
    </row>
    <row r="91" spans="11:11" ht="15.75" customHeight="1">
      <c r="K91" s="655"/>
    </row>
    <row r="92" spans="11:11" ht="15.75" customHeight="1">
      <c r="K92" s="655"/>
    </row>
    <row r="93" spans="11:11" ht="15.75" customHeight="1">
      <c r="K93" s="655"/>
    </row>
    <row r="94" spans="11:11" ht="15.75" customHeight="1">
      <c r="K94" s="655"/>
    </row>
    <row r="95" spans="11:11" ht="15.75" customHeight="1">
      <c r="K95" s="655"/>
    </row>
    <row r="96" spans="11:11" ht="15.75" customHeight="1">
      <c r="K96" s="655"/>
    </row>
    <row r="97" spans="11:11" ht="15.75" customHeight="1">
      <c r="K97" s="655"/>
    </row>
    <row r="98" spans="11:11" ht="15.75" customHeight="1">
      <c r="K98" s="655"/>
    </row>
    <row r="99" spans="11:11" ht="15.75" customHeight="1">
      <c r="K99" s="655"/>
    </row>
    <row r="100" spans="11:11" ht="15.75" customHeight="1">
      <c r="K100" s="655"/>
    </row>
    <row r="101" spans="11:11" ht="15.75" customHeight="1">
      <c r="K101" s="655"/>
    </row>
    <row r="102" spans="11:11" ht="15.75" customHeight="1">
      <c r="K102" s="655"/>
    </row>
    <row r="103" spans="11:11" ht="15.75" customHeight="1">
      <c r="K103" s="655"/>
    </row>
    <row r="104" spans="11:11" ht="15.75" customHeight="1">
      <c r="K104" s="655"/>
    </row>
    <row r="105" spans="11:11" ht="15.75" customHeight="1">
      <c r="K105" s="655"/>
    </row>
    <row r="106" spans="11:11" ht="15.75" customHeight="1">
      <c r="K106" s="655"/>
    </row>
    <row r="107" spans="11:11" ht="15.75" customHeight="1">
      <c r="K107" s="655"/>
    </row>
    <row r="108" spans="11:11" ht="15.75" customHeight="1">
      <c r="K108" s="655"/>
    </row>
    <row r="109" spans="11:11" ht="15.75" customHeight="1">
      <c r="K109" s="655"/>
    </row>
    <row r="110" spans="11:11" ht="15.75" customHeight="1">
      <c r="K110" s="655"/>
    </row>
    <row r="111" spans="11:11" ht="15.75" customHeight="1">
      <c r="K111" s="655"/>
    </row>
    <row r="112" spans="11:11" ht="15.75" customHeight="1">
      <c r="K112" s="655"/>
    </row>
    <row r="113" spans="11:11" ht="15.75" customHeight="1">
      <c r="K113" s="655"/>
    </row>
    <row r="114" spans="11:11" ht="15.75" customHeight="1">
      <c r="K114" s="655"/>
    </row>
    <row r="115" spans="11:11" ht="15.75" customHeight="1">
      <c r="K115" s="655"/>
    </row>
    <row r="116" spans="11:11" ht="15.75" customHeight="1">
      <c r="K116" s="655"/>
    </row>
    <row r="117" spans="11:11" ht="15.75" customHeight="1">
      <c r="K117" s="655"/>
    </row>
    <row r="118" spans="11:11" ht="15.75" customHeight="1">
      <c r="K118" s="655"/>
    </row>
    <row r="119" spans="11:11" ht="15.75" customHeight="1">
      <c r="K119" s="655"/>
    </row>
    <row r="120" spans="11:11" ht="15.75" customHeight="1">
      <c r="K120" s="655"/>
    </row>
    <row r="121" spans="11:11" ht="15.75" customHeight="1">
      <c r="K121" s="655"/>
    </row>
    <row r="122" spans="11:11" ht="15.75" customHeight="1">
      <c r="K122" s="655"/>
    </row>
    <row r="123" spans="11:11" ht="15.75" customHeight="1">
      <c r="K123" s="655"/>
    </row>
    <row r="124" spans="11:11" ht="15.75" customHeight="1">
      <c r="K124" s="655"/>
    </row>
    <row r="125" spans="11:11" ht="15.75" customHeight="1">
      <c r="K125" s="655"/>
    </row>
    <row r="126" spans="11:11" ht="15.75" customHeight="1">
      <c r="K126" s="655"/>
    </row>
    <row r="127" spans="11:11" ht="15.75" customHeight="1">
      <c r="K127" s="655"/>
    </row>
    <row r="128" spans="11:11" ht="15.75" customHeight="1">
      <c r="K128" s="655"/>
    </row>
    <row r="129" spans="11:11" ht="15.75" customHeight="1">
      <c r="K129" s="655"/>
    </row>
    <row r="130" spans="11:11" ht="15.75" customHeight="1">
      <c r="K130" s="655"/>
    </row>
    <row r="131" spans="11:11" ht="15.75" customHeight="1">
      <c r="K131" s="655"/>
    </row>
    <row r="132" spans="11:11" ht="15.75" customHeight="1">
      <c r="K132" s="655"/>
    </row>
    <row r="133" spans="11:11" ht="15.75" customHeight="1">
      <c r="K133" s="655"/>
    </row>
    <row r="134" spans="11:11" ht="15.75" customHeight="1">
      <c r="K134" s="655"/>
    </row>
    <row r="135" spans="11:11" ht="15.75" customHeight="1">
      <c r="K135" s="655"/>
    </row>
    <row r="136" spans="11:11" ht="15.75" customHeight="1">
      <c r="K136" s="655"/>
    </row>
    <row r="137" spans="11:11" ht="15.75" customHeight="1">
      <c r="K137" s="655"/>
    </row>
    <row r="138" spans="11:11" ht="15.75" customHeight="1">
      <c r="K138" s="655"/>
    </row>
    <row r="139" spans="11:11" ht="15.75" customHeight="1">
      <c r="K139" s="655"/>
    </row>
    <row r="140" spans="11:11" ht="15.75" customHeight="1">
      <c r="K140" s="655"/>
    </row>
    <row r="141" spans="11:11" ht="15.75" customHeight="1">
      <c r="K141" s="655"/>
    </row>
    <row r="142" spans="11:11" ht="15.75" customHeight="1">
      <c r="K142" s="655"/>
    </row>
    <row r="143" spans="11:11" ht="15.75" customHeight="1">
      <c r="K143" s="655"/>
    </row>
    <row r="144" spans="11:11" ht="15.75" customHeight="1">
      <c r="K144" s="655"/>
    </row>
    <row r="145" spans="11:11" ht="15.75" customHeight="1">
      <c r="K145" s="655"/>
    </row>
    <row r="146" spans="11:11" ht="15.75" customHeight="1">
      <c r="K146" s="655"/>
    </row>
    <row r="147" spans="11:11" ht="15.75" customHeight="1">
      <c r="K147" s="655"/>
    </row>
    <row r="148" spans="11:11" ht="15.75" customHeight="1">
      <c r="K148" s="655"/>
    </row>
    <row r="149" spans="11:11" ht="15.75" customHeight="1">
      <c r="K149" s="655"/>
    </row>
    <row r="150" spans="11:11" ht="15.75" customHeight="1">
      <c r="K150" s="655"/>
    </row>
    <row r="151" spans="11:11" ht="15.75" customHeight="1">
      <c r="K151" s="655"/>
    </row>
    <row r="152" spans="11:11" ht="15.75" customHeight="1">
      <c r="K152" s="655"/>
    </row>
    <row r="153" spans="11:11" ht="15.75" customHeight="1">
      <c r="K153" s="655"/>
    </row>
    <row r="154" spans="11:11" ht="15.75" customHeight="1">
      <c r="K154" s="655"/>
    </row>
    <row r="155" spans="11:11" ht="15.75" customHeight="1">
      <c r="K155" s="655"/>
    </row>
    <row r="156" spans="11:11" ht="15.75" customHeight="1">
      <c r="K156" s="655"/>
    </row>
    <row r="157" spans="11:11" ht="15.75" customHeight="1">
      <c r="K157" s="655"/>
    </row>
    <row r="158" spans="11:11" ht="15.75" customHeight="1">
      <c r="K158" s="655"/>
    </row>
    <row r="159" spans="11:11" ht="15.75" customHeight="1">
      <c r="K159" s="655"/>
    </row>
    <row r="160" spans="11:11" ht="15.75" customHeight="1">
      <c r="K160" s="655"/>
    </row>
    <row r="161" spans="11:11" ht="15.75" customHeight="1">
      <c r="K161" s="655"/>
    </row>
    <row r="162" spans="11:11" ht="15.75" customHeight="1">
      <c r="K162" s="655"/>
    </row>
    <row r="163" spans="11:11" ht="15.75" customHeight="1">
      <c r="K163" s="655"/>
    </row>
    <row r="164" spans="11:11" ht="15.75" customHeight="1">
      <c r="K164" s="655"/>
    </row>
    <row r="165" spans="11:11" ht="15.75" customHeight="1">
      <c r="K165" s="655"/>
    </row>
    <row r="166" spans="11:11" ht="15.75" customHeight="1">
      <c r="K166" s="655"/>
    </row>
    <row r="167" spans="11:11" ht="15.75" customHeight="1">
      <c r="K167" s="655"/>
    </row>
    <row r="168" spans="11:11" ht="15.75" customHeight="1">
      <c r="K168" s="655"/>
    </row>
    <row r="169" spans="11:11" ht="15.75" customHeight="1">
      <c r="K169" s="655"/>
    </row>
    <row r="170" spans="11:11" ht="15.75" customHeight="1">
      <c r="K170" s="655"/>
    </row>
    <row r="171" spans="11:11" ht="15.75" customHeight="1">
      <c r="K171" s="655"/>
    </row>
    <row r="172" spans="11:11" ht="15.75" customHeight="1">
      <c r="K172" s="655"/>
    </row>
    <row r="173" spans="11:11" ht="15.75" customHeight="1">
      <c r="K173" s="655"/>
    </row>
    <row r="174" spans="11:11" ht="15.75" customHeight="1">
      <c r="K174" s="655"/>
    </row>
    <row r="175" spans="11:11" ht="15.75" customHeight="1">
      <c r="K175" s="655"/>
    </row>
    <row r="176" spans="11:11" ht="15.75" customHeight="1">
      <c r="K176" s="655"/>
    </row>
    <row r="177" spans="11:11" ht="15.75" customHeight="1">
      <c r="K177" s="655"/>
    </row>
    <row r="178" spans="11:11" ht="15.75" customHeight="1">
      <c r="K178" s="655"/>
    </row>
    <row r="179" spans="11:11" ht="15.75" customHeight="1">
      <c r="K179" s="655"/>
    </row>
    <row r="180" spans="11:11" ht="15.75" customHeight="1">
      <c r="K180" s="655"/>
    </row>
    <row r="181" spans="11:11" ht="15.75" customHeight="1">
      <c r="K181" s="655"/>
    </row>
    <row r="182" spans="11:11" ht="15.75" customHeight="1">
      <c r="K182" s="655"/>
    </row>
    <row r="183" spans="11:11" ht="15.75" customHeight="1">
      <c r="K183" s="655"/>
    </row>
    <row r="184" spans="11:11" ht="15.75" customHeight="1">
      <c r="K184" s="655"/>
    </row>
    <row r="185" spans="11:11" ht="15.75" customHeight="1">
      <c r="K185" s="655"/>
    </row>
    <row r="186" spans="11:11" ht="15.75" customHeight="1">
      <c r="K186" s="655"/>
    </row>
    <row r="187" spans="11:11" ht="15.75" customHeight="1">
      <c r="K187" s="655"/>
    </row>
    <row r="188" spans="11:11" ht="15.75" customHeight="1">
      <c r="K188" s="655"/>
    </row>
    <row r="189" spans="11:11" ht="15.75" customHeight="1">
      <c r="K189" s="655"/>
    </row>
    <row r="190" spans="11:11" ht="15.75" customHeight="1">
      <c r="K190" s="655"/>
    </row>
    <row r="191" spans="11:11" ht="15.75" customHeight="1">
      <c r="K191" s="655"/>
    </row>
    <row r="192" spans="11:11" ht="15.75" customHeight="1">
      <c r="K192" s="655"/>
    </row>
    <row r="193" spans="11:11" ht="15.75" customHeight="1">
      <c r="K193" s="655"/>
    </row>
    <row r="194" spans="11:11" ht="15.75" customHeight="1">
      <c r="K194" s="655"/>
    </row>
    <row r="195" spans="11:11" ht="15.75" customHeight="1">
      <c r="K195" s="655"/>
    </row>
    <row r="196" spans="11:11" ht="15.75" customHeight="1">
      <c r="K196" s="655"/>
    </row>
    <row r="197" spans="11:11" ht="15.75" customHeight="1">
      <c r="K197" s="655"/>
    </row>
    <row r="198" spans="11:11" ht="15.75" customHeight="1">
      <c r="K198" s="655"/>
    </row>
    <row r="199" spans="11:11" ht="15.75" customHeight="1">
      <c r="K199" s="655"/>
    </row>
    <row r="200" spans="11:11" ht="15.75" customHeight="1">
      <c r="K200" s="655"/>
    </row>
    <row r="201" spans="11:11" ht="15.75" customHeight="1">
      <c r="K201" s="655"/>
    </row>
    <row r="202" spans="11:11" ht="15.75" customHeight="1">
      <c r="K202" s="655"/>
    </row>
    <row r="203" spans="11:11" ht="15.75" customHeight="1">
      <c r="K203" s="655"/>
    </row>
    <row r="204" spans="11:11" ht="15.75" customHeight="1">
      <c r="K204" s="655"/>
    </row>
    <row r="205" spans="11:11" ht="15.75" customHeight="1">
      <c r="K205" s="655"/>
    </row>
    <row r="206" spans="11:11" ht="15.75" customHeight="1">
      <c r="K206" s="655"/>
    </row>
    <row r="207" spans="11:11" ht="15.75" customHeight="1">
      <c r="K207" s="655"/>
    </row>
    <row r="208" spans="11:11" ht="15.75" customHeight="1">
      <c r="K208" s="655"/>
    </row>
    <row r="209" spans="11:11" ht="15.75" customHeight="1">
      <c r="K209" s="655"/>
    </row>
    <row r="210" spans="11:11" ht="15.75" customHeight="1">
      <c r="K210" s="655"/>
    </row>
    <row r="211" spans="11:11" ht="15.75" customHeight="1">
      <c r="K211" s="655"/>
    </row>
    <row r="212" spans="11:11" ht="15.75" customHeight="1">
      <c r="K212" s="655"/>
    </row>
    <row r="213" spans="11:11" ht="15.75" customHeight="1">
      <c r="K213" s="655"/>
    </row>
    <row r="214" spans="11:11" ht="15.75" customHeight="1">
      <c r="K214" s="655"/>
    </row>
    <row r="215" spans="11:11" ht="15.75" customHeight="1">
      <c r="K215" s="655"/>
    </row>
    <row r="216" spans="11:11" ht="15.75" customHeight="1">
      <c r="K216" s="655"/>
    </row>
    <row r="217" spans="11:11" ht="15.75" customHeight="1">
      <c r="K217" s="655"/>
    </row>
    <row r="218" spans="11:11" ht="15.75" customHeight="1">
      <c r="K218" s="655"/>
    </row>
    <row r="219" spans="11:11" ht="15.75" customHeight="1">
      <c r="K219" s="655"/>
    </row>
    <row r="220" spans="11:11" ht="15.75" customHeight="1">
      <c r="K220" s="655"/>
    </row>
    <row r="221" spans="11:11" ht="15.75" customHeight="1">
      <c r="K221" s="655"/>
    </row>
    <row r="222" spans="11:11" ht="15.75" customHeight="1">
      <c r="K222" s="655"/>
    </row>
    <row r="223" spans="11:11" ht="15.75" customHeight="1">
      <c r="K223" s="655"/>
    </row>
    <row r="224" spans="11:11" ht="15.75" customHeight="1">
      <c r="K224" s="655"/>
    </row>
    <row r="225" spans="11:11" ht="15.75" customHeight="1">
      <c r="K225" s="655"/>
    </row>
    <row r="226" spans="11:11" ht="15.75" customHeight="1">
      <c r="K226" s="655"/>
    </row>
    <row r="227" spans="11:11" ht="15.75" customHeight="1">
      <c r="K227" s="655"/>
    </row>
    <row r="228" spans="11:11" ht="15.75" customHeight="1">
      <c r="K228" s="655"/>
    </row>
    <row r="229" spans="11:11" ht="15.75" customHeight="1">
      <c r="K229" s="655"/>
    </row>
    <row r="230" spans="11:11" ht="15.75" customHeight="1">
      <c r="K230" s="655"/>
    </row>
    <row r="231" spans="11:11" ht="15.75" customHeight="1">
      <c r="K231" s="655"/>
    </row>
    <row r="232" spans="11:11" ht="15.75" customHeight="1">
      <c r="K232" s="655"/>
    </row>
    <row r="233" spans="11:11" ht="15.75" customHeight="1">
      <c r="K233" s="655"/>
    </row>
    <row r="234" spans="11:11" ht="15.75" customHeight="1">
      <c r="K234" s="655"/>
    </row>
    <row r="235" spans="11:11" ht="15.75" customHeight="1">
      <c r="K235" s="655"/>
    </row>
    <row r="236" spans="11:11" ht="15.75" customHeight="1">
      <c r="K236" s="655"/>
    </row>
    <row r="237" spans="11:11" ht="15.75" customHeight="1">
      <c r="K237" s="655"/>
    </row>
    <row r="238" spans="11:11" ht="15.75" customHeight="1">
      <c r="K238" s="655"/>
    </row>
    <row r="239" spans="11:11" ht="15.75" customHeight="1">
      <c r="K239" s="655"/>
    </row>
    <row r="240" spans="11:11" ht="15.75" customHeight="1">
      <c r="K240" s="655"/>
    </row>
    <row r="241" spans="11:11" ht="15.75" customHeight="1">
      <c r="K241" s="655"/>
    </row>
    <row r="242" spans="11:11" ht="15.75" customHeight="1">
      <c r="K242" s="655"/>
    </row>
    <row r="243" spans="11:11" ht="15.75" customHeight="1">
      <c r="K243" s="655"/>
    </row>
    <row r="244" spans="11:11" ht="15.75" customHeight="1">
      <c r="K244" s="655"/>
    </row>
    <row r="245" spans="11:11" ht="15.75" customHeight="1">
      <c r="K245" s="655"/>
    </row>
    <row r="246" spans="11:11" ht="15.75" customHeight="1">
      <c r="K246" s="655"/>
    </row>
    <row r="247" spans="11:11" ht="15.75" customHeight="1">
      <c r="K247" s="655"/>
    </row>
    <row r="248" spans="11:11" ht="15.75" customHeight="1">
      <c r="K248" s="655"/>
    </row>
    <row r="249" spans="11:11" ht="15.75" customHeight="1">
      <c r="K249" s="655"/>
    </row>
    <row r="250" spans="11:11" ht="15.75" customHeight="1">
      <c r="K250" s="655"/>
    </row>
    <row r="251" spans="11:11" ht="15.75" customHeight="1">
      <c r="K251" s="655"/>
    </row>
    <row r="252" spans="11:11" ht="15.75" customHeight="1">
      <c r="K252" s="655"/>
    </row>
    <row r="253" spans="11:11" ht="15.75" customHeight="1">
      <c r="K253" s="655"/>
    </row>
    <row r="254" spans="11:11" ht="15.75" customHeight="1">
      <c r="K254" s="655"/>
    </row>
    <row r="255" spans="11:11" ht="15.75" customHeight="1">
      <c r="K255" s="655"/>
    </row>
    <row r="256" spans="11:11" ht="15.75" customHeight="1">
      <c r="K256" s="655"/>
    </row>
    <row r="257" spans="11:11" ht="15.75" customHeight="1">
      <c r="K257" s="655"/>
    </row>
    <row r="258" spans="11:11" ht="15.75" customHeight="1">
      <c r="K258" s="655"/>
    </row>
    <row r="259" spans="11:11" ht="15.75" customHeight="1">
      <c r="K259" s="655"/>
    </row>
    <row r="260" spans="11:11" ht="15.75" customHeight="1">
      <c r="K260" s="655"/>
    </row>
    <row r="261" spans="11:11" ht="15.75" customHeight="1">
      <c r="K261" s="655"/>
    </row>
    <row r="262" spans="11:11" ht="15.75" customHeight="1">
      <c r="K262" s="655"/>
    </row>
    <row r="263" spans="11:11" ht="15.75" customHeight="1">
      <c r="K263" s="655"/>
    </row>
    <row r="264" spans="11:11" ht="15.75" customHeight="1">
      <c r="K264" s="655"/>
    </row>
    <row r="265" spans="11:11" ht="15.75" customHeight="1">
      <c r="K265" s="655"/>
    </row>
    <row r="266" spans="11:11" ht="15.75" customHeight="1">
      <c r="K266" s="655"/>
    </row>
    <row r="267" spans="11:11" ht="15.75" customHeight="1">
      <c r="K267" s="655"/>
    </row>
    <row r="268" spans="11:11" ht="15.75" customHeight="1">
      <c r="K268" s="655"/>
    </row>
    <row r="269" spans="11:11" ht="15.75" customHeight="1">
      <c r="K269" s="655"/>
    </row>
    <row r="270" spans="11:11" ht="15.75" customHeight="1">
      <c r="K270" s="655"/>
    </row>
    <row r="271" spans="11:11" ht="15.75" customHeight="1">
      <c r="K271" s="655"/>
    </row>
    <row r="272" spans="11:11" ht="15.75" customHeight="1">
      <c r="K272" s="655"/>
    </row>
    <row r="273" spans="11:11" ht="15.75" customHeight="1">
      <c r="K273" s="655"/>
    </row>
    <row r="274" spans="11:11" ht="15.75" customHeight="1">
      <c r="K274" s="655"/>
    </row>
    <row r="275" spans="11:11" ht="15.75" customHeight="1">
      <c r="K275" s="655"/>
    </row>
    <row r="276" spans="11:11" ht="15.75" customHeight="1">
      <c r="K276" s="655"/>
    </row>
    <row r="277" spans="11:11" ht="15.75" customHeight="1">
      <c r="K277" s="655"/>
    </row>
    <row r="278" spans="11:11" ht="15.75" customHeight="1">
      <c r="K278" s="655"/>
    </row>
    <row r="279" spans="11:11" ht="15.75" customHeight="1">
      <c r="K279" s="655"/>
    </row>
    <row r="280" spans="11:11" ht="15.75" customHeight="1">
      <c r="K280" s="655"/>
    </row>
    <row r="281" spans="11:11" ht="15.75" customHeight="1">
      <c r="K281" s="655"/>
    </row>
    <row r="282" spans="11:11" ht="15.75" customHeight="1">
      <c r="K282" s="655"/>
    </row>
    <row r="283" spans="11:11" ht="15.75" customHeight="1">
      <c r="K283" s="655"/>
    </row>
    <row r="284" spans="11:11" ht="15.75" customHeight="1">
      <c r="K284" s="655"/>
    </row>
    <row r="285" spans="11:11" ht="15.75" customHeight="1">
      <c r="K285" s="655"/>
    </row>
    <row r="286" spans="11:11" ht="15.75" customHeight="1">
      <c r="K286" s="655"/>
    </row>
    <row r="287" spans="11:11" ht="15.75" customHeight="1">
      <c r="K287" s="655"/>
    </row>
    <row r="288" spans="11:11" ht="15.75" customHeight="1">
      <c r="K288" s="655"/>
    </row>
    <row r="289" spans="11:11" ht="15.75" customHeight="1">
      <c r="K289" s="655"/>
    </row>
    <row r="290" spans="11:11" ht="15.75" customHeight="1">
      <c r="K290" s="655"/>
    </row>
    <row r="291" spans="11:11" ht="15.75" customHeight="1">
      <c r="K291" s="655"/>
    </row>
    <row r="292" spans="11:11" ht="15.75" customHeight="1">
      <c r="K292" s="655"/>
    </row>
    <row r="293" spans="11:11" ht="15.75" customHeight="1">
      <c r="K293" s="655"/>
    </row>
    <row r="294" spans="11:11" ht="15.75" customHeight="1">
      <c r="K294" s="655"/>
    </row>
    <row r="295" spans="11:11" ht="15.75" customHeight="1">
      <c r="K295" s="655"/>
    </row>
    <row r="296" spans="11:11" ht="15.75" customHeight="1">
      <c r="K296" s="655"/>
    </row>
    <row r="297" spans="11:11" ht="15.75" customHeight="1">
      <c r="K297" s="655"/>
    </row>
    <row r="298" spans="11:11" ht="15.75" customHeight="1">
      <c r="K298" s="655"/>
    </row>
    <row r="299" spans="11:11" ht="15.75" customHeight="1">
      <c r="K299" s="655"/>
    </row>
    <row r="300" spans="11:11" ht="15.75" customHeight="1">
      <c r="K300" s="655"/>
    </row>
    <row r="301" spans="11:11" ht="15.75" customHeight="1">
      <c r="K301" s="655"/>
    </row>
    <row r="302" spans="11:11" ht="15.75" customHeight="1">
      <c r="K302" s="655"/>
    </row>
    <row r="303" spans="11:11" ht="15.75" customHeight="1">
      <c r="K303" s="655"/>
    </row>
    <row r="304" spans="11:11" ht="15.75" customHeight="1">
      <c r="K304" s="655"/>
    </row>
    <row r="305" spans="11:11" ht="15.75" customHeight="1">
      <c r="K305" s="655"/>
    </row>
    <row r="306" spans="11:11" ht="15.75" customHeight="1">
      <c r="K306" s="655"/>
    </row>
    <row r="307" spans="11:11" ht="15.75" customHeight="1">
      <c r="K307" s="655"/>
    </row>
    <row r="308" spans="11:11" ht="15.75" customHeight="1">
      <c r="K308" s="655"/>
    </row>
    <row r="309" spans="11:11" ht="15.75" customHeight="1">
      <c r="K309" s="655"/>
    </row>
    <row r="310" spans="11:11" ht="15.75" customHeight="1">
      <c r="K310" s="655"/>
    </row>
    <row r="311" spans="11:11" ht="15.75" customHeight="1">
      <c r="K311" s="655"/>
    </row>
    <row r="312" spans="11:11" ht="15.75" customHeight="1">
      <c r="K312" s="655"/>
    </row>
    <row r="313" spans="11:11" ht="15.75" customHeight="1">
      <c r="K313" s="655"/>
    </row>
    <row r="314" spans="11:11" ht="15.75" customHeight="1">
      <c r="K314" s="655"/>
    </row>
    <row r="315" spans="11:11" ht="15.75" customHeight="1">
      <c r="K315" s="655"/>
    </row>
    <row r="316" spans="11:11" ht="15.75" customHeight="1">
      <c r="K316" s="655"/>
    </row>
    <row r="317" spans="11:11" ht="15.75" customHeight="1">
      <c r="K317" s="655"/>
    </row>
    <row r="318" spans="11:11" ht="15.75" customHeight="1">
      <c r="K318" s="655"/>
    </row>
    <row r="319" spans="11:11" ht="15.75" customHeight="1">
      <c r="K319" s="655"/>
    </row>
    <row r="320" spans="11:11" ht="15.75" customHeight="1">
      <c r="K320" s="655"/>
    </row>
    <row r="321" spans="11:11" ht="15.75" customHeight="1">
      <c r="K321" s="655"/>
    </row>
    <row r="322" spans="11:11" ht="15.75" customHeight="1">
      <c r="K322" s="655"/>
    </row>
    <row r="323" spans="11:11" ht="15.75" customHeight="1">
      <c r="K323" s="655"/>
    </row>
    <row r="324" spans="11:11" ht="15.75" customHeight="1">
      <c r="K324" s="655"/>
    </row>
    <row r="325" spans="11:11" ht="15.75" customHeight="1">
      <c r="K325" s="655"/>
    </row>
    <row r="326" spans="11:11" ht="15.75" customHeight="1">
      <c r="K326" s="655"/>
    </row>
    <row r="327" spans="11:11" ht="15.75" customHeight="1">
      <c r="K327" s="655"/>
    </row>
    <row r="328" spans="11:11" ht="15.75" customHeight="1">
      <c r="K328" s="655"/>
    </row>
    <row r="329" spans="11:11" ht="15.75" customHeight="1">
      <c r="K329" s="655"/>
    </row>
    <row r="330" spans="11:11" ht="15.75" customHeight="1">
      <c r="K330" s="655"/>
    </row>
    <row r="331" spans="11:11" ht="15.75" customHeight="1">
      <c r="K331" s="655"/>
    </row>
    <row r="332" spans="11:11" ht="15.75" customHeight="1">
      <c r="K332" s="655"/>
    </row>
    <row r="333" spans="11:11" ht="15.75" customHeight="1">
      <c r="K333" s="655"/>
    </row>
    <row r="334" spans="11:11" ht="15.75" customHeight="1">
      <c r="K334" s="655"/>
    </row>
    <row r="335" spans="11:11" ht="15.75" customHeight="1">
      <c r="K335" s="655"/>
    </row>
    <row r="336" spans="11:11" ht="15.75" customHeight="1">
      <c r="K336" s="655"/>
    </row>
    <row r="337" spans="11:11" ht="15.75" customHeight="1">
      <c r="K337" s="655"/>
    </row>
    <row r="338" spans="11:11" ht="15.75" customHeight="1">
      <c r="K338" s="655"/>
    </row>
    <row r="339" spans="11:11" ht="15.75" customHeight="1">
      <c r="K339" s="655"/>
    </row>
    <row r="340" spans="11:11" ht="15.75" customHeight="1">
      <c r="K340" s="655"/>
    </row>
    <row r="341" spans="11:11" ht="15.75" customHeight="1">
      <c r="K341" s="655"/>
    </row>
    <row r="342" spans="11:11" ht="15.75" customHeight="1">
      <c r="K342" s="655"/>
    </row>
    <row r="343" spans="11:11" ht="15.75" customHeight="1">
      <c r="K343" s="655"/>
    </row>
    <row r="344" spans="11:11" ht="15.75" customHeight="1">
      <c r="K344" s="655"/>
    </row>
    <row r="345" spans="11:11" ht="15.75" customHeight="1">
      <c r="K345" s="655"/>
    </row>
    <row r="346" spans="11:11" ht="15.75" customHeight="1">
      <c r="K346" s="655"/>
    </row>
    <row r="347" spans="11:11" ht="15.75" customHeight="1">
      <c r="K347" s="655"/>
    </row>
    <row r="348" spans="11:11" ht="15.75" customHeight="1">
      <c r="K348" s="655"/>
    </row>
    <row r="349" spans="11:11" ht="15.75" customHeight="1">
      <c r="K349" s="655"/>
    </row>
    <row r="350" spans="11:11" ht="15.75" customHeight="1">
      <c r="K350" s="655"/>
    </row>
    <row r="351" spans="11:11" ht="15.75" customHeight="1">
      <c r="K351" s="655"/>
    </row>
    <row r="352" spans="11:11" ht="15.75" customHeight="1">
      <c r="K352" s="655"/>
    </row>
    <row r="353" spans="11:11" ht="15.75" customHeight="1">
      <c r="K353" s="655"/>
    </row>
    <row r="354" spans="11:11" ht="15.75" customHeight="1">
      <c r="K354" s="655"/>
    </row>
    <row r="355" spans="11:11" ht="15.75" customHeight="1">
      <c r="K355" s="655"/>
    </row>
    <row r="356" spans="11:11" ht="15.75" customHeight="1">
      <c r="K356" s="655"/>
    </row>
    <row r="357" spans="11:11" ht="15.75" customHeight="1">
      <c r="K357" s="655"/>
    </row>
    <row r="358" spans="11:11" ht="15.75" customHeight="1">
      <c r="K358" s="655"/>
    </row>
    <row r="359" spans="11:11" ht="15.75" customHeight="1">
      <c r="K359" s="655"/>
    </row>
    <row r="360" spans="11:11" ht="15.75" customHeight="1">
      <c r="K360" s="655"/>
    </row>
    <row r="361" spans="11:11" ht="15.75" customHeight="1">
      <c r="K361" s="655"/>
    </row>
    <row r="362" spans="11:11" ht="15.75" customHeight="1">
      <c r="K362" s="655"/>
    </row>
    <row r="363" spans="11:11" ht="15.75" customHeight="1">
      <c r="K363" s="655"/>
    </row>
    <row r="364" spans="11:11" ht="15.75" customHeight="1">
      <c r="K364" s="655"/>
    </row>
    <row r="365" spans="11:11" ht="15.75" customHeight="1">
      <c r="K365" s="655"/>
    </row>
    <row r="366" spans="11:11" ht="15.75" customHeight="1">
      <c r="K366" s="655"/>
    </row>
    <row r="367" spans="11:11" ht="15.75" customHeight="1">
      <c r="K367" s="655"/>
    </row>
    <row r="368" spans="11:11" ht="15.75" customHeight="1">
      <c r="K368" s="655"/>
    </row>
    <row r="369" spans="11:11" ht="15.75" customHeight="1">
      <c r="K369" s="655"/>
    </row>
    <row r="370" spans="11:11" ht="15.75" customHeight="1">
      <c r="K370" s="655"/>
    </row>
    <row r="371" spans="11:11" ht="15.75" customHeight="1">
      <c r="K371" s="655"/>
    </row>
    <row r="372" spans="11:11" ht="15.75" customHeight="1">
      <c r="K372" s="655"/>
    </row>
    <row r="373" spans="11:11" ht="15.75" customHeight="1">
      <c r="K373" s="655"/>
    </row>
    <row r="374" spans="11:11" ht="15.75" customHeight="1">
      <c r="K374" s="655"/>
    </row>
    <row r="375" spans="11:11" ht="15.75" customHeight="1">
      <c r="K375" s="655"/>
    </row>
    <row r="376" spans="11:11" ht="15.75" customHeight="1">
      <c r="K376" s="655"/>
    </row>
    <row r="377" spans="11:11" ht="15.75" customHeight="1">
      <c r="K377" s="655"/>
    </row>
    <row r="378" spans="11:11" ht="15.75" customHeight="1">
      <c r="K378" s="655"/>
    </row>
    <row r="379" spans="11:11" ht="15.75" customHeight="1">
      <c r="K379" s="655"/>
    </row>
    <row r="380" spans="11:11" ht="15.75" customHeight="1">
      <c r="K380" s="655"/>
    </row>
    <row r="381" spans="11:11" ht="15.75" customHeight="1">
      <c r="K381" s="655"/>
    </row>
    <row r="382" spans="11:11" ht="15.75" customHeight="1">
      <c r="K382" s="655"/>
    </row>
    <row r="383" spans="11:11" ht="15.75" customHeight="1">
      <c r="K383" s="655"/>
    </row>
    <row r="384" spans="11:11" ht="15.75" customHeight="1">
      <c r="K384" s="655"/>
    </row>
    <row r="385" spans="11:11" ht="15.75" customHeight="1">
      <c r="K385" s="655"/>
    </row>
    <row r="386" spans="11:11" ht="15.75" customHeight="1">
      <c r="K386" s="655"/>
    </row>
    <row r="387" spans="11:11" ht="15.75" customHeight="1">
      <c r="K387" s="655"/>
    </row>
    <row r="388" spans="11:11" ht="15.75" customHeight="1">
      <c r="K388" s="655"/>
    </row>
    <row r="389" spans="11:11" ht="15.75" customHeight="1">
      <c r="K389" s="655"/>
    </row>
    <row r="390" spans="11:11" ht="15.75" customHeight="1">
      <c r="K390" s="655"/>
    </row>
    <row r="391" spans="11:11" ht="15.75" customHeight="1">
      <c r="K391" s="655"/>
    </row>
    <row r="392" spans="11:11" ht="15.75" customHeight="1">
      <c r="K392" s="655"/>
    </row>
    <row r="393" spans="11:11" ht="15.75" customHeight="1">
      <c r="K393" s="655"/>
    </row>
    <row r="394" spans="11:11" ht="15.75" customHeight="1">
      <c r="K394" s="655"/>
    </row>
    <row r="395" spans="11:11" ht="15.75" customHeight="1">
      <c r="K395" s="655"/>
    </row>
    <row r="396" spans="11:11" ht="15.75" customHeight="1">
      <c r="K396" s="655"/>
    </row>
    <row r="397" spans="11:11" ht="15.75" customHeight="1">
      <c r="K397" s="655"/>
    </row>
    <row r="398" spans="11:11" ht="15.75" customHeight="1">
      <c r="K398" s="655"/>
    </row>
    <row r="399" spans="11:11" ht="15.75" customHeight="1">
      <c r="K399" s="655"/>
    </row>
    <row r="400" spans="11:11" ht="15.75" customHeight="1">
      <c r="K400" s="655"/>
    </row>
    <row r="401" spans="11:11" ht="15.75" customHeight="1">
      <c r="K401" s="655"/>
    </row>
    <row r="402" spans="11:11" ht="15.75" customHeight="1">
      <c r="K402" s="655"/>
    </row>
    <row r="403" spans="11:11" ht="15.75" customHeight="1">
      <c r="K403" s="655"/>
    </row>
    <row r="404" spans="11:11" ht="15.75" customHeight="1">
      <c r="K404" s="655"/>
    </row>
    <row r="405" spans="11:11" ht="15.75" customHeight="1">
      <c r="K405" s="655"/>
    </row>
    <row r="406" spans="11:11" ht="15.75" customHeight="1">
      <c r="K406" s="655"/>
    </row>
    <row r="407" spans="11:11" ht="15.75" customHeight="1">
      <c r="K407" s="655"/>
    </row>
    <row r="408" spans="11:11" ht="15.75" customHeight="1">
      <c r="K408" s="655"/>
    </row>
    <row r="409" spans="11:11" ht="15.75" customHeight="1">
      <c r="K409" s="655"/>
    </row>
    <row r="410" spans="11:11" ht="15.75" customHeight="1">
      <c r="K410" s="655"/>
    </row>
    <row r="411" spans="11:11" ht="15.75" customHeight="1">
      <c r="K411" s="655"/>
    </row>
    <row r="412" spans="11:11" ht="15.75" customHeight="1">
      <c r="K412" s="655"/>
    </row>
    <row r="413" spans="11:11" ht="15.75" customHeight="1">
      <c r="K413" s="655"/>
    </row>
    <row r="414" spans="11:11" ht="15.75" customHeight="1">
      <c r="K414" s="655"/>
    </row>
    <row r="415" spans="11:11" ht="15.75" customHeight="1">
      <c r="K415" s="655"/>
    </row>
    <row r="416" spans="11:11" ht="15.75" customHeight="1">
      <c r="K416" s="655"/>
    </row>
    <row r="417" spans="11:11" ht="15.75" customHeight="1">
      <c r="K417" s="655"/>
    </row>
    <row r="418" spans="11:11" ht="15.75" customHeight="1">
      <c r="K418" s="655"/>
    </row>
    <row r="419" spans="11:11" ht="15.75" customHeight="1">
      <c r="K419" s="655"/>
    </row>
    <row r="420" spans="11:11" ht="15.75" customHeight="1">
      <c r="K420" s="655"/>
    </row>
    <row r="421" spans="11:11" ht="15.75" customHeight="1">
      <c r="K421" s="655"/>
    </row>
    <row r="422" spans="11:11" ht="15.75" customHeight="1">
      <c r="K422" s="655"/>
    </row>
    <row r="423" spans="11:11" ht="15.75" customHeight="1">
      <c r="K423" s="655"/>
    </row>
    <row r="424" spans="11:11" ht="15.75" customHeight="1">
      <c r="K424" s="655"/>
    </row>
    <row r="425" spans="11:11" ht="15.75" customHeight="1">
      <c r="K425" s="655"/>
    </row>
    <row r="426" spans="11:11" ht="15.75" customHeight="1">
      <c r="K426" s="655"/>
    </row>
    <row r="427" spans="11:11" ht="15.75" customHeight="1">
      <c r="K427" s="655"/>
    </row>
    <row r="428" spans="11:11" ht="15.75" customHeight="1">
      <c r="K428" s="655"/>
    </row>
    <row r="429" spans="11:11" ht="15.75" customHeight="1">
      <c r="K429" s="655"/>
    </row>
    <row r="430" spans="11:11" ht="15.75" customHeight="1">
      <c r="K430" s="655"/>
    </row>
    <row r="431" spans="11:11" ht="15.75" customHeight="1">
      <c r="K431" s="655"/>
    </row>
    <row r="432" spans="11:11" ht="15.75" customHeight="1">
      <c r="K432" s="655"/>
    </row>
    <row r="433" spans="11:11" ht="15.75" customHeight="1">
      <c r="K433" s="655"/>
    </row>
    <row r="434" spans="11:11" ht="15.75" customHeight="1">
      <c r="K434" s="655"/>
    </row>
    <row r="435" spans="11:11" ht="15.75" customHeight="1">
      <c r="K435" s="655"/>
    </row>
    <row r="436" spans="11:11" ht="15.75" customHeight="1">
      <c r="K436" s="655"/>
    </row>
    <row r="437" spans="11:11" ht="15.75" customHeight="1">
      <c r="K437" s="655"/>
    </row>
    <row r="438" spans="11:11" ht="15.75" customHeight="1">
      <c r="K438" s="655"/>
    </row>
    <row r="439" spans="11:11" ht="15.75" customHeight="1">
      <c r="K439" s="655"/>
    </row>
    <row r="440" spans="11:11" ht="15.75" customHeight="1">
      <c r="K440" s="655"/>
    </row>
    <row r="441" spans="11:11" ht="15.75" customHeight="1">
      <c r="K441" s="655"/>
    </row>
    <row r="442" spans="11:11" ht="15.75" customHeight="1">
      <c r="K442" s="655"/>
    </row>
    <row r="443" spans="11:11" ht="15.75" customHeight="1">
      <c r="K443" s="655"/>
    </row>
    <row r="444" spans="11:11" ht="15.75" customHeight="1">
      <c r="K444" s="655"/>
    </row>
    <row r="445" spans="11:11" ht="15.75" customHeight="1">
      <c r="K445" s="655"/>
    </row>
    <row r="446" spans="11:11" ht="15.75" customHeight="1">
      <c r="K446" s="655"/>
    </row>
    <row r="447" spans="11:11" ht="15.75" customHeight="1">
      <c r="K447" s="655"/>
    </row>
    <row r="448" spans="11:11" ht="15.75" customHeight="1">
      <c r="K448" s="655"/>
    </row>
    <row r="449" spans="11:11" ht="15.75" customHeight="1">
      <c r="K449" s="655"/>
    </row>
    <row r="450" spans="11:11" ht="15.75" customHeight="1">
      <c r="K450" s="655"/>
    </row>
    <row r="451" spans="11:11" ht="15.75" customHeight="1">
      <c r="K451" s="655"/>
    </row>
    <row r="452" spans="11:11" ht="15.75" customHeight="1">
      <c r="K452" s="655"/>
    </row>
    <row r="453" spans="11:11" ht="15.75" customHeight="1">
      <c r="K453" s="655"/>
    </row>
    <row r="454" spans="11:11" ht="15.75" customHeight="1">
      <c r="K454" s="655"/>
    </row>
    <row r="455" spans="11:11" ht="15.75" customHeight="1">
      <c r="K455" s="655"/>
    </row>
    <row r="456" spans="11:11" ht="15.75" customHeight="1">
      <c r="K456" s="655"/>
    </row>
    <row r="457" spans="11:11" ht="15.75" customHeight="1">
      <c r="K457" s="655"/>
    </row>
    <row r="458" spans="11:11" ht="15.75" customHeight="1">
      <c r="K458" s="655"/>
    </row>
    <row r="459" spans="11:11" ht="15.75" customHeight="1">
      <c r="K459" s="655"/>
    </row>
    <row r="460" spans="11:11" ht="15.75" customHeight="1">
      <c r="K460" s="655"/>
    </row>
    <row r="461" spans="11:11" ht="15.75" customHeight="1">
      <c r="K461" s="655"/>
    </row>
    <row r="462" spans="11:11" ht="15.75" customHeight="1">
      <c r="K462" s="655"/>
    </row>
    <row r="463" spans="11:11" ht="15.75" customHeight="1">
      <c r="K463" s="655"/>
    </row>
    <row r="464" spans="11:11" ht="15.75" customHeight="1">
      <c r="K464" s="655"/>
    </row>
    <row r="465" spans="11:11" ht="15.75" customHeight="1">
      <c r="K465" s="655"/>
    </row>
    <row r="466" spans="11:11" ht="15.75" customHeight="1">
      <c r="K466" s="655"/>
    </row>
    <row r="467" spans="11:11" ht="15.75" customHeight="1">
      <c r="K467" s="655"/>
    </row>
    <row r="468" spans="11:11" ht="15.75" customHeight="1">
      <c r="K468" s="655"/>
    </row>
    <row r="469" spans="11:11" ht="15.75" customHeight="1">
      <c r="K469" s="655"/>
    </row>
    <row r="470" spans="11:11" ht="15.75" customHeight="1">
      <c r="K470" s="655"/>
    </row>
    <row r="471" spans="11:11" ht="15.75" customHeight="1">
      <c r="K471" s="655"/>
    </row>
    <row r="472" spans="11:11" ht="15.75" customHeight="1">
      <c r="K472" s="655"/>
    </row>
    <row r="473" spans="11:11" ht="15.75" customHeight="1">
      <c r="K473" s="655"/>
    </row>
    <row r="474" spans="11:11" ht="15.75" customHeight="1">
      <c r="K474" s="655"/>
    </row>
    <row r="475" spans="11:11" ht="15.75" customHeight="1">
      <c r="K475" s="655"/>
    </row>
    <row r="476" spans="11:11" ht="15.75" customHeight="1">
      <c r="K476" s="655"/>
    </row>
    <row r="477" spans="11:11" ht="15.75" customHeight="1">
      <c r="K477" s="655"/>
    </row>
    <row r="478" spans="11:11" ht="15.75" customHeight="1">
      <c r="K478" s="655"/>
    </row>
    <row r="479" spans="11:11" ht="15.75" customHeight="1">
      <c r="K479" s="655"/>
    </row>
    <row r="480" spans="11:11" ht="15.75" customHeight="1">
      <c r="K480" s="655"/>
    </row>
    <row r="481" spans="11:11" ht="15.75" customHeight="1">
      <c r="K481" s="655"/>
    </row>
    <row r="482" spans="11:11" ht="15.75" customHeight="1">
      <c r="K482" s="655"/>
    </row>
    <row r="483" spans="11:11" ht="15.75" customHeight="1">
      <c r="K483" s="655"/>
    </row>
    <row r="484" spans="11:11" ht="15.75" customHeight="1">
      <c r="K484" s="655"/>
    </row>
    <row r="485" spans="11:11" ht="15.75" customHeight="1">
      <c r="K485" s="655"/>
    </row>
    <row r="486" spans="11:11" ht="15.75" customHeight="1">
      <c r="K486" s="655"/>
    </row>
    <row r="487" spans="11:11" ht="15.75" customHeight="1">
      <c r="K487" s="655"/>
    </row>
    <row r="488" spans="11:11" ht="15.75" customHeight="1">
      <c r="K488" s="655"/>
    </row>
    <row r="489" spans="11:11" ht="15.75" customHeight="1">
      <c r="K489" s="655"/>
    </row>
    <row r="490" spans="11:11" ht="15.75" customHeight="1">
      <c r="K490" s="655"/>
    </row>
    <row r="491" spans="11:11" ht="15.75" customHeight="1">
      <c r="K491" s="655"/>
    </row>
    <row r="492" spans="11:11" ht="15.75" customHeight="1">
      <c r="K492" s="655"/>
    </row>
    <row r="493" spans="11:11" ht="15.75" customHeight="1">
      <c r="K493" s="655"/>
    </row>
    <row r="494" spans="11:11" ht="15.75" customHeight="1">
      <c r="K494" s="655"/>
    </row>
    <row r="495" spans="11:11" ht="15.75" customHeight="1">
      <c r="K495" s="655"/>
    </row>
    <row r="496" spans="11:11" ht="15.75" customHeight="1">
      <c r="K496" s="655"/>
    </row>
    <row r="497" spans="11:11" ht="15.75" customHeight="1">
      <c r="K497" s="655"/>
    </row>
    <row r="498" spans="11:11" ht="15.75" customHeight="1">
      <c r="K498" s="655"/>
    </row>
    <row r="499" spans="11:11" ht="15.75" customHeight="1">
      <c r="K499" s="655"/>
    </row>
    <row r="500" spans="11:11" ht="15.75" customHeight="1">
      <c r="K500" s="655"/>
    </row>
    <row r="501" spans="11:11" ht="15.75" customHeight="1">
      <c r="K501" s="655"/>
    </row>
    <row r="502" spans="11:11" ht="15.75" customHeight="1">
      <c r="K502" s="655"/>
    </row>
    <row r="503" spans="11:11" ht="15.75" customHeight="1">
      <c r="K503" s="655"/>
    </row>
    <row r="504" spans="11:11" ht="15.75" customHeight="1">
      <c r="K504" s="655"/>
    </row>
    <row r="505" spans="11:11" ht="15.75" customHeight="1">
      <c r="K505" s="655"/>
    </row>
    <row r="506" spans="11:11" ht="15.75" customHeight="1">
      <c r="K506" s="655"/>
    </row>
    <row r="507" spans="11:11" ht="15.75" customHeight="1">
      <c r="K507" s="655"/>
    </row>
    <row r="508" spans="11:11" ht="15.75" customHeight="1">
      <c r="K508" s="655"/>
    </row>
    <row r="509" spans="11:11" ht="15.75" customHeight="1">
      <c r="K509" s="655"/>
    </row>
    <row r="510" spans="11:11" ht="15.75" customHeight="1">
      <c r="K510" s="655"/>
    </row>
    <row r="511" spans="11:11" ht="15.75" customHeight="1">
      <c r="K511" s="655"/>
    </row>
    <row r="512" spans="11:11" ht="15.75" customHeight="1">
      <c r="K512" s="655"/>
    </row>
    <row r="513" spans="11:11" ht="15.75" customHeight="1">
      <c r="K513" s="655"/>
    </row>
    <row r="514" spans="11:11" ht="15.75" customHeight="1">
      <c r="K514" s="655"/>
    </row>
    <row r="515" spans="11:11" ht="15.75" customHeight="1">
      <c r="K515" s="655"/>
    </row>
    <row r="516" spans="11:11" ht="15.75" customHeight="1">
      <c r="K516" s="655"/>
    </row>
    <row r="517" spans="11:11" ht="15.75" customHeight="1">
      <c r="K517" s="655"/>
    </row>
    <row r="518" spans="11:11" ht="15.75" customHeight="1">
      <c r="K518" s="655"/>
    </row>
    <row r="519" spans="11:11" ht="15.75" customHeight="1">
      <c r="K519" s="655"/>
    </row>
    <row r="520" spans="11:11" ht="15.75" customHeight="1">
      <c r="K520" s="655"/>
    </row>
    <row r="521" spans="11:11" ht="15.75" customHeight="1">
      <c r="K521" s="655"/>
    </row>
    <row r="522" spans="11:11" ht="15.75" customHeight="1">
      <c r="K522" s="655"/>
    </row>
    <row r="523" spans="11:11" ht="15.75" customHeight="1">
      <c r="K523" s="655"/>
    </row>
    <row r="524" spans="11:11" ht="15.75" customHeight="1">
      <c r="K524" s="655"/>
    </row>
    <row r="525" spans="11:11" ht="15.75" customHeight="1">
      <c r="K525" s="655"/>
    </row>
    <row r="526" spans="11:11" ht="15.75" customHeight="1">
      <c r="K526" s="655"/>
    </row>
    <row r="527" spans="11:11" ht="15.75" customHeight="1">
      <c r="K527" s="655"/>
    </row>
    <row r="528" spans="11:11" ht="15.75" customHeight="1">
      <c r="K528" s="655"/>
    </row>
    <row r="529" spans="11:11" ht="15.75" customHeight="1">
      <c r="K529" s="655"/>
    </row>
    <row r="530" spans="11:11" ht="15.75" customHeight="1">
      <c r="K530" s="655"/>
    </row>
    <row r="531" spans="11:11" ht="15.75" customHeight="1">
      <c r="K531" s="655"/>
    </row>
    <row r="532" spans="11:11" ht="15.75" customHeight="1">
      <c r="K532" s="655"/>
    </row>
    <row r="533" spans="11:11" ht="15.75" customHeight="1">
      <c r="K533" s="655"/>
    </row>
    <row r="534" spans="11:11" ht="15.75" customHeight="1">
      <c r="K534" s="655"/>
    </row>
    <row r="535" spans="11:11" ht="15.75" customHeight="1">
      <c r="K535" s="655"/>
    </row>
    <row r="536" spans="11:11" ht="15.75" customHeight="1">
      <c r="K536" s="655"/>
    </row>
    <row r="537" spans="11:11" ht="15.75" customHeight="1">
      <c r="K537" s="655"/>
    </row>
    <row r="538" spans="11:11" ht="15.75" customHeight="1">
      <c r="K538" s="655"/>
    </row>
    <row r="539" spans="11:11" ht="15.75" customHeight="1">
      <c r="K539" s="655"/>
    </row>
    <row r="540" spans="11:11" ht="15.75" customHeight="1">
      <c r="K540" s="655"/>
    </row>
    <row r="541" spans="11:11" ht="15.75" customHeight="1">
      <c r="K541" s="655"/>
    </row>
    <row r="542" spans="11:11" ht="15.75" customHeight="1">
      <c r="K542" s="655"/>
    </row>
    <row r="543" spans="11:11" ht="15.75" customHeight="1">
      <c r="K543" s="655"/>
    </row>
    <row r="544" spans="11:11" ht="15.75" customHeight="1">
      <c r="K544" s="655"/>
    </row>
    <row r="545" spans="11:11" ht="15.75" customHeight="1">
      <c r="K545" s="655"/>
    </row>
    <row r="546" spans="11:11" ht="15.75" customHeight="1">
      <c r="K546" s="655"/>
    </row>
    <row r="547" spans="11:11" ht="15.75" customHeight="1">
      <c r="K547" s="655"/>
    </row>
    <row r="548" spans="11:11" ht="15.75" customHeight="1">
      <c r="K548" s="655"/>
    </row>
    <row r="549" spans="11:11" ht="15.75" customHeight="1">
      <c r="K549" s="655"/>
    </row>
    <row r="550" spans="11:11" ht="15.75" customHeight="1">
      <c r="K550" s="655"/>
    </row>
    <row r="551" spans="11:11" ht="15.75" customHeight="1">
      <c r="K551" s="655"/>
    </row>
    <row r="552" spans="11:11" ht="15.75" customHeight="1">
      <c r="K552" s="655"/>
    </row>
    <row r="553" spans="11:11" ht="15.75" customHeight="1">
      <c r="K553" s="655"/>
    </row>
    <row r="554" spans="11:11" ht="15.75" customHeight="1">
      <c r="K554" s="655"/>
    </row>
    <row r="555" spans="11:11" ht="15.75" customHeight="1">
      <c r="K555" s="655"/>
    </row>
    <row r="556" spans="11:11" ht="15.75" customHeight="1">
      <c r="K556" s="655"/>
    </row>
    <row r="557" spans="11:11" ht="15.75" customHeight="1">
      <c r="K557" s="655"/>
    </row>
    <row r="558" spans="11:11" ht="15.75" customHeight="1">
      <c r="K558" s="655"/>
    </row>
    <row r="559" spans="11:11" ht="15.75" customHeight="1">
      <c r="K559" s="655"/>
    </row>
    <row r="560" spans="11:11" ht="15.75" customHeight="1">
      <c r="K560" s="655"/>
    </row>
    <row r="561" spans="11:11" ht="15.75" customHeight="1">
      <c r="K561" s="655"/>
    </row>
    <row r="562" spans="11:11" ht="15.75" customHeight="1">
      <c r="K562" s="655"/>
    </row>
    <row r="563" spans="11:11" ht="15.75" customHeight="1">
      <c r="K563" s="655"/>
    </row>
    <row r="564" spans="11:11" ht="15.75" customHeight="1">
      <c r="K564" s="655"/>
    </row>
    <row r="565" spans="11:11" ht="15.75" customHeight="1">
      <c r="K565" s="655"/>
    </row>
    <row r="566" spans="11:11" ht="15.75" customHeight="1">
      <c r="K566" s="655"/>
    </row>
    <row r="567" spans="11:11" ht="15.75" customHeight="1">
      <c r="K567" s="655"/>
    </row>
    <row r="568" spans="11:11" ht="15.75" customHeight="1">
      <c r="K568" s="655"/>
    </row>
    <row r="569" spans="11:11" ht="15.75" customHeight="1">
      <c r="K569" s="655"/>
    </row>
    <row r="570" spans="11:11" ht="15.75" customHeight="1">
      <c r="K570" s="655"/>
    </row>
    <row r="571" spans="11:11" ht="15.75" customHeight="1">
      <c r="K571" s="655"/>
    </row>
    <row r="572" spans="11:11" ht="15.75" customHeight="1">
      <c r="K572" s="655"/>
    </row>
    <row r="573" spans="11:11" ht="15.75" customHeight="1">
      <c r="K573" s="655"/>
    </row>
    <row r="574" spans="11:11" ht="15.75" customHeight="1">
      <c r="K574" s="655"/>
    </row>
    <row r="575" spans="11:11" ht="15.75" customHeight="1">
      <c r="K575" s="655"/>
    </row>
    <row r="576" spans="11:11" ht="15.75" customHeight="1">
      <c r="K576" s="655"/>
    </row>
    <row r="577" spans="11:11" ht="15.75" customHeight="1">
      <c r="K577" s="655"/>
    </row>
    <row r="578" spans="11:11" ht="15.75" customHeight="1">
      <c r="K578" s="655"/>
    </row>
    <row r="579" spans="11:11" ht="15.75" customHeight="1">
      <c r="K579" s="655"/>
    </row>
    <row r="580" spans="11:11" ht="15.75" customHeight="1">
      <c r="K580" s="655"/>
    </row>
    <row r="581" spans="11:11" ht="15.75" customHeight="1">
      <c r="K581" s="655"/>
    </row>
    <row r="582" spans="11:11" ht="15.75" customHeight="1">
      <c r="K582" s="655"/>
    </row>
    <row r="583" spans="11:11" ht="15.75" customHeight="1">
      <c r="K583" s="655"/>
    </row>
    <row r="584" spans="11:11" ht="15.75" customHeight="1">
      <c r="K584" s="655"/>
    </row>
    <row r="585" spans="11:11" ht="15.75" customHeight="1">
      <c r="K585" s="655"/>
    </row>
    <row r="586" spans="11:11" ht="15.75" customHeight="1">
      <c r="K586" s="655"/>
    </row>
    <row r="587" spans="11:11" ht="15.75" customHeight="1">
      <c r="K587" s="655"/>
    </row>
    <row r="588" spans="11:11" ht="15.75" customHeight="1">
      <c r="K588" s="655"/>
    </row>
    <row r="589" spans="11:11" ht="15.75" customHeight="1">
      <c r="K589" s="655"/>
    </row>
    <row r="590" spans="11:11" ht="15.75" customHeight="1">
      <c r="K590" s="655"/>
    </row>
    <row r="591" spans="11:11" ht="15.75" customHeight="1">
      <c r="K591" s="655"/>
    </row>
    <row r="592" spans="11:11" ht="15.75" customHeight="1">
      <c r="K592" s="655"/>
    </row>
    <row r="593" spans="11:11" ht="15.75" customHeight="1">
      <c r="K593" s="655"/>
    </row>
    <row r="594" spans="11:11" ht="15.75" customHeight="1">
      <c r="K594" s="655"/>
    </row>
    <row r="595" spans="11:11" ht="15.75" customHeight="1">
      <c r="K595" s="655"/>
    </row>
    <row r="596" spans="11:11" ht="15.75" customHeight="1">
      <c r="K596" s="655"/>
    </row>
    <row r="597" spans="11:11" ht="15.75" customHeight="1">
      <c r="K597" s="655"/>
    </row>
    <row r="598" spans="11:11" ht="15.75" customHeight="1">
      <c r="K598" s="655"/>
    </row>
    <row r="599" spans="11:11" ht="15.75" customHeight="1">
      <c r="K599" s="655"/>
    </row>
    <row r="600" spans="11:11" ht="15.75" customHeight="1">
      <c r="K600" s="655"/>
    </row>
    <row r="601" spans="11:11" ht="15.75" customHeight="1">
      <c r="K601" s="655"/>
    </row>
    <row r="602" spans="11:11" ht="15.75" customHeight="1">
      <c r="K602" s="655"/>
    </row>
    <row r="603" spans="11:11" ht="15.75" customHeight="1">
      <c r="K603" s="655"/>
    </row>
    <row r="604" spans="11:11" ht="15.75" customHeight="1">
      <c r="K604" s="655"/>
    </row>
    <row r="605" spans="11:11" ht="15.75" customHeight="1">
      <c r="K605" s="655"/>
    </row>
    <row r="606" spans="11:11" ht="15.75" customHeight="1">
      <c r="K606" s="655"/>
    </row>
    <row r="607" spans="11:11" ht="15.75" customHeight="1">
      <c r="K607" s="655"/>
    </row>
    <row r="608" spans="11:11" ht="15.75" customHeight="1">
      <c r="K608" s="655"/>
    </row>
    <row r="609" spans="11:11" ht="15.75" customHeight="1">
      <c r="K609" s="655"/>
    </row>
    <row r="610" spans="11:11" ht="15.75" customHeight="1">
      <c r="K610" s="655"/>
    </row>
    <row r="611" spans="11:11" ht="15.75" customHeight="1">
      <c r="K611" s="655"/>
    </row>
    <row r="612" spans="11:11" ht="15.75" customHeight="1">
      <c r="K612" s="655"/>
    </row>
    <row r="613" spans="11:11" ht="15.75" customHeight="1">
      <c r="K613" s="655"/>
    </row>
    <row r="614" spans="11:11" ht="15.75" customHeight="1">
      <c r="K614" s="655"/>
    </row>
    <row r="615" spans="11:11" ht="15.75" customHeight="1">
      <c r="K615" s="655"/>
    </row>
    <row r="616" spans="11:11" ht="15.75" customHeight="1">
      <c r="K616" s="655"/>
    </row>
    <row r="617" spans="11:11" ht="15.75" customHeight="1">
      <c r="K617" s="655"/>
    </row>
    <row r="618" spans="11:11" ht="15.75" customHeight="1">
      <c r="K618" s="655"/>
    </row>
    <row r="619" spans="11:11" ht="15.75" customHeight="1">
      <c r="K619" s="655"/>
    </row>
    <row r="620" spans="11:11" ht="15.75" customHeight="1">
      <c r="K620" s="655"/>
    </row>
    <row r="621" spans="11:11" ht="15.75" customHeight="1">
      <c r="K621" s="655"/>
    </row>
    <row r="622" spans="11:11" ht="15.75" customHeight="1">
      <c r="K622" s="655"/>
    </row>
    <row r="623" spans="11:11" ht="15.75" customHeight="1">
      <c r="K623" s="655"/>
    </row>
    <row r="624" spans="11:11" ht="15.75" customHeight="1">
      <c r="K624" s="655"/>
    </row>
    <row r="625" spans="11:11" ht="15.75" customHeight="1">
      <c r="K625" s="655"/>
    </row>
    <row r="626" spans="11:11" ht="15.75" customHeight="1">
      <c r="K626" s="655"/>
    </row>
    <row r="627" spans="11:11" ht="15.75" customHeight="1">
      <c r="K627" s="655"/>
    </row>
    <row r="628" spans="11:11" ht="15.75" customHeight="1">
      <c r="K628" s="655"/>
    </row>
    <row r="629" spans="11:11" ht="15.75" customHeight="1">
      <c r="K629" s="655"/>
    </row>
    <row r="630" spans="11:11" ht="15.75" customHeight="1">
      <c r="K630" s="655"/>
    </row>
    <row r="631" spans="11:11" ht="15.75" customHeight="1">
      <c r="K631" s="655"/>
    </row>
    <row r="632" spans="11:11" ht="15.75" customHeight="1">
      <c r="K632" s="655"/>
    </row>
    <row r="633" spans="11:11" ht="15.75" customHeight="1">
      <c r="K633" s="655"/>
    </row>
    <row r="634" spans="11:11" ht="15.75" customHeight="1">
      <c r="K634" s="655"/>
    </row>
    <row r="635" spans="11:11" ht="15.75" customHeight="1">
      <c r="K635" s="655"/>
    </row>
    <row r="636" spans="11:11" ht="15.75" customHeight="1">
      <c r="K636" s="655"/>
    </row>
    <row r="637" spans="11:11" ht="15.75" customHeight="1">
      <c r="K637" s="655"/>
    </row>
    <row r="638" spans="11:11" ht="15.75" customHeight="1">
      <c r="K638" s="655"/>
    </row>
    <row r="639" spans="11:11" ht="15.75" customHeight="1">
      <c r="K639" s="655"/>
    </row>
    <row r="640" spans="11:11" ht="15.75" customHeight="1">
      <c r="K640" s="655"/>
    </row>
    <row r="641" spans="11:11" ht="15.75" customHeight="1">
      <c r="K641" s="655"/>
    </row>
    <row r="642" spans="11:11" ht="15.75" customHeight="1">
      <c r="K642" s="655"/>
    </row>
    <row r="643" spans="11:11" ht="15.75" customHeight="1">
      <c r="K643" s="655"/>
    </row>
    <row r="644" spans="11:11" ht="15.75" customHeight="1">
      <c r="K644" s="655"/>
    </row>
    <row r="645" spans="11:11" ht="15.75" customHeight="1">
      <c r="K645" s="655"/>
    </row>
    <row r="646" spans="11:11" ht="15.75" customHeight="1">
      <c r="K646" s="655"/>
    </row>
    <row r="647" spans="11:11" ht="15.75" customHeight="1">
      <c r="K647" s="655"/>
    </row>
    <row r="648" spans="11:11" ht="15.75" customHeight="1">
      <c r="K648" s="655"/>
    </row>
    <row r="649" spans="11:11" ht="15.75" customHeight="1">
      <c r="K649" s="655"/>
    </row>
    <row r="650" spans="11:11" ht="15.75" customHeight="1">
      <c r="K650" s="655"/>
    </row>
    <row r="651" spans="11:11" ht="15.75" customHeight="1">
      <c r="K651" s="655"/>
    </row>
    <row r="652" spans="11:11" ht="15.75" customHeight="1">
      <c r="K652" s="655"/>
    </row>
    <row r="653" spans="11:11" ht="15.75" customHeight="1">
      <c r="K653" s="655"/>
    </row>
    <row r="654" spans="11:11" ht="15.75" customHeight="1">
      <c r="K654" s="655"/>
    </row>
    <row r="655" spans="11:11" ht="15.75" customHeight="1">
      <c r="K655" s="655"/>
    </row>
    <row r="656" spans="11:11" ht="15.75" customHeight="1">
      <c r="K656" s="655"/>
    </row>
    <row r="657" spans="11:11" ht="15.75" customHeight="1">
      <c r="K657" s="655"/>
    </row>
    <row r="658" spans="11:11" ht="15.75" customHeight="1">
      <c r="K658" s="655"/>
    </row>
    <row r="659" spans="11:11" ht="15.75" customHeight="1">
      <c r="K659" s="655"/>
    </row>
    <row r="660" spans="11:11" ht="15.75" customHeight="1">
      <c r="K660" s="655"/>
    </row>
    <row r="661" spans="11:11" ht="15.75" customHeight="1">
      <c r="K661" s="655"/>
    </row>
    <row r="662" spans="11:11" ht="15.75" customHeight="1">
      <c r="K662" s="655"/>
    </row>
    <row r="663" spans="11:11" ht="15.75" customHeight="1">
      <c r="K663" s="655"/>
    </row>
    <row r="664" spans="11:11" ht="15.75" customHeight="1">
      <c r="K664" s="655"/>
    </row>
    <row r="665" spans="11:11" ht="15.75" customHeight="1">
      <c r="K665" s="655"/>
    </row>
    <row r="666" spans="11:11" ht="15.75" customHeight="1">
      <c r="K666" s="655"/>
    </row>
    <row r="667" spans="11:11" ht="15.75" customHeight="1">
      <c r="K667" s="655"/>
    </row>
    <row r="668" spans="11:11" ht="15.75" customHeight="1">
      <c r="K668" s="655"/>
    </row>
    <row r="669" spans="11:11" ht="15.75" customHeight="1">
      <c r="K669" s="655"/>
    </row>
    <row r="670" spans="11:11" ht="15.75" customHeight="1">
      <c r="K670" s="655"/>
    </row>
    <row r="671" spans="11:11" ht="15.75" customHeight="1">
      <c r="K671" s="655"/>
    </row>
    <row r="672" spans="11:11" ht="15.75" customHeight="1">
      <c r="K672" s="655"/>
    </row>
    <row r="673" spans="11:11" ht="15.75" customHeight="1">
      <c r="K673" s="655"/>
    </row>
    <row r="674" spans="11:11" ht="15.75" customHeight="1">
      <c r="K674" s="655"/>
    </row>
    <row r="675" spans="11:11" ht="15.75" customHeight="1">
      <c r="K675" s="655"/>
    </row>
    <row r="676" spans="11:11" ht="15.75" customHeight="1">
      <c r="K676" s="655"/>
    </row>
    <row r="677" spans="11:11" ht="15.75" customHeight="1">
      <c r="K677" s="655"/>
    </row>
    <row r="678" spans="11:11" ht="15.75" customHeight="1">
      <c r="K678" s="655"/>
    </row>
    <row r="679" spans="11:11" ht="15.75" customHeight="1">
      <c r="K679" s="655"/>
    </row>
    <row r="680" spans="11:11" ht="15.75" customHeight="1">
      <c r="K680" s="655"/>
    </row>
    <row r="681" spans="11:11" ht="15.75" customHeight="1">
      <c r="K681" s="655"/>
    </row>
    <row r="682" spans="11:11" ht="15.75" customHeight="1">
      <c r="K682" s="655"/>
    </row>
    <row r="683" spans="11:11" ht="15.75" customHeight="1">
      <c r="K683" s="655"/>
    </row>
    <row r="684" spans="11:11" ht="15.75" customHeight="1">
      <c r="K684" s="655"/>
    </row>
    <row r="685" spans="11:11" ht="15.75" customHeight="1">
      <c r="K685" s="655"/>
    </row>
    <row r="686" spans="11:11" ht="15.75" customHeight="1">
      <c r="K686" s="655"/>
    </row>
    <row r="687" spans="11:11" ht="15.75" customHeight="1">
      <c r="K687" s="655"/>
    </row>
    <row r="688" spans="11:11" ht="15.75" customHeight="1">
      <c r="K688" s="655"/>
    </row>
    <row r="689" spans="11:11" ht="15.75" customHeight="1">
      <c r="K689" s="655"/>
    </row>
    <row r="690" spans="11:11" ht="15.75" customHeight="1">
      <c r="K690" s="655"/>
    </row>
    <row r="691" spans="11:11" ht="15.75" customHeight="1">
      <c r="K691" s="655"/>
    </row>
    <row r="692" spans="11:11" ht="15.75" customHeight="1">
      <c r="K692" s="655"/>
    </row>
    <row r="693" spans="11:11" ht="15.75" customHeight="1">
      <c r="K693" s="655"/>
    </row>
    <row r="694" spans="11:11" ht="15.75" customHeight="1">
      <c r="K694" s="655"/>
    </row>
    <row r="695" spans="11:11" ht="15.75" customHeight="1">
      <c r="K695" s="655"/>
    </row>
    <row r="696" spans="11:11" ht="15.75" customHeight="1">
      <c r="K696" s="655"/>
    </row>
    <row r="697" spans="11:11" ht="15.75" customHeight="1">
      <c r="K697" s="655"/>
    </row>
    <row r="698" spans="11:11" ht="15.75" customHeight="1">
      <c r="K698" s="655"/>
    </row>
    <row r="699" spans="11:11" ht="15.75" customHeight="1">
      <c r="K699" s="655"/>
    </row>
    <row r="700" spans="11:11" ht="15.75" customHeight="1">
      <c r="K700" s="655"/>
    </row>
    <row r="701" spans="11:11" ht="15.75" customHeight="1">
      <c r="K701" s="655"/>
    </row>
    <row r="702" spans="11:11" ht="15.75" customHeight="1">
      <c r="K702" s="655"/>
    </row>
    <row r="703" spans="11:11" ht="15.75" customHeight="1">
      <c r="K703" s="655"/>
    </row>
    <row r="704" spans="11:11" ht="15.75" customHeight="1">
      <c r="K704" s="655"/>
    </row>
    <row r="705" spans="11:11" ht="15.75" customHeight="1">
      <c r="K705" s="655"/>
    </row>
    <row r="706" spans="11:11" ht="15.75" customHeight="1">
      <c r="K706" s="655"/>
    </row>
    <row r="707" spans="11:11" ht="15.75" customHeight="1">
      <c r="K707" s="655"/>
    </row>
    <row r="708" spans="11:11" ht="15.75" customHeight="1">
      <c r="K708" s="655"/>
    </row>
    <row r="709" spans="11:11" ht="15.75" customHeight="1">
      <c r="K709" s="655"/>
    </row>
    <row r="710" spans="11:11" ht="15.75" customHeight="1">
      <c r="K710" s="655"/>
    </row>
    <row r="711" spans="11:11" ht="15.75" customHeight="1">
      <c r="K711" s="655"/>
    </row>
    <row r="712" spans="11:11" ht="15.75" customHeight="1">
      <c r="K712" s="655"/>
    </row>
    <row r="713" spans="11:11" ht="15.75" customHeight="1">
      <c r="K713" s="655"/>
    </row>
    <row r="714" spans="11:11" ht="15.75" customHeight="1">
      <c r="K714" s="655"/>
    </row>
    <row r="715" spans="11:11" ht="15.75" customHeight="1">
      <c r="K715" s="655"/>
    </row>
    <row r="716" spans="11:11" ht="15.75" customHeight="1">
      <c r="K716" s="655"/>
    </row>
    <row r="717" spans="11:11" ht="15.75" customHeight="1">
      <c r="K717" s="655"/>
    </row>
    <row r="718" spans="11:11" ht="15.75" customHeight="1">
      <c r="K718" s="655"/>
    </row>
    <row r="719" spans="11:11" ht="15.75" customHeight="1">
      <c r="K719" s="655"/>
    </row>
    <row r="720" spans="11:11" ht="15.75" customHeight="1">
      <c r="K720" s="655"/>
    </row>
    <row r="721" spans="11:11" ht="15.75" customHeight="1">
      <c r="K721" s="655"/>
    </row>
    <row r="722" spans="11:11" ht="15.75" customHeight="1">
      <c r="K722" s="655"/>
    </row>
    <row r="723" spans="11:11" ht="15.75" customHeight="1">
      <c r="K723" s="655"/>
    </row>
    <row r="724" spans="11:11" ht="15.75" customHeight="1">
      <c r="K724" s="655"/>
    </row>
    <row r="725" spans="11:11" ht="15.75" customHeight="1">
      <c r="K725" s="655"/>
    </row>
    <row r="726" spans="11:11" ht="15.75" customHeight="1">
      <c r="K726" s="655"/>
    </row>
    <row r="727" spans="11:11" ht="15.75" customHeight="1">
      <c r="K727" s="655"/>
    </row>
    <row r="728" spans="11:11" ht="15.75" customHeight="1">
      <c r="K728" s="655"/>
    </row>
    <row r="729" spans="11:11" ht="15.75" customHeight="1">
      <c r="K729" s="655"/>
    </row>
    <row r="730" spans="11:11" ht="15.75" customHeight="1">
      <c r="K730" s="655"/>
    </row>
    <row r="731" spans="11:11" ht="15.75" customHeight="1">
      <c r="K731" s="655"/>
    </row>
    <row r="732" spans="11:11" ht="15.75" customHeight="1">
      <c r="K732" s="655"/>
    </row>
    <row r="733" spans="11:11" ht="15.75" customHeight="1">
      <c r="K733" s="655"/>
    </row>
    <row r="734" spans="11:11" ht="15.75" customHeight="1">
      <c r="K734" s="655"/>
    </row>
    <row r="735" spans="11:11" ht="15.75" customHeight="1">
      <c r="K735" s="655"/>
    </row>
    <row r="736" spans="11:11" ht="15.75" customHeight="1">
      <c r="K736" s="655"/>
    </row>
    <row r="737" spans="11:11" ht="15.75" customHeight="1">
      <c r="K737" s="655"/>
    </row>
    <row r="738" spans="11:11" ht="15.75" customHeight="1">
      <c r="K738" s="655"/>
    </row>
    <row r="739" spans="11:11" ht="15.75" customHeight="1">
      <c r="K739" s="655"/>
    </row>
    <row r="740" spans="11:11" ht="15.75" customHeight="1">
      <c r="K740" s="655"/>
    </row>
    <row r="741" spans="11:11" ht="15.75" customHeight="1">
      <c r="K741" s="655"/>
    </row>
    <row r="742" spans="11:11" ht="15.75" customHeight="1">
      <c r="K742" s="655"/>
    </row>
    <row r="743" spans="11:11" ht="15.75" customHeight="1">
      <c r="K743" s="655"/>
    </row>
    <row r="744" spans="11:11" ht="15.75" customHeight="1">
      <c r="K744" s="655"/>
    </row>
    <row r="745" spans="11:11" ht="15.75" customHeight="1">
      <c r="K745" s="655"/>
    </row>
    <row r="746" spans="11:11" ht="15.75" customHeight="1">
      <c r="K746" s="655"/>
    </row>
    <row r="747" spans="11:11" ht="15.75" customHeight="1">
      <c r="K747" s="655"/>
    </row>
    <row r="748" spans="11:11" ht="15.75" customHeight="1">
      <c r="K748" s="655"/>
    </row>
    <row r="749" spans="11:11" ht="15.75" customHeight="1">
      <c r="K749" s="655"/>
    </row>
    <row r="750" spans="11:11" ht="15.75" customHeight="1">
      <c r="K750" s="655"/>
    </row>
    <row r="751" spans="11:11" ht="15.75" customHeight="1">
      <c r="K751" s="655"/>
    </row>
    <row r="752" spans="11:11" ht="15.75" customHeight="1">
      <c r="K752" s="655"/>
    </row>
    <row r="753" spans="11:11" ht="15.75" customHeight="1">
      <c r="K753" s="655"/>
    </row>
    <row r="754" spans="11:11" ht="15.75" customHeight="1">
      <c r="K754" s="655"/>
    </row>
    <row r="755" spans="11:11" ht="15.75" customHeight="1">
      <c r="K755" s="655"/>
    </row>
    <row r="756" spans="11:11" ht="15.75" customHeight="1">
      <c r="K756" s="655"/>
    </row>
    <row r="757" spans="11:11" ht="15.75" customHeight="1">
      <c r="K757" s="655"/>
    </row>
    <row r="758" spans="11:11" ht="15.75" customHeight="1">
      <c r="K758" s="655"/>
    </row>
    <row r="759" spans="11:11" ht="15.75" customHeight="1">
      <c r="K759" s="655"/>
    </row>
    <row r="760" spans="11:11" ht="15.75" customHeight="1">
      <c r="K760" s="655"/>
    </row>
    <row r="761" spans="11:11" ht="15.75" customHeight="1">
      <c r="K761" s="655"/>
    </row>
    <row r="762" spans="11:11" ht="15.75" customHeight="1">
      <c r="K762" s="655"/>
    </row>
    <row r="763" spans="11:11" ht="15.75" customHeight="1">
      <c r="K763" s="655"/>
    </row>
    <row r="764" spans="11:11" ht="15.75" customHeight="1">
      <c r="K764" s="655"/>
    </row>
    <row r="765" spans="11:11" ht="15.75" customHeight="1">
      <c r="K765" s="655"/>
    </row>
    <row r="766" spans="11:11" ht="15.75" customHeight="1">
      <c r="K766" s="655"/>
    </row>
    <row r="767" spans="11:11" ht="15.75" customHeight="1">
      <c r="K767" s="655"/>
    </row>
    <row r="768" spans="11:11" ht="15.75" customHeight="1">
      <c r="K768" s="655"/>
    </row>
    <row r="769" spans="11:11" ht="15.75" customHeight="1">
      <c r="K769" s="655"/>
    </row>
    <row r="770" spans="11:11" ht="15.75" customHeight="1">
      <c r="K770" s="655"/>
    </row>
    <row r="771" spans="11:11" ht="15.75" customHeight="1">
      <c r="K771" s="655"/>
    </row>
    <row r="772" spans="11:11" ht="15.75" customHeight="1">
      <c r="K772" s="655"/>
    </row>
    <row r="773" spans="11:11" ht="15.75" customHeight="1">
      <c r="K773" s="655"/>
    </row>
    <row r="774" spans="11:11" ht="15.75" customHeight="1">
      <c r="K774" s="655"/>
    </row>
    <row r="775" spans="11:11" ht="15.75" customHeight="1">
      <c r="K775" s="655"/>
    </row>
    <row r="776" spans="11:11" ht="15.75" customHeight="1">
      <c r="K776" s="655"/>
    </row>
    <row r="777" spans="11:11" ht="15.75" customHeight="1">
      <c r="K777" s="655"/>
    </row>
    <row r="778" spans="11:11" ht="15.75" customHeight="1">
      <c r="K778" s="655"/>
    </row>
    <row r="779" spans="11:11" ht="15.75" customHeight="1">
      <c r="K779" s="655"/>
    </row>
    <row r="780" spans="11:11" ht="15.75" customHeight="1">
      <c r="K780" s="655"/>
    </row>
    <row r="781" spans="11:11" ht="15.75" customHeight="1">
      <c r="K781" s="655"/>
    </row>
    <row r="782" spans="11:11" ht="15.75" customHeight="1">
      <c r="K782" s="655"/>
    </row>
    <row r="783" spans="11:11" ht="15.75" customHeight="1">
      <c r="K783" s="655"/>
    </row>
    <row r="784" spans="11:11" ht="15.75" customHeight="1">
      <c r="K784" s="655"/>
    </row>
    <row r="785" spans="11:11" ht="15.75" customHeight="1">
      <c r="K785" s="655"/>
    </row>
    <row r="786" spans="11:11" ht="15.75" customHeight="1">
      <c r="K786" s="655"/>
    </row>
    <row r="787" spans="11:11" ht="15.75" customHeight="1">
      <c r="K787" s="655"/>
    </row>
    <row r="788" spans="11:11" ht="15.75" customHeight="1">
      <c r="K788" s="655"/>
    </row>
    <row r="789" spans="11:11" ht="15.75" customHeight="1">
      <c r="K789" s="655"/>
    </row>
    <row r="790" spans="11:11" ht="15.75" customHeight="1">
      <c r="K790" s="655"/>
    </row>
    <row r="791" spans="11:11" ht="15.75" customHeight="1">
      <c r="K791" s="655"/>
    </row>
    <row r="792" spans="11:11" ht="15.75" customHeight="1">
      <c r="K792" s="655"/>
    </row>
    <row r="793" spans="11:11" ht="15.75" customHeight="1">
      <c r="K793" s="655"/>
    </row>
    <row r="794" spans="11:11" ht="15.75" customHeight="1">
      <c r="K794" s="655"/>
    </row>
    <row r="795" spans="11:11" ht="15.75" customHeight="1">
      <c r="K795" s="655"/>
    </row>
    <row r="796" spans="11:11" ht="15.75" customHeight="1">
      <c r="K796" s="655"/>
    </row>
    <row r="797" spans="11:11" ht="15.75" customHeight="1">
      <c r="K797" s="655"/>
    </row>
    <row r="798" spans="11:11" ht="15.75" customHeight="1">
      <c r="K798" s="655"/>
    </row>
    <row r="799" spans="11:11" ht="15.75" customHeight="1">
      <c r="K799" s="655"/>
    </row>
    <row r="800" spans="11:11" ht="15.75" customHeight="1">
      <c r="K800" s="655"/>
    </row>
    <row r="801" spans="11:11" ht="15.75" customHeight="1">
      <c r="K801" s="655"/>
    </row>
    <row r="802" spans="11:11" ht="15.75" customHeight="1">
      <c r="K802" s="655"/>
    </row>
    <row r="803" spans="11:11" ht="15.75" customHeight="1">
      <c r="K803" s="655"/>
    </row>
    <row r="804" spans="11:11" ht="15.75" customHeight="1">
      <c r="K804" s="655"/>
    </row>
    <row r="805" spans="11:11" ht="15.75" customHeight="1">
      <c r="K805" s="655"/>
    </row>
    <row r="806" spans="11:11" ht="15.75" customHeight="1">
      <c r="K806" s="655"/>
    </row>
    <row r="807" spans="11:11" ht="15.75" customHeight="1">
      <c r="K807" s="655"/>
    </row>
    <row r="808" spans="11:11" ht="15.75" customHeight="1">
      <c r="K808" s="655"/>
    </row>
    <row r="809" spans="11:11" ht="15.75" customHeight="1">
      <c r="K809" s="655"/>
    </row>
    <row r="810" spans="11:11" ht="15.75" customHeight="1">
      <c r="K810" s="655"/>
    </row>
    <row r="811" spans="11:11" ht="15.75" customHeight="1">
      <c r="K811" s="655"/>
    </row>
    <row r="812" spans="11:11" ht="15.75" customHeight="1">
      <c r="K812" s="655"/>
    </row>
    <row r="813" spans="11:11" ht="15.75" customHeight="1">
      <c r="K813" s="655"/>
    </row>
    <row r="814" spans="11:11" ht="15.75" customHeight="1">
      <c r="K814" s="655"/>
    </row>
    <row r="815" spans="11:11" ht="15.75" customHeight="1">
      <c r="K815" s="655"/>
    </row>
    <row r="816" spans="11:11" ht="15.75" customHeight="1">
      <c r="K816" s="655"/>
    </row>
    <row r="817" spans="11:11" ht="15.75" customHeight="1">
      <c r="K817" s="655"/>
    </row>
    <row r="818" spans="11:11" ht="15.75" customHeight="1">
      <c r="K818" s="655"/>
    </row>
    <row r="819" spans="11:11" ht="15.75" customHeight="1">
      <c r="K819" s="655"/>
    </row>
    <row r="820" spans="11:11" ht="15.75" customHeight="1">
      <c r="K820" s="655"/>
    </row>
    <row r="821" spans="11:11" ht="15.75" customHeight="1">
      <c r="K821" s="655"/>
    </row>
    <row r="822" spans="11:11" ht="15.75" customHeight="1">
      <c r="K822" s="655"/>
    </row>
    <row r="823" spans="11:11" ht="15.75" customHeight="1">
      <c r="K823" s="655"/>
    </row>
    <row r="824" spans="11:11" ht="15.75" customHeight="1">
      <c r="K824" s="655"/>
    </row>
    <row r="825" spans="11:11" ht="15.75" customHeight="1">
      <c r="K825" s="655"/>
    </row>
    <row r="826" spans="11:11" ht="15.75" customHeight="1">
      <c r="K826" s="655"/>
    </row>
    <row r="827" spans="11:11" ht="15.75" customHeight="1">
      <c r="K827" s="655"/>
    </row>
    <row r="828" spans="11:11" ht="15.75" customHeight="1">
      <c r="K828" s="655"/>
    </row>
    <row r="829" spans="11:11" ht="15.75" customHeight="1">
      <c r="K829" s="655"/>
    </row>
    <row r="830" spans="11:11" ht="15.75" customHeight="1">
      <c r="K830" s="655"/>
    </row>
    <row r="831" spans="11:11" ht="15.75" customHeight="1">
      <c r="K831" s="655"/>
    </row>
    <row r="832" spans="11:11" ht="15.75" customHeight="1">
      <c r="K832" s="655"/>
    </row>
    <row r="833" spans="11:11" ht="15.75" customHeight="1">
      <c r="K833" s="655"/>
    </row>
    <row r="834" spans="11:11" ht="15.75" customHeight="1">
      <c r="K834" s="655"/>
    </row>
    <row r="835" spans="11:11" ht="15.75" customHeight="1">
      <c r="K835" s="655"/>
    </row>
    <row r="836" spans="11:11" ht="15.75" customHeight="1">
      <c r="K836" s="655"/>
    </row>
    <row r="837" spans="11:11" ht="15.75" customHeight="1">
      <c r="K837" s="655"/>
    </row>
    <row r="838" spans="11:11" ht="15.75" customHeight="1">
      <c r="K838" s="655"/>
    </row>
    <row r="839" spans="11:11" ht="15.75" customHeight="1">
      <c r="K839" s="655"/>
    </row>
    <row r="840" spans="11:11" ht="15.75" customHeight="1">
      <c r="K840" s="655"/>
    </row>
    <row r="841" spans="11:11" ht="15.75" customHeight="1">
      <c r="K841" s="655"/>
    </row>
    <row r="842" spans="11:11" ht="15.75" customHeight="1">
      <c r="K842" s="655"/>
    </row>
    <row r="843" spans="11:11" ht="15.75" customHeight="1">
      <c r="K843" s="655"/>
    </row>
    <row r="844" spans="11:11" ht="15.75" customHeight="1">
      <c r="K844" s="655"/>
    </row>
    <row r="845" spans="11:11" ht="15.75" customHeight="1">
      <c r="K845" s="655"/>
    </row>
    <row r="846" spans="11:11" ht="15.75" customHeight="1">
      <c r="K846" s="655"/>
    </row>
    <row r="847" spans="11:11" ht="15.75" customHeight="1">
      <c r="K847" s="655"/>
    </row>
    <row r="848" spans="11:11" ht="15.75" customHeight="1">
      <c r="K848" s="655"/>
    </row>
    <row r="849" spans="11:11" ht="15.75" customHeight="1">
      <c r="K849" s="655"/>
    </row>
    <row r="850" spans="11:11" ht="15.75" customHeight="1">
      <c r="K850" s="655"/>
    </row>
    <row r="851" spans="11:11" ht="15.75" customHeight="1">
      <c r="K851" s="655"/>
    </row>
    <row r="852" spans="11:11" ht="15.75" customHeight="1">
      <c r="K852" s="655"/>
    </row>
    <row r="853" spans="11:11" ht="15.75" customHeight="1">
      <c r="K853" s="655"/>
    </row>
    <row r="854" spans="11:11" ht="15.75" customHeight="1">
      <c r="K854" s="655"/>
    </row>
    <row r="855" spans="11:11" ht="15.75" customHeight="1">
      <c r="K855" s="655"/>
    </row>
    <row r="856" spans="11:11" ht="15.75" customHeight="1">
      <c r="K856" s="655"/>
    </row>
    <row r="857" spans="11:11" ht="15.75" customHeight="1">
      <c r="K857" s="655"/>
    </row>
    <row r="858" spans="11:11" ht="15.75" customHeight="1">
      <c r="K858" s="655"/>
    </row>
    <row r="859" spans="11:11" ht="15.75" customHeight="1">
      <c r="K859" s="655"/>
    </row>
    <row r="860" spans="11:11" ht="15.75" customHeight="1">
      <c r="K860" s="655"/>
    </row>
    <row r="861" spans="11:11" ht="15.75" customHeight="1">
      <c r="K861" s="655"/>
    </row>
    <row r="862" spans="11:11" ht="15.75" customHeight="1">
      <c r="K862" s="655"/>
    </row>
    <row r="863" spans="11:11" ht="15.75" customHeight="1">
      <c r="K863" s="655"/>
    </row>
    <row r="864" spans="11:11" ht="15.75" customHeight="1">
      <c r="K864" s="655"/>
    </row>
    <row r="865" spans="11:11" ht="15.75" customHeight="1">
      <c r="K865" s="655"/>
    </row>
    <row r="866" spans="11:11" ht="15.75" customHeight="1">
      <c r="K866" s="655"/>
    </row>
    <row r="867" spans="11:11" ht="15.75" customHeight="1">
      <c r="K867" s="655"/>
    </row>
    <row r="868" spans="11:11" ht="15.75" customHeight="1">
      <c r="K868" s="655"/>
    </row>
    <row r="869" spans="11:11" ht="15.75" customHeight="1">
      <c r="K869" s="655"/>
    </row>
    <row r="870" spans="11:11" ht="15.75" customHeight="1">
      <c r="K870" s="655"/>
    </row>
    <row r="871" spans="11:11" ht="15.75" customHeight="1">
      <c r="K871" s="655"/>
    </row>
    <row r="872" spans="11:11" ht="15.75" customHeight="1">
      <c r="K872" s="655"/>
    </row>
    <row r="873" spans="11:11" ht="15.75" customHeight="1">
      <c r="K873" s="655"/>
    </row>
    <row r="874" spans="11:11" ht="15.75" customHeight="1">
      <c r="K874" s="655"/>
    </row>
    <row r="875" spans="11:11" ht="15.75" customHeight="1">
      <c r="K875" s="655"/>
    </row>
    <row r="876" spans="11:11" ht="15.75" customHeight="1">
      <c r="K876" s="655"/>
    </row>
    <row r="877" spans="11:11" ht="15.75" customHeight="1">
      <c r="K877" s="655"/>
    </row>
    <row r="878" spans="11:11" ht="15.75" customHeight="1">
      <c r="K878" s="655"/>
    </row>
    <row r="879" spans="11:11" ht="15.75" customHeight="1">
      <c r="K879" s="655"/>
    </row>
    <row r="880" spans="11:11" ht="15.75" customHeight="1">
      <c r="K880" s="655"/>
    </row>
    <row r="881" spans="11:11" ht="15.75" customHeight="1">
      <c r="K881" s="655"/>
    </row>
    <row r="882" spans="11:11" ht="15.75" customHeight="1">
      <c r="K882" s="655"/>
    </row>
    <row r="883" spans="11:11" ht="15.75" customHeight="1">
      <c r="K883" s="655"/>
    </row>
    <row r="884" spans="11:11" ht="15.75" customHeight="1">
      <c r="K884" s="655"/>
    </row>
    <row r="885" spans="11:11" ht="15.75" customHeight="1">
      <c r="K885" s="655"/>
    </row>
    <row r="886" spans="11:11" ht="15.75" customHeight="1">
      <c r="K886" s="655"/>
    </row>
    <row r="887" spans="11:11" ht="15.75" customHeight="1">
      <c r="K887" s="655"/>
    </row>
    <row r="888" spans="11:11" ht="15.75" customHeight="1">
      <c r="K888" s="655"/>
    </row>
    <row r="889" spans="11:11" ht="15.75" customHeight="1">
      <c r="K889" s="655"/>
    </row>
    <row r="890" spans="11:11" ht="15.75" customHeight="1">
      <c r="K890" s="655"/>
    </row>
    <row r="891" spans="11:11" ht="15.75" customHeight="1">
      <c r="K891" s="655"/>
    </row>
    <row r="892" spans="11:11" ht="15.75" customHeight="1">
      <c r="K892" s="655"/>
    </row>
    <row r="893" spans="11:11" ht="15.75" customHeight="1">
      <c r="K893" s="655"/>
    </row>
    <row r="894" spans="11:11" ht="15.75" customHeight="1">
      <c r="K894" s="655"/>
    </row>
    <row r="895" spans="11:11" ht="15.75" customHeight="1">
      <c r="K895" s="655"/>
    </row>
    <row r="896" spans="11:11" ht="15.75" customHeight="1">
      <c r="K896" s="655"/>
    </row>
    <row r="897" spans="11:11" ht="15.75" customHeight="1">
      <c r="K897" s="655"/>
    </row>
    <row r="898" spans="11:11" ht="15.75" customHeight="1">
      <c r="K898" s="655"/>
    </row>
    <row r="899" spans="11:11" ht="15.75" customHeight="1">
      <c r="K899" s="655"/>
    </row>
    <row r="900" spans="11:11" ht="15.75" customHeight="1">
      <c r="K900" s="655"/>
    </row>
    <row r="901" spans="11:11" ht="15.75" customHeight="1">
      <c r="K901" s="655"/>
    </row>
    <row r="902" spans="11:11" ht="15.75" customHeight="1">
      <c r="K902" s="655"/>
    </row>
    <row r="903" spans="11:11" ht="15.75" customHeight="1">
      <c r="K903" s="655"/>
    </row>
    <row r="904" spans="11:11" ht="15.75" customHeight="1">
      <c r="K904" s="655"/>
    </row>
    <row r="905" spans="11:11" ht="15.75" customHeight="1">
      <c r="K905" s="655"/>
    </row>
    <row r="906" spans="11:11" ht="15.75" customHeight="1">
      <c r="K906" s="655"/>
    </row>
    <row r="907" spans="11:11" ht="15.75" customHeight="1">
      <c r="K907" s="655"/>
    </row>
    <row r="908" spans="11:11" ht="15.75" customHeight="1">
      <c r="K908" s="655"/>
    </row>
    <row r="909" spans="11:11" ht="15.75" customHeight="1">
      <c r="K909" s="655"/>
    </row>
    <row r="910" spans="11:11" ht="15.75" customHeight="1">
      <c r="K910" s="655"/>
    </row>
    <row r="911" spans="11:11" ht="15.75" customHeight="1">
      <c r="K911" s="655"/>
    </row>
    <row r="912" spans="11:11" ht="15.75" customHeight="1">
      <c r="K912" s="655"/>
    </row>
    <row r="913" spans="11:11" ht="15.75" customHeight="1">
      <c r="K913" s="655"/>
    </row>
    <row r="914" spans="11:11" ht="15.75" customHeight="1">
      <c r="K914" s="655"/>
    </row>
    <row r="915" spans="11:11" ht="15.75" customHeight="1">
      <c r="K915" s="655"/>
    </row>
    <row r="916" spans="11:11" ht="15.75" customHeight="1">
      <c r="K916" s="655"/>
    </row>
    <row r="917" spans="11:11" ht="15.75" customHeight="1">
      <c r="K917" s="655"/>
    </row>
    <row r="918" spans="11:11" ht="15.75" customHeight="1">
      <c r="K918" s="655"/>
    </row>
    <row r="919" spans="11:11" ht="15.75" customHeight="1">
      <c r="K919" s="655"/>
    </row>
    <row r="920" spans="11:11" ht="15.75" customHeight="1">
      <c r="K920" s="655"/>
    </row>
    <row r="921" spans="11:11" ht="15.75" customHeight="1">
      <c r="K921" s="655"/>
    </row>
    <row r="922" spans="11:11" ht="15.75" customHeight="1">
      <c r="K922" s="655"/>
    </row>
    <row r="923" spans="11:11" ht="15.75" customHeight="1">
      <c r="K923" s="655"/>
    </row>
    <row r="924" spans="11:11" ht="15.75" customHeight="1">
      <c r="K924" s="655"/>
    </row>
    <row r="925" spans="11:11" ht="15.75" customHeight="1">
      <c r="K925" s="655"/>
    </row>
    <row r="926" spans="11:11" ht="15.75" customHeight="1">
      <c r="K926" s="655"/>
    </row>
    <row r="927" spans="11:11" ht="15.75" customHeight="1">
      <c r="K927" s="655"/>
    </row>
    <row r="928" spans="11:11" ht="15.75" customHeight="1">
      <c r="K928" s="655"/>
    </row>
    <row r="929" spans="11:11" ht="15.75" customHeight="1">
      <c r="K929" s="655"/>
    </row>
    <row r="930" spans="11:11" ht="15.75" customHeight="1">
      <c r="K930" s="655"/>
    </row>
    <row r="931" spans="11:11" ht="15.75" customHeight="1">
      <c r="K931" s="655"/>
    </row>
    <row r="932" spans="11:11" ht="15.75" customHeight="1">
      <c r="K932" s="655"/>
    </row>
    <row r="933" spans="11:11" ht="15.75" customHeight="1">
      <c r="K933" s="655"/>
    </row>
    <row r="934" spans="11:11" ht="15.75" customHeight="1">
      <c r="K934" s="655"/>
    </row>
    <row r="935" spans="11:11" ht="15.75" customHeight="1">
      <c r="K935" s="655"/>
    </row>
    <row r="936" spans="11:11" ht="15.75" customHeight="1">
      <c r="K936" s="655"/>
    </row>
    <row r="937" spans="11:11" ht="15.75" customHeight="1">
      <c r="K937" s="655"/>
    </row>
    <row r="938" spans="11:11" ht="15.75" customHeight="1">
      <c r="K938" s="655"/>
    </row>
    <row r="939" spans="11:11" ht="15.75" customHeight="1">
      <c r="K939" s="655"/>
    </row>
    <row r="940" spans="11:11" ht="15.75" customHeight="1">
      <c r="K940" s="655"/>
    </row>
    <row r="941" spans="11:11" ht="15.75" customHeight="1">
      <c r="K941" s="655"/>
    </row>
    <row r="942" spans="11:11" ht="15.75" customHeight="1">
      <c r="K942" s="655"/>
    </row>
    <row r="943" spans="11:11" ht="15.75" customHeight="1">
      <c r="K943" s="655"/>
    </row>
    <row r="944" spans="11:11" ht="15.75" customHeight="1">
      <c r="K944" s="655"/>
    </row>
    <row r="945" spans="11:11" ht="15.75" customHeight="1">
      <c r="K945" s="655"/>
    </row>
    <row r="946" spans="11:11" ht="15.75" customHeight="1">
      <c r="K946" s="655"/>
    </row>
    <row r="947" spans="11:11" ht="15.75" customHeight="1">
      <c r="K947" s="655"/>
    </row>
    <row r="948" spans="11:11" ht="15.75" customHeight="1">
      <c r="K948" s="655"/>
    </row>
    <row r="949" spans="11:11" ht="15.75" customHeight="1">
      <c r="K949" s="655"/>
    </row>
    <row r="950" spans="11:11" ht="15.75" customHeight="1">
      <c r="K950" s="655"/>
    </row>
    <row r="951" spans="11:11" ht="15.75" customHeight="1">
      <c r="K951" s="655"/>
    </row>
    <row r="952" spans="11:11" ht="15.75" customHeight="1">
      <c r="K952" s="655"/>
    </row>
    <row r="953" spans="11:11" ht="15.75" customHeight="1">
      <c r="K953" s="655"/>
    </row>
    <row r="954" spans="11:11" ht="15.75" customHeight="1">
      <c r="K954" s="655"/>
    </row>
    <row r="955" spans="11:11" ht="15.75" customHeight="1">
      <c r="K955" s="655"/>
    </row>
    <row r="956" spans="11:11" ht="15.75" customHeight="1">
      <c r="K956" s="655"/>
    </row>
    <row r="957" spans="11:11" ht="15.75" customHeight="1">
      <c r="K957" s="655"/>
    </row>
    <row r="958" spans="11:11" ht="15.75" customHeight="1">
      <c r="K958" s="655"/>
    </row>
    <row r="959" spans="11:11" ht="15.75" customHeight="1">
      <c r="K959" s="655"/>
    </row>
    <row r="960" spans="11:11" ht="15.75" customHeight="1">
      <c r="K960" s="655"/>
    </row>
    <row r="961" spans="11:11" ht="15.75" customHeight="1">
      <c r="K961" s="655"/>
    </row>
    <row r="962" spans="11:11" ht="15.75" customHeight="1">
      <c r="K962" s="655"/>
    </row>
    <row r="963" spans="11:11" ht="15.75" customHeight="1">
      <c r="K963" s="655"/>
    </row>
    <row r="964" spans="11:11" ht="15.75" customHeight="1">
      <c r="K964" s="655"/>
    </row>
    <row r="965" spans="11:11" ht="15.75" customHeight="1">
      <c r="K965" s="655"/>
    </row>
    <row r="966" spans="11:11" ht="15.75" customHeight="1">
      <c r="K966" s="655"/>
    </row>
    <row r="967" spans="11:11" ht="15.75" customHeight="1">
      <c r="K967" s="655"/>
    </row>
    <row r="968" spans="11:11" ht="15.75" customHeight="1">
      <c r="K968" s="655"/>
    </row>
    <row r="969" spans="11:11" ht="15.75" customHeight="1">
      <c r="K969" s="655"/>
    </row>
    <row r="970" spans="11:11" ht="15.75" customHeight="1">
      <c r="K970" s="655"/>
    </row>
    <row r="971" spans="11:11" ht="15.75" customHeight="1">
      <c r="K971" s="655"/>
    </row>
    <row r="972" spans="11:11" ht="15.75" customHeight="1">
      <c r="K972" s="655"/>
    </row>
    <row r="973" spans="11:11" ht="15.75" customHeight="1">
      <c r="K973" s="655"/>
    </row>
    <row r="974" spans="11:11" ht="15.75" customHeight="1">
      <c r="K974" s="655"/>
    </row>
    <row r="975" spans="11:11" ht="15.75" customHeight="1">
      <c r="K975" s="655"/>
    </row>
    <row r="976" spans="11:11" ht="15.75" customHeight="1">
      <c r="K976" s="655"/>
    </row>
    <row r="977" spans="11:11" ht="15.75" customHeight="1">
      <c r="K977" s="655"/>
    </row>
    <row r="978" spans="11:11" ht="15.75" customHeight="1">
      <c r="K978" s="655"/>
    </row>
    <row r="979" spans="11:11" ht="15.75" customHeight="1">
      <c r="K979" s="655"/>
    </row>
    <row r="980" spans="11:11" ht="15.75" customHeight="1">
      <c r="K980" s="655"/>
    </row>
    <row r="981" spans="11:11" ht="15.75" customHeight="1">
      <c r="K981" s="655"/>
    </row>
    <row r="982" spans="11:11" ht="15.75" customHeight="1">
      <c r="K982" s="655"/>
    </row>
    <row r="983" spans="11:11" ht="15.75" customHeight="1">
      <c r="K983" s="655"/>
    </row>
    <row r="984" spans="11:11" ht="15.75" customHeight="1">
      <c r="K984" s="655"/>
    </row>
    <row r="985" spans="11:11" ht="15.75" customHeight="1">
      <c r="K985" s="655"/>
    </row>
    <row r="986" spans="11:11" ht="15.75" customHeight="1">
      <c r="K986" s="655"/>
    </row>
    <row r="987" spans="11:11" ht="15.75" customHeight="1">
      <c r="K987" s="655"/>
    </row>
    <row r="988" spans="11:11" ht="15.75" customHeight="1">
      <c r="K988" s="655"/>
    </row>
    <row r="989" spans="11:11" ht="15.75" customHeight="1">
      <c r="K989" s="655"/>
    </row>
    <row r="990" spans="11:11" ht="15.75" customHeight="1">
      <c r="K990" s="655"/>
    </row>
    <row r="991" spans="11:11" ht="15.75" customHeight="1">
      <c r="K991" s="655"/>
    </row>
    <row r="992" spans="11:11" ht="15.75" customHeight="1">
      <c r="K992" s="655"/>
    </row>
    <row r="993" spans="11:11" ht="15.75" customHeight="1">
      <c r="K993" s="655"/>
    </row>
    <row r="994" spans="11:11" ht="15.75" customHeight="1">
      <c r="K994" s="655"/>
    </row>
    <row r="995" spans="11:11" ht="15.75" customHeight="1">
      <c r="K995" s="655"/>
    </row>
    <row r="996" spans="11:11" ht="15.75" customHeight="1">
      <c r="K996" s="655"/>
    </row>
    <row r="997" spans="11:11" ht="15.75" customHeight="1">
      <c r="K997" s="655"/>
    </row>
    <row r="998" spans="11:11" ht="15.75" customHeight="1">
      <c r="K998" s="655"/>
    </row>
    <row r="999" spans="11:11" ht="15.75" customHeight="1">
      <c r="K999" s="655"/>
    </row>
    <row r="1000" spans="11:11" ht="15.75" customHeight="1">
      <c r="K1000" s="65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D07D5-888F-F84B-93ED-4A5789D5301A}">
  <sheetPr codeName="Sheet13"/>
  <dimension ref="A1:V131"/>
  <sheetViews>
    <sheetView topLeftCell="A10" workbookViewId="0">
      <selection activeCell="I41" sqref="I41"/>
    </sheetView>
  </sheetViews>
  <sheetFormatPr baseColWidth="10" defaultRowHeight="16"/>
  <cols>
    <col min="1" max="1" width="14.5" bestFit="1" customWidth="1"/>
    <col min="2" max="2" width="30.1640625" bestFit="1" customWidth="1"/>
    <col min="3" max="3" width="25.1640625" bestFit="1" customWidth="1"/>
    <col min="6" max="6" width="21.6640625" bestFit="1" customWidth="1"/>
  </cols>
  <sheetData>
    <row r="1" spans="1:22">
      <c r="A1" s="5" t="s">
        <v>457</v>
      </c>
      <c r="B1" s="5" t="s">
        <v>458</v>
      </c>
      <c r="C1" s="5" t="s">
        <v>459</v>
      </c>
      <c r="T1" s="5"/>
      <c r="U1" s="5"/>
      <c r="V1" s="5"/>
    </row>
    <row r="2" spans="1:22">
      <c r="A2" s="167" t="s">
        <v>460</v>
      </c>
      <c r="B2" s="167" t="s">
        <v>461</v>
      </c>
      <c r="C2" t="s">
        <v>171</v>
      </c>
      <c r="M2" s="496" t="s">
        <v>102</v>
      </c>
      <c r="N2" s="496">
        <f>+Supuestos!$M$9</f>
        <v>18.5</v>
      </c>
    </row>
    <row r="3" spans="1:22">
      <c r="A3" s="167" t="s">
        <v>462</v>
      </c>
      <c r="B3" s="167" t="s">
        <v>463</v>
      </c>
      <c r="C3" t="s">
        <v>171</v>
      </c>
      <c r="H3" s="489"/>
      <c r="M3" s="496" t="s">
        <v>19</v>
      </c>
      <c r="N3" s="496">
        <f>+Supuestos!$M$10</f>
        <v>5.5</v>
      </c>
    </row>
    <row r="4" spans="1:22">
      <c r="A4" s="167" t="s">
        <v>169</v>
      </c>
      <c r="B4" s="167" t="s">
        <v>170</v>
      </c>
      <c r="C4" t="s">
        <v>171</v>
      </c>
      <c r="H4" s="490"/>
    </row>
    <row r="5" spans="1:22">
      <c r="A5" s="167" t="s">
        <v>464</v>
      </c>
      <c r="B5" s="167" t="s">
        <v>465</v>
      </c>
      <c r="C5" t="s">
        <v>171</v>
      </c>
      <c r="H5" s="490"/>
    </row>
    <row r="6" spans="1:22">
      <c r="A6" s="167" t="s">
        <v>466</v>
      </c>
      <c r="B6" s="167" t="s">
        <v>467</v>
      </c>
      <c r="C6" t="s">
        <v>171</v>
      </c>
    </row>
    <row r="7" spans="1:22">
      <c r="A7" s="167" t="s">
        <v>468</v>
      </c>
      <c r="B7" s="167" t="s">
        <v>469</v>
      </c>
      <c r="C7" t="s">
        <v>171</v>
      </c>
    </row>
    <row r="8" spans="1:22">
      <c r="A8" s="167" t="s">
        <v>470</v>
      </c>
      <c r="B8" s="167" t="s">
        <v>471</v>
      </c>
      <c r="C8" t="s">
        <v>171</v>
      </c>
    </row>
    <row r="9" spans="1:22">
      <c r="A9" s="167" t="s">
        <v>472</v>
      </c>
      <c r="B9" s="167" t="s">
        <v>473</v>
      </c>
      <c r="C9" t="s">
        <v>171</v>
      </c>
      <c r="H9" s="45"/>
    </row>
    <row r="10" spans="1:22">
      <c r="A10" s="167" t="s">
        <v>474</v>
      </c>
      <c r="B10" s="167" t="s">
        <v>475</v>
      </c>
      <c r="C10" t="s">
        <v>171</v>
      </c>
      <c r="H10" s="45"/>
    </row>
    <row r="11" spans="1:22">
      <c r="A11" s="167" t="s">
        <v>476</v>
      </c>
      <c r="B11" s="167" t="s">
        <v>477</v>
      </c>
      <c r="C11" t="s">
        <v>171</v>
      </c>
      <c r="H11" s="45"/>
    </row>
    <row r="12" spans="1:22">
      <c r="A12" s="167" t="s">
        <v>478</v>
      </c>
      <c r="B12" s="167" t="s">
        <v>479</v>
      </c>
      <c r="C12" t="s">
        <v>171</v>
      </c>
      <c r="H12" s="45"/>
    </row>
    <row r="13" spans="1:22">
      <c r="A13" s="167" t="s">
        <v>480</v>
      </c>
      <c r="B13" s="167" t="s">
        <v>481</v>
      </c>
      <c r="C13" t="s">
        <v>171</v>
      </c>
      <c r="H13" s="45"/>
    </row>
    <row r="14" spans="1:22">
      <c r="A14" s="167" t="s">
        <v>482</v>
      </c>
      <c r="B14" s="167" t="s">
        <v>483</v>
      </c>
      <c r="C14" t="s">
        <v>484</v>
      </c>
      <c r="F14" s="491"/>
    </row>
    <row r="15" spans="1:22">
      <c r="A15" s="167" t="s">
        <v>485</v>
      </c>
      <c r="B15" s="167" t="s">
        <v>486</v>
      </c>
      <c r="C15" t="s">
        <v>484</v>
      </c>
      <c r="F15" s="491"/>
    </row>
    <row r="16" spans="1:22">
      <c r="A16" s="167" t="s">
        <v>487</v>
      </c>
      <c r="B16" s="167" t="s">
        <v>488</v>
      </c>
      <c r="C16" t="s">
        <v>484</v>
      </c>
      <c r="F16" s="5"/>
    </row>
    <row r="17" spans="1:7">
      <c r="A17" s="167" t="s">
        <v>489</v>
      </c>
      <c r="B17" s="167" t="s">
        <v>490</v>
      </c>
      <c r="C17" t="s">
        <v>484</v>
      </c>
      <c r="F17" s="5"/>
    </row>
    <row r="18" spans="1:7">
      <c r="A18" s="167" t="s">
        <v>491</v>
      </c>
      <c r="B18" s="167" t="s">
        <v>492</v>
      </c>
      <c r="C18" t="s">
        <v>484</v>
      </c>
      <c r="F18" s="491"/>
    </row>
    <row r="19" spans="1:7">
      <c r="A19" s="167" t="s">
        <v>493</v>
      </c>
      <c r="B19" s="167" t="s">
        <v>494</v>
      </c>
      <c r="C19" t="s">
        <v>484</v>
      </c>
      <c r="F19" s="491"/>
    </row>
    <row r="20" spans="1:7">
      <c r="A20" s="167" t="s">
        <v>495</v>
      </c>
      <c r="B20" s="167" t="s">
        <v>496</v>
      </c>
      <c r="C20" t="s">
        <v>484</v>
      </c>
      <c r="F20" s="491"/>
    </row>
    <row r="21" spans="1:7" s="167" customFormat="1">
      <c r="A21" s="167" t="s">
        <v>497</v>
      </c>
      <c r="B21" s="167" t="s">
        <v>498</v>
      </c>
      <c r="C21" s="167" t="s">
        <v>484</v>
      </c>
      <c r="F21" s="5"/>
      <c r="G21"/>
    </row>
    <row r="22" spans="1:7" s="167" customFormat="1">
      <c r="A22" s="167" t="s">
        <v>499</v>
      </c>
      <c r="B22" s="167" t="s">
        <v>500</v>
      </c>
      <c r="C22" s="167" t="s">
        <v>501</v>
      </c>
      <c r="F22" s="491"/>
      <c r="G22"/>
    </row>
    <row r="23" spans="1:7" s="167" customFormat="1">
      <c r="A23" s="167" t="s">
        <v>502</v>
      </c>
      <c r="B23" s="167" t="s">
        <v>503</v>
      </c>
      <c r="C23" s="167" t="s">
        <v>501</v>
      </c>
      <c r="F23" s="491"/>
      <c r="G23"/>
    </row>
    <row r="24" spans="1:7" s="167" customFormat="1">
      <c r="A24" s="167" t="s">
        <v>504</v>
      </c>
      <c r="B24" s="167" t="s">
        <v>505</v>
      </c>
      <c r="C24" s="167" t="s">
        <v>506</v>
      </c>
      <c r="F24" s="491"/>
      <c r="G24"/>
    </row>
    <row r="25" spans="1:7">
      <c r="A25" s="163" t="s">
        <v>202</v>
      </c>
      <c r="B25" s="163" t="s">
        <v>203</v>
      </c>
      <c r="C25" t="s">
        <v>48</v>
      </c>
      <c r="F25" s="491"/>
    </row>
    <row r="26" spans="1:7">
      <c r="A26" s="163" t="s">
        <v>146</v>
      </c>
      <c r="B26" s="163" t="s">
        <v>147</v>
      </c>
      <c r="C26" t="s">
        <v>145</v>
      </c>
      <c r="D26" s="491"/>
      <c r="F26" s="491"/>
    </row>
    <row r="27" spans="1:7">
      <c r="A27" s="163" t="s">
        <v>507</v>
      </c>
      <c r="B27" s="163" t="s">
        <v>508</v>
      </c>
      <c r="C27" t="s">
        <v>145</v>
      </c>
      <c r="D27" s="491"/>
    </row>
    <row r="28" spans="1:7">
      <c r="A28" s="167" t="s">
        <v>509</v>
      </c>
      <c r="B28" s="167" t="s">
        <v>510</v>
      </c>
      <c r="C28" t="s">
        <v>145</v>
      </c>
      <c r="D28" s="491"/>
      <c r="F28" s="491"/>
    </row>
    <row r="29" spans="1:7">
      <c r="A29" s="163" t="s">
        <v>403</v>
      </c>
      <c r="B29" s="163" t="s">
        <v>511</v>
      </c>
      <c r="C29" t="s">
        <v>145</v>
      </c>
      <c r="D29" s="491"/>
    </row>
    <row r="30" spans="1:7">
      <c r="A30" s="167" t="s">
        <v>512</v>
      </c>
      <c r="B30" s="163" t="s">
        <v>513</v>
      </c>
      <c r="C30" t="s">
        <v>145</v>
      </c>
      <c r="D30" s="491"/>
    </row>
    <row r="31" spans="1:7">
      <c r="A31" s="167" t="s">
        <v>514</v>
      </c>
      <c r="B31" s="167" t="s">
        <v>515</v>
      </c>
      <c r="C31" t="s">
        <v>145</v>
      </c>
      <c r="D31" s="491"/>
    </row>
    <row r="32" spans="1:7">
      <c r="A32" s="167" t="s">
        <v>400</v>
      </c>
      <c r="B32" s="167" t="s">
        <v>399</v>
      </c>
      <c r="C32" t="s">
        <v>145</v>
      </c>
      <c r="D32" s="491"/>
    </row>
    <row r="33" spans="1:9">
      <c r="A33" s="167" t="s">
        <v>516</v>
      </c>
      <c r="B33" s="167" t="s">
        <v>517</v>
      </c>
      <c r="C33" t="s">
        <v>145</v>
      </c>
      <c r="D33" s="491"/>
    </row>
    <row r="34" spans="1:9">
      <c r="A34" s="163" t="s">
        <v>518</v>
      </c>
      <c r="B34" s="163" t="s">
        <v>519</v>
      </c>
      <c r="C34" t="s">
        <v>145</v>
      </c>
      <c r="D34" s="491"/>
    </row>
    <row r="35" spans="1:9">
      <c r="A35" s="163" t="s">
        <v>397</v>
      </c>
      <c r="B35" s="163" t="s">
        <v>520</v>
      </c>
      <c r="C35" t="s">
        <v>145</v>
      </c>
      <c r="D35" s="491"/>
    </row>
    <row r="36" spans="1:9">
      <c r="A36" s="163" t="s">
        <v>521</v>
      </c>
      <c r="B36" s="163" t="s">
        <v>522</v>
      </c>
      <c r="C36" t="s">
        <v>145</v>
      </c>
      <c r="D36" s="491"/>
    </row>
    <row r="37" spans="1:9">
      <c r="A37" s="167" t="s">
        <v>151</v>
      </c>
      <c r="B37" s="167" t="s">
        <v>152</v>
      </c>
      <c r="C37" t="s">
        <v>145</v>
      </c>
    </row>
    <row r="38" spans="1:9">
      <c r="A38" s="163" t="s">
        <v>523</v>
      </c>
      <c r="B38" s="163" t="s">
        <v>524</v>
      </c>
      <c r="C38" t="s">
        <v>145</v>
      </c>
    </row>
    <row r="39" spans="1:9">
      <c r="A39" s="167" t="s">
        <v>525</v>
      </c>
      <c r="B39" s="167" t="s">
        <v>526</v>
      </c>
      <c r="C39" t="s">
        <v>145</v>
      </c>
    </row>
    <row r="40" spans="1:9">
      <c r="A40" s="167" t="s">
        <v>527</v>
      </c>
      <c r="B40" s="167" t="s">
        <v>528</v>
      </c>
      <c r="C40" t="s">
        <v>529</v>
      </c>
    </row>
    <row r="41" spans="1:9">
      <c r="A41" s="167" t="s">
        <v>530</v>
      </c>
      <c r="B41" s="167" t="s">
        <v>531</v>
      </c>
      <c r="C41" t="s">
        <v>529</v>
      </c>
      <c r="I41" t="s">
        <v>819</v>
      </c>
    </row>
    <row r="42" spans="1:9">
      <c r="A42" s="163" t="s">
        <v>532</v>
      </c>
      <c r="B42" s="163" t="s">
        <v>533</v>
      </c>
      <c r="C42" t="s">
        <v>145</v>
      </c>
      <c r="F42" s="491"/>
    </row>
    <row r="43" spans="1:9">
      <c r="A43" s="163" t="s">
        <v>534</v>
      </c>
      <c r="B43" s="163" t="s">
        <v>535</v>
      </c>
      <c r="C43" t="s">
        <v>145</v>
      </c>
      <c r="F43" s="5"/>
    </row>
    <row r="44" spans="1:9">
      <c r="A44" s="163" t="s">
        <v>536</v>
      </c>
      <c r="B44" s="163" t="s">
        <v>537</v>
      </c>
      <c r="C44" t="s">
        <v>145</v>
      </c>
      <c r="F44" s="491"/>
    </row>
    <row r="45" spans="1:9">
      <c r="A45" s="167" t="s">
        <v>538</v>
      </c>
      <c r="B45" s="167" t="s">
        <v>539</v>
      </c>
      <c r="C45" t="s">
        <v>145</v>
      </c>
      <c r="F45" s="491"/>
    </row>
    <row r="46" spans="1:9">
      <c r="A46" s="167" t="s">
        <v>143</v>
      </c>
      <c r="B46" s="167" t="s">
        <v>144</v>
      </c>
      <c r="C46" t="s">
        <v>145</v>
      </c>
      <c r="F46" s="491"/>
    </row>
    <row r="47" spans="1:9">
      <c r="A47" s="167" t="s">
        <v>540</v>
      </c>
      <c r="B47" s="167" t="s">
        <v>541</v>
      </c>
      <c r="C47" t="s">
        <v>145</v>
      </c>
      <c r="F47" s="491"/>
    </row>
    <row r="48" spans="1:9">
      <c r="A48" s="167" t="s">
        <v>542</v>
      </c>
      <c r="B48" s="167" t="s">
        <v>543</v>
      </c>
      <c r="C48" t="s">
        <v>137</v>
      </c>
      <c r="F48" s="491"/>
    </row>
    <row r="49" spans="1:8">
      <c r="A49" s="167" t="s">
        <v>544</v>
      </c>
      <c r="B49" s="167" t="s">
        <v>545</v>
      </c>
      <c r="C49" t="s">
        <v>137</v>
      </c>
      <c r="F49" s="491"/>
    </row>
    <row r="50" spans="1:8">
      <c r="A50" s="167" t="s">
        <v>546</v>
      </c>
      <c r="B50" s="167" t="s">
        <v>547</v>
      </c>
      <c r="C50" t="s">
        <v>137</v>
      </c>
      <c r="F50" s="491"/>
    </row>
    <row r="51" spans="1:8">
      <c r="A51" s="167" t="s">
        <v>548</v>
      </c>
      <c r="B51" s="167" t="s">
        <v>549</v>
      </c>
      <c r="C51" t="s">
        <v>137</v>
      </c>
      <c r="F51" s="491"/>
    </row>
    <row r="52" spans="1:8">
      <c r="A52" s="163" t="s">
        <v>550</v>
      </c>
      <c r="B52" s="163" t="s">
        <v>551</v>
      </c>
      <c r="C52" t="s">
        <v>137</v>
      </c>
      <c r="F52" s="491"/>
    </row>
    <row r="53" spans="1:8">
      <c r="A53" s="163" t="s">
        <v>552</v>
      </c>
      <c r="B53" t="s">
        <v>553</v>
      </c>
      <c r="C53" t="s">
        <v>137</v>
      </c>
      <c r="F53" s="491"/>
    </row>
    <row r="54" spans="1:8">
      <c r="A54" s="167" t="s">
        <v>135</v>
      </c>
      <c r="B54" s="167" t="s">
        <v>136</v>
      </c>
      <c r="C54" t="s">
        <v>137</v>
      </c>
      <c r="F54" s="491"/>
    </row>
    <row r="55" spans="1:8">
      <c r="A55" s="167" t="s">
        <v>554</v>
      </c>
      <c r="B55" s="167" t="s">
        <v>555</v>
      </c>
      <c r="C55" t="s">
        <v>137</v>
      </c>
      <c r="F55" s="491"/>
    </row>
    <row r="56" spans="1:8" ht="19">
      <c r="A56" s="167" t="s">
        <v>556</v>
      </c>
      <c r="B56" s="167" t="s">
        <v>557</v>
      </c>
      <c r="C56" t="s">
        <v>137</v>
      </c>
      <c r="F56" s="491"/>
      <c r="H56" s="492"/>
    </row>
    <row r="57" spans="1:8">
      <c r="A57" s="167" t="s">
        <v>558</v>
      </c>
      <c r="B57" s="167" t="s">
        <v>559</v>
      </c>
      <c r="C57" t="s">
        <v>137</v>
      </c>
      <c r="F57" s="491"/>
      <c r="H57" s="493"/>
    </row>
    <row r="58" spans="1:8" ht="19">
      <c r="A58" s="167" t="s">
        <v>560</v>
      </c>
      <c r="B58" s="167" t="s">
        <v>561</v>
      </c>
      <c r="C58" t="s">
        <v>562</v>
      </c>
      <c r="F58" s="491"/>
      <c r="H58" s="492"/>
    </row>
    <row r="59" spans="1:8" ht="19">
      <c r="A59" s="167" t="s">
        <v>563</v>
      </c>
      <c r="B59" s="167" t="s">
        <v>564</v>
      </c>
      <c r="C59" t="s">
        <v>562</v>
      </c>
      <c r="F59" s="491"/>
      <c r="H59" s="492"/>
    </row>
    <row r="60" spans="1:8">
      <c r="A60" s="163" t="s">
        <v>565</v>
      </c>
      <c r="B60" s="163" t="s">
        <v>566</v>
      </c>
      <c r="C60" t="s">
        <v>562</v>
      </c>
      <c r="F60" s="491"/>
    </row>
    <row r="61" spans="1:8">
      <c r="A61" s="163" t="s">
        <v>567</v>
      </c>
      <c r="B61" s="163" t="s">
        <v>568</v>
      </c>
      <c r="C61" t="s">
        <v>529</v>
      </c>
      <c r="F61" s="491"/>
    </row>
    <row r="62" spans="1:8">
      <c r="A62" s="167" t="s">
        <v>156</v>
      </c>
      <c r="B62" s="167" t="s">
        <v>157</v>
      </c>
      <c r="C62" t="s">
        <v>158</v>
      </c>
      <c r="F62" s="491"/>
    </row>
    <row r="63" spans="1:8">
      <c r="A63" s="167" t="s">
        <v>160</v>
      </c>
      <c r="B63" s="167" t="s">
        <v>161</v>
      </c>
      <c r="C63" t="s">
        <v>158</v>
      </c>
      <c r="F63" s="491"/>
    </row>
    <row r="64" spans="1:8">
      <c r="A64" s="167" t="s">
        <v>163</v>
      </c>
      <c r="B64" s="167" t="s">
        <v>164</v>
      </c>
      <c r="C64" t="s">
        <v>158</v>
      </c>
      <c r="F64" s="491"/>
    </row>
    <row r="65" spans="1:6">
      <c r="A65" s="167" t="s">
        <v>166</v>
      </c>
      <c r="B65" s="167" t="s">
        <v>167</v>
      </c>
      <c r="C65" t="s">
        <v>158</v>
      </c>
      <c r="F65" s="491"/>
    </row>
    <row r="66" spans="1:6">
      <c r="A66" s="167" t="s">
        <v>569</v>
      </c>
      <c r="B66" s="167" t="s">
        <v>570</v>
      </c>
      <c r="C66" t="s">
        <v>158</v>
      </c>
      <c r="F66" s="491"/>
    </row>
    <row r="67" spans="1:6">
      <c r="A67" s="167" t="s">
        <v>571</v>
      </c>
      <c r="B67" t="s">
        <v>572</v>
      </c>
      <c r="C67" t="s">
        <v>158</v>
      </c>
      <c r="F67" s="491"/>
    </row>
    <row r="68" spans="1:6">
      <c r="A68" s="167" t="s">
        <v>573</v>
      </c>
      <c r="B68" t="s">
        <v>574</v>
      </c>
      <c r="C68" t="s">
        <v>158</v>
      </c>
      <c r="F68" s="491"/>
    </row>
    <row r="69" spans="1:6">
      <c r="A69" s="167" t="s">
        <v>575</v>
      </c>
      <c r="B69" s="167" t="s">
        <v>576</v>
      </c>
      <c r="C69" t="s">
        <v>529</v>
      </c>
      <c r="F69" s="491"/>
    </row>
    <row r="70" spans="1:6">
      <c r="A70" s="163" t="s">
        <v>577</v>
      </c>
      <c r="B70" s="163" t="s">
        <v>578</v>
      </c>
      <c r="C70" t="s">
        <v>529</v>
      </c>
      <c r="F70" s="491"/>
    </row>
    <row r="71" spans="1:6">
      <c r="A71" s="167" t="s">
        <v>579</v>
      </c>
      <c r="B71" s="167" t="s">
        <v>580</v>
      </c>
      <c r="C71" t="s">
        <v>529</v>
      </c>
      <c r="F71" s="491"/>
    </row>
    <row r="72" spans="1:6">
      <c r="A72" s="167" t="s">
        <v>581</v>
      </c>
      <c r="B72" s="167" t="s">
        <v>582</v>
      </c>
      <c r="C72" t="s">
        <v>529</v>
      </c>
      <c r="F72" s="491"/>
    </row>
    <row r="73" spans="1:6">
      <c r="A73" s="167" t="s">
        <v>583</v>
      </c>
      <c r="B73" s="167" t="s">
        <v>584</v>
      </c>
      <c r="C73" t="s">
        <v>529</v>
      </c>
      <c r="F73" s="491"/>
    </row>
    <row r="74" spans="1:6">
      <c r="A74" s="167" t="s">
        <v>585</v>
      </c>
      <c r="B74" s="167" t="s">
        <v>586</v>
      </c>
      <c r="C74" t="s">
        <v>529</v>
      </c>
      <c r="F74" s="491"/>
    </row>
    <row r="75" spans="1:6">
      <c r="A75" s="163" t="s">
        <v>587</v>
      </c>
      <c r="B75" s="163" t="s">
        <v>588</v>
      </c>
      <c r="C75" t="s">
        <v>529</v>
      </c>
      <c r="F75" s="491"/>
    </row>
    <row r="76" spans="1:6">
      <c r="A76" s="167" t="s">
        <v>589</v>
      </c>
      <c r="B76" s="167" t="s">
        <v>590</v>
      </c>
      <c r="C76" t="s">
        <v>529</v>
      </c>
      <c r="F76" s="491"/>
    </row>
    <row r="77" spans="1:6">
      <c r="A77" s="167" t="s">
        <v>591</v>
      </c>
      <c r="B77" s="167" t="s">
        <v>592</v>
      </c>
      <c r="C77" t="s">
        <v>529</v>
      </c>
      <c r="F77" s="491"/>
    </row>
    <row r="78" spans="1:6">
      <c r="A78" s="167" t="s">
        <v>593</v>
      </c>
      <c r="B78" s="167" t="s">
        <v>594</v>
      </c>
      <c r="C78" t="s">
        <v>529</v>
      </c>
      <c r="F78" s="491"/>
    </row>
    <row r="79" spans="1:6">
      <c r="A79" s="163" t="s">
        <v>416</v>
      </c>
      <c r="B79" s="163" t="s">
        <v>595</v>
      </c>
      <c r="C79" t="s">
        <v>132</v>
      </c>
      <c r="F79" s="491"/>
    </row>
    <row r="80" spans="1:6">
      <c r="A80" s="163" t="s">
        <v>596</v>
      </c>
      <c r="B80" s="163" t="s">
        <v>597</v>
      </c>
      <c r="C80" t="s">
        <v>132</v>
      </c>
      <c r="F80" s="491"/>
    </row>
    <row r="81" spans="1:6">
      <c r="A81" s="167" t="s">
        <v>598</v>
      </c>
      <c r="B81" s="167" t="s">
        <v>599</v>
      </c>
      <c r="C81" t="s">
        <v>132</v>
      </c>
      <c r="F81" s="491"/>
    </row>
    <row r="82" spans="1:6">
      <c r="A82" s="163" t="s">
        <v>600</v>
      </c>
      <c r="B82" s="163" t="s">
        <v>601</v>
      </c>
      <c r="C82" t="s">
        <v>132</v>
      </c>
      <c r="F82" s="491"/>
    </row>
    <row r="83" spans="1:6">
      <c r="A83" s="163" t="s">
        <v>602</v>
      </c>
      <c r="B83" s="163" t="s">
        <v>603</v>
      </c>
      <c r="C83" t="s">
        <v>529</v>
      </c>
      <c r="F83" s="491"/>
    </row>
    <row r="84" spans="1:6">
      <c r="A84" s="163" t="s">
        <v>604</v>
      </c>
      <c r="B84" s="163" t="s">
        <v>605</v>
      </c>
      <c r="C84" t="s">
        <v>132</v>
      </c>
      <c r="F84" s="491"/>
    </row>
    <row r="85" spans="1:6">
      <c r="A85" s="167" t="s">
        <v>606</v>
      </c>
      <c r="B85" s="167" t="s">
        <v>607</v>
      </c>
      <c r="C85" t="s">
        <v>132</v>
      </c>
      <c r="F85" s="491"/>
    </row>
    <row r="86" spans="1:6">
      <c r="A86" s="167" t="s">
        <v>608</v>
      </c>
      <c r="B86" s="167" t="s">
        <v>609</v>
      </c>
      <c r="C86" t="s">
        <v>132</v>
      </c>
      <c r="F86" s="491"/>
    </row>
    <row r="87" spans="1:6">
      <c r="A87" s="167" t="s">
        <v>610</v>
      </c>
      <c r="B87" s="167" t="s">
        <v>611</v>
      </c>
      <c r="C87" t="s">
        <v>132</v>
      </c>
      <c r="F87" s="491"/>
    </row>
    <row r="88" spans="1:6">
      <c r="A88" s="167" t="s">
        <v>612</v>
      </c>
      <c r="B88" s="167" t="s">
        <v>613</v>
      </c>
      <c r="C88" t="s">
        <v>132</v>
      </c>
      <c r="F88" s="491"/>
    </row>
    <row r="89" spans="1:6">
      <c r="A89" s="163" t="s">
        <v>614</v>
      </c>
      <c r="B89" s="163" t="s">
        <v>615</v>
      </c>
      <c r="C89" t="s">
        <v>529</v>
      </c>
      <c r="F89" s="491"/>
    </row>
    <row r="90" spans="1:6">
      <c r="A90" s="163" t="s">
        <v>130</v>
      </c>
      <c r="B90" s="163" t="s">
        <v>131</v>
      </c>
      <c r="C90" t="s">
        <v>132</v>
      </c>
      <c r="F90" s="491"/>
    </row>
    <row r="91" spans="1:6">
      <c r="A91" s="163" t="s">
        <v>616</v>
      </c>
      <c r="B91" s="163" t="s">
        <v>617</v>
      </c>
      <c r="C91" t="s">
        <v>132</v>
      </c>
      <c r="F91" s="491"/>
    </row>
    <row r="92" spans="1:6">
      <c r="A92" s="167" t="s">
        <v>618</v>
      </c>
      <c r="B92" s="167" t="s">
        <v>619</v>
      </c>
      <c r="C92" t="s">
        <v>529</v>
      </c>
      <c r="F92" s="491"/>
    </row>
    <row r="93" spans="1:6">
      <c r="A93" s="167" t="s">
        <v>571</v>
      </c>
      <c r="B93" s="167" t="s">
        <v>572</v>
      </c>
      <c r="C93" t="s">
        <v>529</v>
      </c>
      <c r="F93" s="491"/>
    </row>
    <row r="94" spans="1:6">
      <c r="A94" s="163" t="s">
        <v>620</v>
      </c>
      <c r="B94" s="163" t="s">
        <v>621</v>
      </c>
      <c r="C94" t="s">
        <v>529</v>
      </c>
      <c r="F94" s="491"/>
    </row>
    <row r="95" spans="1:6">
      <c r="A95" s="163" t="s">
        <v>622</v>
      </c>
      <c r="B95" s="163" t="s">
        <v>623</v>
      </c>
      <c r="C95" t="s">
        <v>158</v>
      </c>
      <c r="F95" s="491"/>
    </row>
    <row r="96" spans="1:6">
      <c r="A96" s="167" t="s">
        <v>624</v>
      </c>
      <c r="B96" s="167" t="s">
        <v>625</v>
      </c>
      <c r="C96" t="s">
        <v>529</v>
      </c>
      <c r="F96" s="491"/>
    </row>
    <row r="97" spans="1:6">
      <c r="A97" s="167" t="s">
        <v>626</v>
      </c>
      <c r="B97" s="167" t="s">
        <v>627</v>
      </c>
      <c r="C97" t="s">
        <v>529</v>
      </c>
      <c r="F97" s="491"/>
    </row>
    <row r="98" spans="1:6">
      <c r="A98" s="163" t="s">
        <v>628</v>
      </c>
      <c r="B98" s="163" t="s">
        <v>629</v>
      </c>
      <c r="C98" t="s">
        <v>529</v>
      </c>
      <c r="F98" s="491"/>
    </row>
    <row r="99" spans="1:6">
      <c r="A99" s="163" t="s">
        <v>630</v>
      </c>
      <c r="B99" s="163" t="s">
        <v>631</v>
      </c>
      <c r="C99" t="s">
        <v>529</v>
      </c>
      <c r="F99" s="5"/>
    </row>
    <row r="100" spans="1:6">
      <c r="A100" s="163" t="s">
        <v>632</v>
      </c>
      <c r="B100" s="163" t="s">
        <v>633</v>
      </c>
      <c r="C100" t="s">
        <v>529</v>
      </c>
      <c r="F100" s="491"/>
    </row>
    <row r="101" spans="1:6">
      <c r="A101" s="167" t="s">
        <v>634</v>
      </c>
      <c r="B101" s="167" t="s">
        <v>635</v>
      </c>
      <c r="C101" t="s">
        <v>529</v>
      </c>
      <c r="F101" s="491"/>
    </row>
    <row r="102" spans="1:6">
      <c r="A102" s="163" t="s">
        <v>636</v>
      </c>
      <c r="B102" s="163" t="s">
        <v>637</v>
      </c>
      <c r="C102" t="s">
        <v>638</v>
      </c>
      <c r="F102" s="491"/>
    </row>
    <row r="103" spans="1:6">
      <c r="A103" s="163" t="s">
        <v>639</v>
      </c>
      <c r="B103" s="163" t="s">
        <v>640</v>
      </c>
      <c r="C103" t="s">
        <v>638</v>
      </c>
      <c r="F103" s="491"/>
    </row>
    <row r="104" spans="1:6">
      <c r="A104" s="163" t="s">
        <v>641</v>
      </c>
      <c r="B104" s="163" t="s">
        <v>642</v>
      </c>
      <c r="C104" t="s">
        <v>638</v>
      </c>
      <c r="F104" s="491"/>
    </row>
    <row r="105" spans="1:6">
      <c r="A105" s="163" t="s">
        <v>643</v>
      </c>
      <c r="B105" t="s">
        <v>644</v>
      </c>
      <c r="C105" t="s">
        <v>638</v>
      </c>
      <c r="F105" s="491"/>
    </row>
    <row r="106" spans="1:6">
      <c r="A106" s="163" t="s">
        <v>645</v>
      </c>
      <c r="B106" s="163" t="s">
        <v>646</v>
      </c>
      <c r="C106" t="s">
        <v>638</v>
      </c>
      <c r="F106" s="491"/>
    </row>
    <row r="107" spans="1:6">
      <c r="A107" s="163" t="s">
        <v>647</v>
      </c>
      <c r="B107" s="163" t="s">
        <v>648</v>
      </c>
      <c r="C107" t="s">
        <v>638</v>
      </c>
      <c r="F107" s="491"/>
    </row>
    <row r="108" spans="1:6">
      <c r="A108" s="163" t="s">
        <v>649</v>
      </c>
      <c r="B108" s="163" t="s">
        <v>650</v>
      </c>
      <c r="C108" t="s">
        <v>638</v>
      </c>
      <c r="F108" s="491"/>
    </row>
    <row r="109" spans="1:6">
      <c r="A109" s="163" t="s">
        <v>651</v>
      </c>
      <c r="B109" s="163" t="s">
        <v>652</v>
      </c>
      <c r="C109" t="s">
        <v>638</v>
      </c>
      <c r="F109" s="491"/>
    </row>
    <row r="110" spans="1:6">
      <c r="A110" s="163" t="s">
        <v>653</v>
      </c>
      <c r="B110" s="163" t="s">
        <v>654</v>
      </c>
      <c r="C110" t="s">
        <v>638</v>
      </c>
      <c r="F110" s="491"/>
    </row>
    <row r="111" spans="1:6">
      <c r="A111" s="163" t="s">
        <v>655</v>
      </c>
      <c r="B111" s="163" t="s">
        <v>656</v>
      </c>
      <c r="C111" t="s">
        <v>638</v>
      </c>
      <c r="F111" s="491"/>
    </row>
    <row r="112" spans="1:6">
      <c r="A112" s="163" t="s">
        <v>657</v>
      </c>
      <c r="B112" s="163" t="s">
        <v>658</v>
      </c>
      <c r="C112" t="s">
        <v>638</v>
      </c>
      <c r="F112" s="491"/>
    </row>
    <row r="113" spans="1:6">
      <c r="A113" s="163" t="s">
        <v>659</v>
      </c>
      <c r="B113" s="163" t="s">
        <v>660</v>
      </c>
      <c r="C113" t="s">
        <v>638</v>
      </c>
      <c r="F113" s="491"/>
    </row>
    <row r="114" spans="1:6">
      <c r="A114" t="s">
        <v>661</v>
      </c>
      <c r="B114" t="s">
        <v>662</v>
      </c>
      <c r="C114" t="s">
        <v>638</v>
      </c>
      <c r="F114" s="491"/>
    </row>
    <row r="115" spans="1:6">
      <c r="F115" s="491"/>
    </row>
    <row r="116" spans="1:6">
      <c r="F116" s="491"/>
    </row>
    <row r="117" spans="1:6">
      <c r="F117" s="491"/>
    </row>
    <row r="118" spans="1:6">
      <c r="F118" s="491"/>
    </row>
    <row r="119" spans="1:6">
      <c r="F119" s="491"/>
    </row>
    <row r="120" spans="1:6">
      <c r="F120" s="491"/>
    </row>
    <row r="121" spans="1:6">
      <c r="F121" s="491"/>
    </row>
    <row r="122" spans="1:6">
      <c r="F122" s="491"/>
    </row>
    <row r="123" spans="1:6">
      <c r="F123" s="5"/>
    </row>
    <row r="124" spans="1:6">
      <c r="F124" s="491"/>
    </row>
    <row r="125" spans="1:6">
      <c r="F125" s="491"/>
    </row>
    <row r="126" spans="1:6">
      <c r="F126" s="491"/>
    </row>
    <row r="127" spans="1:6">
      <c r="F127" s="491"/>
    </row>
    <row r="128" spans="1:6">
      <c r="F128" s="491"/>
    </row>
    <row r="129" spans="6:6">
      <c r="F129" s="5"/>
    </row>
    <row r="130" spans="6:6">
      <c r="F130" s="491"/>
    </row>
    <row r="131" spans="6:6">
      <c r="F131" s="491"/>
    </row>
  </sheetData>
  <autoFilter ref="A1:C113" xr:uid="{33F6AA4D-955D-9142-960B-5C6ED1C3ED0E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8AFE-FB3F-6448-81B6-D8502D039B94}">
  <sheetPr codeName="Sheet6"/>
  <dimension ref="A1:AE43"/>
  <sheetViews>
    <sheetView showGridLines="0" workbookViewId="0">
      <selection activeCell="R20" sqref="R20"/>
    </sheetView>
  </sheetViews>
  <sheetFormatPr baseColWidth="10" defaultRowHeight="16" outlineLevelCol="1"/>
  <cols>
    <col min="2" max="7" width="10.83203125" hidden="1" customWidth="1" outlineLevel="1"/>
    <col min="8" max="8" width="34.6640625" bestFit="1" customWidth="1" collapsed="1"/>
    <col min="9" max="9" width="23.33203125" customWidth="1"/>
    <col min="10" max="12" width="10.83203125" customWidth="1" outlineLevel="1"/>
    <col min="13" max="13" width="11.1640625" bestFit="1" customWidth="1" outlineLevel="1"/>
    <col min="14" max="14" width="13.33203125" bestFit="1" customWidth="1"/>
    <col min="15" max="15" width="13" hidden="1" customWidth="1" outlineLevel="1"/>
    <col min="16" max="26" width="11.1640625" hidden="1" customWidth="1" outlineLevel="1"/>
    <col min="27" max="27" width="12.33203125" hidden="1" customWidth="1" outlineLevel="1"/>
    <col min="28" max="28" width="12.6640625" bestFit="1" customWidth="1" collapsed="1"/>
    <col min="29" max="29" width="5.1640625" customWidth="1"/>
    <col min="30" max="30" width="14" bestFit="1" customWidth="1"/>
  </cols>
  <sheetData>
    <row r="1" spans="1:31" s="21" customFormat="1">
      <c r="AE1" s="368"/>
    </row>
    <row r="2" spans="1:31" s="21" customFormat="1">
      <c r="H2" s="368" t="s">
        <v>310</v>
      </c>
      <c r="AE2" s="369"/>
    </row>
    <row r="3" spans="1:31" s="21" customFormat="1">
      <c r="H3" s="370" t="s">
        <v>101</v>
      </c>
      <c r="AE3" s="369"/>
    </row>
    <row r="4" spans="1:31">
      <c r="N4" s="307">
        <f>SUBTOTAL(9,N6:N37)</f>
        <v>359312.15485314681</v>
      </c>
      <c r="O4" s="28"/>
      <c r="AB4" s="371">
        <f>SUBTOTAL(9,AB6:AB43)</f>
        <v>32740.111109557114</v>
      </c>
      <c r="AD4" s="392" t="s">
        <v>323</v>
      </c>
      <c r="AE4" s="393">
        <v>32961</v>
      </c>
    </row>
    <row r="5" spans="1:31">
      <c r="A5" s="153" t="s">
        <v>103</v>
      </c>
      <c r="B5" s="153" t="s">
        <v>104</v>
      </c>
      <c r="C5" s="154" t="s">
        <v>105</v>
      </c>
      <c r="D5" s="155" t="s">
        <v>106</v>
      </c>
      <c r="E5" s="156" t="s">
        <v>107</v>
      </c>
      <c r="F5" s="157" t="s">
        <v>108</v>
      </c>
      <c r="G5" s="153" t="s">
        <v>109</v>
      </c>
      <c r="H5" s="153" t="s">
        <v>110</v>
      </c>
      <c r="I5" s="153" t="s">
        <v>111</v>
      </c>
      <c r="J5" s="153" t="s">
        <v>112</v>
      </c>
      <c r="K5" s="153" t="s">
        <v>113</v>
      </c>
      <c r="L5" s="153" t="s">
        <v>114</v>
      </c>
      <c r="M5" s="153" t="s">
        <v>115</v>
      </c>
      <c r="N5" s="303" t="s">
        <v>116</v>
      </c>
      <c r="O5" s="153" t="s">
        <v>116</v>
      </c>
      <c r="P5" s="153" t="s">
        <v>117</v>
      </c>
      <c r="Q5" s="153" t="s">
        <v>118</v>
      </c>
      <c r="R5" s="153" t="s">
        <v>119</v>
      </c>
      <c r="S5" s="153" t="s">
        <v>120</v>
      </c>
      <c r="T5" s="153" t="s">
        <v>24</v>
      </c>
      <c r="U5" s="153" t="s">
        <v>121</v>
      </c>
      <c r="V5" s="153" t="s">
        <v>122</v>
      </c>
      <c r="W5" s="153" t="s">
        <v>123</v>
      </c>
      <c r="X5" s="153" t="s">
        <v>124</v>
      </c>
      <c r="Y5" s="153" t="s">
        <v>125</v>
      </c>
      <c r="Z5" s="153" t="s">
        <v>126</v>
      </c>
      <c r="AA5" s="153" t="s">
        <v>127</v>
      </c>
      <c r="AB5" s="153" t="s">
        <v>291</v>
      </c>
      <c r="AD5" s="392" t="s">
        <v>324</v>
      </c>
      <c r="AE5" s="394">
        <f>AB4-AE4</f>
        <v>-220.8888904428859</v>
      </c>
    </row>
    <row r="6" spans="1:31">
      <c r="A6" t="s">
        <v>199</v>
      </c>
      <c r="B6" t="s">
        <v>200</v>
      </c>
      <c r="C6" s="159">
        <v>1</v>
      </c>
      <c r="D6" s="160"/>
      <c r="E6" s="161"/>
      <c r="F6" s="162"/>
      <c r="G6" t="s">
        <v>201</v>
      </c>
      <c r="H6" s="188" t="s">
        <v>204</v>
      </c>
      <c r="I6" s="188" t="s">
        <v>205</v>
      </c>
      <c r="J6" s="163" t="s">
        <v>202</v>
      </c>
      <c r="K6" t="s">
        <v>203</v>
      </c>
      <c r="L6" t="s">
        <v>48</v>
      </c>
      <c r="M6" s="172" t="s">
        <v>101</v>
      </c>
      <c r="N6" s="158">
        <f>96000/2</f>
        <v>48000</v>
      </c>
      <c r="O6" s="164">
        <f>96000/2</f>
        <v>48000</v>
      </c>
      <c r="P6" s="189">
        <f t="shared" ref="P6:AA6" si="0">8000/2</f>
        <v>4000</v>
      </c>
      <c r="Q6" s="189">
        <f t="shared" si="0"/>
        <v>4000</v>
      </c>
      <c r="R6" s="189">
        <f t="shared" si="0"/>
        <v>4000</v>
      </c>
      <c r="S6" s="189">
        <f t="shared" si="0"/>
        <v>4000</v>
      </c>
      <c r="T6" s="189">
        <f t="shared" si="0"/>
        <v>4000</v>
      </c>
      <c r="U6" s="189">
        <f t="shared" si="0"/>
        <v>4000</v>
      </c>
      <c r="V6" s="189">
        <f t="shared" si="0"/>
        <v>4000</v>
      </c>
      <c r="W6" s="189">
        <f t="shared" si="0"/>
        <v>4000</v>
      </c>
      <c r="X6" s="189">
        <f t="shared" si="0"/>
        <v>4000</v>
      </c>
      <c r="Y6" s="189">
        <f t="shared" si="0"/>
        <v>4000</v>
      </c>
      <c r="Z6" s="189">
        <f t="shared" si="0"/>
        <v>4000</v>
      </c>
      <c r="AA6" s="189">
        <f t="shared" si="0"/>
        <v>4000</v>
      </c>
      <c r="AB6" s="28">
        <f t="shared" ref="AB6:AB36" si="1">N6/12</f>
        <v>4000</v>
      </c>
      <c r="AE6" s="166"/>
    </row>
    <row r="7" spans="1:31">
      <c r="A7" t="s">
        <v>128</v>
      </c>
      <c r="B7" t="s">
        <v>129</v>
      </c>
      <c r="C7" s="159"/>
      <c r="D7" s="160"/>
      <c r="E7" s="161"/>
      <c r="F7" s="162">
        <v>1</v>
      </c>
      <c r="G7" t="s">
        <v>172</v>
      </c>
      <c r="H7" t="s">
        <v>289</v>
      </c>
      <c r="I7" t="s">
        <v>289</v>
      </c>
      <c r="J7" s="163" t="s">
        <v>169</v>
      </c>
      <c r="K7" t="s">
        <v>170</v>
      </c>
      <c r="L7" t="s">
        <v>171</v>
      </c>
      <c r="M7" t="s">
        <v>102</v>
      </c>
      <c r="N7" s="158">
        <v>3809.2307692307691</v>
      </c>
      <c r="O7" s="164">
        <v>74280</v>
      </c>
      <c r="P7" s="165">
        <v>6190</v>
      </c>
      <c r="Q7" s="165">
        <v>6190</v>
      </c>
      <c r="R7" s="165">
        <v>6190</v>
      </c>
      <c r="S7" s="165">
        <v>6190</v>
      </c>
      <c r="T7" s="165">
        <v>6190</v>
      </c>
      <c r="U7" s="165">
        <v>6190</v>
      </c>
      <c r="V7" s="165">
        <v>6190</v>
      </c>
      <c r="W7" s="165">
        <v>6190</v>
      </c>
      <c r="X7" s="165">
        <v>6190</v>
      </c>
      <c r="Y7" s="165">
        <v>6190</v>
      </c>
      <c r="Z7" s="165">
        <v>6190</v>
      </c>
      <c r="AA7" s="165">
        <v>6190</v>
      </c>
      <c r="AB7" s="28">
        <f t="shared" si="1"/>
        <v>317.4358974358974</v>
      </c>
      <c r="AE7" s="166"/>
    </row>
    <row r="8" spans="1:31">
      <c r="A8" t="s">
        <v>128</v>
      </c>
      <c r="B8" t="s">
        <v>129</v>
      </c>
      <c r="C8" s="159"/>
      <c r="D8" s="160"/>
      <c r="E8" s="161"/>
      <c r="F8" s="162">
        <v>1</v>
      </c>
      <c r="G8" t="s">
        <v>153</v>
      </c>
      <c r="H8" t="s">
        <v>154</v>
      </c>
      <c r="I8" t="s">
        <v>155</v>
      </c>
      <c r="J8" s="167" t="s">
        <v>156</v>
      </c>
      <c r="K8" t="s">
        <v>157</v>
      </c>
      <c r="L8" t="s">
        <v>158</v>
      </c>
      <c r="M8" t="s">
        <v>102</v>
      </c>
      <c r="N8" s="303">
        <v>205.12820512820514</v>
      </c>
      <c r="O8" s="308">
        <v>4000</v>
      </c>
      <c r="P8" s="179">
        <v>0</v>
      </c>
      <c r="Q8" s="311">
        <v>0</v>
      </c>
      <c r="R8" s="311">
        <v>0</v>
      </c>
      <c r="S8" s="311">
        <v>0</v>
      </c>
      <c r="T8" s="312">
        <v>2000</v>
      </c>
      <c r="U8" s="179">
        <v>0</v>
      </c>
      <c r="V8" s="311">
        <v>0</v>
      </c>
      <c r="W8" s="311">
        <v>0</v>
      </c>
      <c r="X8" s="311">
        <v>0</v>
      </c>
      <c r="Y8" s="311">
        <v>0</v>
      </c>
      <c r="Z8" s="311">
        <v>0</v>
      </c>
      <c r="AA8" s="312">
        <v>2000</v>
      </c>
      <c r="AB8" s="28">
        <f t="shared" si="1"/>
        <v>17.094017094017094</v>
      </c>
    </row>
    <row r="9" spans="1:31">
      <c r="A9" t="s">
        <v>128</v>
      </c>
      <c r="B9" t="s">
        <v>129</v>
      </c>
      <c r="C9" s="159"/>
      <c r="D9" s="160"/>
      <c r="E9" s="161"/>
      <c r="F9" s="162">
        <v>1</v>
      </c>
      <c r="G9" t="s">
        <v>159</v>
      </c>
      <c r="H9" t="s">
        <v>154</v>
      </c>
      <c r="I9" t="s">
        <v>155</v>
      </c>
      <c r="J9" s="167" t="s">
        <v>160</v>
      </c>
      <c r="K9" t="s">
        <v>161</v>
      </c>
      <c r="L9" t="s">
        <v>158</v>
      </c>
      <c r="M9" t="s">
        <v>102</v>
      </c>
      <c r="N9" s="303">
        <v>102.56410256410257</v>
      </c>
      <c r="O9" s="308">
        <v>2000</v>
      </c>
      <c r="P9" s="179">
        <v>0</v>
      </c>
      <c r="Q9" s="311">
        <v>0</v>
      </c>
      <c r="R9" s="311">
        <v>0</v>
      </c>
      <c r="S9" s="311">
        <v>0</v>
      </c>
      <c r="T9" s="312">
        <v>1000</v>
      </c>
      <c r="U9" s="179">
        <v>0</v>
      </c>
      <c r="V9" s="311">
        <v>0</v>
      </c>
      <c r="W9" s="311">
        <v>0</v>
      </c>
      <c r="X9" s="311">
        <v>0</v>
      </c>
      <c r="Y9" s="311">
        <v>0</v>
      </c>
      <c r="Z9" s="311">
        <v>0</v>
      </c>
      <c r="AA9" s="312">
        <v>1000</v>
      </c>
      <c r="AB9" s="28">
        <f t="shared" si="1"/>
        <v>8.5470085470085468</v>
      </c>
    </row>
    <row r="10" spans="1:31">
      <c r="A10" t="s">
        <v>128</v>
      </c>
      <c r="B10" t="s">
        <v>129</v>
      </c>
      <c r="C10" s="159"/>
      <c r="D10" s="160"/>
      <c r="E10" s="161"/>
      <c r="F10" s="162">
        <v>1</v>
      </c>
      <c r="G10" t="s">
        <v>162</v>
      </c>
      <c r="H10" t="s">
        <v>154</v>
      </c>
      <c r="I10" t="s">
        <v>155</v>
      </c>
      <c r="J10" s="167" t="s">
        <v>163</v>
      </c>
      <c r="K10" t="s">
        <v>164</v>
      </c>
      <c r="L10" t="s">
        <v>158</v>
      </c>
      <c r="M10" t="s">
        <v>102</v>
      </c>
      <c r="N10" s="303">
        <v>410.25641025641028</v>
      </c>
      <c r="O10" s="308">
        <v>8000</v>
      </c>
      <c r="P10" s="179">
        <v>0</v>
      </c>
      <c r="Q10" s="311">
        <v>0</v>
      </c>
      <c r="R10" s="311">
        <v>0</v>
      </c>
      <c r="S10" s="311">
        <v>0</v>
      </c>
      <c r="T10" s="312">
        <v>4000</v>
      </c>
      <c r="U10" s="179">
        <v>0</v>
      </c>
      <c r="V10" s="311">
        <v>0</v>
      </c>
      <c r="W10" s="311">
        <v>0</v>
      </c>
      <c r="X10" s="311">
        <v>0</v>
      </c>
      <c r="Y10" s="311">
        <v>0</v>
      </c>
      <c r="Z10" s="311">
        <v>0</v>
      </c>
      <c r="AA10" s="312">
        <v>4000</v>
      </c>
      <c r="AB10" s="28">
        <f t="shared" si="1"/>
        <v>34.188034188034187</v>
      </c>
    </row>
    <row r="11" spans="1:31">
      <c r="A11" t="s">
        <v>128</v>
      </c>
      <c r="B11" t="s">
        <v>129</v>
      </c>
      <c r="C11" s="159"/>
      <c r="D11" s="160"/>
      <c r="E11" s="161"/>
      <c r="F11" s="162">
        <v>1</v>
      </c>
      <c r="G11" t="s">
        <v>165</v>
      </c>
      <c r="H11" t="s">
        <v>154</v>
      </c>
      <c r="I11" t="s">
        <v>155</v>
      </c>
      <c r="J11" s="167" t="s">
        <v>166</v>
      </c>
      <c r="K11" t="s">
        <v>167</v>
      </c>
      <c r="L11" t="s">
        <v>158</v>
      </c>
      <c r="M11" t="s">
        <v>102</v>
      </c>
      <c r="N11" s="303">
        <v>153.84615384615384</v>
      </c>
      <c r="O11" s="308">
        <v>3000</v>
      </c>
      <c r="P11" s="179">
        <v>0</v>
      </c>
      <c r="Q11" s="311">
        <v>0</v>
      </c>
      <c r="R11" s="311">
        <v>0</v>
      </c>
      <c r="S11" s="311">
        <v>0</v>
      </c>
      <c r="T11" s="312">
        <v>1500</v>
      </c>
      <c r="U11" s="179">
        <v>0</v>
      </c>
      <c r="V11" s="311">
        <v>0</v>
      </c>
      <c r="W11" s="311">
        <v>0</v>
      </c>
      <c r="X11" s="311">
        <v>0</v>
      </c>
      <c r="Y11" s="311">
        <v>0</v>
      </c>
      <c r="Z11" s="311">
        <v>0</v>
      </c>
      <c r="AA11" s="312">
        <v>1500</v>
      </c>
      <c r="AB11" s="28">
        <f t="shared" si="1"/>
        <v>12.820512820512819</v>
      </c>
    </row>
    <row r="12" spans="1:31">
      <c r="A12" t="s">
        <v>185</v>
      </c>
      <c r="B12" t="s">
        <v>186</v>
      </c>
      <c r="C12" s="159"/>
      <c r="D12" s="160"/>
      <c r="E12" s="161"/>
      <c r="F12" s="301">
        <v>1</v>
      </c>
      <c r="G12" t="s">
        <v>153</v>
      </c>
      <c r="H12" t="s">
        <v>154</v>
      </c>
      <c r="J12" s="167" t="s">
        <v>156</v>
      </c>
      <c r="K12" t="s">
        <v>157</v>
      </c>
      <c r="L12" t="s">
        <v>158</v>
      </c>
      <c r="M12" t="s">
        <v>102</v>
      </c>
      <c r="N12" s="303">
        <v>615.38461538461536</v>
      </c>
      <c r="O12" s="315">
        <v>12000</v>
      </c>
      <c r="P12" s="314">
        <v>0</v>
      </c>
      <c r="Q12" s="314">
        <v>0</v>
      </c>
      <c r="R12" s="313">
        <v>6000</v>
      </c>
      <c r="S12" s="314">
        <v>0</v>
      </c>
      <c r="T12" s="314">
        <v>0</v>
      </c>
      <c r="U12" s="314">
        <v>0</v>
      </c>
      <c r="V12" s="314">
        <v>0</v>
      </c>
      <c r="W12" s="314">
        <v>0</v>
      </c>
      <c r="X12" s="313">
        <v>6000</v>
      </c>
      <c r="Y12" s="314">
        <v>0</v>
      </c>
      <c r="Z12" s="314">
        <v>0</v>
      </c>
      <c r="AA12" s="314">
        <v>0</v>
      </c>
      <c r="AB12" s="28">
        <f t="shared" si="1"/>
        <v>51.282051282051277</v>
      </c>
    </row>
    <row r="13" spans="1:31">
      <c r="A13" t="s">
        <v>185</v>
      </c>
      <c r="B13" t="s">
        <v>186</v>
      </c>
      <c r="C13" s="159"/>
      <c r="D13" s="160"/>
      <c r="E13" s="161"/>
      <c r="F13" s="301">
        <v>1</v>
      </c>
      <c r="G13" t="s">
        <v>159</v>
      </c>
      <c r="H13" t="s">
        <v>154</v>
      </c>
      <c r="J13" s="167" t="s">
        <v>160</v>
      </c>
      <c r="K13" t="s">
        <v>161</v>
      </c>
      <c r="L13" t="s">
        <v>158</v>
      </c>
      <c r="M13" t="s">
        <v>102</v>
      </c>
      <c r="N13" s="303">
        <v>205.12820512820514</v>
      </c>
      <c r="O13" s="315">
        <v>4000</v>
      </c>
      <c r="P13" s="314">
        <v>0</v>
      </c>
      <c r="Q13" s="314">
        <v>0</v>
      </c>
      <c r="R13" s="313">
        <v>2000</v>
      </c>
      <c r="S13" s="314">
        <v>0</v>
      </c>
      <c r="T13" s="314">
        <v>0</v>
      </c>
      <c r="U13" s="314">
        <v>0</v>
      </c>
      <c r="V13" s="314">
        <v>0</v>
      </c>
      <c r="W13" s="314">
        <v>0</v>
      </c>
      <c r="X13" s="313">
        <v>2000</v>
      </c>
      <c r="Y13" s="314">
        <v>0</v>
      </c>
      <c r="Z13" s="314">
        <v>0</v>
      </c>
      <c r="AA13" s="314">
        <v>0</v>
      </c>
      <c r="AB13" s="28">
        <f t="shared" si="1"/>
        <v>17.094017094017094</v>
      </c>
    </row>
    <row r="14" spans="1:31">
      <c r="A14" t="s">
        <v>185</v>
      </c>
      <c r="B14" t="s">
        <v>186</v>
      </c>
      <c r="C14" s="159"/>
      <c r="D14" s="160"/>
      <c r="E14" s="161"/>
      <c r="F14" s="301">
        <v>1</v>
      </c>
      <c r="G14" t="s">
        <v>162</v>
      </c>
      <c r="H14" t="s">
        <v>154</v>
      </c>
      <c r="J14" s="167" t="s">
        <v>163</v>
      </c>
      <c r="K14" t="s">
        <v>164</v>
      </c>
      <c r="L14" t="s">
        <v>158</v>
      </c>
      <c r="M14" t="s">
        <v>19</v>
      </c>
      <c r="N14" s="303">
        <v>2713.4545454545455</v>
      </c>
      <c r="O14" s="315">
        <v>14924</v>
      </c>
      <c r="P14" s="314">
        <v>0</v>
      </c>
      <c r="Q14" s="314">
        <v>0</v>
      </c>
      <c r="R14" s="313">
        <v>7462</v>
      </c>
      <c r="S14" s="314">
        <v>0</v>
      </c>
      <c r="T14" s="314">
        <v>0</v>
      </c>
      <c r="U14" s="314">
        <v>0</v>
      </c>
      <c r="V14" s="314">
        <v>0</v>
      </c>
      <c r="W14" s="314">
        <v>0</v>
      </c>
      <c r="X14" s="313">
        <v>7462</v>
      </c>
      <c r="Y14" s="314">
        <v>0</v>
      </c>
      <c r="Z14" s="314">
        <v>0</v>
      </c>
      <c r="AA14" s="314">
        <v>0</v>
      </c>
      <c r="AB14" s="28">
        <f t="shared" si="1"/>
        <v>226.12121212121212</v>
      </c>
    </row>
    <row r="15" spans="1:31">
      <c r="A15" t="s">
        <v>185</v>
      </c>
      <c r="B15" t="s">
        <v>186</v>
      </c>
      <c r="C15" s="159"/>
      <c r="D15" s="160"/>
      <c r="E15" s="161"/>
      <c r="F15" s="301">
        <v>1</v>
      </c>
      <c r="G15" t="s">
        <v>165</v>
      </c>
      <c r="H15" t="s">
        <v>154</v>
      </c>
      <c r="J15" s="167" t="s">
        <v>166</v>
      </c>
      <c r="K15" t="s">
        <v>167</v>
      </c>
      <c r="L15" t="s">
        <v>158</v>
      </c>
      <c r="M15" t="s">
        <v>102</v>
      </c>
      <c r="N15" s="303">
        <v>102.56410256410257</v>
      </c>
      <c r="O15" s="315">
        <v>2000</v>
      </c>
      <c r="P15" s="314">
        <v>0</v>
      </c>
      <c r="Q15" s="314">
        <v>0</v>
      </c>
      <c r="R15" s="313">
        <v>1000</v>
      </c>
      <c r="S15" s="314">
        <v>0</v>
      </c>
      <c r="T15" s="314">
        <v>0</v>
      </c>
      <c r="U15" s="314">
        <v>0</v>
      </c>
      <c r="V15" s="314">
        <v>0</v>
      </c>
      <c r="W15" s="314">
        <v>0</v>
      </c>
      <c r="X15" s="313">
        <v>1000</v>
      </c>
      <c r="Y15" s="314">
        <v>0</v>
      </c>
      <c r="Z15" s="314">
        <v>0</v>
      </c>
      <c r="AA15" s="314">
        <v>0</v>
      </c>
      <c r="AB15" s="28">
        <f t="shared" si="1"/>
        <v>8.5470085470085468</v>
      </c>
    </row>
    <row r="16" spans="1:31">
      <c r="A16" t="s">
        <v>199</v>
      </c>
      <c r="B16" t="s">
        <v>200</v>
      </c>
      <c r="C16" s="159"/>
      <c r="D16" s="160"/>
      <c r="E16" s="161"/>
      <c r="F16" s="162">
        <v>1</v>
      </c>
      <c r="G16" t="s">
        <v>162</v>
      </c>
      <c r="H16" t="s">
        <v>154</v>
      </c>
      <c r="J16" s="167" t="s">
        <v>163</v>
      </c>
      <c r="K16" t="s">
        <v>164</v>
      </c>
      <c r="L16" t="s">
        <v>158</v>
      </c>
      <c r="M16" t="s">
        <v>102</v>
      </c>
      <c r="N16" s="158">
        <v>205.12820512820514</v>
      </c>
      <c r="O16" s="164">
        <v>4000</v>
      </c>
      <c r="P16" s="165">
        <v>0</v>
      </c>
      <c r="Q16" s="165">
        <v>0</v>
      </c>
      <c r="R16" s="165">
        <v>0</v>
      </c>
      <c r="S16" s="165">
        <v>0</v>
      </c>
      <c r="T16" s="165">
        <v>0</v>
      </c>
      <c r="U16" s="165">
        <v>0</v>
      </c>
      <c r="V16" s="165">
        <v>0</v>
      </c>
      <c r="W16" s="165">
        <v>0</v>
      </c>
      <c r="X16" s="169">
        <v>4000</v>
      </c>
      <c r="Y16" s="165">
        <v>0</v>
      </c>
      <c r="Z16" s="165">
        <v>0</v>
      </c>
      <c r="AA16" s="165">
        <v>0</v>
      </c>
      <c r="AB16" s="28">
        <f t="shared" si="1"/>
        <v>17.094017094017094</v>
      </c>
    </row>
    <row r="17" spans="1:29">
      <c r="A17" t="s">
        <v>128</v>
      </c>
      <c r="B17" t="s">
        <v>129</v>
      </c>
      <c r="C17" s="159"/>
      <c r="D17" s="160"/>
      <c r="E17" s="161"/>
      <c r="F17" s="162">
        <v>1</v>
      </c>
      <c r="G17" t="s">
        <v>133</v>
      </c>
      <c r="H17" t="s">
        <v>134</v>
      </c>
      <c r="I17" t="s">
        <v>134</v>
      </c>
      <c r="J17" s="163" t="s">
        <v>130</v>
      </c>
      <c r="K17" t="s">
        <v>131</v>
      </c>
      <c r="L17" t="s">
        <v>132</v>
      </c>
      <c r="M17" t="s">
        <v>101</v>
      </c>
      <c r="N17" s="303">
        <v>153.5</v>
      </c>
      <c r="O17" s="308">
        <v>153.5</v>
      </c>
      <c r="P17" s="176">
        <v>0</v>
      </c>
      <c r="Q17" s="176">
        <v>0</v>
      </c>
      <c r="R17" s="176">
        <v>0</v>
      </c>
      <c r="S17" s="176">
        <v>0</v>
      </c>
      <c r="T17" s="176">
        <v>0</v>
      </c>
      <c r="U17" s="176">
        <v>0</v>
      </c>
      <c r="V17" s="176">
        <v>0</v>
      </c>
      <c r="W17" s="310">
        <v>153.5</v>
      </c>
      <c r="X17" s="176">
        <v>0</v>
      </c>
      <c r="Y17" s="176">
        <v>0</v>
      </c>
      <c r="Z17" s="176">
        <v>0</v>
      </c>
      <c r="AA17" s="176">
        <v>0</v>
      </c>
      <c r="AB17" s="28">
        <f t="shared" si="1"/>
        <v>12.791666666666666</v>
      </c>
    </row>
    <row r="18" spans="1:29">
      <c r="A18" s="50" t="s">
        <v>185</v>
      </c>
      <c r="B18" s="50" t="s">
        <v>186</v>
      </c>
      <c r="C18" s="159">
        <v>0.9</v>
      </c>
      <c r="D18" s="160">
        <v>0.1</v>
      </c>
      <c r="E18" s="300"/>
      <c r="F18" s="301"/>
      <c r="G18" s="50" t="s">
        <v>187</v>
      </c>
      <c r="H18" s="50" t="s">
        <v>188</v>
      </c>
      <c r="I18" s="50" t="s">
        <v>208</v>
      </c>
      <c r="J18" s="302" t="s">
        <v>130</v>
      </c>
      <c r="K18" s="50" t="s">
        <v>131</v>
      </c>
      <c r="L18" s="50" t="s">
        <v>132</v>
      </c>
      <c r="M18" s="50" t="s">
        <v>101</v>
      </c>
      <c r="N18" s="303">
        <v>3588</v>
      </c>
      <c r="O18" s="304">
        <v>3588</v>
      </c>
      <c r="P18" s="306">
        <v>299</v>
      </c>
      <c r="Q18" s="306">
        <v>299</v>
      </c>
      <c r="R18" s="306">
        <v>299</v>
      </c>
      <c r="S18" s="306">
        <v>299</v>
      </c>
      <c r="T18" s="306">
        <v>299</v>
      </c>
      <c r="U18" s="306">
        <v>299</v>
      </c>
      <c r="V18" s="306">
        <v>299</v>
      </c>
      <c r="W18" s="306">
        <v>299</v>
      </c>
      <c r="X18" s="306">
        <v>299</v>
      </c>
      <c r="Y18" s="306">
        <v>299</v>
      </c>
      <c r="Z18" s="306">
        <v>299</v>
      </c>
      <c r="AA18" s="306">
        <v>299</v>
      </c>
      <c r="AB18" s="28">
        <f t="shared" si="1"/>
        <v>299</v>
      </c>
    </row>
    <row r="19" spans="1:29" s="50" customFormat="1">
      <c r="A19" s="50" t="s">
        <v>185</v>
      </c>
      <c r="B19" s="50" t="s">
        <v>186</v>
      </c>
      <c r="C19" s="159">
        <v>0.9</v>
      </c>
      <c r="D19" s="160">
        <v>0.1</v>
      </c>
      <c r="E19" s="300"/>
      <c r="F19" s="301"/>
      <c r="G19" s="50" t="s">
        <v>187</v>
      </c>
      <c r="H19" s="50" t="s">
        <v>189</v>
      </c>
      <c r="J19" s="302" t="s">
        <v>130</v>
      </c>
      <c r="K19" s="50" t="s">
        <v>131</v>
      </c>
      <c r="L19" s="50" t="s">
        <v>132</v>
      </c>
      <c r="M19" s="50" t="s">
        <v>190</v>
      </c>
      <c r="N19" s="303">
        <v>348</v>
      </c>
      <c r="O19" s="304">
        <v>348</v>
      </c>
      <c r="P19" s="306">
        <v>29</v>
      </c>
      <c r="Q19" s="306">
        <v>29</v>
      </c>
      <c r="R19" s="306">
        <v>29</v>
      </c>
      <c r="S19" s="306">
        <v>29</v>
      </c>
      <c r="T19" s="306">
        <v>29</v>
      </c>
      <c r="U19" s="306">
        <v>29</v>
      </c>
      <c r="V19" s="306">
        <v>29</v>
      </c>
      <c r="W19" s="306">
        <v>29</v>
      </c>
      <c r="X19" s="306">
        <v>29</v>
      </c>
      <c r="Y19" s="306">
        <v>29</v>
      </c>
      <c r="Z19" s="306">
        <v>29</v>
      </c>
      <c r="AA19" s="306">
        <v>29</v>
      </c>
      <c r="AB19" s="28">
        <f t="shared" si="1"/>
        <v>29</v>
      </c>
    </row>
    <row r="20" spans="1:29" s="50" customFormat="1">
      <c r="A20" t="s">
        <v>128</v>
      </c>
      <c r="B20" t="s">
        <v>129</v>
      </c>
      <c r="C20" s="159"/>
      <c r="D20" s="160"/>
      <c r="E20" s="161"/>
      <c r="F20" s="162">
        <v>1</v>
      </c>
      <c r="G20" t="s">
        <v>138</v>
      </c>
      <c r="H20" t="s">
        <v>139</v>
      </c>
      <c r="I20" t="s">
        <v>138</v>
      </c>
      <c r="J20" s="163" t="s">
        <v>135</v>
      </c>
      <c r="K20" t="s">
        <v>136</v>
      </c>
      <c r="L20" t="s">
        <v>137</v>
      </c>
      <c r="M20" t="s">
        <v>102</v>
      </c>
      <c r="N20" s="303">
        <v>125.12820512820512</v>
      </c>
      <c r="O20" s="308">
        <v>2440</v>
      </c>
      <c r="P20" s="176">
        <v>0</v>
      </c>
      <c r="Q20" s="176">
        <v>0</v>
      </c>
      <c r="R20" s="176">
        <v>0</v>
      </c>
      <c r="S20" s="176">
        <v>1220</v>
      </c>
      <c r="T20" s="176">
        <v>0</v>
      </c>
      <c r="U20" s="176">
        <v>0</v>
      </c>
      <c r="V20" s="176">
        <v>0</v>
      </c>
      <c r="W20" s="176">
        <v>0</v>
      </c>
      <c r="X20" s="176">
        <v>1220</v>
      </c>
      <c r="Y20" s="176">
        <v>0</v>
      </c>
      <c r="Z20" s="176">
        <v>0</v>
      </c>
      <c r="AA20" s="176">
        <v>0</v>
      </c>
      <c r="AB20" s="28">
        <f t="shared" si="1"/>
        <v>10.427350427350428</v>
      </c>
    </row>
    <row r="21" spans="1:29" s="50" customFormat="1">
      <c r="A21" t="s">
        <v>185</v>
      </c>
      <c r="B21" t="s">
        <v>186</v>
      </c>
      <c r="C21" s="159">
        <v>0.9</v>
      </c>
      <c r="D21" s="160">
        <v>0.1</v>
      </c>
      <c r="E21" s="161"/>
      <c r="F21" s="162"/>
      <c r="G21" s="175" t="s">
        <v>187</v>
      </c>
      <c r="H21" s="175" t="s">
        <v>191</v>
      </c>
      <c r="I21" s="175" t="s">
        <v>192</v>
      </c>
      <c r="J21" s="167" t="s">
        <v>135</v>
      </c>
      <c r="K21" t="s">
        <v>136</v>
      </c>
      <c r="L21" t="s">
        <v>137</v>
      </c>
      <c r="M21" t="s">
        <v>101</v>
      </c>
      <c r="N21" s="303">
        <v>3000</v>
      </c>
      <c r="O21" s="313">
        <v>3000</v>
      </c>
      <c r="P21" s="314">
        <v>0</v>
      </c>
      <c r="Q21" s="314">
        <v>0</v>
      </c>
      <c r="R21" s="314">
        <v>0</v>
      </c>
      <c r="S21" s="314">
        <v>2000</v>
      </c>
      <c r="T21" s="314">
        <v>0</v>
      </c>
      <c r="U21" s="314">
        <v>0</v>
      </c>
      <c r="V21" s="314">
        <v>0</v>
      </c>
      <c r="W21" s="314">
        <v>0</v>
      </c>
      <c r="X21" s="314">
        <v>1000</v>
      </c>
      <c r="Y21" s="314">
        <v>0</v>
      </c>
      <c r="Z21" s="314">
        <v>0</v>
      </c>
      <c r="AA21" s="314">
        <v>0</v>
      </c>
      <c r="AB21" s="28">
        <f t="shared" si="1"/>
        <v>250</v>
      </c>
    </row>
    <row r="22" spans="1:29" s="50" customFormat="1">
      <c r="A22" t="s">
        <v>185</v>
      </c>
      <c r="B22" t="s">
        <v>186</v>
      </c>
      <c r="C22" s="159">
        <v>0.9</v>
      </c>
      <c r="D22" s="160">
        <v>0.1</v>
      </c>
      <c r="E22" s="161"/>
      <c r="F22" s="162"/>
      <c r="G22" s="175" t="s">
        <v>187</v>
      </c>
      <c r="H22" s="175" t="s">
        <v>193</v>
      </c>
      <c r="I22" s="175" t="s">
        <v>194</v>
      </c>
      <c r="J22" s="167" t="s">
        <v>135</v>
      </c>
      <c r="K22" t="s">
        <v>136</v>
      </c>
      <c r="L22" t="s">
        <v>137</v>
      </c>
      <c r="M22" t="s">
        <v>101</v>
      </c>
      <c r="N22" s="303">
        <v>5000</v>
      </c>
      <c r="O22" s="315">
        <v>5000</v>
      </c>
      <c r="P22" s="314">
        <v>0</v>
      </c>
      <c r="Q22" s="314">
        <v>0</v>
      </c>
      <c r="R22" s="314">
        <v>0</v>
      </c>
      <c r="S22" s="313">
        <v>2500</v>
      </c>
      <c r="T22" s="314">
        <v>0</v>
      </c>
      <c r="U22" s="314">
        <v>0</v>
      </c>
      <c r="V22" s="314">
        <v>0</v>
      </c>
      <c r="W22" s="314">
        <v>0</v>
      </c>
      <c r="X22" s="313">
        <v>2500</v>
      </c>
      <c r="Y22" s="314">
        <v>0</v>
      </c>
      <c r="Z22" s="314">
        <v>0</v>
      </c>
      <c r="AA22" s="314">
        <v>0</v>
      </c>
      <c r="AB22" s="28">
        <f t="shared" si="1"/>
        <v>416.66666666666669</v>
      </c>
    </row>
    <row r="23" spans="1:29" s="50" customFormat="1">
      <c r="A23" t="s">
        <v>128</v>
      </c>
      <c r="B23" t="s">
        <v>129</v>
      </c>
      <c r="C23" s="321">
        <v>0.4</v>
      </c>
      <c r="D23" s="321">
        <v>0.4</v>
      </c>
      <c r="E23" s="321">
        <v>0.2</v>
      </c>
      <c r="F23" s="321">
        <v>0</v>
      </c>
      <c r="G23" t="s">
        <v>140</v>
      </c>
      <c r="H23" t="s">
        <v>141</v>
      </c>
      <c r="I23" t="s">
        <v>142</v>
      </c>
      <c r="J23" s="167" t="s">
        <v>143</v>
      </c>
      <c r="K23" t="s">
        <v>144</v>
      </c>
      <c r="L23" t="s">
        <v>145</v>
      </c>
      <c r="M23" t="s">
        <v>102</v>
      </c>
      <c r="N23" s="303">
        <v>48964.732307692298</v>
      </c>
      <c r="O23" s="308">
        <v>954812.2799999998</v>
      </c>
      <c r="P23" s="168">
        <v>79567.69</v>
      </c>
      <c r="Q23" s="168">
        <v>79567.69</v>
      </c>
      <c r="R23" s="168">
        <v>79567.69</v>
      </c>
      <c r="S23" s="168">
        <v>79567.69</v>
      </c>
      <c r="T23" s="168">
        <v>79567.69</v>
      </c>
      <c r="U23" s="168">
        <v>79567.69</v>
      </c>
      <c r="V23" s="168">
        <v>79567.69</v>
      </c>
      <c r="W23" s="168">
        <v>79567.69</v>
      </c>
      <c r="X23" s="168">
        <v>79567.69</v>
      </c>
      <c r="Y23" s="168">
        <v>79567.69</v>
      </c>
      <c r="Z23" s="168">
        <v>79567.69</v>
      </c>
      <c r="AA23" s="168">
        <v>79567.69</v>
      </c>
      <c r="AB23" s="28">
        <f>N23/12</f>
        <v>4080.3943589743581</v>
      </c>
      <c r="AC23"/>
    </row>
    <row r="24" spans="1:29" s="171" customFormat="1">
      <c r="A24" t="s">
        <v>128</v>
      </c>
      <c r="B24" t="s">
        <v>129</v>
      </c>
      <c r="C24" s="321"/>
      <c r="D24" s="321"/>
      <c r="E24" s="321"/>
      <c r="F24" s="321">
        <v>1</v>
      </c>
      <c r="G24" t="s">
        <v>140</v>
      </c>
      <c r="H24" t="s">
        <v>148</v>
      </c>
      <c r="I24" t="s">
        <v>299</v>
      </c>
      <c r="J24" s="163" t="s">
        <v>146</v>
      </c>
      <c r="K24" t="s">
        <v>147</v>
      </c>
      <c r="L24" t="s">
        <v>145</v>
      </c>
      <c r="M24" t="s">
        <v>102</v>
      </c>
      <c r="N24" s="303">
        <f>26953.8461538462/2</f>
        <v>13476.9230769231</v>
      </c>
      <c r="O24" s="309">
        <v>525600</v>
      </c>
      <c r="P24" s="299">
        <v>43800</v>
      </c>
      <c r="Q24" s="299">
        <v>43800</v>
      </c>
      <c r="R24" s="299">
        <v>43800</v>
      </c>
      <c r="S24" s="299">
        <v>43800</v>
      </c>
      <c r="T24" s="299">
        <v>43800</v>
      </c>
      <c r="U24" s="299">
        <v>43800</v>
      </c>
      <c r="V24" s="299">
        <v>43800</v>
      </c>
      <c r="W24" s="299">
        <v>43800</v>
      </c>
      <c r="X24" s="299">
        <v>43800</v>
      </c>
      <c r="Y24" s="299">
        <v>43800</v>
      </c>
      <c r="Z24" s="299">
        <v>43800</v>
      </c>
      <c r="AA24" s="299">
        <v>43800</v>
      </c>
      <c r="AB24" s="28">
        <f t="shared" si="1"/>
        <v>1123.0769230769249</v>
      </c>
      <c r="AC24"/>
    </row>
    <row r="25" spans="1:29" s="171" customFormat="1">
      <c r="A25" s="175" t="s">
        <v>173</v>
      </c>
      <c r="B25" t="s">
        <v>168</v>
      </c>
      <c r="C25" s="321"/>
      <c r="D25" s="321">
        <v>1</v>
      </c>
      <c r="E25" s="321"/>
      <c r="F25" s="321"/>
      <c r="G25" t="s">
        <v>140</v>
      </c>
      <c r="H25" t="s">
        <v>183</v>
      </c>
      <c r="I25" t="s">
        <v>184</v>
      </c>
      <c r="J25" s="175" t="s">
        <v>146</v>
      </c>
      <c r="K25" t="s">
        <v>147</v>
      </c>
      <c r="L25" t="s">
        <v>145</v>
      </c>
      <c r="M25" s="175" t="s">
        <v>101</v>
      </c>
      <c r="N25" s="303">
        <f>27720/2</f>
        <v>13860</v>
      </c>
      <c r="O25" s="308">
        <v>27720</v>
      </c>
      <c r="P25" s="177">
        <v>2310</v>
      </c>
      <c r="Q25" s="177">
        <v>2310</v>
      </c>
      <c r="R25" s="177">
        <v>2310</v>
      </c>
      <c r="S25" s="177">
        <v>2310</v>
      </c>
      <c r="T25" s="177">
        <v>2310</v>
      </c>
      <c r="U25" s="177">
        <v>2310</v>
      </c>
      <c r="V25" s="177">
        <v>2310</v>
      </c>
      <c r="W25" s="177">
        <v>2310</v>
      </c>
      <c r="X25" s="177">
        <v>2310</v>
      </c>
      <c r="Y25" s="177">
        <v>2310</v>
      </c>
      <c r="Z25" s="177">
        <v>2310</v>
      </c>
      <c r="AA25" s="177">
        <v>2310</v>
      </c>
      <c r="AB25" s="28">
        <f t="shared" si="1"/>
        <v>1155</v>
      </c>
      <c r="AC25"/>
    </row>
    <row r="26" spans="1:29" s="171" customFormat="1">
      <c r="A26" s="175" t="s">
        <v>173</v>
      </c>
      <c r="B26" t="s">
        <v>168</v>
      </c>
      <c r="C26" s="321">
        <v>1</v>
      </c>
      <c r="D26" s="321"/>
      <c r="E26" s="321"/>
      <c r="F26" s="321"/>
      <c r="G26" t="s">
        <v>140</v>
      </c>
      <c r="H26" t="s">
        <v>174</v>
      </c>
      <c r="I26" t="s">
        <v>175</v>
      </c>
      <c r="J26" s="175" t="s">
        <v>146</v>
      </c>
      <c r="K26" t="s">
        <v>147</v>
      </c>
      <c r="L26" t="s">
        <v>145</v>
      </c>
      <c r="M26" s="175" t="s">
        <v>102</v>
      </c>
      <c r="N26" s="303">
        <v>40615.384615384617</v>
      </c>
      <c r="O26" s="308">
        <v>792000</v>
      </c>
      <c r="P26" s="178">
        <v>66000</v>
      </c>
      <c r="Q26" s="178">
        <v>66000</v>
      </c>
      <c r="R26" s="178">
        <v>66000</v>
      </c>
      <c r="S26" s="178">
        <v>66000</v>
      </c>
      <c r="T26" s="178">
        <v>66000</v>
      </c>
      <c r="U26" s="178">
        <v>66000</v>
      </c>
      <c r="V26" s="178">
        <v>66000</v>
      </c>
      <c r="W26" s="178">
        <v>66000</v>
      </c>
      <c r="X26" s="178">
        <v>66000</v>
      </c>
      <c r="Y26" s="178">
        <v>66000</v>
      </c>
      <c r="Z26" s="178">
        <v>66000</v>
      </c>
      <c r="AA26" s="178">
        <v>66000</v>
      </c>
      <c r="AB26" s="28">
        <f t="shared" si="1"/>
        <v>3384.6153846153848</v>
      </c>
      <c r="AC26"/>
    </row>
    <row r="27" spans="1:29" s="171" customFormat="1">
      <c r="A27" s="175" t="s">
        <v>173</v>
      </c>
      <c r="B27" t="s">
        <v>168</v>
      </c>
      <c r="C27" s="321">
        <v>1</v>
      </c>
      <c r="D27" s="321"/>
      <c r="E27" s="321"/>
      <c r="F27" s="321"/>
      <c r="G27" t="s">
        <v>140</v>
      </c>
      <c r="H27" t="s">
        <v>182</v>
      </c>
      <c r="I27" t="s">
        <v>179</v>
      </c>
      <c r="J27" s="175" t="s">
        <v>146</v>
      </c>
      <c r="K27" t="s">
        <v>147</v>
      </c>
      <c r="L27" t="s">
        <v>145</v>
      </c>
      <c r="M27" s="175" t="s">
        <v>102</v>
      </c>
      <c r="N27" s="303">
        <v>18461.538461538461</v>
      </c>
      <c r="O27" s="308">
        <v>360000</v>
      </c>
      <c r="P27" s="177">
        <v>30000</v>
      </c>
      <c r="Q27" s="177">
        <v>30000</v>
      </c>
      <c r="R27" s="177">
        <v>30000</v>
      </c>
      <c r="S27" s="177">
        <v>30000</v>
      </c>
      <c r="T27" s="177">
        <v>30000</v>
      </c>
      <c r="U27" s="177">
        <v>30000</v>
      </c>
      <c r="V27" s="177">
        <v>30000</v>
      </c>
      <c r="W27" s="177">
        <v>30000</v>
      </c>
      <c r="X27" s="177">
        <v>30000</v>
      </c>
      <c r="Y27" s="177">
        <v>30000</v>
      </c>
      <c r="Z27" s="177">
        <v>30000</v>
      </c>
      <c r="AA27" s="177">
        <v>30000</v>
      </c>
      <c r="AB27" s="28">
        <f t="shared" si="1"/>
        <v>1538.4615384615383</v>
      </c>
      <c r="AC27"/>
    </row>
    <row r="28" spans="1:29" s="171" customFormat="1">
      <c r="A28" s="175" t="s">
        <v>173</v>
      </c>
      <c r="B28" t="s">
        <v>168</v>
      </c>
      <c r="C28" s="321">
        <v>1</v>
      </c>
      <c r="D28" s="321"/>
      <c r="E28" s="321"/>
      <c r="F28" s="321"/>
      <c r="G28" t="s">
        <v>140</v>
      </c>
      <c r="H28" t="s">
        <v>178</v>
      </c>
      <c r="I28" t="s">
        <v>179</v>
      </c>
      <c r="J28" s="175" t="s">
        <v>146</v>
      </c>
      <c r="K28" t="s">
        <v>147</v>
      </c>
      <c r="L28" t="s">
        <v>145</v>
      </c>
      <c r="M28" s="175" t="s">
        <v>102</v>
      </c>
      <c r="N28" s="303">
        <v>18461.538461538461</v>
      </c>
      <c r="O28" s="308">
        <v>360000</v>
      </c>
      <c r="P28" s="178">
        <v>30000</v>
      </c>
      <c r="Q28" s="178">
        <v>30000</v>
      </c>
      <c r="R28" s="178">
        <v>30000</v>
      </c>
      <c r="S28" s="178">
        <v>30000</v>
      </c>
      <c r="T28" s="178">
        <v>30000</v>
      </c>
      <c r="U28" s="178">
        <v>30000</v>
      </c>
      <c r="V28" s="178">
        <v>30000</v>
      </c>
      <c r="W28" s="178">
        <v>30000</v>
      </c>
      <c r="X28" s="178">
        <v>30000</v>
      </c>
      <c r="Y28" s="178">
        <v>30000</v>
      </c>
      <c r="Z28" s="178">
        <v>30000</v>
      </c>
      <c r="AA28" s="178">
        <v>30000</v>
      </c>
      <c r="AB28" s="28">
        <f t="shared" si="1"/>
        <v>1538.4615384615383</v>
      </c>
      <c r="AC28"/>
    </row>
    <row r="29" spans="1:29">
      <c r="A29" s="50" t="s">
        <v>185</v>
      </c>
      <c r="B29" s="50" t="s">
        <v>186</v>
      </c>
      <c r="C29" s="321">
        <v>0.9</v>
      </c>
      <c r="D29" s="321">
        <v>0.1</v>
      </c>
      <c r="E29" s="322"/>
      <c r="F29" s="322"/>
      <c r="G29" s="50" t="s">
        <v>140</v>
      </c>
      <c r="H29" s="50" t="s">
        <v>198</v>
      </c>
      <c r="I29" s="50" t="s">
        <v>197</v>
      </c>
      <c r="J29" s="302" t="s">
        <v>146</v>
      </c>
      <c r="K29" s="50" t="s">
        <v>147</v>
      </c>
      <c r="L29" s="50" t="s">
        <v>145</v>
      </c>
      <c r="M29" s="50" t="s">
        <v>102</v>
      </c>
      <c r="N29" s="303">
        <v>15815.384615384615</v>
      </c>
      <c r="O29" s="304">
        <v>308400</v>
      </c>
      <c r="P29" s="305">
        <v>25700</v>
      </c>
      <c r="Q29" s="305">
        <v>25700</v>
      </c>
      <c r="R29" s="305">
        <v>25700</v>
      </c>
      <c r="S29" s="305">
        <v>25700</v>
      </c>
      <c r="T29" s="305">
        <v>25700</v>
      </c>
      <c r="U29" s="305">
        <v>25700</v>
      </c>
      <c r="V29" s="305">
        <v>25700</v>
      </c>
      <c r="W29" s="305">
        <v>25700</v>
      </c>
      <c r="X29" s="305">
        <v>25700</v>
      </c>
      <c r="Y29" s="305">
        <v>25700</v>
      </c>
      <c r="Z29" s="305">
        <v>25700</v>
      </c>
      <c r="AA29" s="305">
        <v>25700</v>
      </c>
      <c r="AB29" s="28">
        <f t="shared" si="1"/>
        <v>1317.948717948718</v>
      </c>
    </row>
    <row r="30" spans="1:29">
      <c r="A30" s="172" t="s">
        <v>199</v>
      </c>
      <c r="B30" t="s">
        <v>200</v>
      </c>
      <c r="C30" s="321">
        <v>0.9</v>
      </c>
      <c r="D30" s="321">
        <v>0.1</v>
      </c>
      <c r="E30" s="321"/>
      <c r="F30" s="321"/>
      <c r="G30" s="172" t="s">
        <v>140</v>
      </c>
      <c r="H30" s="188" t="s">
        <v>206</v>
      </c>
      <c r="I30" s="172" t="s">
        <v>207</v>
      </c>
      <c r="J30" s="190" t="s">
        <v>146</v>
      </c>
      <c r="K30" t="s">
        <v>147</v>
      </c>
      <c r="L30" t="s">
        <v>145</v>
      </c>
      <c r="M30" s="188" t="s">
        <v>102</v>
      </c>
      <c r="N30" s="158">
        <v>15384.738461538465</v>
      </c>
      <c r="O30" s="318">
        <v>300002.40000000008</v>
      </c>
      <c r="P30" s="320">
        <v>25000.2</v>
      </c>
      <c r="Q30" s="320">
        <v>25000.2</v>
      </c>
      <c r="R30" s="320">
        <v>25000.2</v>
      </c>
      <c r="S30" s="320">
        <v>25000.2</v>
      </c>
      <c r="T30" s="320">
        <v>25000.2</v>
      </c>
      <c r="U30" s="320">
        <v>25000.2</v>
      </c>
      <c r="V30" s="320">
        <v>25000.2</v>
      </c>
      <c r="W30" s="320">
        <v>25000.2</v>
      </c>
      <c r="X30" s="320">
        <v>25000.2</v>
      </c>
      <c r="Y30" s="320">
        <v>25000.2</v>
      </c>
      <c r="Z30" s="320">
        <v>25000.2</v>
      </c>
      <c r="AA30" s="320">
        <v>25000.2</v>
      </c>
      <c r="AB30" s="28">
        <f t="shared" si="1"/>
        <v>1282.0615384615387</v>
      </c>
    </row>
    <row r="31" spans="1:29">
      <c r="A31" t="s">
        <v>128</v>
      </c>
      <c r="B31" t="s">
        <v>129</v>
      </c>
      <c r="C31" s="321"/>
      <c r="D31" s="321"/>
      <c r="E31" s="321"/>
      <c r="F31" s="321">
        <v>1</v>
      </c>
      <c r="G31" t="s">
        <v>149</v>
      </c>
      <c r="H31" t="s">
        <v>150</v>
      </c>
      <c r="I31" t="s">
        <v>150</v>
      </c>
      <c r="J31" s="163" t="s">
        <v>151</v>
      </c>
      <c r="K31" t="s">
        <v>152</v>
      </c>
      <c r="L31" t="s">
        <v>145</v>
      </c>
      <c r="M31" t="s">
        <v>101</v>
      </c>
      <c r="N31" s="158">
        <v>50000</v>
      </c>
      <c r="O31" s="318">
        <v>50000</v>
      </c>
      <c r="P31" s="319">
        <v>0</v>
      </c>
      <c r="Q31" s="319">
        <v>50000</v>
      </c>
      <c r="R31" s="319">
        <v>0</v>
      </c>
      <c r="S31" s="319">
        <v>0</v>
      </c>
      <c r="T31" s="319">
        <v>0</v>
      </c>
      <c r="U31" s="319">
        <v>0</v>
      </c>
      <c r="V31" s="319">
        <v>0</v>
      </c>
      <c r="W31" s="319">
        <v>0</v>
      </c>
      <c r="X31" s="319">
        <v>0</v>
      </c>
      <c r="Y31" s="319">
        <v>0</v>
      </c>
      <c r="Z31" s="319">
        <v>0</v>
      </c>
      <c r="AA31" s="319">
        <v>0</v>
      </c>
      <c r="AB31" s="28">
        <f t="shared" si="1"/>
        <v>4166.666666666667</v>
      </c>
    </row>
    <row r="32" spans="1:29">
      <c r="A32" t="s">
        <v>298</v>
      </c>
      <c r="H32" s="166" t="s">
        <v>292</v>
      </c>
      <c r="N32" s="158">
        <f>SUM(N24,N38)/12*0.7+SUM(N26,N27,N28,N29,N30,N40)/12/2</f>
        <v>7968.210256410257</v>
      </c>
      <c r="AB32" s="28">
        <f t="shared" si="1"/>
        <v>664.01752136752145</v>
      </c>
    </row>
    <row r="33" spans="1:28">
      <c r="A33" t="s">
        <v>298</v>
      </c>
      <c r="H33" s="166" t="s">
        <v>293</v>
      </c>
      <c r="N33" s="158">
        <f>(1200*12*7)/19.5</f>
        <v>5169.2307692307695</v>
      </c>
      <c r="AB33" s="28">
        <f t="shared" si="1"/>
        <v>430.76923076923077</v>
      </c>
    </row>
    <row r="34" spans="1:28">
      <c r="A34" t="s">
        <v>298</v>
      </c>
      <c r="H34" s="166" t="s">
        <v>294</v>
      </c>
      <c r="N34" s="158">
        <f>800*12*6/19.5</f>
        <v>2953.8461538461538</v>
      </c>
      <c r="O34" s="317"/>
      <c r="P34" s="317"/>
      <c r="Q34" s="317"/>
      <c r="R34" s="317"/>
      <c r="S34" s="317"/>
      <c r="T34" s="317"/>
      <c r="U34" s="317"/>
      <c r="V34" s="317"/>
      <c r="W34" s="317"/>
      <c r="X34" s="317"/>
      <c r="Y34" s="317"/>
      <c r="Z34" s="317"/>
      <c r="AA34" s="317"/>
      <c r="AB34" s="28">
        <f t="shared" si="1"/>
        <v>246.15384615384616</v>
      </c>
    </row>
    <row r="35" spans="1:28">
      <c r="A35" t="s">
        <v>298</v>
      </c>
      <c r="H35" s="166" t="s">
        <v>295</v>
      </c>
      <c r="N35" s="158">
        <f>SUM(N26:N29,N30,N40)*0.24</f>
        <v>33201.260307692304</v>
      </c>
      <c r="O35" s="317"/>
      <c r="P35" s="317"/>
      <c r="Q35" s="317"/>
      <c r="R35" s="317"/>
      <c r="S35" s="317"/>
      <c r="T35" s="317"/>
      <c r="U35" s="317"/>
      <c r="V35" s="317"/>
      <c r="W35" s="317"/>
      <c r="X35" s="317"/>
      <c r="Y35" s="317"/>
      <c r="Z35" s="317"/>
      <c r="AA35" s="317"/>
      <c r="AB35" s="296">
        <f t="shared" si="1"/>
        <v>2766.7716923076919</v>
      </c>
    </row>
    <row r="36" spans="1:28">
      <c r="A36" t="s">
        <v>298</v>
      </c>
      <c r="H36" s="166" t="s">
        <v>296</v>
      </c>
      <c r="N36" s="158">
        <f>40*12*7</f>
        <v>3360</v>
      </c>
      <c r="O36" s="317"/>
      <c r="P36" s="317"/>
      <c r="Q36" s="317"/>
      <c r="R36" s="317"/>
      <c r="S36" s="317"/>
      <c r="T36" s="317"/>
      <c r="U36" s="317"/>
      <c r="V36" s="317"/>
      <c r="W36" s="317"/>
      <c r="X36" s="317"/>
      <c r="Y36" s="317"/>
      <c r="Z36" s="317"/>
      <c r="AA36" s="317"/>
      <c r="AB36" s="28">
        <f t="shared" si="1"/>
        <v>280</v>
      </c>
    </row>
    <row r="37" spans="1:28">
      <c r="A37" t="s">
        <v>298</v>
      </c>
      <c r="H37" s="166" t="s">
        <v>297</v>
      </c>
      <c r="N37" s="158">
        <f>SUM(N26:N29,N30,N40)/12*0.25</f>
        <v>2882.0538461538458</v>
      </c>
      <c r="O37" s="317"/>
      <c r="P37" s="317"/>
      <c r="Q37" s="317"/>
      <c r="R37" s="317"/>
      <c r="S37" s="317"/>
      <c r="T37" s="317"/>
      <c r="U37" s="317"/>
      <c r="V37" s="317"/>
      <c r="W37" s="317"/>
      <c r="X37" s="317"/>
      <c r="Y37" s="317"/>
      <c r="Z37" s="317"/>
      <c r="AA37" s="317"/>
      <c r="AB37" s="28">
        <f>N37/12</f>
        <v>240.17115384615383</v>
      </c>
    </row>
    <row r="38" spans="1:28" s="180" customFormat="1" ht="34">
      <c r="A38" s="180" t="s">
        <v>185</v>
      </c>
      <c r="B38" s="180" t="s">
        <v>186</v>
      </c>
      <c r="C38" s="181">
        <v>0.8</v>
      </c>
      <c r="D38" s="182">
        <v>0.1</v>
      </c>
      <c r="E38" s="174">
        <v>0.1</v>
      </c>
      <c r="F38" s="183"/>
      <c r="G38" s="180" t="s">
        <v>140</v>
      </c>
      <c r="H38" s="184" t="s">
        <v>195</v>
      </c>
      <c r="I38" s="180" t="s">
        <v>196</v>
      </c>
      <c r="J38" s="185" t="s">
        <v>146</v>
      </c>
      <c r="K38" s="180" t="s">
        <v>147</v>
      </c>
      <c r="L38" s="180" t="s">
        <v>145</v>
      </c>
      <c r="M38" s="180" t="s">
        <v>102</v>
      </c>
      <c r="N38" s="173">
        <v>24307.692307692301</v>
      </c>
      <c r="O38" s="186">
        <v>474000</v>
      </c>
      <c r="P38" s="187">
        <v>39500</v>
      </c>
      <c r="Q38" s="187">
        <v>39500</v>
      </c>
      <c r="R38" s="187">
        <v>39500</v>
      </c>
      <c r="S38" s="187">
        <v>39500</v>
      </c>
      <c r="T38" s="187">
        <v>39500</v>
      </c>
      <c r="U38" s="187">
        <v>39500</v>
      </c>
      <c r="V38" s="187">
        <v>39500</v>
      </c>
      <c r="W38" s="187">
        <v>39500</v>
      </c>
      <c r="X38" s="187">
        <v>39500</v>
      </c>
      <c r="Y38" s="187">
        <v>39500</v>
      </c>
      <c r="Z38" s="187">
        <v>39500</v>
      </c>
      <c r="AA38" s="187">
        <v>39500</v>
      </c>
      <c r="AB38" s="28">
        <f>N38/12</f>
        <v>2025.6410256410252</v>
      </c>
    </row>
    <row r="39" spans="1:28">
      <c r="A39" s="175" t="s">
        <v>173</v>
      </c>
      <c r="B39" t="s">
        <v>168</v>
      </c>
      <c r="C39" s="45">
        <v>1</v>
      </c>
      <c r="D39" s="45"/>
      <c r="E39" s="45"/>
      <c r="F39" s="45"/>
      <c r="G39" t="s">
        <v>140</v>
      </c>
      <c r="H39" t="s">
        <v>176</v>
      </c>
      <c r="I39" t="s">
        <v>177</v>
      </c>
      <c r="J39" s="175" t="s">
        <v>146</v>
      </c>
      <c r="K39" t="s">
        <v>147</v>
      </c>
      <c r="L39" t="s">
        <v>145</v>
      </c>
      <c r="M39" s="175" t="s">
        <v>102</v>
      </c>
      <c r="N39" s="173">
        <v>9923.08</v>
      </c>
      <c r="O39" s="28"/>
      <c r="P39" s="177"/>
      <c r="Q39" s="177"/>
      <c r="R39" s="177"/>
      <c r="S39" s="177"/>
      <c r="T39" s="177"/>
      <c r="U39" s="177"/>
      <c r="V39" s="177"/>
      <c r="W39" s="177"/>
      <c r="X39" s="177"/>
      <c r="Y39" s="177"/>
      <c r="Z39" s="177"/>
      <c r="AA39" s="177"/>
      <c r="AB39" s="28">
        <f>N39/12</f>
        <v>826.92333333333329</v>
      </c>
    </row>
    <row r="40" spans="1:28">
      <c r="A40" s="175" t="s">
        <v>173</v>
      </c>
      <c r="B40" t="s">
        <v>168</v>
      </c>
      <c r="C40" s="45">
        <v>1</v>
      </c>
      <c r="D40" s="45"/>
      <c r="E40" s="45"/>
      <c r="F40" s="45"/>
      <c r="G40" t="s">
        <v>140</v>
      </c>
      <c r="H40" t="s">
        <v>180</v>
      </c>
      <c r="I40" t="s">
        <v>181</v>
      </c>
      <c r="J40" s="175" t="s">
        <v>146</v>
      </c>
      <c r="K40" t="s">
        <v>147</v>
      </c>
      <c r="L40" t="s">
        <v>145</v>
      </c>
      <c r="M40" s="175" t="s">
        <v>102</v>
      </c>
      <c r="N40" s="173">
        <v>29600</v>
      </c>
      <c r="O40" s="28">
        <v>577200</v>
      </c>
      <c r="P40" s="391">
        <v>48100</v>
      </c>
      <c r="Q40" s="391">
        <v>48100</v>
      </c>
      <c r="R40" s="391">
        <v>48100</v>
      </c>
      <c r="S40" s="391">
        <v>48100</v>
      </c>
      <c r="T40" s="391">
        <v>48100</v>
      </c>
      <c r="U40" s="391">
        <v>48100</v>
      </c>
      <c r="V40" s="391">
        <v>48100</v>
      </c>
      <c r="W40" s="391">
        <v>48100</v>
      </c>
      <c r="X40" s="391">
        <v>48100</v>
      </c>
      <c r="Y40" s="391">
        <v>48100</v>
      </c>
      <c r="Z40" s="391">
        <v>48100</v>
      </c>
      <c r="AA40" s="391">
        <v>48100</v>
      </c>
      <c r="AB40" s="28">
        <f>N40/12</f>
        <v>2466.6666666666665</v>
      </c>
    </row>
    <row r="41" spans="1:28">
      <c r="A41" s="175" t="s">
        <v>173</v>
      </c>
      <c r="B41" t="s">
        <v>168</v>
      </c>
      <c r="C41" s="45">
        <v>1</v>
      </c>
      <c r="D41" s="45"/>
      <c r="E41" s="45"/>
      <c r="F41" s="45"/>
      <c r="G41" t="s">
        <v>140</v>
      </c>
      <c r="H41" t="s">
        <v>320</v>
      </c>
      <c r="I41" t="s">
        <v>181</v>
      </c>
      <c r="J41" s="175" t="s">
        <v>146</v>
      </c>
      <c r="K41" t="s">
        <v>147</v>
      </c>
      <c r="L41" t="s">
        <v>145</v>
      </c>
      <c r="M41" s="175" t="s">
        <v>101</v>
      </c>
      <c r="N41" s="173">
        <v>-25200</v>
      </c>
      <c r="O41" s="28">
        <v>25200</v>
      </c>
      <c r="P41" s="391">
        <v>2100</v>
      </c>
      <c r="Q41" s="391">
        <v>2100</v>
      </c>
      <c r="R41" s="391">
        <v>2100</v>
      </c>
      <c r="S41" s="391">
        <v>2100</v>
      </c>
      <c r="T41" s="391">
        <v>2100</v>
      </c>
      <c r="U41" s="391">
        <v>2100</v>
      </c>
      <c r="V41" s="391">
        <v>2100</v>
      </c>
      <c r="W41" s="391">
        <v>2100</v>
      </c>
      <c r="X41" s="391">
        <v>2100</v>
      </c>
      <c r="Y41" s="391">
        <v>2100</v>
      </c>
      <c r="Z41" s="391">
        <v>2100</v>
      </c>
      <c r="AA41" s="391">
        <v>2100</v>
      </c>
      <c r="AB41" s="28">
        <f>N41/12</f>
        <v>-2100</v>
      </c>
    </row>
    <row r="42" spans="1:28" ht="17">
      <c r="A42" s="180" t="s">
        <v>185</v>
      </c>
      <c r="H42" t="s">
        <v>321</v>
      </c>
      <c r="J42" s="175" t="s">
        <v>146</v>
      </c>
      <c r="K42" t="s">
        <v>147</v>
      </c>
      <c r="L42" t="s">
        <v>145</v>
      </c>
      <c r="M42" s="175" t="s">
        <v>102</v>
      </c>
      <c r="N42" s="158">
        <v>-2846.1538461538462</v>
      </c>
      <c r="AB42" s="28">
        <v>-237.17948717948718</v>
      </c>
    </row>
    <row r="43" spans="1:28" ht="17">
      <c r="A43" s="180" t="s">
        <v>185</v>
      </c>
      <c r="H43" t="s">
        <v>322</v>
      </c>
      <c r="J43" s="175" t="s">
        <v>146</v>
      </c>
      <c r="K43" t="s">
        <v>147</v>
      </c>
      <c r="L43" t="s">
        <v>145</v>
      </c>
      <c r="M43" s="175" t="s">
        <v>102</v>
      </c>
      <c r="N43" s="158">
        <v>-2215.44</v>
      </c>
      <c r="AB43" s="28">
        <v>-184.62</v>
      </c>
    </row>
  </sheetData>
  <autoFilter ref="A5:AB37" xr:uid="{8D6D8AFE-FB3F-6448-81B6-D8502D039B94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24-Operational Dashboard</vt:lpstr>
      <vt:lpstr>CONSEJO</vt:lpstr>
      <vt:lpstr>Results ACCMRR</vt:lpstr>
      <vt:lpstr>Prev. analysis</vt:lpstr>
      <vt:lpstr>Supuestos</vt:lpstr>
      <vt:lpstr>Escenarios BD</vt:lpstr>
      <vt:lpstr>Model</vt:lpstr>
      <vt:lpstr>Consolidated Costs</vt:lpstr>
      <vt:lpstr>BizOps 2026</vt:lpstr>
      <vt:lpstr>Product 2026</vt:lpstr>
      <vt:lpstr>Tech 2026</vt:lpstr>
      <vt:lpstr>Marketing 2025</vt:lpstr>
      <vt:lpstr>Content 2026</vt:lpstr>
      <vt:lpstr>Salary Increases</vt:lpstr>
      <vt:lpstr>Accounts</vt:lpstr>
      <vt:lpstr>AHORRO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María Josefa Avalos Guzmán</dc:creator>
  <cp:keywords/>
  <dc:description/>
  <cp:lastModifiedBy>kinedu</cp:lastModifiedBy>
  <cp:revision/>
  <dcterms:created xsi:type="dcterms:W3CDTF">2024-11-07T18:33:47Z</dcterms:created>
  <dcterms:modified xsi:type="dcterms:W3CDTF">2026-03-03T17:23:54Z</dcterms:modified>
  <cp:category/>
  <cp:contentStatus/>
</cp:coreProperties>
</file>