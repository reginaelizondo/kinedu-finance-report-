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1" codeName="{F4499BBC-C50B-8ECA-441A-04C5B9BE717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pepisavalos/Library/CloudStorage/GoogleDrive-mariajosefa@kinedu.com/My Drive/Presupuesto y Finanzas/2025/Budget 2025/"/>
    </mc:Choice>
  </mc:AlternateContent>
  <xr:revisionPtr revIDLastSave="0" documentId="13_ncr:1_{7A141C01-914C-5844-B24C-E233FB57E36E}" xr6:coauthVersionLast="47" xr6:coauthVersionMax="47" xr10:uidLastSave="{00000000-0000-0000-0000-000000000000}"/>
  <bookViews>
    <workbookView xWindow="4180" yWindow="500" windowWidth="29420" windowHeight="19160" firstSheet="1" activeTab="8" xr2:uid="{77C64CE5-A195-EF48-81DA-69053A3EB354}"/>
  </bookViews>
  <sheets>
    <sheet name="24-Operational Dashboard" sheetId="11" r:id="rId1"/>
    <sheet name="CONSEJO" sheetId="14" r:id="rId2"/>
    <sheet name="Supuestos BD" sheetId="13" r:id="rId3"/>
    <sheet name="Supuestos" sheetId="1" r:id="rId4"/>
    <sheet name="Model" sheetId="2" r:id="rId5"/>
    <sheet name="Results CASH" sheetId="3" r:id="rId6"/>
    <sheet name="AHORRO" sheetId="12" r:id="rId7"/>
    <sheet name="DASHBOARD COSTS" sheetId="10" r:id="rId8"/>
    <sheet name="Consolidado Costos" sheetId="9" r:id="rId9"/>
    <sheet name="Admon 2025" sheetId="4" r:id="rId10"/>
    <sheet name="Product 2025" sheetId="5" r:id="rId11"/>
    <sheet name="Tech 2025" sheetId="6" r:id="rId12"/>
    <sheet name="Content 2025" sheetId="7" r:id="rId13"/>
    <sheet name="Marketing 2025" sheetId="8" r:id="rId14"/>
  </sheets>
  <externalReferences>
    <externalReference r:id="rId15"/>
    <externalReference r:id="rId16"/>
  </externalReferences>
  <definedNames>
    <definedName name="_xlnm._FilterDatabase" localSheetId="6" hidden="1">AHORRO!$A$5:$AB$37</definedName>
    <definedName name="_xlnm._FilterDatabase" localSheetId="8" hidden="1">'Consolidado Costos'!$B$5:$AP$158</definedName>
    <definedName name="_xleta.SUM" hidden="1" xlm="1">#NAME?</definedName>
    <definedName name="headcount">'[1]C. Assumptions'!#REF!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85" i="2" l="1"/>
  <c r="W185" i="2"/>
  <c r="V185" i="2"/>
  <c r="U185" i="2"/>
  <c r="T185" i="2"/>
  <c r="S185" i="2"/>
  <c r="R185" i="2"/>
  <c r="Q185" i="2"/>
  <c r="P185" i="2"/>
  <c r="O185" i="2"/>
  <c r="W184" i="2"/>
  <c r="V184" i="2"/>
  <c r="U184" i="2"/>
  <c r="T184" i="2"/>
  <c r="S184" i="2"/>
  <c r="R184" i="2"/>
  <c r="Q184" i="2"/>
  <c r="P184" i="2"/>
  <c r="O184" i="2"/>
  <c r="V183" i="2"/>
  <c r="U183" i="2"/>
  <c r="T183" i="2"/>
  <c r="S183" i="2"/>
  <c r="R183" i="2"/>
  <c r="Q183" i="2"/>
  <c r="P183" i="2"/>
  <c r="O183" i="2"/>
  <c r="U182" i="2"/>
  <c r="T182" i="2"/>
  <c r="S182" i="2"/>
  <c r="R182" i="2"/>
  <c r="Q182" i="2"/>
  <c r="P182" i="2"/>
  <c r="O182" i="2"/>
  <c r="T181" i="2"/>
  <c r="S181" i="2"/>
  <c r="R181" i="2"/>
  <c r="Q181" i="2"/>
  <c r="P181" i="2"/>
  <c r="O181" i="2"/>
  <c r="S180" i="2"/>
  <c r="R180" i="2"/>
  <c r="Q180" i="2"/>
  <c r="P180" i="2"/>
  <c r="O180" i="2"/>
  <c r="R179" i="2"/>
  <c r="Q179" i="2"/>
  <c r="P179" i="2"/>
  <c r="O179" i="2"/>
  <c r="Q178" i="2"/>
  <c r="P178" i="2"/>
  <c r="O178" i="2"/>
  <c r="P177" i="2"/>
  <c r="O177" i="2"/>
  <c r="O176" i="2"/>
  <c r="N185" i="2"/>
  <c r="N184" i="2"/>
  <c r="N183" i="2"/>
  <c r="N182" i="2"/>
  <c r="N181" i="2"/>
  <c r="N180" i="2"/>
  <c r="N179" i="2"/>
  <c r="N178" i="2"/>
  <c r="N177" i="2"/>
  <c r="N176" i="2"/>
  <c r="N175" i="2"/>
  <c r="S117" i="3"/>
  <c r="Q127" i="3"/>
  <c r="M47" i="2" l="1"/>
  <c r="O12" i="3"/>
  <c r="J126" i="3" l="1"/>
  <c r="K126" i="3"/>
  <c r="M126" i="3" s="1"/>
  <c r="L126" i="3"/>
  <c r="J127" i="3"/>
  <c r="K127" i="3"/>
  <c r="L127" i="3"/>
  <c r="J128" i="3"/>
  <c r="K128" i="3"/>
  <c r="M128" i="3" s="1"/>
  <c r="L128" i="3"/>
  <c r="J129" i="3"/>
  <c r="K129" i="3"/>
  <c r="M129" i="3" s="1"/>
  <c r="L129" i="3"/>
  <c r="N103" i="3"/>
  <c r="N98" i="3"/>
  <c r="N96" i="3"/>
  <c r="N95" i="3"/>
  <c r="N94" i="3"/>
  <c r="M127" i="3"/>
  <c r="L8" i="2"/>
  <c r="L14" i="14" l="1"/>
  <c r="J14" i="14"/>
  <c r="H14" i="14"/>
  <c r="E14" i="14"/>
  <c r="N32" i="12"/>
  <c r="D36" i="6"/>
  <c r="C36" i="6"/>
  <c r="C32" i="4"/>
  <c r="A125" i="9"/>
  <c r="A107" i="9"/>
  <c r="A79" i="9"/>
  <c r="D41" i="9"/>
  <c r="A41" i="9" s="1"/>
  <c r="E19" i="14"/>
  <c r="E37" i="14"/>
  <c r="E34" i="14"/>
  <c r="E24" i="14"/>
  <c r="E36" i="8"/>
  <c r="D36" i="8"/>
  <c r="C36" i="8"/>
  <c r="F35" i="8"/>
  <c r="E35" i="8"/>
  <c r="D35" i="8"/>
  <c r="C33" i="8"/>
  <c r="C35" i="8"/>
  <c r="F34" i="8"/>
  <c r="E34" i="8"/>
  <c r="D34" i="8"/>
  <c r="C34" i="8"/>
  <c r="F33" i="8"/>
  <c r="E33" i="8"/>
  <c r="D33" i="8"/>
  <c r="E46" i="7"/>
  <c r="D46" i="7"/>
  <c r="C46" i="7"/>
  <c r="F45" i="7"/>
  <c r="E45" i="7"/>
  <c r="D45" i="7"/>
  <c r="C45" i="7"/>
  <c r="F44" i="7"/>
  <c r="E44" i="7"/>
  <c r="D44" i="7"/>
  <c r="C44" i="7"/>
  <c r="AA44" i="7"/>
  <c r="F43" i="7"/>
  <c r="E43" i="7"/>
  <c r="D43" i="7"/>
  <c r="C43" i="7"/>
  <c r="P35" i="6" l="1"/>
  <c r="D77" i="9"/>
  <c r="E155" i="9"/>
  <c r="E157" i="9"/>
  <c r="E158" i="9"/>
  <c r="D156" i="9"/>
  <c r="E156" i="9"/>
  <c r="L158" i="9"/>
  <c r="A156" i="9" l="1"/>
  <c r="AB76" i="9"/>
  <c r="AA76" i="9"/>
  <c r="Z76" i="9"/>
  <c r="Y76" i="9"/>
  <c r="X76" i="9"/>
  <c r="W76" i="9"/>
  <c r="V76" i="9"/>
  <c r="U76" i="9"/>
  <c r="T76" i="9"/>
  <c r="S76" i="9"/>
  <c r="R76" i="9"/>
  <c r="Q76" i="9"/>
  <c r="P76" i="9"/>
  <c r="O76" i="9"/>
  <c r="N76" i="9"/>
  <c r="M76" i="9"/>
  <c r="L76" i="9"/>
  <c r="K76" i="9"/>
  <c r="J76" i="9"/>
  <c r="I76" i="9"/>
  <c r="H76" i="9"/>
  <c r="G76" i="9"/>
  <c r="F76" i="9"/>
  <c r="E76" i="9"/>
  <c r="D76" i="9"/>
  <c r="C76" i="9"/>
  <c r="B76" i="9"/>
  <c r="N36" i="12"/>
  <c r="N37" i="12"/>
  <c r="N35" i="12"/>
  <c r="L20" i="9" l="1"/>
  <c r="AA20" i="5"/>
  <c r="AA37" i="7"/>
  <c r="O37" i="7" s="1"/>
  <c r="Z37" i="7"/>
  <c r="Y37" i="7"/>
  <c r="X37" i="7"/>
  <c r="W37" i="7"/>
  <c r="V37" i="7"/>
  <c r="U37" i="7"/>
  <c r="T37" i="7"/>
  <c r="S37" i="7"/>
  <c r="R37" i="7"/>
  <c r="Q37" i="7"/>
  <c r="P37" i="7"/>
  <c r="N34" i="12"/>
  <c r="P46" i="7"/>
  <c r="P45" i="7"/>
  <c r="O15" i="5"/>
  <c r="P40" i="7" l="1"/>
  <c r="N26" i="6"/>
  <c r="O26" i="6"/>
  <c r="N33" i="12" l="1"/>
  <c r="Q35" i="6" l="1"/>
  <c r="R35" i="6"/>
  <c r="S35" i="6"/>
  <c r="T35" i="6"/>
  <c r="U35" i="6"/>
  <c r="V35" i="6"/>
  <c r="W35" i="6"/>
  <c r="X35" i="6"/>
  <c r="Y35" i="6"/>
  <c r="Z35" i="6"/>
  <c r="AA35" i="6"/>
  <c r="AA40" i="7"/>
  <c r="Z40" i="7"/>
  <c r="Y40" i="7"/>
  <c r="X40" i="7"/>
  <c r="W40" i="7"/>
  <c r="V40" i="7"/>
  <c r="U40" i="7"/>
  <c r="T40" i="7"/>
  <c r="S40" i="7"/>
  <c r="R40" i="7"/>
  <c r="Q40" i="7"/>
  <c r="AB37" i="12" l="1"/>
  <c r="AB38" i="12"/>
  <c r="AB34" i="12"/>
  <c r="AB33" i="12"/>
  <c r="O40" i="7" l="1"/>
  <c r="O41" i="7"/>
  <c r="N107" i="3" l="1"/>
  <c r="N57" i="2"/>
  <c r="O57" i="2"/>
  <c r="P57" i="2"/>
  <c r="N58" i="2"/>
  <c r="O58" i="2"/>
  <c r="P58" i="2"/>
  <c r="N60" i="2"/>
  <c r="O60" i="2"/>
  <c r="P60" i="2"/>
  <c r="N61" i="2"/>
  <c r="O61" i="2"/>
  <c r="P61" i="2"/>
  <c r="N69" i="2"/>
  <c r="O70" i="2" s="1"/>
  <c r="O69" i="2"/>
  <c r="P70" i="2" s="1"/>
  <c r="P69" i="2"/>
  <c r="N70" i="2"/>
  <c r="O25" i="3"/>
  <c r="M11" i="2"/>
  <c r="M9" i="2"/>
  <c r="N11" i="2"/>
  <c r="O11" i="2"/>
  <c r="L12" i="2"/>
  <c r="M12" i="2" s="1"/>
  <c r="N12" i="2"/>
  <c r="O12" i="2"/>
  <c r="L13" i="2"/>
  <c r="M13" i="2" s="1"/>
  <c r="L14" i="2"/>
  <c r="M14" i="2"/>
  <c r="L20" i="2"/>
  <c r="M20" i="2" s="1"/>
  <c r="M21" i="2" s="1"/>
  <c r="N20" i="2"/>
  <c r="N21" i="2" s="1"/>
  <c r="O20" i="2"/>
  <c r="O21" i="2" s="1"/>
  <c r="L21" i="2"/>
  <c r="L22" i="2"/>
  <c r="M22" i="2" s="1"/>
  <c r="L24" i="2"/>
  <c r="L26" i="2" s="1"/>
  <c r="L27" i="2" s="1"/>
  <c r="L33" i="2" s="1"/>
  <c r="L28" i="2"/>
  <c r="M28" i="2" s="1"/>
  <c r="T52" i="3"/>
  <c r="S52" i="3"/>
  <c r="S39" i="3"/>
  <c r="S25" i="3"/>
  <c r="P73" i="2" l="1"/>
  <c r="P75" i="2" s="1"/>
  <c r="P79" i="2" s="1"/>
  <c r="P80" i="2" s="1"/>
  <c r="O73" i="2"/>
  <c r="O75" i="2" s="1"/>
  <c r="O79" i="2" s="1"/>
  <c r="O80" i="2" s="1"/>
  <c r="N73" i="2"/>
  <c r="N75" i="2" s="1"/>
  <c r="N79" i="2" s="1"/>
  <c r="N80" i="2" s="1"/>
  <c r="L30" i="2"/>
  <c r="L31" i="2" s="1"/>
  <c r="N25" i="12" l="1"/>
  <c r="N24" i="12"/>
  <c r="B200" i="2"/>
  <c r="B199" i="2"/>
  <c r="B196" i="2"/>
  <c r="B195" i="2"/>
  <c r="B192" i="2"/>
  <c r="B191" i="2"/>
  <c r="K192" i="2"/>
  <c r="K200" i="2" s="1"/>
  <c r="J192" i="2"/>
  <c r="J200" i="2" s="1"/>
  <c r="I192" i="2"/>
  <c r="I200" i="2" s="1"/>
  <c r="H192" i="2"/>
  <c r="H200" i="2" s="1"/>
  <c r="G192" i="2"/>
  <c r="G200" i="2" s="1"/>
  <c r="F192" i="2"/>
  <c r="F200" i="2" s="1"/>
  <c r="E192" i="2"/>
  <c r="E200" i="2" s="1"/>
  <c r="D192" i="2"/>
  <c r="D200" i="2" s="1"/>
  <c r="C192" i="2"/>
  <c r="C200" i="2" s="1"/>
  <c r="M191" i="2"/>
  <c r="L191" i="2"/>
  <c r="K191" i="2"/>
  <c r="J191" i="2"/>
  <c r="I191" i="2"/>
  <c r="H191" i="2"/>
  <c r="G191" i="2"/>
  <c r="F191" i="2"/>
  <c r="E191" i="2"/>
  <c r="D191" i="2"/>
  <c r="C191" i="2"/>
  <c r="K190" i="2"/>
  <c r="J190" i="2"/>
  <c r="I190" i="2"/>
  <c r="H190" i="2"/>
  <c r="G190" i="2"/>
  <c r="F190" i="2"/>
  <c r="E190" i="2"/>
  <c r="D190" i="2"/>
  <c r="C190" i="2"/>
  <c r="B190" i="2"/>
  <c r="K167" i="2"/>
  <c r="G167" i="2"/>
  <c r="F167" i="2"/>
  <c r="B167" i="2"/>
  <c r="K165" i="2"/>
  <c r="G165" i="2"/>
  <c r="F165" i="2"/>
  <c r="B165" i="2"/>
  <c r="M163" i="2"/>
  <c r="L163" i="2"/>
  <c r="K163" i="2"/>
  <c r="J163" i="2"/>
  <c r="I163" i="2"/>
  <c r="H163" i="2"/>
  <c r="G163" i="2"/>
  <c r="F163" i="2"/>
  <c r="E163" i="2"/>
  <c r="D163" i="2"/>
  <c r="C163" i="2"/>
  <c r="B163" i="2"/>
  <c r="M162" i="2"/>
  <c r="L162" i="2"/>
  <c r="K162" i="2"/>
  <c r="J162" i="2"/>
  <c r="I162" i="2"/>
  <c r="H162" i="2"/>
  <c r="G162" i="2"/>
  <c r="F162" i="2"/>
  <c r="E162" i="2"/>
  <c r="D162" i="2"/>
  <c r="C162" i="2"/>
  <c r="B162" i="2"/>
  <c r="K161" i="2"/>
  <c r="J161" i="2"/>
  <c r="J167" i="2" s="1"/>
  <c r="I161" i="2"/>
  <c r="I167" i="2" s="1"/>
  <c r="H161" i="2"/>
  <c r="G161" i="2"/>
  <c r="F161" i="2"/>
  <c r="E161" i="2"/>
  <c r="E167" i="2" s="1"/>
  <c r="D161" i="2"/>
  <c r="C161" i="2"/>
  <c r="B161" i="2"/>
  <c r="K159" i="2"/>
  <c r="J159" i="2"/>
  <c r="J165" i="2" s="1"/>
  <c r="I159" i="2"/>
  <c r="I165" i="2" s="1"/>
  <c r="H159" i="2"/>
  <c r="H165" i="2" s="1"/>
  <c r="G159" i="2"/>
  <c r="F159" i="2"/>
  <c r="E159" i="2"/>
  <c r="E165" i="2" s="1"/>
  <c r="D159" i="2"/>
  <c r="D165" i="2" s="1"/>
  <c r="C159" i="2"/>
  <c r="C165" i="2" s="1"/>
  <c r="B159" i="2"/>
  <c r="K157" i="2"/>
  <c r="K158" i="2" s="1"/>
  <c r="J157" i="2"/>
  <c r="J158" i="2" s="1"/>
  <c r="I157" i="2"/>
  <c r="I158" i="2" s="1"/>
  <c r="H157" i="2"/>
  <c r="H158" i="2" s="1"/>
  <c r="G157" i="2"/>
  <c r="G158" i="2" s="1"/>
  <c r="F157" i="2"/>
  <c r="F158" i="2" s="1"/>
  <c r="E157" i="2"/>
  <c r="E158" i="2" s="1"/>
  <c r="D157" i="2"/>
  <c r="D158" i="2" s="1"/>
  <c r="C157" i="2"/>
  <c r="C158" i="2" s="1"/>
  <c r="B157" i="2"/>
  <c r="B158" i="2" s="1"/>
  <c r="L155" i="2"/>
  <c r="K155" i="2"/>
  <c r="K160" i="2" s="1"/>
  <c r="J155" i="2"/>
  <c r="J160" i="2" s="1"/>
  <c r="I155" i="2"/>
  <c r="I160" i="2" s="1"/>
  <c r="H155" i="2"/>
  <c r="H160" i="2" s="1"/>
  <c r="G155" i="2"/>
  <c r="G160" i="2" s="1"/>
  <c r="F155" i="2"/>
  <c r="F160" i="2" s="1"/>
  <c r="E155" i="2"/>
  <c r="E160" i="2" s="1"/>
  <c r="D155" i="2"/>
  <c r="D160" i="2" s="1"/>
  <c r="C155" i="2"/>
  <c r="C160" i="2" s="1"/>
  <c r="B155" i="2"/>
  <c r="B160" i="2" s="1"/>
  <c r="Y118" i="2"/>
  <c r="X118" i="2"/>
  <c r="Y119" i="2" s="1"/>
  <c r="W118" i="2"/>
  <c r="X119" i="2" s="1"/>
  <c r="V118" i="2"/>
  <c r="W119" i="2" s="1"/>
  <c r="U118" i="2"/>
  <c r="V119" i="2" s="1"/>
  <c r="T118" i="2"/>
  <c r="U119" i="2" s="1"/>
  <c r="S118" i="2"/>
  <c r="T119" i="2" s="1"/>
  <c r="R118" i="2"/>
  <c r="S119" i="2" s="1"/>
  <c r="Q118" i="2"/>
  <c r="R119" i="2" s="1"/>
  <c r="P118" i="2"/>
  <c r="Q119" i="2" s="1"/>
  <c r="O118" i="2"/>
  <c r="P119" i="2" s="1"/>
  <c r="N118" i="2"/>
  <c r="O119" i="2" s="1"/>
  <c r="Y110" i="2"/>
  <c r="X110" i="2"/>
  <c r="W110" i="2"/>
  <c r="V110" i="2"/>
  <c r="U110" i="2"/>
  <c r="T110" i="2"/>
  <c r="S110" i="2"/>
  <c r="R110" i="2"/>
  <c r="Q110" i="2"/>
  <c r="P110" i="2"/>
  <c r="O110" i="2"/>
  <c r="N110" i="2"/>
  <c r="Y109" i="2"/>
  <c r="X109" i="2"/>
  <c r="W109" i="2"/>
  <c r="V109" i="2"/>
  <c r="U109" i="2"/>
  <c r="T109" i="2"/>
  <c r="S109" i="2"/>
  <c r="R109" i="2"/>
  <c r="Q109" i="2"/>
  <c r="P109" i="2"/>
  <c r="O109" i="2"/>
  <c r="N109" i="2"/>
  <c r="Y107" i="2"/>
  <c r="X107" i="2"/>
  <c r="W107" i="2"/>
  <c r="V107" i="2"/>
  <c r="U107" i="2"/>
  <c r="T107" i="2"/>
  <c r="S107" i="2"/>
  <c r="R107" i="2"/>
  <c r="Q107" i="2"/>
  <c r="P107" i="2"/>
  <c r="O107" i="2"/>
  <c r="N107" i="2"/>
  <c r="Y106" i="2"/>
  <c r="X106" i="2"/>
  <c r="W106" i="2"/>
  <c r="V106" i="2"/>
  <c r="AC52" i="3" s="1"/>
  <c r="U106" i="2"/>
  <c r="AB52" i="3" s="1"/>
  <c r="T106" i="2"/>
  <c r="AA52" i="3" s="1"/>
  <c r="S106" i="2"/>
  <c r="R106" i="2"/>
  <c r="Y52" i="3" s="1"/>
  <c r="Q106" i="2"/>
  <c r="X52" i="3" s="1"/>
  <c r="P106" i="2"/>
  <c r="W52" i="3" s="1"/>
  <c r="O106" i="2"/>
  <c r="V52" i="3" s="1"/>
  <c r="N106" i="2"/>
  <c r="U52" i="3" s="1"/>
  <c r="L143" i="2"/>
  <c r="M143" i="2" s="1"/>
  <c r="K141" i="2"/>
  <c r="K140" i="2"/>
  <c r="L140" i="2" s="1"/>
  <c r="L139" i="2"/>
  <c r="M139" i="2" s="1"/>
  <c r="K133" i="2"/>
  <c r="J133" i="2"/>
  <c r="I133" i="2"/>
  <c r="H133" i="2"/>
  <c r="G133" i="2"/>
  <c r="F133" i="2"/>
  <c r="E133" i="2"/>
  <c r="D133" i="2"/>
  <c r="C133" i="2"/>
  <c r="B133" i="2"/>
  <c r="I131" i="2"/>
  <c r="I145" i="2" s="1"/>
  <c r="M128" i="2"/>
  <c r="M129" i="2" s="1"/>
  <c r="L128" i="2"/>
  <c r="L129" i="2" s="1"/>
  <c r="K128" i="2"/>
  <c r="K129" i="2" s="1"/>
  <c r="J128" i="2"/>
  <c r="J129" i="2" s="1"/>
  <c r="I128" i="2"/>
  <c r="I129" i="2" s="1"/>
  <c r="H128" i="2"/>
  <c r="G128" i="2"/>
  <c r="F128" i="2"/>
  <c r="E128" i="2"/>
  <c r="D128" i="2"/>
  <c r="C128" i="2"/>
  <c r="B128" i="2"/>
  <c r="M126" i="2"/>
  <c r="M125" i="2" s="1"/>
  <c r="L126" i="2"/>
  <c r="L125" i="2"/>
  <c r="L131" i="2" s="1"/>
  <c r="L145" i="2" s="1"/>
  <c r="K125" i="2"/>
  <c r="K132" i="2" s="1"/>
  <c r="J125" i="2"/>
  <c r="J132" i="2" s="1"/>
  <c r="I125" i="2"/>
  <c r="I132" i="2" s="1"/>
  <c r="I146" i="2" s="1"/>
  <c r="H125" i="2"/>
  <c r="H131" i="2" s="1"/>
  <c r="H145" i="2" s="1"/>
  <c r="G125" i="2"/>
  <c r="G132" i="2" s="1"/>
  <c r="F125" i="2"/>
  <c r="F132" i="2" s="1"/>
  <c r="E125" i="2"/>
  <c r="E132" i="2" s="1"/>
  <c r="E146" i="2" s="1"/>
  <c r="D125" i="2"/>
  <c r="D132" i="2" s="1"/>
  <c r="D134" i="2" s="1"/>
  <c r="C125" i="2"/>
  <c r="C132" i="2" s="1"/>
  <c r="B125" i="2"/>
  <c r="B132" i="2" s="1"/>
  <c r="K122" i="2"/>
  <c r="J122" i="2"/>
  <c r="J107" i="2" s="1"/>
  <c r="I122" i="2"/>
  <c r="H122" i="2"/>
  <c r="G122" i="2"/>
  <c r="F122" i="2"/>
  <c r="E122" i="2"/>
  <c r="D122" i="2"/>
  <c r="C122" i="2"/>
  <c r="B122" i="2"/>
  <c r="M119" i="2"/>
  <c r="L119" i="2"/>
  <c r="K119" i="2"/>
  <c r="K118" i="2"/>
  <c r="L112" i="2"/>
  <c r="M112" i="2" s="1"/>
  <c r="M133" i="2" s="1"/>
  <c r="L111" i="2"/>
  <c r="M111" i="2" s="1"/>
  <c r="L109" i="2"/>
  <c r="L122" i="2" s="1"/>
  <c r="L107" i="2" s="1"/>
  <c r="K107" i="2"/>
  <c r="I107" i="2"/>
  <c r="K84" i="2"/>
  <c r="J84" i="2"/>
  <c r="I84" i="2"/>
  <c r="H84" i="2"/>
  <c r="G84" i="2"/>
  <c r="F84" i="2"/>
  <c r="E84" i="2"/>
  <c r="D84" i="2"/>
  <c r="C84" i="2"/>
  <c r="B84" i="2"/>
  <c r="L77" i="2"/>
  <c r="M77" i="2" s="1"/>
  <c r="K43" i="2"/>
  <c r="K42" i="2"/>
  <c r="L42" i="2" s="1"/>
  <c r="L63" i="2"/>
  <c r="M63" i="2" s="1"/>
  <c r="L62" i="2"/>
  <c r="M62" i="2" s="1"/>
  <c r="K35" i="2"/>
  <c r="J35" i="2"/>
  <c r="I35" i="2"/>
  <c r="H35" i="2"/>
  <c r="G35" i="2"/>
  <c r="F35" i="2"/>
  <c r="E35" i="2"/>
  <c r="D35" i="2"/>
  <c r="C35" i="2"/>
  <c r="B35" i="2"/>
  <c r="K41" i="2"/>
  <c r="L41" i="2" s="1"/>
  <c r="M41" i="2" s="1"/>
  <c r="L43" i="2"/>
  <c r="M8" i="2"/>
  <c r="C164" i="2" l="1"/>
  <c r="M24" i="2"/>
  <c r="M26" i="2" s="1"/>
  <c r="M27" i="2" s="1"/>
  <c r="M33" i="2" s="1"/>
  <c r="S12" i="3" s="1"/>
  <c r="T25" i="3"/>
  <c r="M30" i="2"/>
  <c r="M31" i="2" s="1"/>
  <c r="M155" i="2"/>
  <c r="K164" i="2"/>
  <c r="F164" i="2"/>
  <c r="G164" i="2"/>
  <c r="B164" i="2"/>
  <c r="W122" i="2"/>
  <c r="W124" i="2" s="1"/>
  <c r="W133" i="2" s="1"/>
  <c r="AD52" i="3"/>
  <c r="S122" i="2"/>
  <c r="S124" i="2" s="1"/>
  <c r="S133" i="2" s="1"/>
  <c r="Z52" i="3"/>
  <c r="F168" i="2"/>
  <c r="B168" i="2"/>
  <c r="R137" i="2"/>
  <c r="V137" i="2"/>
  <c r="E168" i="2"/>
  <c r="I168" i="2"/>
  <c r="G168" i="2"/>
  <c r="J168" i="2"/>
  <c r="K168" i="2"/>
  <c r="H156" i="2"/>
  <c r="H167" i="2"/>
  <c r="H168" i="2" s="1"/>
  <c r="H164" i="2"/>
  <c r="E156" i="2"/>
  <c r="D156" i="2"/>
  <c r="D167" i="2"/>
  <c r="D168" i="2" s="1"/>
  <c r="D164" i="2"/>
  <c r="I156" i="2"/>
  <c r="E164" i="2"/>
  <c r="I164" i="2"/>
  <c r="B156" i="2"/>
  <c r="F156" i="2"/>
  <c r="J156" i="2"/>
  <c r="J164" i="2"/>
  <c r="C167" i="2"/>
  <c r="C168" i="2" s="1"/>
  <c r="C156" i="2"/>
  <c r="G156" i="2"/>
  <c r="K156" i="2"/>
  <c r="F195" i="2"/>
  <c r="J195" i="2"/>
  <c r="B204" i="2"/>
  <c r="F196" i="2"/>
  <c r="F204" i="2" s="1"/>
  <c r="J196" i="2"/>
  <c r="J204" i="2" s="1"/>
  <c r="F199" i="2"/>
  <c r="J199" i="2"/>
  <c r="C195" i="2"/>
  <c r="G195" i="2"/>
  <c r="K195" i="2"/>
  <c r="C196" i="2"/>
  <c r="C204" i="2" s="1"/>
  <c r="G196" i="2"/>
  <c r="G204" i="2" s="1"/>
  <c r="K196" i="2"/>
  <c r="K204" i="2" s="1"/>
  <c r="C199" i="2"/>
  <c r="G199" i="2"/>
  <c r="K199" i="2"/>
  <c r="D195" i="2"/>
  <c r="H195" i="2"/>
  <c r="L195" i="2"/>
  <c r="D196" i="2"/>
  <c r="D204" i="2" s="1"/>
  <c r="H196" i="2"/>
  <c r="H204" i="2" s="1"/>
  <c r="D199" i="2"/>
  <c r="H199" i="2"/>
  <c r="L199" i="2"/>
  <c r="E195" i="2"/>
  <c r="I195" i="2"/>
  <c r="M195" i="2"/>
  <c r="E196" i="2"/>
  <c r="E204" i="2" s="1"/>
  <c r="I196" i="2"/>
  <c r="I204" i="2" s="1"/>
  <c r="E199" i="2"/>
  <c r="I199" i="2"/>
  <c r="M199" i="2"/>
  <c r="I147" i="2"/>
  <c r="I149" i="2" s="1"/>
  <c r="Q137" i="2"/>
  <c r="U137" i="2"/>
  <c r="M109" i="2"/>
  <c r="M122" i="2" s="1"/>
  <c r="M107" i="2" s="1"/>
  <c r="H132" i="2"/>
  <c r="H146" i="2" s="1"/>
  <c r="H147" i="2" s="1"/>
  <c r="H149" i="2" s="1"/>
  <c r="L133" i="2"/>
  <c r="P137" i="2"/>
  <c r="T137" i="2"/>
  <c r="D131" i="2"/>
  <c r="D145" i="2" s="1"/>
  <c r="E131" i="2"/>
  <c r="E145" i="2" s="1"/>
  <c r="E147" i="2" s="1"/>
  <c r="E149" i="2" s="1"/>
  <c r="L132" i="2"/>
  <c r="L134" i="2" s="1"/>
  <c r="L141" i="2"/>
  <c r="M141" i="2" s="1"/>
  <c r="Y137" i="2" s="1"/>
  <c r="M131" i="2"/>
  <c r="M145" i="2" s="1"/>
  <c r="O137" i="2"/>
  <c r="S137" i="2"/>
  <c r="W137" i="2"/>
  <c r="N122" i="2"/>
  <c r="R122" i="2"/>
  <c r="V122" i="2"/>
  <c r="O122" i="2"/>
  <c r="P122" i="2"/>
  <c r="T122" i="2"/>
  <c r="X122" i="2"/>
  <c r="Q122" i="2"/>
  <c r="U122" i="2"/>
  <c r="Y122" i="2"/>
  <c r="C134" i="2"/>
  <c r="C146" i="2"/>
  <c r="G134" i="2"/>
  <c r="G146" i="2"/>
  <c r="K134" i="2"/>
  <c r="K146" i="2"/>
  <c r="B134" i="2"/>
  <c r="B146" i="2"/>
  <c r="F146" i="2"/>
  <c r="F134" i="2"/>
  <c r="J146" i="2"/>
  <c r="J134" i="2"/>
  <c r="M132" i="2"/>
  <c r="H134" i="2"/>
  <c r="I134" i="2"/>
  <c r="L118" i="2"/>
  <c r="M118" i="2" s="1"/>
  <c r="N119" i="2" s="1"/>
  <c r="N137" i="2" s="1"/>
  <c r="B131" i="2"/>
  <c r="B145" i="2" s="1"/>
  <c r="B147" i="2" s="1"/>
  <c r="B149" i="2" s="1"/>
  <c r="F131" i="2"/>
  <c r="F145" i="2" s="1"/>
  <c r="J131" i="2"/>
  <c r="J145" i="2" s="1"/>
  <c r="M140" i="2"/>
  <c r="N140" i="2" s="1"/>
  <c r="D146" i="2"/>
  <c r="D147" i="2" s="1"/>
  <c r="D149" i="2" s="1"/>
  <c r="L146" i="2"/>
  <c r="L147" i="2" s="1"/>
  <c r="L149" i="2" s="1"/>
  <c r="E134" i="2"/>
  <c r="C131" i="2"/>
  <c r="C145" i="2" s="1"/>
  <c r="G131" i="2"/>
  <c r="G145" i="2" s="1"/>
  <c r="G147" i="2" s="1"/>
  <c r="G149" i="2" s="1"/>
  <c r="K131" i="2"/>
  <c r="K145" i="2" s="1"/>
  <c r="K147" i="2" s="1"/>
  <c r="K149" i="2" s="1"/>
  <c r="L84" i="2"/>
  <c r="M84" i="2"/>
  <c r="M35" i="2"/>
  <c r="L35" i="2"/>
  <c r="M43" i="2"/>
  <c r="M42" i="2"/>
  <c r="W132" i="2" l="1"/>
  <c r="W134" i="2" s="1"/>
  <c r="S132" i="2"/>
  <c r="S134" i="2" s="1"/>
  <c r="W128" i="2"/>
  <c r="W129" i="2" s="1"/>
  <c r="W131" i="2"/>
  <c r="S128" i="2"/>
  <c r="S129" i="2" s="1"/>
  <c r="S131" i="2"/>
  <c r="Y124" i="2"/>
  <c r="Y128" i="2" s="1"/>
  <c r="Y129" i="2" s="1"/>
  <c r="X124" i="2"/>
  <c r="N124" i="2"/>
  <c r="U124" i="2"/>
  <c r="P124" i="2"/>
  <c r="V124" i="2"/>
  <c r="T124" i="2"/>
  <c r="Q124" i="2"/>
  <c r="O124" i="2"/>
  <c r="R124" i="2"/>
  <c r="G203" i="2"/>
  <c r="G206" i="2" s="1"/>
  <c r="I203" i="2"/>
  <c r="I206" i="2" s="1"/>
  <c r="E203" i="2"/>
  <c r="E206" i="2" s="1"/>
  <c r="L203" i="2"/>
  <c r="C203" i="2"/>
  <c r="C206" i="2" s="1"/>
  <c r="J203" i="2"/>
  <c r="J206" i="2" s="1"/>
  <c r="H203" i="2"/>
  <c r="H206" i="2" s="1"/>
  <c r="F203" i="2"/>
  <c r="F206" i="2" s="1"/>
  <c r="M203" i="2"/>
  <c r="D203" i="2"/>
  <c r="D206" i="2" s="1"/>
  <c r="K203" i="2"/>
  <c r="K206" i="2" s="1"/>
  <c r="B203" i="2"/>
  <c r="B206" i="2" s="1"/>
  <c r="F147" i="2"/>
  <c r="F149" i="2" s="1"/>
  <c r="C147" i="2"/>
  <c r="C149" i="2" s="1"/>
  <c r="N136" i="2"/>
  <c r="N139" i="2" s="1"/>
  <c r="X137" i="2"/>
  <c r="O140" i="2"/>
  <c r="N141" i="2"/>
  <c r="O141" i="2" s="1"/>
  <c r="P140" i="2"/>
  <c r="Q140" i="2" s="1"/>
  <c r="J147" i="2"/>
  <c r="J149" i="2" s="1"/>
  <c r="M146" i="2"/>
  <c r="M147" i="2" s="1"/>
  <c r="M149" i="2" s="1"/>
  <c r="M134" i="2"/>
  <c r="N133" i="2" l="1"/>
  <c r="N132" i="2"/>
  <c r="N131" i="2"/>
  <c r="R133" i="2"/>
  <c r="R132" i="2"/>
  <c r="R131" i="2"/>
  <c r="T133" i="2"/>
  <c r="T132" i="2"/>
  <c r="T131" i="2"/>
  <c r="V133" i="2"/>
  <c r="V132" i="2"/>
  <c r="V131" i="2"/>
  <c r="X133" i="2"/>
  <c r="X132" i="2"/>
  <c r="X131" i="2"/>
  <c r="O133" i="2"/>
  <c r="O132" i="2"/>
  <c r="O131" i="2"/>
  <c r="P133" i="2"/>
  <c r="P132" i="2"/>
  <c r="P131" i="2"/>
  <c r="Y133" i="2"/>
  <c r="Y132" i="2"/>
  <c r="Y131" i="2"/>
  <c r="O128" i="2"/>
  <c r="O129" i="2" s="1"/>
  <c r="Q133" i="2"/>
  <c r="Q132" i="2"/>
  <c r="Q131" i="2"/>
  <c r="U133" i="2"/>
  <c r="U132" i="2"/>
  <c r="U131" i="2"/>
  <c r="U128" i="2"/>
  <c r="U129" i="2" s="1"/>
  <c r="T128" i="2"/>
  <c r="T129" i="2" s="1"/>
  <c r="N143" i="2"/>
  <c r="V128" i="2"/>
  <c r="V129" i="2" s="1"/>
  <c r="X128" i="2"/>
  <c r="X129" i="2" s="1"/>
  <c r="R128" i="2"/>
  <c r="R129" i="2" s="1"/>
  <c r="Q128" i="2"/>
  <c r="Q129" i="2" s="1"/>
  <c r="P128" i="2"/>
  <c r="P129" i="2" s="1"/>
  <c r="N128" i="2"/>
  <c r="N129" i="2" s="1"/>
  <c r="B207" i="2"/>
  <c r="B166" i="2"/>
  <c r="B169" i="2"/>
  <c r="E207" i="2"/>
  <c r="E166" i="2"/>
  <c r="E169" i="2"/>
  <c r="H207" i="2"/>
  <c r="H166" i="2"/>
  <c r="H169" i="2"/>
  <c r="G207" i="2"/>
  <c r="G166" i="2"/>
  <c r="G169" i="2"/>
  <c r="K207" i="2"/>
  <c r="K166" i="2"/>
  <c r="K169" i="2"/>
  <c r="F207" i="2"/>
  <c r="F166" i="2"/>
  <c r="F169" i="2"/>
  <c r="J207" i="2"/>
  <c r="J166" i="2"/>
  <c r="J169" i="2"/>
  <c r="C207" i="2"/>
  <c r="C166" i="2"/>
  <c r="C169" i="2"/>
  <c r="D207" i="2"/>
  <c r="D166" i="2"/>
  <c r="D169" i="2"/>
  <c r="I207" i="2"/>
  <c r="I166" i="2"/>
  <c r="I169" i="2"/>
  <c r="O136" i="2"/>
  <c r="O139" i="2" s="1"/>
  <c r="P141" i="2"/>
  <c r="Q141" i="2" s="1"/>
  <c r="R141" i="2" s="1"/>
  <c r="S141" i="2" s="1"/>
  <c r="R140" i="2"/>
  <c r="S140" i="2" s="1"/>
  <c r="U134" i="2" l="1"/>
  <c r="X134" i="2"/>
  <c r="N134" i="2"/>
  <c r="P134" i="2"/>
  <c r="T134" i="2"/>
  <c r="N146" i="2"/>
  <c r="O134" i="2"/>
  <c r="R134" i="2"/>
  <c r="Q134" i="2"/>
  <c r="Y134" i="2"/>
  <c r="V134" i="2"/>
  <c r="N145" i="2"/>
  <c r="P136" i="2"/>
  <c r="P139" i="2" s="1"/>
  <c r="P143" i="2" s="1"/>
  <c r="O143" i="2"/>
  <c r="O145" i="2" s="1"/>
  <c r="T141" i="2"/>
  <c r="T140" i="2"/>
  <c r="N147" i="2" l="1"/>
  <c r="N149" i="2" s="1"/>
  <c r="Q136" i="2"/>
  <c r="Q139" i="2" s="1"/>
  <c r="Q143" i="2" s="1"/>
  <c r="O146" i="2"/>
  <c r="O147" i="2" s="1"/>
  <c r="O149" i="2" s="1"/>
  <c r="U140" i="2"/>
  <c r="V140" i="2"/>
  <c r="R136" i="2"/>
  <c r="R139" i="2" s="1"/>
  <c r="P145" i="2"/>
  <c r="P146" i="2"/>
  <c r="U141" i="2"/>
  <c r="P147" i="2" l="1"/>
  <c r="P149" i="2" s="1"/>
  <c r="R143" i="2"/>
  <c r="S136" i="2"/>
  <c r="S139" i="2" s="1"/>
  <c r="W140" i="2"/>
  <c r="Q146" i="2"/>
  <c r="Q145" i="2"/>
  <c r="V141" i="2"/>
  <c r="Q147" i="2" l="1"/>
  <c r="Q149" i="2" s="1"/>
  <c r="R145" i="2"/>
  <c r="R146" i="2"/>
  <c r="W141" i="2"/>
  <c r="X141" i="2"/>
  <c r="X140" i="2"/>
  <c r="Y140" i="2" s="1"/>
  <c r="S143" i="2"/>
  <c r="T136" i="2"/>
  <c r="T139" i="2" s="1"/>
  <c r="Y141" i="2" l="1"/>
  <c r="S146" i="2"/>
  <c r="S145" i="2"/>
  <c r="R147" i="2"/>
  <c r="R149" i="2" s="1"/>
  <c r="T143" i="2"/>
  <c r="U136" i="2"/>
  <c r="U139" i="2" s="1"/>
  <c r="S147" i="2" l="1"/>
  <c r="S149" i="2" s="1"/>
  <c r="T145" i="2"/>
  <c r="T146" i="2"/>
  <c r="U143" i="2"/>
  <c r="V136" i="2"/>
  <c r="V139" i="2" s="1"/>
  <c r="T147" i="2" l="1"/>
  <c r="T149" i="2" s="1"/>
  <c r="V143" i="2"/>
  <c r="W136" i="2"/>
  <c r="W139" i="2" s="1"/>
  <c r="U145" i="2"/>
  <c r="U146" i="2"/>
  <c r="U147" i="2" l="1"/>
  <c r="U149" i="2" s="1"/>
  <c r="W143" i="2"/>
  <c r="X136" i="2"/>
  <c r="X139" i="2" s="1"/>
  <c r="V146" i="2"/>
  <c r="V145" i="2"/>
  <c r="X143" i="2" l="1"/>
  <c r="Y136" i="2"/>
  <c r="Y139" i="2" s="1"/>
  <c r="W146" i="2"/>
  <c r="W145" i="2"/>
  <c r="V147" i="2"/>
  <c r="V149" i="2" s="1"/>
  <c r="Y143" i="2" l="1"/>
  <c r="Y145" i="2" s="1"/>
  <c r="W147" i="2"/>
  <c r="W149" i="2" s="1"/>
  <c r="X145" i="2"/>
  <c r="X146" i="2"/>
  <c r="Y146" i="2" l="1"/>
  <c r="Y147" i="2" s="1"/>
  <c r="Y149" i="2" s="1"/>
  <c r="X147" i="2"/>
  <c r="X149" i="2" s="1"/>
  <c r="O33" i="6" l="1"/>
  <c r="AB25" i="12" l="1"/>
  <c r="E82" i="13"/>
  <c r="F82" i="13" s="1"/>
  <c r="G82" i="13" s="1"/>
  <c r="E77" i="13"/>
  <c r="F77" i="13" s="1"/>
  <c r="G77" i="13" s="1"/>
  <c r="E71" i="13"/>
  <c r="F71" i="13" s="1"/>
  <c r="G71" i="13" s="1"/>
  <c r="E54" i="13"/>
  <c r="F54" i="13" s="1"/>
  <c r="G54" i="13" s="1"/>
  <c r="E49" i="13"/>
  <c r="F49" i="13" s="1"/>
  <c r="G49" i="13" s="1"/>
  <c r="E43" i="13"/>
  <c r="F43" i="13" s="1"/>
  <c r="G43" i="13" s="1"/>
  <c r="E26" i="13"/>
  <c r="F26" i="13" s="1"/>
  <c r="G26" i="13" s="1"/>
  <c r="E23" i="13"/>
  <c r="E21" i="13"/>
  <c r="F21" i="13" s="1"/>
  <c r="G21" i="13" s="1"/>
  <c r="E15" i="13"/>
  <c r="F15" i="13" s="1"/>
  <c r="G15" i="13" s="1"/>
  <c r="G14" i="13"/>
  <c r="AA18" i="7" l="1"/>
  <c r="Z18" i="7"/>
  <c r="Y18" i="7"/>
  <c r="X18" i="7"/>
  <c r="W18" i="7"/>
  <c r="V18" i="7"/>
  <c r="U18" i="7"/>
  <c r="T18" i="7"/>
  <c r="S18" i="7"/>
  <c r="R18" i="7"/>
  <c r="Q18" i="7"/>
  <c r="P18" i="7"/>
  <c r="AA17" i="7"/>
  <c r="Z17" i="7"/>
  <c r="Y17" i="7"/>
  <c r="X17" i="7"/>
  <c r="W17" i="7"/>
  <c r="V17" i="7"/>
  <c r="U17" i="7"/>
  <c r="T17" i="7"/>
  <c r="S17" i="7"/>
  <c r="R17" i="7"/>
  <c r="Q17" i="7"/>
  <c r="P17" i="7"/>
  <c r="AB7" i="12"/>
  <c r="AB31" i="12"/>
  <c r="O49" i="4"/>
  <c r="AA6" i="12"/>
  <c r="Z6" i="12"/>
  <c r="Y6" i="12"/>
  <c r="X6" i="12"/>
  <c r="W6" i="12"/>
  <c r="V6" i="12"/>
  <c r="U6" i="12"/>
  <c r="T6" i="12"/>
  <c r="S6" i="12"/>
  <c r="R6" i="12"/>
  <c r="Q6" i="12"/>
  <c r="P6" i="12"/>
  <c r="O6" i="12"/>
  <c r="N6" i="12"/>
  <c r="N4" i="12" s="1"/>
  <c r="AB16" i="12"/>
  <c r="AB35" i="12"/>
  <c r="P37" i="6"/>
  <c r="P38" i="6"/>
  <c r="AB15" i="12"/>
  <c r="AB30" i="12"/>
  <c r="AB14" i="12"/>
  <c r="AB13" i="12"/>
  <c r="AB12" i="12"/>
  <c r="AB22" i="12"/>
  <c r="AB21" i="12"/>
  <c r="AB19" i="12"/>
  <c r="AB18" i="12"/>
  <c r="AB29" i="12"/>
  <c r="AB28" i="12"/>
  <c r="AB26" i="12"/>
  <c r="AB27" i="12"/>
  <c r="AB11" i="12"/>
  <c r="AB10" i="12"/>
  <c r="AB9" i="12"/>
  <c r="AB8" i="12"/>
  <c r="P22" i="5"/>
  <c r="AB20" i="12"/>
  <c r="AB17" i="12"/>
  <c r="AA32" i="4"/>
  <c r="AA28" i="4"/>
  <c r="Z28" i="4"/>
  <c r="Y28" i="4"/>
  <c r="X28" i="4"/>
  <c r="V28" i="4"/>
  <c r="U28" i="4"/>
  <c r="T28" i="4"/>
  <c r="S28" i="4"/>
  <c r="R28" i="4"/>
  <c r="Q28" i="4"/>
  <c r="P28" i="4"/>
  <c r="W28" i="4"/>
  <c r="AB24" i="12"/>
  <c r="O25" i="4"/>
  <c r="AB36" i="12"/>
  <c r="AB23" i="12"/>
  <c r="K90" i="2"/>
  <c r="L90" i="2" s="1"/>
  <c r="L116" i="3"/>
  <c r="K116" i="3"/>
  <c r="J116" i="3"/>
  <c r="I116" i="3"/>
  <c r="H116" i="3"/>
  <c r="G116" i="3"/>
  <c r="F116" i="3"/>
  <c r="E116" i="3"/>
  <c r="D116" i="3"/>
  <c r="AB6" i="12" l="1"/>
  <c r="O18" i="7"/>
  <c r="N18" i="7" s="1"/>
  <c r="O17" i="7"/>
  <c r="N17" i="7" s="1"/>
  <c r="M90" i="2"/>
  <c r="D114" i="3"/>
  <c r="L115" i="3"/>
  <c r="K115" i="3"/>
  <c r="J115" i="3"/>
  <c r="I115" i="3"/>
  <c r="H115" i="3"/>
  <c r="G115" i="3"/>
  <c r="F115" i="3"/>
  <c r="E115" i="3"/>
  <c r="D115" i="3"/>
  <c r="L114" i="3"/>
  <c r="K114" i="3"/>
  <c r="J114" i="3"/>
  <c r="I114" i="3"/>
  <c r="H114" i="3"/>
  <c r="G114" i="3"/>
  <c r="F114" i="3"/>
  <c r="E114" i="3"/>
  <c r="L113" i="3"/>
  <c r="K113" i="3"/>
  <c r="J113" i="3"/>
  <c r="I113" i="3"/>
  <c r="H113" i="3"/>
  <c r="H118" i="3" s="1"/>
  <c r="G113" i="3"/>
  <c r="F113" i="3"/>
  <c r="E113" i="3"/>
  <c r="D113" i="3"/>
  <c r="M107" i="3"/>
  <c r="L107" i="3"/>
  <c r="K107" i="3"/>
  <c r="J107" i="3"/>
  <c r="I107" i="3"/>
  <c r="H107" i="3"/>
  <c r="G107" i="3"/>
  <c r="F107" i="3"/>
  <c r="E107" i="3"/>
  <c r="D107" i="3"/>
  <c r="B73" i="2"/>
  <c r="B75" i="2" s="1"/>
  <c r="B76" i="2" s="1"/>
  <c r="AD68" i="3"/>
  <c r="AC68" i="3"/>
  <c r="AB68" i="3"/>
  <c r="AA68" i="3"/>
  <c r="Z68" i="3"/>
  <c r="Y68" i="3"/>
  <c r="X68" i="3"/>
  <c r="W68" i="3"/>
  <c r="V68" i="3"/>
  <c r="AD40" i="3"/>
  <c r="AC40" i="3"/>
  <c r="AB40" i="3"/>
  <c r="AA40" i="3"/>
  <c r="Z40" i="3"/>
  <c r="Y40" i="3"/>
  <c r="X40" i="3"/>
  <c r="W40" i="3"/>
  <c r="V40" i="3"/>
  <c r="S40" i="3"/>
  <c r="N8" i="2"/>
  <c r="M113" i="3"/>
  <c r="D12" i="3"/>
  <c r="D14" i="3" s="1"/>
  <c r="E14" i="3"/>
  <c r="L14" i="3"/>
  <c r="K14" i="3"/>
  <c r="J14" i="3"/>
  <c r="I14" i="3"/>
  <c r="H14" i="3"/>
  <c r="G14" i="3"/>
  <c r="F14" i="3"/>
  <c r="N155" i="2" l="1"/>
  <c r="U25" i="3"/>
  <c r="L118" i="3"/>
  <c r="F118" i="3"/>
  <c r="J118" i="3"/>
  <c r="G118" i="3"/>
  <c r="K118" i="3"/>
  <c r="D118" i="3"/>
  <c r="E118" i="3"/>
  <c r="I118" i="3"/>
  <c r="N84" i="2"/>
  <c r="N83" i="2"/>
  <c r="B83" i="2"/>
  <c r="B85" i="2" s="1"/>
  <c r="B82" i="2"/>
  <c r="AB32" i="12"/>
  <c r="AB4" i="12" s="1"/>
  <c r="N14" i="3"/>
  <c r="M14" i="3"/>
  <c r="T117" i="3" l="1"/>
  <c r="U117" i="3" s="1"/>
  <c r="V117" i="3" s="1"/>
  <c r="W117" i="3" s="1"/>
  <c r="X117" i="3" s="1"/>
  <c r="Y117" i="3" s="1"/>
  <c r="Z117" i="3" s="1"/>
  <c r="AA117" i="3" s="1"/>
  <c r="AB117" i="3" s="1"/>
  <c r="AC117" i="3" s="1"/>
  <c r="AD117" i="3" s="1"/>
  <c r="AF117" i="3" l="1"/>
  <c r="S186" i="10"/>
  <c r="O47" i="4"/>
  <c r="AO61" i="11"/>
  <c r="AN61" i="11"/>
  <c r="AM61" i="11"/>
  <c r="AL61" i="11"/>
  <c r="AK61" i="11"/>
  <c r="AJ61" i="11"/>
  <c r="AI61" i="11"/>
  <c r="AH61" i="11"/>
  <c r="AG61" i="11"/>
  <c r="Z61" i="11"/>
  <c r="Y61" i="11"/>
  <c r="X61" i="11"/>
  <c r="W61" i="11"/>
  <c r="V61" i="11"/>
  <c r="U61" i="11"/>
  <c r="T61" i="11"/>
  <c r="S61" i="11"/>
  <c r="R61" i="11"/>
  <c r="K61" i="11"/>
  <c r="J61" i="11"/>
  <c r="I61" i="11"/>
  <c r="H61" i="11"/>
  <c r="G61" i="11"/>
  <c r="F61" i="11"/>
  <c r="E61" i="11"/>
  <c r="D61" i="11"/>
  <c r="C61" i="11"/>
  <c r="AO54" i="11"/>
  <c r="AN54" i="11"/>
  <c r="AM54" i="11"/>
  <c r="AL54" i="11"/>
  <c r="AK54" i="11"/>
  <c r="AJ54" i="11"/>
  <c r="AI54" i="11"/>
  <c r="AH54" i="11"/>
  <c r="AG54" i="11"/>
  <c r="Z54" i="11"/>
  <c r="Y54" i="11"/>
  <c r="X54" i="11"/>
  <c r="W54" i="11"/>
  <c r="V54" i="11"/>
  <c r="U54" i="11"/>
  <c r="T54" i="11"/>
  <c r="S54" i="11"/>
  <c r="R54" i="11"/>
  <c r="K54" i="11"/>
  <c r="J54" i="11"/>
  <c r="I54" i="11"/>
  <c r="H54" i="11"/>
  <c r="G54" i="11"/>
  <c r="F54" i="11"/>
  <c r="E54" i="11"/>
  <c r="D54" i="11"/>
  <c r="C54" i="11"/>
  <c r="AA50" i="11"/>
  <c r="L50" i="11"/>
  <c r="AA49" i="11"/>
  <c r="L49" i="11"/>
  <c r="BH46" i="11"/>
  <c r="BG46" i="11"/>
  <c r="BF46" i="11"/>
  <c r="BE46" i="11"/>
  <c r="BD46" i="11"/>
  <c r="BC46" i="11"/>
  <c r="BB46" i="11"/>
  <c r="BA46" i="11"/>
  <c r="AZ46" i="11"/>
  <c r="AY46" i="11"/>
  <c r="AT22" i="11"/>
  <c r="AS22" i="11"/>
  <c r="AC22" i="11"/>
  <c r="AB22" i="11"/>
  <c r="N22" i="11"/>
  <c r="M22" i="11"/>
  <c r="AT18" i="11"/>
  <c r="AS18" i="11"/>
  <c r="AC18" i="11"/>
  <c r="AB18" i="11"/>
  <c r="N18" i="11"/>
  <c r="M18" i="11"/>
  <c r="AT14" i="11"/>
  <c r="AS14" i="11"/>
  <c r="AC14" i="11"/>
  <c r="AB14" i="11"/>
  <c r="N14" i="11"/>
  <c r="M14" i="11"/>
  <c r="AT10" i="11"/>
  <c r="AS10" i="11"/>
  <c r="AC10" i="11"/>
  <c r="AB10" i="11"/>
  <c r="N10" i="11"/>
  <c r="M10" i="11"/>
  <c r="AS6" i="11"/>
  <c r="AB6" i="11"/>
  <c r="M6" i="11"/>
  <c r="N88" i="2" l="1"/>
  <c r="S58" i="2"/>
  <c r="P20" i="2"/>
  <c r="N38" i="2"/>
  <c r="U12" i="2"/>
  <c r="P12" i="2"/>
  <c r="Y11" i="2"/>
  <c r="X11" i="2"/>
  <c r="W11" i="2"/>
  <c r="V11" i="2"/>
  <c r="U11" i="2"/>
  <c r="T11" i="2"/>
  <c r="R11" i="2"/>
  <c r="Q11" i="2"/>
  <c r="P11" i="2"/>
  <c r="O8" i="2"/>
  <c r="P8" i="2"/>
  <c r="S69" i="2"/>
  <c r="S61" i="2"/>
  <c r="Q60" i="2"/>
  <c r="Y58" i="2"/>
  <c r="Y57" i="2"/>
  <c r="X20" i="2"/>
  <c r="Y12" i="2"/>
  <c r="S11" i="2"/>
  <c r="S9" i="2"/>
  <c r="CN188" i="10"/>
  <c r="S188" i="10"/>
  <c r="U68" i="3"/>
  <c r="T68" i="3"/>
  <c r="S68" i="3"/>
  <c r="U40" i="3"/>
  <c r="T40" i="3"/>
  <c r="S8" i="2"/>
  <c r="P9" i="2"/>
  <c r="O9" i="2"/>
  <c r="N9" i="2"/>
  <c r="N24" i="2" s="1"/>
  <c r="N26" i="2" s="1"/>
  <c r="CN201" i="10"/>
  <c r="CN189" i="10"/>
  <c r="CN108" i="10"/>
  <c r="CN107" i="10"/>
  <c r="S201" i="10"/>
  <c r="S189" i="10"/>
  <c r="S108" i="10"/>
  <c r="S107" i="10"/>
  <c r="K8" i="10"/>
  <c r="L8" i="10" s="1"/>
  <c r="K9" i="10"/>
  <c r="L9" i="10" s="1"/>
  <c r="K87" i="10"/>
  <c r="L87" i="10" s="1"/>
  <c r="K88" i="10"/>
  <c r="L88" i="10" s="1"/>
  <c r="W25" i="3" l="1"/>
  <c r="N33" i="2"/>
  <c r="N30" i="2"/>
  <c r="N31" i="2" s="1"/>
  <c r="O24" i="2"/>
  <c r="O26" i="2" s="1"/>
  <c r="O33" i="2" s="1"/>
  <c r="V25" i="3"/>
  <c r="O155" i="2"/>
  <c r="P155" i="2"/>
  <c r="U8" i="2"/>
  <c r="U57" i="2"/>
  <c r="T69" i="2"/>
  <c r="V57" i="2"/>
  <c r="R57" i="2"/>
  <c r="Q20" i="2"/>
  <c r="U20" i="2"/>
  <c r="Y20" i="2"/>
  <c r="R69" i="2"/>
  <c r="R20" i="2"/>
  <c r="V20" i="2"/>
  <c r="T58" i="2"/>
  <c r="S57" i="2"/>
  <c r="S155" i="2" s="1"/>
  <c r="S20" i="2"/>
  <c r="W20" i="2"/>
  <c r="T57" i="2"/>
  <c r="T20" i="2"/>
  <c r="Q69" i="2"/>
  <c r="Q61" i="2"/>
  <c r="R61" i="2"/>
  <c r="R60" i="2"/>
  <c r="S60" i="2"/>
  <c r="V58" i="2"/>
  <c r="W58" i="2"/>
  <c r="X58" i="2"/>
  <c r="Q58" i="2"/>
  <c r="R58" i="2"/>
  <c r="U58" i="2"/>
  <c r="V12" i="2"/>
  <c r="W12" i="2"/>
  <c r="X12" i="2"/>
  <c r="Q12" i="2"/>
  <c r="R12" i="2"/>
  <c r="S12" i="2"/>
  <c r="T12" i="2"/>
  <c r="Q9" i="2"/>
  <c r="R9" i="2"/>
  <c r="W57" i="2"/>
  <c r="X57" i="2"/>
  <c r="Q57" i="2"/>
  <c r="Q8" i="2"/>
  <c r="R8" i="2"/>
  <c r="B155" i="9"/>
  <c r="C155" i="9"/>
  <c r="H155" i="9"/>
  <c r="I155" i="9"/>
  <c r="J155" i="9"/>
  <c r="K155" i="9"/>
  <c r="L155" i="9"/>
  <c r="M155" i="9"/>
  <c r="N155" i="9"/>
  <c r="B156" i="9"/>
  <c r="C156" i="9"/>
  <c r="H156" i="9"/>
  <c r="I156" i="9"/>
  <c r="J156" i="9"/>
  <c r="K156" i="9"/>
  <c r="L156" i="9"/>
  <c r="M156" i="9"/>
  <c r="N156" i="9"/>
  <c r="Q156" i="9"/>
  <c r="R156" i="9"/>
  <c r="S156" i="9"/>
  <c r="T156" i="9"/>
  <c r="U156" i="9"/>
  <c r="V156" i="9"/>
  <c r="W156" i="9"/>
  <c r="X156" i="9"/>
  <c r="Y156" i="9"/>
  <c r="Z156" i="9"/>
  <c r="AA156" i="9"/>
  <c r="B157" i="9"/>
  <c r="C157" i="9"/>
  <c r="H157" i="9"/>
  <c r="I157" i="9"/>
  <c r="J157" i="9"/>
  <c r="K157" i="9"/>
  <c r="L157" i="9"/>
  <c r="M157" i="9"/>
  <c r="N157" i="9"/>
  <c r="B158" i="9"/>
  <c r="C158" i="9"/>
  <c r="H158" i="9"/>
  <c r="I158" i="9"/>
  <c r="J158" i="9"/>
  <c r="K158" i="9"/>
  <c r="M158" i="9"/>
  <c r="N158" i="9"/>
  <c r="B128" i="9"/>
  <c r="C128" i="9"/>
  <c r="D128" i="9"/>
  <c r="E128" i="9"/>
  <c r="F128" i="9"/>
  <c r="G128" i="9"/>
  <c r="H128" i="9"/>
  <c r="I128" i="9"/>
  <c r="J128" i="9"/>
  <c r="K128" i="9"/>
  <c r="L128" i="9"/>
  <c r="M128" i="9"/>
  <c r="N128" i="9"/>
  <c r="Q128" i="9"/>
  <c r="R128" i="9"/>
  <c r="S128" i="9"/>
  <c r="T128" i="9"/>
  <c r="U128" i="9"/>
  <c r="V128" i="9"/>
  <c r="W128" i="9"/>
  <c r="X128" i="9"/>
  <c r="Y128" i="9"/>
  <c r="Z128" i="9"/>
  <c r="AA128" i="9"/>
  <c r="AB128" i="9"/>
  <c r="B129" i="9"/>
  <c r="C129" i="9"/>
  <c r="D129" i="9"/>
  <c r="E129" i="9"/>
  <c r="F129" i="9"/>
  <c r="G129" i="9"/>
  <c r="H129" i="9"/>
  <c r="I129" i="9"/>
  <c r="J129" i="9"/>
  <c r="K129" i="9"/>
  <c r="L129" i="9"/>
  <c r="M129" i="9"/>
  <c r="N129" i="9"/>
  <c r="Q129" i="9"/>
  <c r="R129" i="9"/>
  <c r="S129" i="9"/>
  <c r="T129" i="9"/>
  <c r="U129" i="9"/>
  <c r="V129" i="9"/>
  <c r="W129" i="9"/>
  <c r="X129" i="9"/>
  <c r="Y129" i="9"/>
  <c r="Z129" i="9"/>
  <c r="AA129" i="9"/>
  <c r="AB129" i="9"/>
  <c r="B130" i="9"/>
  <c r="C130" i="9"/>
  <c r="D130" i="9"/>
  <c r="E130" i="9"/>
  <c r="F130" i="9"/>
  <c r="G130" i="9"/>
  <c r="H130" i="9"/>
  <c r="I130" i="9"/>
  <c r="J130" i="9"/>
  <c r="K130" i="9"/>
  <c r="L130" i="9"/>
  <c r="M130" i="9"/>
  <c r="N130" i="9"/>
  <c r="Q130" i="9"/>
  <c r="R130" i="9"/>
  <c r="S130" i="9"/>
  <c r="T130" i="9"/>
  <c r="U130" i="9"/>
  <c r="V130" i="9"/>
  <c r="W130" i="9"/>
  <c r="X130" i="9"/>
  <c r="Y130" i="9"/>
  <c r="Z130" i="9"/>
  <c r="AA130" i="9"/>
  <c r="AB130" i="9"/>
  <c r="B131" i="9"/>
  <c r="C131" i="9"/>
  <c r="D131" i="9"/>
  <c r="E131" i="9"/>
  <c r="F131" i="9"/>
  <c r="G131" i="9"/>
  <c r="H131" i="9"/>
  <c r="I131" i="9"/>
  <c r="J131" i="9"/>
  <c r="K131" i="9"/>
  <c r="L131" i="9"/>
  <c r="M131" i="9"/>
  <c r="N131" i="9"/>
  <c r="Q131" i="9"/>
  <c r="R131" i="9"/>
  <c r="S131" i="9"/>
  <c r="T131" i="9"/>
  <c r="U131" i="9"/>
  <c r="V131" i="9"/>
  <c r="W131" i="9"/>
  <c r="X131" i="9"/>
  <c r="Y131" i="9"/>
  <c r="Z131" i="9"/>
  <c r="AA131" i="9"/>
  <c r="AB131" i="9"/>
  <c r="B133" i="9"/>
  <c r="C133" i="9"/>
  <c r="D133" i="9"/>
  <c r="E133" i="9"/>
  <c r="F133" i="9"/>
  <c r="G133" i="9"/>
  <c r="H133" i="9"/>
  <c r="I133" i="9"/>
  <c r="J133" i="9"/>
  <c r="K133" i="9"/>
  <c r="L133" i="9"/>
  <c r="M133" i="9"/>
  <c r="N133" i="9"/>
  <c r="Q133" i="9"/>
  <c r="R133" i="9"/>
  <c r="S133" i="9"/>
  <c r="T133" i="9"/>
  <c r="U133" i="9"/>
  <c r="V133" i="9"/>
  <c r="W133" i="9"/>
  <c r="X133" i="9"/>
  <c r="Y133" i="9"/>
  <c r="Z133" i="9"/>
  <c r="AA133" i="9"/>
  <c r="AB133" i="9"/>
  <c r="B134" i="9"/>
  <c r="C134" i="9"/>
  <c r="D134" i="9"/>
  <c r="E134" i="9"/>
  <c r="F134" i="9"/>
  <c r="G134" i="9"/>
  <c r="H134" i="9"/>
  <c r="I134" i="9"/>
  <c r="J134" i="9"/>
  <c r="K134" i="9"/>
  <c r="L134" i="9"/>
  <c r="M134" i="9"/>
  <c r="N134" i="9"/>
  <c r="Q134" i="9"/>
  <c r="R134" i="9"/>
  <c r="S134" i="9"/>
  <c r="T134" i="9"/>
  <c r="U134" i="9"/>
  <c r="V134" i="9"/>
  <c r="W134" i="9"/>
  <c r="X134" i="9"/>
  <c r="Y134" i="9"/>
  <c r="Z134" i="9"/>
  <c r="AA134" i="9"/>
  <c r="AB134" i="9"/>
  <c r="B135" i="9"/>
  <c r="C135" i="9"/>
  <c r="D135" i="9"/>
  <c r="E135" i="9"/>
  <c r="F135" i="9"/>
  <c r="G135" i="9"/>
  <c r="H135" i="9"/>
  <c r="I135" i="9"/>
  <c r="J135" i="9"/>
  <c r="K135" i="9"/>
  <c r="L135" i="9"/>
  <c r="M135" i="9"/>
  <c r="N135" i="9"/>
  <c r="Q135" i="9"/>
  <c r="R135" i="9"/>
  <c r="S135" i="9"/>
  <c r="T135" i="9"/>
  <c r="U135" i="9"/>
  <c r="V135" i="9"/>
  <c r="W135" i="9"/>
  <c r="X135" i="9"/>
  <c r="Y135" i="9"/>
  <c r="Z135" i="9"/>
  <c r="AA135" i="9"/>
  <c r="AB135" i="9"/>
  <c r="B136" i="9"/>
  <c r="C136" i="9"/>
  <c r="D136" i="9"/>
  <c r="E136" i="9"/>
  <c r="F136" i="9"/>
  <c r="G136" i="9"/>
  <c r="H136" i="9"/>
  <c r="I136" i="9"/>
  <c r="J136" i="9"/>
  <c r="K136" i="9"/>
  <c r="L136" i="9"/>
  <c r="M136" i="9"/>
  <c r="N136" i="9"/>
  <c r="Q136" i="9"/>
  <c r="R136" i="9"/>
  <c r="S136" i="9"/>
  <c r="T136" i="9"/>
  <c r="U136" i="9"/>
  <c r="V136" i="9"/>
  <c r="W136" i="9"/>
  <c r="X136" i="9"/>
  <c r="Y136" i="9"/>
  <c r="Z136" i="9"/>
  <c r="AA136" i="9"/>
  <c r="AB136" i="9"/>
  <c r="B137" i="9"/>
  <c r="C137" i="9"/>
  <c r="D137" i="9"/>
  <c r="E137" i="9"/>
  <c r="F137" i="9"/>
  <c r="G137" i="9"/>
  <c r="H137" i="9"/>
  <c r="I137" i="9"/>
  <c r="J137" i="9"/>
  <c r="K137" i="9"/>
  <c r="L137" i="9"/>
  <c r="M137" i="9"/>
  <c r="N137" i="9"/>
  <c r="Q137" i="9"/>
  <c r="R137" i="9"/>
  <c r="S137" i="9"/>
  <c r="T137" i="9"/>
  <c r="U137" i="9"/>
  <c r="V137" i="9"/>
  <c r="W137" i="9"/>
  <c r="X137" i="9"/>
  <c r="Y137" i="9"/>
  <c r="Z137" i="9"/>
  <c r="AA137" i="9"/>
  <c r="AB137" i="9"/>
  <c r="B138" i="9"/>
  <c r="C138" i="9"/>
  <c r="D138" i="9"/>
  <c r="E138" i="9"/>
  <c r="F138" i="9"/>
  <c r="G138" i="9"/>
  <c r="H138" i="9"/>
  <c r="I138" i="9"/>
  <c r="J138" i="9"/>
  <c r="K138" i="9"/>
  <c r="L138" i="9"/>
  <c r="M138" i="9"/>
  <c r="N138" i="9"/>
  <c r="Q138" i="9"/>
  <c r="R138" i="9"/>
  <c r="S138" i="9"/>
  <c r="T138" i="9"/>
  <c r="U138" i="9"/>
  <c r="V138" i="9"/>
  <c r="W138" i="9"/>
  <c r="X138" i="9"/>
  <c r="Y138" i="9"/>
  <c r="Z138" i="9"/>
  <c r="AA138" i="9"/>
  <c r="AB138" i="9"/>
  <c r="B139" i="9"/>
  <c r="C139" i="9"/>
  <c r="D139" i="9"/>
  <c r="E139" i="9"/>
  <c r="F139" i="9"/>
  <c r="G139" i="9"/>
  <c r="H139" i="9"/>
  <c r="I139" i="9"/>
  <c r="J139" i="9"/>
  <c r="K139" i="9"/>
  <c r="L139" i="9"/>
  <c r="M139" i="9"/>
  <c r="N139" i="9"/>
  <c r="Q139" i="9"/>
  <c r="R139" i="9"/>
  <c r="S139" i="9"/>
  <c r="T139" i="9"/>
  <c r="U139" i="9"/>
  <c r="V139" i="9"/>
  <c r="W139" i="9"/>
  <c r="X139" i="9"/>
  <c r="Y139" i="9"/>
  <c r="Z139" i="9"/>
  <c r="AA139" i="9"/>
  <c r="AB139" i="9"/>
  <c r="B140" i="9"/>
  <c r="C140" i="9"/>
  <c r="D140" i="9"/>
  <c r="E140" i="9"/>
  <c r="F140" i="9"/>
  <c r="G140" i="9"/>
  <c r="H140" i="9"/>
  <c r="I140" i="9"/>
  <c r="J140" i="9"/>
  <c r="K140" i="9"/>
  <c r="L140" i="9"/>
  <c r="M140" i="9"/>
  <c r="N140" i="9"/>
  <c r="Q140" i="9"/>
  <c r="R140" i="9"/>
  <c r="S140" i="9"/>
  <c r="T140" i="9"/>
  <c r="U140" i="9"/>
  <c r="V140" i="9"/>
  <c r="W140" i="9"/>
  <c r="X140" i="9"/>
  <c r="Y140" i="9"/>
  <c r="Z140" i="9"/>
  <c r="AA140" i="9"/>
  <c r="AB140" i="9"/>
  <c r="B141" i="9"/>
  <c r="C141" i="9"/>
  <c r="D141" i="9"/>
  <c r="E141" i="9"/>
  <c r="F141" i="9"/>
  <c r="G141" i="9"/>
  <c r="H141" i="9"/>
  <c r="I141" i="9"/>
  <c r="J141" i="9"/>
  <c r="K141" i="9"/>
  <c r="L141" i="9"/>
  <c r="M141" i="9"/>
  <c r="N141" i="9"/>
  <c r="Q141" i="9"/>
  <c r="R141" i="9"/>
  <c r="S141" i="9"/>
  <c r="T141" i="9"/>
  <c r="U141" i="9"/>
  <c r="V141" i="9"/>
  <c r="W141" i="9"/>
  <c r="X141" i="9"/>
  <c r="Y141" i="9"/>
  <c r="Z141" i="9"/>
  <c r="AA141" i="9"/>
  <c r="AB141" i="9"/>
  <c r="B142" i="9"/>
  <c r="C142" i="9"/>
  <c r="D142" i="9"/>
  <c r="E142" i="9"/>
  <c r="F142" i="9"/>
  <c r="G142" i="9"/>
  <c r="H142" i="9"/>
  <c r="I142" i="9"/>
  <c r="J142" i="9"/>
  <c r="K142" i="9"/>
  <c r="L142" i="9"/>
  <c r="M142" i="9"/>
  <c r="N142" i="9"/>
  <c r="Q142" i="9"/>
  <c r="R142" i="9"/>
  <c r="S142" i="9"/>
  <c r="T142" i="9"/>
  <c r="U142" i="9"/>
  <c r="V142" i="9"/>
  <c r="W142" i="9"/>
  <c r="X142" i="9"/>
  <c r="Y142" i="9"/>
  <c r="Z142" i="9"/>
  <c r="AA142" i="9"/>
  <c r="AB142" i="9"/>
  <c r="B143" i="9"/>
  <c r="C143" i="9"/>
  <c r="D143" i="9"/>
  <c r="E143" i="9"/>
  <c r="F143" i="9"/>
  <c r="G143" i="9"/>
  <c r="H143" i="9"/>
  <c r="I143" i="9"/>
  <c r="J143" i="9"/>
  <c r="K143" i="9"/>
  <c r="L143" i="9"/>
  <c r="M143" i="9"/>
  <c r="N143" i="9"/>
  <c r="Q143" i="9"/>
  <c r="R143" i="9"/>
  <c r="S143" i="9"/>
  <c r="T143" i="9"/>
  <c r="U143" i="9"/>
  <c r="V143" i="9"/>
  <c r="W143" i="9"/>
  <c r="X143" i="9"/>
  <c r="Y143" i="9"/>
  <c r="Z143" i="9"/>
  <c r="AA143" i="9"/>
  <c r="AB143" i="9"/>
  <c r="B144" i="9"/>
  <c r="C144" i="9"/>
  <c r="D144" i="9"/>
  <c r="E144" i="9"/>
  <c r="F144" i="9"/>
  <c r="G144" i="9"/>
  <c r="H144" i="9"/>
  <c r="I144" i="9"/>
  <c r="J144" i="9"/>
  <c r="K144" i="9"/>
  <c r="L144" i="9"/>
  <c r="M144" i="9"/>
  <c r="N144" i="9"/>
  <c r="Q144" i="9"/>
  <c r="R144" i="9"/>
  <c r="S144" i="9"/>
  <c r="T144" i="9"/>
  <c r="U144" i="9"/>
  <c r="V144" i="9"/>
  <c r="W144" i="9"/>
  <c r="X144" i="9"/>
  <c r="Y144" i="9"/>
  <c r="Z144" i="9"/>
  <c r="AA144" i="9"/>
  <c r="AB144" i="9"/>
  <c r="B145" i="9"/>
  <c r="C145" i="9"/>
  <c r="D145" i="9"/>
  <c r="E145" i="9"/>
  <c r="F145" i="9"/>
  <c r="G145" i="9"/>
  <c r="H145" i="9"/>
  <c r="I145" i="9"/>
  <c r="J145" i="9"/>
  <c r="K145" i="9"/>
  <c r="L145" i="9"/>
  <c r="M145" i="9"/>
  <c r="N145" i="9"/>
  <c r="Q145" i="9"/>
  <c r="R145" i="9"/>
  <c r="S145" i="9"/>
  <c r="T145" i="9"/>
  <c r="U145" i="9"/>
  <c r="V145" i="9"/>
  <c r="W145" i="9"/>
  <c r="X145" i="9"/>
  <c r="Y145" i="9"/>
  <c r="Z145" i="9"/>
  <c r="AA145" i="9"/>
  <c r="AB145" i="9"/>
  <c r="B146" i="9"/>
  <c r="C146" i="9"/>
  <c r="D146" i="9"/>
  <c r="E146" i="9"/>
  <c r="F146" i="9"/>
  <c r="G146" i="9"/>
  <c r="H146" i="9"/>
  <c r="I146" i="9"/>
  <c r="J146" i="9"/>
  <c r="K146" i="9"/>
  <c r="L146" i="9"/>
  <c r="M146" i="9"/>
  <c r="N146" i="9"/>
  <c r="Q146" i="9"/>
  <c r="R146" i="9"/>
  <c r="S146" i="9"/>
  <c r="T146" i="9"/>
  <c r="U146" i="9"/>
  <c r="V146" i="9"/>
  <c r="W146" i="9"/>
  <c r="X146" i="9"/>
  <c r="Y146" i="9"/>
  <c r="Z146" i="9"/>
  <c r="AA146" i="9"/>
  <c r="AB146" i="9"/>
  <c r="B147" i="9"/>
  <c r="C147" i="9"/>
  <c r="D147" i="9"/>
  <c r="E147" i="9"/>
  <c r="F147" i="9"/>
  <c r="G147" i="9"/>
  <c r="H147" i="9"/>
  <c r="I147" i="9"/>
  <c r="J147" i="9"/>
  <c r="K147" i="9"/>
  <c r="L147" i="9"/>
  <c r="M147" i="9"/>
  <c r="N147" i="9"/>
  <c r="Q147" i="9"/>
  <c r="R147" i="9"/>
  <c r="S147" i="9"/>
  <c r="T147" i="9"/>
  <c r="U147" i="9"/>
  <c r="V147" i="9"/>
  <c r="W147" i="9"/>
  <c r="X147" i="9"/>
  <c r="Y147" i="9"/>
  <c r="Z147" i="9"/>
  <c r="AA147" i="9"/>
  <c r="AB147" i="9"/>
  <c r="B148" i="9"/>
  <c r="C148" i="9"/>
  <c r="D148" i="9"/>
  <c r="E148" i="9"/>
  <c r="F148" i="9"/>
  <c r="G148" i="9"/>
  <c r="H148" i="9"/>
  <c r="I148" i="9"/>
  <c r="J148" i="9"/>
  <c r="K148" i="9"/>
  <c r="L148" i="9"/>
  <c r="M148" i="9"/>
  <c r="N148" i="9"/>
  <c r="Q148" i="9"/>
  <c r="R148" i="9"/>
  <c r="S148" i="9"/>
  <c r="T148" i="9"/>
  <c r="U148" i="9"/>
  <c r="V148" i="9"/>
  <c r="W148" i="9"/>
  <c r="X148" i="9"/>
  <c r="Y148" i="9"/>
  <c r="Z148" i="9"/>
  <c r="AA148" i="9"/>
  <c r="AB148" i="9"/>
  <c r="B149" i="9"/>
  <c r="C149" i="9"/>
  <c r="D149" i="9"/>
  <c r="E149" i="9"/>
  <c r="F149" i="9"/>
  <c r="G149" i="9"/>
  <c r="H149" i="9"/>
  <c r="I149" i="9"/>
  <c r="J149" i="9"/>
  <c r="K149" i="9"/>
  <c r="L149" i="9"/>
  <c r="M149" i="9"/>
  <c r="N149" i="9"/>
  <c r="Q149" i="9"/>
  <c r="R149" i="9"/>
  <c r="S149" i="9"/>
  <c r="T149" i="9"/>
  <c r="U149" i="9"/>
  <c r="V149" i="9"/>
  <c r="W149" i="9"/>
  <c r="X149" i="9"/>
  <c r="Y149" i="9"/>
  <c r="Z149" i="9"/>
  <c r="AA149" i="9"/>
  <c r="AB149" i="9"/>
  <c r="B150" i="9"/>
  <c r="C150" i="9"/>
  <c r="D150" i="9"/>
  <c r="E150" i="9"/>
  <c r="F150" i="9"/>
  <c r="G150" i="9"/>
  <c r="H150" i="9"/>
  <c r="I150" i="9"/>
  <c r="J150" i="9"/>
  <c r="K150" i="9"/>
  <c r="L150" i="9"/>
  <c r="M150" i="9"/>
  <c r="N150" i="9"/>
  <c r="Q150" i="9"/>
  <c r="R150" i="9"/>
  <c r="S150" i="9"/>
  <c r="T150" i="9"/>
  <c r="U150" i="9"/>
  <c r="V150" i="9"/>
  <c r="W150" i="9"/>
  <c r="X150" i="9"/>
  <c r="Y150" i="9"/>
  <c r="Z150" i="9"/>
  <c r="AA150" i="9"/>
  <c r="AB150" i="9"/>
  <c r="B151" i="9"/>
  <c r="C151" i="9"/>
  <c r="D151" i="9"/>
  <c r="E151" i="9"/>
  <c r="F151" i="9"/>
  <c r="G151" i="9"/>
  <c r="H151" i="9"/>
  <c r="I151" i="9"/>
  <c r="J151" i="9"/>
  <c r="K151" i="9"/>
  <c r="L151" i="9"/>
  <c r="M151" i="9"/>
  <c r="N151" i="9"/>
  <c r="Q151" i="9"/>
  <c r="R151" i="9"/>
  <c r="S151" i="9"/>
  <c r="T151" i="9"/>
  <c r="U151" i="9"/>
  <c r="V151" i="9"/>
  <c r="W151" i="9"/>
  <c r="X151" i="9"/>
  <c r="Y151" i="9"/>
  <c r="Z151" i="9"/>
  <c r="AA151" i="9"/>
  <c r="AB151" i="9"/>
  <c r="B152" i="9"/>
  <c r="C152" i="9"/>
  <c r="D152" i="9"/>
  <c r="E152" i="9"/>
  <c r="F152" i="9"/>
  <c r="G152" i="9"/>
  <c r="H152" i="9"/>
  <c r="I152" i="9"/>
  <c r="J152" i="9"/>
  <c r="K152" i="9"/>
  <c r="L152" i="9"/>
  <c r="M152" i="9"/>
  <c r="N152" i="9"/>
  <c r="Q152" i="9"/>
  <c r="R152" i="9"/>
  <c r="S152" i="9"/>
  <c r="T152" i="9"/>
  <c r="U152" i="9"/>
  <c r="V152" i="9"/>
  <c r="W152" i="9"/>
  <c r="X152" i="9"/>
  <c r="Y152" i="9"/>
  <c r="Z152" i="9"/>
  <c r="AA152" i="9"/>
  <c r="AB152" i="9"/>
  <c r="B153" i="9"/>
  <c r="C153" i="9"/>
  <c r="D153" i="9"/>
  <c r="E153" i="9"/>
  <c r="F153" i="9"/>
  <c r="G153" i="9"/>
  <c r="H153" i="9"/>
  <c r="I153" i="9"/>
  <c r="J153" i="9"/>
  <c r="K153" i="9"/>
  <c r="L153" i="9"/>
  <c r="M153" i="9"/>
  <c r="N153" i="9"/>
  <c r="Q153" i="9"/>
  <c r="R153" i="9"/>
  <c r="S153" i="9"/>
  <c r="T153" i="9"/>
  <c r="U153" i="9"/>
  <c r="V153" i="9"/>
  <c r="W153" i="9"/>
  <c r="X153" i="9"/>
  <c r="Y153" i="9"/>
  <c r="Z153" i="9"/>
  <c r="AA153" i="9"/>
  <c r="AB153" i="9"/>
  <c r="B154" i="9"/>
  <c r="C154" i="9"/>
  <c r="D154" i="9"/>
  <c r="E154" i="9"/>
  <c r="F154" i="9"/>
  <c r="G154" i="9"/>
  <c r="H154" i="9"/>
  <c r="I154" i="9"/>
  <c r="J154" i="9"/>
  <c r="K154" i="9"/>
  <c r="L154" i="9"/>
  <c r="M154" i="9"/>
  <c r="N154" i="9"/>
  <c r="Q154" i="9"/>
  <c r="R154" i="9"/>
  <c r="S154" i="9"/>
  <c r="T154" i="9"/>
  <c r="U154" i="9"/>
  <c r="V154" i="9"/>
  <c r="W154" i="9"/>
  <c r="X154" i="9"/>
  <c r="Y154" i="9"/>
  <c r="Z154" i="9"/>
  <c r="AA154" i="9"/>
  <c r="AB154" i="9"/>
  <c r="AB132" i="9"/>
  <c r="AA132" i="9"/>
  <c r="Z132" i="9"/>
  <c r="Y132" i="9"/>
  <c r="X132" i="9"/>
  <c r="W132" i="9"/>
  <c r="V132" i="9"/>
  <c r="U132" i="9"/>
  <c r="T132" i="9"/>
  <c r="S132" i="9"/>
  <c r="R132" i="9"/>
  <c r="Q132" i="9"/>
  <c r="N132" i="9"/>
  <c r="M132" i="9"/>
  <c r="L132" i="9"/>
  <c r="K132" i="9"/>
  <c r="J132" i="9"/>
  <c r="I132" i="9"/>
  <c r="H132" i="9"/>
  <c r="G132" i="9"/>
  <c r="F132" i="9"/>
  <c r="E132" i="9"/>
  <c r="D132" i="9"/>
  <c r="C132" i="9"/>
  <c r="B132" i="9"/>
  <c r="B116" i="9"/>
  <c r="C116" i="9"/>
  <c r="D116" i="9"/>
  <c r="E116" i="9"/>
  <c r="F116" i="9"/>
  <c r="G116" i="9"/>
  <c r="H116" i="9"/>
  <c r="I116" i="9"/>
  <c r="J116" i="9"/>
  <c r="K116" i="9"/>
  <c r="L116" i="9"/>
  <c r="M116" i="9"/>
  <c r="N116" i="9"/>
  <c r="P116" i="9"/>
  <c r="Q116" i="9"/>
  <c r="R116" i="9"/>
  <c r="S116" i="9"/>
  <c r="T116" i="9"/>
  <c r="U116" i="9"/>
  <c r="V116" i="9"/>
  <c r="W116" i="9"/>
  <c r="X116" i="9"/>
  <c r="Y116" i="9"/>
  <c r="Z116" i="9"/>
  <c r="AA116" i="9"/>
  <c r="AB116" i="9"/>
  <c r="B117" i="9"/>
  <c r="C117" i="9"/>
  <c r="D117" i="9"/>
  <c r="E117" i="9"/>
  <c r="F117" i="9"/>
  <c r="G117" i="9"/>
  <c r="H117" i="9"/>
  <c r="I117" i="9"/>
  <c r="J117" i="9"/>
  <c r="K117" i="9"/>
  <c r="L117" i="9"/>
  <c r="M117" i="9"/>
  <c r="N117" i="9"/>
  <c r="P117" i="9"/>
  <c r="Q117" i="9"/>
  <c r="R117" i="9"/>
  <c r="S117" i="9"/>
  <c r="T117" i="9"/>
  <c r="U117" i="9"/>
  <c r="V117" i="9"/>
  <c r="W117" i="9"/>
  <c r="X117" i="9"/>
  <c r="Y117" i="9"/>
  <c r="Z117" i="9"/>
  <c r="AA117" i="9"/>
  <c r="AB117" i="9"/>
  <c r="B118" i="9"/>
  <c r="C118" i="9"/>
  <c r="D118" i="9"/>
  <c r="E118" i="9"/>
  <c r="F118" i="9"/>
  <c r="G118" i="9"/>
  <c r="H118" i="9"/>
  <c r="I118" i="9"/>
  <c r="J118" i="9"/>
  <c r="K118" i="9"/>
  <c r="L118" i="9"/>
  <c r="M118" i="9"/>
  <c r="N118" i="9"/>
  <c r="Q118" i="9"/>
  <c r="R118" i="9"/>
  <c r="S118" i="9"/>
  <c r="T118" i="9"/>
  <c r="U118" i="9"/>
  <c r="V118" i="9"/>
  <c r="W118" i="9"/>
  <c r="X118" i="9"/>
  <c r="Y118" i="9"/>
  <c r="Z118" i="9"/>
  <c r="AA118" i="9"/>
  <c r="AB118" i="9"/>
  <c r="B119" i="9"/>
  <c r="C119" i="9"/>
  <c r="D119" i="9"/>
  <c r="E119" i="9"/>
  <c r="F119" i="9"/>
  <c r="G119" i="9"/>
  <c r="H119" i="9"/>
  <c r="I119" i="9"/>
  <c r="J119" i="9"/>
  <c r="K119" i="9"/>
  <c r="L119" i="9"/>
  <c r="M119" i="9"/>
  <c r="N119" i="9"/>
  <c r="Q119" i="9"/>
  <c r="R119" i="9"/>
  <c r="S119" i="9"/>
  <c r="T119" i="9"/>
  <c r="U119" i="9"/>
  <c r="V119" i="9"/>
  <c r="W119" i="9"/>
  <c r="X119" i="9"/>
  <c r="Y119" i="9"/>
  <c r="Z119" i="9"/>
  <c r="AA119" i="9"/>
  <c r="AB119" i="9"/>
  <c r="B120" i="9"/>
  <c r="C120" i="9"/>
  <c r="D120" i="9"/>
  <c r="E120" i="9"/>
  <c r="F120" i="9"/>
  <c r="G120" i="9"/>
  <c r="H120" i="9"/>
  <c r="I120" i="9"/>
  <c r="J120" i="9"/>
  <c r="K120" i="9"/>
  <c r="L120" i="9"/>
  <c r="M120" i="9"/>
  <c r="N120" i="9"/>
  <c r="P120" i="9"/>
  <c r="Q120" i="9"/>
  <c r="R120" i="9"/>
  <c r="S120" i="9"/>
  <c r="T120" i="9"/>
  <c r="U120" i="9"/>
  <c r="V120" i="9"/>
  <c r="W120" i="9"/>
  <c r="X120" i="9"/>
  <c r="Y120" i="9"/>
  <c r="Z120" i="9"/>
  <c r="AA120" i="9"/>
  <c r="AB120" i="9"/>
  <c r="B121" i="9"/>
  <c r="C121" i="9"/>
  <c r="D121" i="9"/>
  <c r="E121" i="9"/>
  <c r="F121" i="9"/>
  <c r="G121" i="9"/>
  <c r="H121" i="9"/>
  <c r="I121" i="9"/>
  <c r="J121" i="9"/>
  <c r="K121" i="9"/>
  <c r="L121" i="9"/>
  <c r="M121" i="9"/>
  <c r="N121" i="9"/>
  <c r="P121" i="9"/>
  <c r="Q121" i="9"/>
  <c r="R121" i="9"/>
  <c r="S121" i="9"/>
  <c r="T121" i="9"/>
  <c r="U121" i="9"/>
  <c r="V121" i="9"/>
  <c r="W121" i="9"/>
  <c r="X121" i="9"/>
  <c r="Y121" i="9"/>
  <c r="Z121" i="9"/>
  <c r="AA121" i="9"/>
  <c r="AB121" i="9"/>
  <c r="B122" i="9"/>
  <c r="C122" i="9"/>
  <c r="D122" i="9"/>
  <c r="E122" i="9"/>
  <c r="F122" i="9"/>
  <c r="G122" i="9"/>
  <c r="H122" i="9"/>
  <c r="I122" i="9"/>
  <c r="J122" i="9"/>
  <c r="K122" i="9"/>
  <c r="L122" i="9"/>
  <c r="M122" i="9"/>
  <c r="N122" i="9"/>
  <c r="Q122" i="9"/>
  <c r="R122" i="9"/>
  <c r="S122" i="9"/>
  <c r="T122" i="9"/>
  <c r="U122" i="9"/>
  <c r="V122" i="9"/>
  <c r="W122" i="9"/>
  <c r="X122" i="9"/>
  <c r="Y122" i="9"/>
  <c r="Z122" i="9"/>
  <c r="AA122" i="9"/>
  <c r="AB122" i="9"/>
  <c r="B123" i="9"/>
  <c r="C123" i="9"/>
  <c r="D123" i="9"/>
  <c r="E123" i="9"/>
  <c r="F123" i="9"/>
  <c r="G123" i="9"/>
  <c r="H123" i="9"/>
  <c r="I123" i="9"/>
  <c r="J123" i="9"/>
  <c r="K123" i="9"/>
  <c r="L123" i="9"/>
  <c r="M123" i="9"/>
  <c r="N123" i="9"/>
  <c r="P123" i="9"/>
  <c r="Q123" i="9"/>
  <c r="R123" i="9"/>
  <c r="S123" i="9"/>
  <c r="T123" i="9"/>
  <c r="U123" i="9"/>
  <c r="V123" i="9"/>
  <c r="W123" i="9"/>
  <c r="X123" i="9"/>
  <c r="Y123" i="9"/>
  <c r="Z123" i="9"/>
  <c r="AA123" i="9"/>
  <c r="AB123" i="9"/>
  <c r="B124" i="9"/>
  <c r="C124" i="9"/>
  <c r="D124" i="9"/>
  <c r="E124" i="9"/>
  <c r="F124" i="9"/>
  <c r="G124" i="9"/>
  <c r="H124" i="9"/>
  <c r="I124" i="9"/>
  <c r="J124" i="9"/>
  <c r="K124" i="9"/>
  <c r="L124" i="9"/>
  <c r="M124" i="9"/>
  <c r="N124" i="9"/>
  <c r="Q124" i="9"/>
  <c r="R124" i="9"/>
  <c r="S124" i="9"/>
  <c r="T124" i="9"/>
  <c r="U124" i="9"/>
  <c r="V124" i="9"/>
  <c r="W124" i="9"/>
  <c r="X124" i="9"/>
  <c r="Y124" i="9"/>
  <c r="Z124" i="9"/>
  <c r="AA124" i="9"/>
  <c r="AB124" i="9"/>
  <c r="B125" i="9"/>
  <c r="C125" i="9"/>
  <c r="D125" i="9"/>
  <c r="E125" i="9"/>
  <c r="F125" i="9"/>
  <c r="G125" i="9"/>
  <c r="H125" i="9"/>
  <c r="I125" i="9"/>
  <c r="J125" i="9"/>
  <c r="K125" i="9"/>
  <c r="L125" i="9"/>
  <c r="M125" i="9"/>
  <c r="N125" i="9"/>
  <c r="Q125" i="9"/>
  <c r="R125" i="9"/>
  <c r="S125" i="9"/>
  <c r="T125" i="9"/>
  <c r="U125" i="9"/>
  <c r="V125" i="9"/>
  <c r="W125" i="9"/>
  <c r="X125" i="9"/>
  <c r="Y125" i="9"/>
  <c r="Z125" i="9"/>
  <c r="AA125" i="9"/>
  <c r="B126" i="9"/>
  <c r="C126" i="9"/>
  <c r="D126" i="9"/>
  <c r="E126" i="9"/>
  <c r="F126" i="9"/>
  <c r="G126" i="9"/>
  <c r="H126" i="9"/>
  <c r="I126" i="9"/>
  <c r="J126" i="9"/>
  <c r="K126" i="9"/>
  <c r="L126" i="9"/>
  <c r="M126" i="9"/>
  <c r="N126" i="9"/>
  <c r="P126" i="9"/>
  <c r="Q126" i="9"/>
  <c r="R126" i="9"/>
  <c r="S126" i="9"/>
  <c r="T126" i="9"/>
  <c r="U126" i="9"/>
  <c r="V126" i="9"/>
  <c r="W126" i="9"/>
  <c r="X126" i="9"/>
  <c r="Y126" i="9"/>
  <c r="Z126" i="9"/>
  <c r="AA126" i="9"/>
  <c r="AB126" i="9"/>
  <c r="B127" i="9"/>
  <c r="C127" i="9"/>
  <c r="D127" i="9"/>
  <c r="E127" i="9"/>
  <c r="F127" i="9"/>
  <c r="G127" i="9"/>
  <c r="H127" i="9"/>
  <c r="I127" i="9"/>
  <c r="J127" i="9"/>
  <c r="K127" i="9"/>
  <c r="L127" i="9"/>
  <c r="M127" i="9"/>
  <c r="N127" i="9"/>
  <c r="P127" i="9"/>
  <c r="Q127" i="9"/>
  <c r="R127" i="9"/>
  <c r="S127" i="9"/>
  <c r="T127" i="9"/>
  <c r="U127" i="9"/>
  <c r="V127" i="9"/>
  <c r="W127" i="9"/>
  <c r="X127" i="9"/>
  <c r="Y127" i="9"/>
  <c r="Z127" i="9"/>
  <c r="AA127" i="9"/>
  <c r="AB127" i="9"/>
  <c r="B111" i="9"/>
  <c r="C111" i="9"/>
  <c r="D111" i="9"/>
  <c r="E111" i="9"/>
  <c r="F111" i="9"/>
  <c r="G111" i="9"/>
  <c r="H111" i="9"/>
  <c r="I111" i="9"/>
  <c r="J111" i="9"/>
  <c r="K111" i="9"/>
  <c r="L111" i="9"/>
  <c r="M111" i="9"/>
  <c r="N111" i="9"/>
  <c r="P111" i="9"/>
  <c r="Q111" i="9"/>
  <c r="R111" i="9"/>
  <c r="S111" i="9"/>
  <c r="T111" i="9"/>
  <c r="U111" i="9"/>
  <c r="V111" i="9"/>
  <c r="W111" i="9"/>
  <c r="X111" i="9"/>
  <c r="Y111" i="9"/>
  <c r="Z111" i="9"/>
  <c r="AA111" i="9"/>
  <c r="AB111" i="9"/>
  <c r="B112" i="9"/>
  <c r="C112" i="9"/>
  <c r="D112" i="9"/>
  <c r="E112" i="9"/>
  <c r="F112" i="9"/>
  <c r="G112" i="9"/>
  <c r="H112" i="9"/>
  <c r="I112" i="9"/>
  <c r="J112" i="9"/>
  <c r="K112" i="9"/>
  <c r="L112" i="9"/>
  <c r="M112" i="9"/>
  <c r="N112" i="9"/>
  <c r="P112" i="9"/>
  <c r="Q112" i="9"/>
  <c r="R112" i="9"/>
  <c r="S112" i="9"/>
  <c r="T112" i="9"/>
  <c r="U112" i="9"/>
  <c r="V112" i="9"/>
  <c r="W112" i="9"/>
  <c r="X112" i="9"/>
  <c r="Y112" i="9"/>
  <c r="Z112" i="9"/>
  <c r="AA112" i="9"/>
  <c r="AB112" i="9"/>
  <c r="B113" i="9"/>
  <c r="C113" i="9"/>
  <c r="D113" i="9"/>
  <c r="E113" i="9"/>
  <c r="F113" i="9"/>
  <c r="G113" i="9"/>
  <c r="H113" i="9"/>
  <c r="I113" i="9"/>
  <c r="J113" i="9"/>
  <c r="K113" i="9"/>
  <c r="L113" i="9"/>
  <c r="M113" i="9"/>
  <c r="N113" i="9"/>
  <c r="P113" i="9"/>
  <c r="Q113" i="9"/>
  <c r="R113" i="9"/>
  <c r="S113" i="9"/>
  <c r="T113" i="9"/>
  <c r="U113" i="9"/>
  <c r="V113" i="9"/>
  <c r="W113" i="9"/>
  <c r="X113" i="9"/>
  <c r="Y113" i="9"/>
  <c r="Z113" i="9"/>
  <c r="AA113" i="9"/>
  <c r="AB113" i="9"/>
  <c r="B114" i="9"/>
  <c r="C114" i="9"/>
  <c r="D114" i="9"/>
  <c r="E114" i="9"/>
  <c r="F114" i="9"/>
  <c r="G114" i="9"/>
  <c r="H114" i="9"/>
  <c r="I114" i="9"/>
  <c r="J114" i="9"/>
  <c r="K114" i="9"/>
  <c r="L114" i="9"/>
  <c r="M114" i="9"/>
  <c r="N114" i="9"/>
  <c r="P114" i="9"/>
  <c r="Q114" i="9"/>
  <c r="R114" i="9"/>
  <c r="S114" i="9"/>
  <c r="T114" i="9"/>
  <c r="U114" i="9"/>
  <c r="V114" i="9"/>
  <c r="W114" i="9"/>
  <c r="X114" i="9"/>
  <c r="Y114" i="9"/>
  <c r="Z114" i="9"/>
  <c r="AA114" i="9"/>
  <c r="AB114" i="9"/>
  <c r="B110" i="9"/>
  <c r="C110" i="9"/>
  <c r="D110" i="9"/>
  <c r="E110" i="9"/>
  <c r="F110" i="9"/>
  <c r="G110" i="9"/>
  <c r="H110" i="9"/>
  <c r="I110" i="9"/>
  <c r="J110" i="9"/>
  <c r="K110" i="9"/>
  <c r="L110" i="9"/>
  <c r="M110" i="9"/>
  <c r="N110" i="9"/>
  <c r="Q110" i="9"/>
  <c r="R110" i="9"/>
  <c r="S110" i="9"/>
  <c r="T110" i="9"/>
  <c r="U110" i="9"/>
  <c r="V110" i="9"/>
  <c r="W110" i="9"/>
  <c r="X110" i="9"/>
  <c r="Y110" i="9"/>
  <c r="Z110" i="9"/>
  <c r="AA110" i="9"/>
  <c r="AB110" i="9"/>
  <c r="AB115" i="9"/>
  <c r="AA115" i="9"/>
  <c r="Z115" i="9"/>
  <c r="Y115" i="9"/>
  <c r="X115" i="9"/>
  <c r="W115" i="9"/>
  <c r="V115" i="9"/>
  <c r="U115" i="9"/>
  <c r="T115" i="9"/>
  <c r="S115" i="9"/>
  <c r="R115" i="9"/>
  <c r="Q115" i="9"/>
  <c r="P115" i="9"/>
  <c r="N115" i="9"/>
  <c r="M115" i="9"/>
  <c r="L115" i="9"/>
  <c r="K115" i="9"/>
  <c r="J115" i="9"/>
  <c r="I115" i="9"/>
  <c r="H115" i="9"/>
  <c r="G115" i="9"/>
  <c r="F115" i="9"/>
  <c r="E115" i="9"/>
  <c r="D115" i="9"/>
  <c r="C115" i="9"/>
  <c r="B115" i="9"/>
  <c r="R13" i="9"/>
  <c r="S13" i="9"/>
  <c r="T13" i="9"/>
  <c r="U13" i="9"/>
  <c r="AE3" i="9"/>
  <c r="AE2" i="9"/>
  <c r="N3" i="8"/>
  <c r="N2" i="8"/>
  <c r="N3" i="7"/>
  <c r="N2" i="7"/>
  <c r="N3" i="6"/>
  <c r="N2" i="6"/>
  <c r="N3" i="5"/>
  <c r="N2" i="5"/>
  <c r="N3" i="4"/>
  <c r="N2" i="4"/>
  <c r="B82" i="9"/>
  <c r="C82" i="9"/>
  <c r="D82" i="9"/>
  <c r="E82" i="9"/>
  <c r="F82" i="9"/>
  <c r="G82" i="9"/>
  <c r="H82" i="9"/>
  <c r="I82" i="9"/>
  <c r="J82" i="9"/>
  <c r="K82" i="9"/>
  <c r="L82" i="9"/>
  <c r="M82" i="9"/>
  <c r="N82" i="9"/>
  <c r="Q82" i="9"/>
  <c r="R82" i="9"/>
  <c r="S82" i="9"/>
  <c r="T82" i="9"/>
  <c r="U82" i="9"/>
  <c r="V82" i="9"/>
  <c r="W82" i="9"/>
  <c r="X82" i="9"/>
  <c r="Y82" i="9"/>
  <c r="Z82" i="9"/>
  <c r="AA82" i="9"/>
  <c r="AB82" i="9"/>
  <c r="B97" i="9"/>
  <c r="C97" i="9"/>
  <c r="D97" i="9"/>
  <c r="E97" i="9"/>
  <c r="F97" i="9"/>
  <c r="G97" i="9"/>
  <c r="H97" i="9"/>
  <c r="I97" i="9"/>
  <c r="J97" i="9"/>
  <c r="K97" i="9"/>
  <c r="L97" i="9"/>
  <c r="M97" i="9"/>
  <c r="N97" i="9"/>
  <c r="Q97" i="9"/>
  <c r="R97" i="9"/>
  <c r="S97" i="9"/>
  <c r="T97" i="9"/>
  <c r="U97" i="9"/>
  <c r="V97" i="9"/>
  <c r="W97" i="9"/>
  <c r="X97" i="9"/>
  <c r="Y97" i="9"/>
  <c r="Z97" i="9"/>
  <c r="AA97" i="9"/>
  <c r="AB97" i="9"/>
  <c r="B88" i="9"/>
  <c r="C88" i="9"/>
  <c r="D88" i="9"/>
  <c r="E88" i="9"/>
  <c r="F88" i="9"/>
  <c r="G88" i="9"/>
  <c r="H88" i="9"/>
  <c r="I88" i="9"/>
  <c r="J88" i="9"/>
  <c r="K88" i="9"/>
  <c r="L88" i="9"/>
  <c r="M88" i="9"/>
  <c r="N88" i="9"/>
  <c r="Q88" i="9"/>
  <c r="R88" i="9"/>
  <c r="S88" i="9"/>
  <c r="T88" i="9"/>
  <c r="U88" i="9"/>
  <c r="V88" i="9"/>
  <c r="W88" i="9"/>
  <c r="X88" i="9"/>
  <c r="Y88" i="9"/>
  <c r="Z88" i="9"/>
  <c r="AA88" i="9"/>
  <c r="AB88" i="9"/>
  <c r="B89" i="9"/>
  <c r="C89" i="9"/>
  <c r="D89" i="9"/>
  <c r="E89" i="9"/>
  <c r="F89" i="9"/>
  <c r="G89" i="9"/>
  <c r="H89" i="9"/>
  <c r="I89" i="9"/>
  <c r="J89" i="9"/>
  <c r="K89" i="9"/>
  <c r="L89" i="9"/>
  <c r="M89" i="9"/>
  <c r="N89" i="9"/>
  <c r="Q89" i="9"/>
  <c r="R89" i="9"/>
  <c r="S89" i="9"/>
  <c r="T89" i="9"/>
  <c r="U89" i="9"/>
  <c r="V89" i="9"/>
  <c r="W89" i="9"/>
  <c r="X89" i="9"/>
  <c r="Y89" i="9"/>
  <c r="Z89" i="9"/>
  <c r="AA89" i="9"/>
  <c r="AB89" i="9"/>
  <c r="B90" i="9"/>
  <c r="C90" i="9"/>
  <c r="D90" i="9"/>
  <c r="E90" i="9"/>
  <c r="F90" i="9"/>
  <c r="G90" i="9"/>
  <c r="H90" i="9"/>
  <c r="I90" i="9"/>
  <c r="J90" i="9"/>
  <c r="K90" i="9"/>
  <c r="L90" i="9"/>
  <c r="M90" i="9"/>
  <c r="N90" i="9"/>
  <c r="Q90" i="9"/>
  <c r="R90" i="9"/>
  <c r="S90" i="9"/>
  <c r="T90" i="9"/>
  <c r="U90" i="9"/>
  <c r="V90" i="9"/>
  <c r="W90" i="9"/>
  <c r="X90" i="9"/>
  <c r="Y90" i="9"/>
  <c r="Z90" i="9"/>
  <c r="AA90" i="9"/>
  <c r="AB90" i="9"/>
  <c r="B91" i="9"/>
  <c r="C91" i="9"/>
  <c r="D91" i="9"/>
  <c r="E91" i="9"/>
  <c r="F91" i="9"/>
  <c r="G91" i="9"/>
  <c r="H91" i="9"/>
  <c r="I91" i="9"/>
  <c r="J91" i="9"/>
  <c r="K91" i="9"/>
  <c r="L91" i="9"/>
  <c r="M91" i="9"/>
  <c r="N91" i="9"/>
  <c r="Q91" i="9"/>
  <c r="R91" i="9"/>
  <c r="S91" i="9"/>
  <c r="T91" i="9"/>
  <c r="U91" i="9"/>
  <c r="V91" i="9"/>
  <c r="W91" i="9"/>
  <c r="X91" i="9"/>
  <c r="Y91" i="9"/>
  <c r="Z91" i="9"/>
  <c r="AA91" i="9"/>
  <c r="AB91" i="9"/>
  <c r="B92" i="9"/>
  <c r="C92" i="9"/>
  <c r="D92" i="9"/>
  <c r="E92" i="9"/>
  <c r="F92" i="9"/>
  <c r="G92" i="9"/>
  <c r="H92" i="9"/>
  <c r="I92" i="9"/>
  <c r="J92" i="9"/>
  <c r="K92" i="9"/>
  <c r="L92" i="9"/>
  <c r="M92" i="9"/>
  <c r="N92" i="9"/>
  <c r="Q92" i="9"/>
  <c r="R92" i="9"/>
  <c r="S92" i="9"/>
  <c r="T92" i="9"/>
  <c r="U92" i="9"/>
  <c r="V92" i="9"/>
  <c r="W92" i="9"/>
  <c r="X92" i="9"/>
  <c r="Y92" i="9"/>
  <c r="Z92" i="9"/>
  <c r="AA92" i="9"/>
  <c r="AB92" i="9"/>
  <c r="B93" i="9"/>
  <c r="C93" i="9"/>
  <c r="D93" i="9"/>
  <c r="E93" i="9"/>
  <c r="F93" i="9"/>
  <c r="G93" i="9"/>
  <c r="H93" i="9"/>
  <c r="I93" i="9"/>
  <c r="J93" i="9"/>
  <c r="K93" i="9"/>
  <c r="L93" i="9"/>
  <c r="M93" i="9"/>
  <c r="N93" i="9"/>
  <c r="Q93" i="9"/>
  <c r="R93" i="9"/>
  <c r="S93" i="9"/>
  <c r="T93" i="9"/>
  <c r="U93" i="9"/>
  <c r="V93" i="9"/>
  <c r="W93" i="9"/>
  <c r="X93" i="9"/>
  <c r="Y93" i="9"/>
  <c r="Z93" i="9"/>
  <c r="AA93" i="9"/>
  <c r="AB93" i="9"/>
  <c r="B94" i="9"/>
  <c r="C94" i="9"/>
  <c r="D94" i="9"/>
  <c r="E94" i="9"/>
  <c r="F94" i="9"/>
  <c r="G94" i="9"/>
  <c r="H94" i="9"/>
  <c r="I94" i="9"/>
  <c r="J94" i="9"/>
  <c r="K94" i="9"/>
  <c r="L94" i="9"/>
  <c r="M94" i="9"/>
  <c r="N94" i="9"/>
  <c r="Q94" i="9"/>
  <c r="R94" i="9"/>
  <c r="S94" i="9"/>
  <c r="T94" i="9"/>
  <c r="U94" i="9"/>
  <c r="V94" i="9"/>
  <c r="W94" i="9"/>
  <c r="X94" i="9"/>
  <c r="Y94" i="9"/>
  <c r="Z94" i="9"/>
  <c r="AA94" i="9"/>
  <c r="AB94" i="9"/>
  <c r="B95" i="9"/>
  <c r="C95" i="9"/>
  <c r="D95" i="9"/>
  <c r="E95" i="9"/>
  <c r="F95" i="9"/>
  <c r="G95" i="9"/>
  <c r="H95" i="9"/>
  <c r="I95" i="9"/>
  <c r="J95" i="9"/>
  <c r="K95" i="9"/>
  <c r="L95" i="9"/>
  <c r="M95" i="9"/>
  <c r="N95" i="9"/>
  <c r="Q95" i="9"/>
  <c r="R95" i="9"/>
  <c r="S95" i="9"/>
  <c r="T95" i="9"/>
  <c r="U95" i="9"/>
  <c r="V95" i="9"/>
  <c r="W95" i="9"/>
  <c r="X95" i="9"/>
  <c r="Y95" i="9"/>
  <c r="Z95" i="9"/>
  <c r="AA95" i="9"/>
  <c r="AB95" i="9"/>
  <c r="B96" i="9"/>
  <c r="C96" i="9"/>
  <c r="D96" i="9"/>
  <c r="E96" i="9"/>
  <c r="F96" i="9"/>
  <c r="G96" i="9"/>
  <c r="H96" i="9"/>
  <c r="I96" i="9"/>
  <c r="J96" i="9"/>
  <c r="K96" i="9"/>
  <c r="L96" i="9"/>
  <c r="M96" i="9"/>
  <c r="N96" i="9"/>
  <c r="Q96" i="9"/>
  <c r="R96" i="9"/>
  <c r="S96" i="9"/>
  <c r="T96" i="9"/>
  <c r="U96" i="9"/>
  <c r="V96" i="9"/>
  <c r="W96" i="9"/>
  <c r="X96" i="9"/>
  <c r="Y96" i="9"/>
  <c r="Z96" i="9"/>
  <c r="AA96" i="9"/>
  <c r="AB96" i="9"/>
  <c r="B98" i="9"/>
  <c r="C98" i="9"/>
  <c r="D98" i="9"/>
  <c r="E98" i="9"/>
  <c r="F98" i="9"/>
  <c r="G98" i="9"/>
  <c r="H98" i="9"/>
  <c r="I98" i="9"/>
  <c r="J98" i="9"/>
  <c r="K98" i="9"/>
  <c r="L98" i="9"/>
  <c r="M98" i="9"/>
  <c r="N98" i="9"/>
  <c r="Q98" i="9"/>
  <c r="R98" i="9"/>
  <c r="S98" i="9"/>
  <c r="T98" i="9"/>
  <c r="U98" i="9"/>
  <c r="V98" i="9"/>
  <c r="W98" i="9"/>
  <c r="X98" i="9"/>
  <c r="Y98" i="9"/>
  <c r="Z98" i="9"/>
  <c r="AA98" i="9"/>
  <c r="AB98" i="9"/>
  <c r="B99" i="9"/>
  <c r="C99" i="9"/>
  <c r="D99" i="9"/>
  <c r="E99" i="9"/>
  <c r="F99" i="9"/>
  <c r="G99" i="9"/>
  <c r="H99" i="9"/>
  <c r="I99" i="9"/>
  <c r="J99" i="9"/>
  <c r="K99" i="9"/>
  <c r="L99" i="9"/>
  <c r="M99" i="9"/>
  <c r="N99" i="9"/>
  <c r="Q99" i="9"/>
  <c r="R99" i="9"/>
  <c r="S99" i="9"/>
  <c r="T99" i="9"/>
  <c r="U99" i="9"/>
  <c r="V99" i="9"/>
  <c r="W99" i="9"/>
  <c r="X99" i="9"/>
  <c r="Y99" i="9"/>
  <c r="Z99" i="9"/>
  <c r="AA99" i="9"/>
  <c r="AB99" i="9"/>
  <c r="B100" i="9"/>
  <c r="C100" i="9"/>
  <c r="D100" i="9"/>
  <c r="E100" i="9"/>
  <c r="F100" i="9"/>
  <c r="G100" i="9"/>
  <c r="H100" i="9"/>
  <c r="I100" i="9"/>
  <c r="J100" i="9"/>
  <c r="K100" i="9"/>
  <c r="L100" i="9"/>
  <c r="M100" i="9"/>
  <c r="N100" i="9"/>
  <c r="Q100" i="9"/>
  <c r="R100" i="9"/>
  <c r="S100" i="9"/>
  <c r="T100" i="9"/>
  <c r="U100" i="9"/>
  <c r="V100" i="9"/>
  <c r="W100" i="9"/>
  <c r="X100" i="9"/>
  <c r="Y100" i="9"/>
  <c r="Z100" i="9"/>
  <c r="AA100" i="9"/>
  <c r="AB100" i="9"/>
  <c r="B101" i="9"/>
  <c r="C101" i="9"/>
  <c r="D101" i="9"/>
  <c r="E101" i="9"/>
  <c r="F101" i="9"/>
  <c r="G101" i="9"/>
  <c r="H101" i="9"/>
  <c r="I101" i="9"/>
  <c r="J101" i="9"/>
  <c r="K101" i="9"/>
  <c r="L101" i="9"/>
  <c r="M101" i="9"/>
  <c r="N101" i="9"/>
  <c r="Q101" i="9"/>
  <c r="R101" i="9"/>
  <c r="S101" i="9"/>
  <c r="T101" i="9"/>
  <c r="U101" i="9"/>
  <c r="V101" i="9"/>
  <c r="W101" i="9"/>
  <c r="X101" i="9"/>
  <c r="Y101" i="9"/>
  <c r="Z101" i="9"/>
  <c r="AA101" i="9"/>
  <c r="AB101" i="9"/>
  <c r="B102" i="9"/>
  <c r="C102" i="9"/>
  <c r="D102" i="9"/>
  <c r="E102" i="9"/>
  <c r="F102" i="9"/>
  <c r="G102" i="9"/>
  <c r="H102" i="9"/>
  <c r="I102" i="9"/>
  <c r="J102" i="9"/>
  <c r="K102" i="9"/>
  <c r="L102" i="9"/>
  <c r="M102" i="9"/>
  <c r="N102" i="9"/>
  <c r="Q102" i="9"/>
  <c r="R102" i="9"/>
  <c r="S102" i="9"/>
  <c r="T102" i="9"/>
  <c r="U102" i="9"/>
  <c r="V102" i="9"/>
  <c r="W102" i="9"/>
  <c r="X102" i="9"/>
  <c r="Y102" i="9"/>
  <c r="Z102" i="9"/>
  <c r="AA102" i="9"/>
  <c r="AB102" i="9"/>
  <c r="B103" i="9"/>
  <c r="C103" i="9"/>
  <c r="D103" i="9"/>
  <c r="E103" i="9"/>
  <c r="F103" i="9"/>
  <c r="G103" i="9"/>
  <c r="H103" i="9"/>
  <c r="I103" i="9"/>
  <c r="J103" i="9"/>
  <c r="K103" i="9"/>
  <c r="L103" i="9"/>
  <c r="M103" i="9"/>
  <c r="N103" i="9"/>
  <c r="Q103" i="9"/>
  <c r="R103" i="9"/>
  <c r="S103" i="9"/>
  <c r="T103" i="9"/>
  <c r="U103" i="9"/>
  <c r="V103" i="9"/>
  <c r="W103" i="9"/>
  <c r="X103" i="9"/>
  <c r="Y103" i="9"/>
  <c r="Z103" i="9"/>
  <c r="AA103" i="9"/>
  <c r="AB103" i="9"/>
  <c r="B104" i="9"/>
  <c r="C104" i="9"/>
  <c r="D104" i="9"/>
  <c r="E104" i="9"/>
  <c r="F104" i="9"/>
  <c r="G104" i="9"/>
  <c r="H104" i="9"/>
  <c r="I104" i="9"/>
  <c r="J104" i="9"/>
  <c r="K104" i="9"/>
  <c r="L104" i="9"/>
  <c r="M104" i="9"/>
  <c r="N104" i="9"/>
  <c r="Q104" i="9"/>
  <c r="R104" i="9"/>
  <c r="S104" i="9"/>
  <c r="T104" i="9"/>
  <c r="U104" i="9"/>
  <c r="V104" i="9"/>
  <c r="W104" i="9"/>
  <c r="X104" i="9"/>
  <c r="Y104" i="9"/>
  <c r="Z104" i="9"/>
  <c r="AA104" i="9"/>
  <c r="AB104" i="9"/>
  <c r="B105" i="9"/>
  <c r="C105" i="9"/>
  <c r="D105" i="9"/>
  <c r="E105" i="9"/>
  <c r="F105" i="9"/>
  <c r="G105" i="9"/>
  <c r="H105" i="9"/>
  <c r="I105" i="9"/>
  <c r="J105" i="9"/>
  <c r="K105" i="9"/>
  <c r="L105" i="9"/>
  <c r="M105" i="9"/>
  <c r="N105" i="9"/>
  <c r="Q105" i="9"/>
  <c r="R105" i="9"/>
  <c r="S105" i="9"/>
  <c r="T105" i="9"/>
  <c r="U105" i="9"/>
  <c r="V105" i="9"/>
  <c r="W105" i="9"/>
  <c r="X105" i="9"/>
  <c r="Y105" i="9"/>
  <c r="Z105" i="9"/>
  <c r="AA105" i="9"/>
  <c r="AB105" i="9"/>
  <c r="B106" i="9"/>
  <c r="C106" i="9"/>
  <c r="H106" i="9"/>
  <c r="I106" i="9"/>
  <c r="J106" i="9"/>
  <c r="K106" i="9"/>
  <c r="L106" i="9"/>
  <c r="M106" i="9"/>
  <c r="N106" i="9"/>
  <c r="Q106" i="9"/>
  <c r="R106" i="9"/>
  <c r="S106" i="9"/>
  <c r="T106" i="9"/>
  <c r="U106" i="9"/>
  <c r="V106" i="9"/>
  <c r="W106" i="9"/>
  <c r="X106" i="9"/>
  <c r="Y106" i="9"/>
  <c r="Z106" i="9"/>
  <c r="AA106" i="9"/>
  <c r="AB106" i="9"/>
  <c r="B107" i="9"/>
  <c r="C107" i="9"/>
  <c r="H107" i="9"/>
  <c r="I107" i="9"/>
  <c r="J107" i="9"/>
  <c r="K107" i="9"/>
  <c r="L107" i="9"/>
  <c r="M107" i="9"/>
  <c r="N107" i="9"/>
  <c r="Q107" i="9"/>
  <c r="R107" i="9"/>
  <c r="S107" i="9"/>
  <c r="T107" i="9"/>
  <c r="U107" i="9"/>
  <c r="V107" i="9"/>
  <c r="W107" i="9"/>
  <c r="X107" i="9"/>
  <c r="Y107" i="9"/>
  <c r="Z107" i="9"/>
  <c r="AA107" i="9"/>
  <c r="B108" i="9"/>
  <c r="C108" i="9"/>
  <c r="H108" i="9"/>
  <c r="I108" i="9"/>
  <c r="J108" i="9"/>
  <c r="K108" i="9"/>
  <c r="L108" i="9"/>
  <c r="M108" i="9"/>
  <c r="N108" i="9"/>
  <c r="B109" i="9"/>
  <c r="C109" i="9"/>
  <c r="H109" i="9"/>
  <c r="I109" i="9"/>
  <c r="J109" i="9"/>
  <c r="K109" i="9"/>
  <c r="L109" i="9"/>
  <c r="M109" i="9"/>
  <c r="N109" i="9"/>
  <c r="B83" i="9"/>
  <c r="C83" i="9"/>
  <c r="D83" i="9"/>
  <c r="E83" i="9"/>
  <c r="F83" i="9"/>
  <c r="G83" i="9"/>
  <c r="H83" i="9"/>
  <c r="I83" i="9"/>
  <c r="J83" i="9"/>
  <c r="K83" i="9"/>
  <c r="L83" i="9"/>
  <c r="M83" i="9"/>
  <c r="N83" i="9"/>
  <c r="Q83" i="9"/>
  <c r="R83" i="9"/>
  <c r="S83" i="9"/>
  <c r="T83" i="9"/>
  <c r="U83" i="9"/>
  <c r="V83" i="9"/>
  <c r="W83" i="9"/>
  <c r="X83" i="9"/>
  <c r="Y83" i="9"/>
  <c r="Z83" i="9"/>
  <c r="AA83" i="9"/>
  <c r="AB83" i="9"/>
  <c r="B84" i="9"/>
  <c r="C84" i="9"/>
  <c r="D84" i="9"/>
  <c r="E84" i="9"/>
  <c r="F84" i="9"/>
  <c r="G84" i="9"/>
  <c r="H84" i="9"/>
  <c r="I84" i="9"/>
  <c r="J84" i="9"/>
  <c r="K84" i="9"/>
  <c r="L84" i="9"/>
  <c r="M84" i="9"/>
  <c r="N84" i="9"/>
  <c r="Q84" i="9"/>
  <c r="R84" i="9"/>
  <c r="S84" i="9"/>
  <c r="T84" i="9"/>
  <c r="U84" i="9"/>
  <c r="V84" i="9"/>
  <c r="W84" i="9"/>
  <c r="X84" i="9"/>
  <c r="Y84" i="9"/>
  <c r="Z84" i="9"/>
  <c r="AA84" i="9"/>
  <c r="AB84" i="9"/>
  <c r="B85" i="9"/>
  <c r="C85" i="9"/>
  <c r="D85" i="9"/>
  <c r="E85" i="9"/>
  <c r="F85" i="9"/>
  <c r="G85" i="9"/>
  <c r="H85" i="9"/>
  <c r="I85" i="9"/>
  <c r="J85" i="9"/>
  <c r="K85" i="9"/>
  <c r="L85" i="9"/>
  <c r="M85" i="9"/>
  <c r="N85" i="9"/>
  <c r="Q85" i="9"/>
  <c r="R85" i="9"/>
  <c r="S85" i="9"/>
  <c r="T85" i="9"/>
  <c r="U85" i="9"/>
  <c r="V85" i="9"/>
  <c r="W85" i="9"/>
  <c r="X85" i="9"/>
  <c r="Y85" i="9"/>
  <c r="Z85" i="9"/>
  <c r="AA85" i="9"/>
  <c r="AB85" i="9"/>
  <c r="B86" i="9"/>
  <c r="C86" i="9"/>
  <c r="D86" i="9"/>
  <c r="E86" i="9"/>
  <c r="F86" i="9"/>
  <c r="G86" i="9"/>
  <c r="H86" i="9"/>
  <c r="I86" i="9"/>
  <c r="J86" i="9"/>
  <c r="K86" i="9"/>
  <c r="L86" i="9"/>
  <c r="M86" i="9"/>
  <c r="N86" i="9"/>
  <c r="Q86" i="9"/>
  <c r="R86" i="9"/>
  <c r="S86" i="9"/>
  <c r="T86" i="9"/>
  <c r="U86" i="9"/>
  <c r="V86" i="9"/>
  <c r="W86" i="9"/>
  <c r="X86" i="9"/>
  <c r="Y86" i="9"/>
  <c r="Z86" i="9"/>
  <c r="AA86" i="9"/>
  <c r="AB86" i="9"/>
  <c r="B87" i="9"/>
  <c r="C87" i="9"/>
  <c r="D87" i="9"/>
  <c r="E87" i="9"/>
  <c r="F87" i="9"/>
  <c r="G87" i="9"/>
  <c r="H87" i="9"/>
  <c r="I87" i="9"/>
  <c r="J87" i="9"/>
  <c r="K87" i="9"/>
  <c r="L87" i="9"/>
  <c r="M87" i="9"/>
  <c r="N87" i="9"/>
  <c r="Q87" i="9"/>
  <c r="R87" i="9"/>
  <c r="S87" i="9"/>
  <c r="T87" i="9"/>
  <c r="U87" i="9"/>
  <c r="V87" i="9"/>
  <c r="W87" i="9"/>
  <c r="X87" i="9"/>
  <c r="Y87" i="9"/>
  <c r="Z87" i="9"/>
  <c r="AA87" i="9"/>
  <c r="AB87" i="9"/>
  <c r="AB81" i="9"/>
  <c r="AA81" i="9"/>
  <c r="Z81" i="9"/>
  <c r="Y81" i="9"/>
  <c r="X81" i="9"/>
  <c r="W81" i="9"/>
  <c r="V81" i="9"/>
  <c r="U81" i="9"/>
  <c r="T81" i="9"/>
  <c r="S81" i="9"/>
  <c r="R81" i="9"/>
  <c r="Q81" i="9"/>
  <c r="N81" i="9"/>
  <c r="M81" i="9"/>
  <c r="L81" i="9"/>
  <c r="K81" i="9"/>
  <c r="J81" i="9"/>
  <c r="I81" i="9"/>
  <c r="H81" i="9"/>
  <c r="G81" i="9"/>
  <c r="F81" i="9"/>
  <c r="E81" i="9"/>
  <c r="D81" i="9"/>
  <c r="C81" i="9"/>
  <c r="B81" i="9"/>
  <c r="B48" i="9"/>
  <c r="C48" i="9"/>
  <c r="D48" i="9"/>
  <c r="E48" i="9"/>
  <c r="F48" i="9"/>
  <c r="G48" i="9"/>
  <c r="H48" i="9"/>
  <c r="I48" i="9"/>
  <c r="J48" i="9"/>
  <c r="K48" i="9"/>
  <c r="L48" i="9"/>
  <c r="M48" i="9"/>
  <c r="N48" i="9"/>
  <c r="Q48" i="9"/>
  <c r="R48" i="9"/>
  <c r="S48" i="9"/>
  <c r="T48" i="9"/>
  <c r="U48" i="9"/>
  <c r="V48" i="9"/>
  <c r="W48" i="9"/>
  <c r="X48" i="9"/>
  <c r="Y48" i="9"/>
  <c r="Z48" i="9"/>
  <c r="AA48" i="9"/>
  <c r="AB48" i="9"/>
  <c r="B49" i="9"/>
  <c r="C49" i="9"/>
  <c r="D49" i="9"/>
  <c r="E49" i="9"/>
  <c r="F49" i="9"/>
  <c r="G49" i="9"/>
  <c r="H49" i="9"/>
  <c r="I49" i="9"/>
  <c r="J49" i="9"/>
  <c r="K49" i="9"/>
  <c r="L49" i="9"/>
  <c r="M49" i="9"/>
  <c r="N49" i="9"/>
  <c r="Q49" i="9"/>
  <c r="R49" i="9"/>
  <c r="S49" i="9"/>
  <c r="T49" i="9"/>
  <c r="U49" i="9"/>
  <c r="V49" i="9"/>
  <c r="W49" i="9"/>
  <c r="X49" i="9"/>
  <c r="Y49" i="9"/>
  <c r="Z49" i="9"/>
  <c r="AA49" i="9"/>
  <c r="AB49" i="9"/>
  <c r="B50" i="9"/>
  <c r="C50" i="9"/>
  <c r="D50" i="9"/>
  <c r="E50" i="9"/>
  <c r="F50" i="9"/>
  <c r="G50" i="9"/>
  <c r="H50" i="9"/>
  <c r="I50" i="9"/>
  <c r="J50" i="9"/>
  <c r="K50" i="9"/>
  <c r="L50" i="9"/>
  <c r="M50" i="9"/>
  <c r="N50" i="9"/>
  <c r="Q50" i="9"/>
  <c r="R50" i="9"/>
  <c r="S50" i="9"/>
  <c r="T50" i="9"/>
  <c r="U50" i="9"/>
  <c r="V50" i="9"/>
  <c r="W50" i="9"/>
  <c r="X50" i="9"/>
  <c r="Y50" i="9"/>
  <c r="Z50" i="9"/>
  <c r="AA50" i="9"/>
  <c r="AB50" i="9"/>
  <c r="B51" i="9"/>
  <c r="C51" i="9"/>
  <c r="D51" i="9"/>
  <c r="E51" i="9"/>
  <c r="F51" i="9"/>
  <c r="G51" i="9"/>
  <c r="H51" i="9"/>
  <c r="I51" i="9"/>
  <c r="J51" i="9"/>
  <c r="K51" i="9"/>
  <c r="L51" i="9"/>
  <c r="M51" i="9"/>
  <c r="N51" i="9"/>
  <c r="Q51" i="9"/>
  <c r="R51" i="9"/>
  <c r="S51" i="9"/>
  <c r="T51" i="9"/>
  <c r="U51" i="9"/>
  <c r="V51" i="9"/>
  <c r="W51" i="9"/>
  <c r="X51" i="9"/>
  <c r="Y51" i="9"/>
  <c r="Z51" i="9"/>
  <c r="AA51" i="9"/>
  <c r="AB51" i="9"/>
  <c r="B52" i="9"/>
  <c r="C52" i="9"/>
  <c r="D52" i="9"/>
  <c r="E52" i="9"/>
  <c r="F52" i="9"/>
  <c r="G52" i="9"/>
  <c r="H52" i="9"/>
  <c r="I52" i="9"/>
  <c r="J52" i="9"/>
  <c r="K52" i="9"/>
  <c r="L52" i="9"/>
  <c r="M52" i="9"/>
  <c r="N52" i="9"/>
  <c r="Q52" i="9"/>
  <c r="R52" i="9"/>
  <c r="S52" i="9"/>
  <c r="T52" i="9"/>
  <c r="U52" i="9"/>
  <c r="V52" i="9"/>
  <c r="W52" i="9"/>
  <c r="X52" i="9"/>
  <c r="Y52" i="9"/>
  <c r="Z52" i="9"/>
  <c r="AA52" i="9"/>
  <c r="AB52" i="9"/>
  <c r="B53" i="9"/>
  <c r="C53" i="9"/>
  <c r="D53" i="9"/>
  <c r="E53" i="9"/>
  <c r="F53" i="9"/>
  <c r="G53" i="9"/>
  <c r="H53" i="9"/>
  <c r="I53" i="9"/>
  <c r="J53" i="9"/>
  <c r="K53" i="9"/>
  <c r="L53" i="9"/>
  <c r="M53" i="9"/>
  <c r="N53" i="9"/>
  <c r="Q53" i="9"/>
  <c r="R53" i="9"/>
  <c r="S53" i="9"/>
  <c r="T53" i="9"/>
  <c r="U53" i="9"/>
  <c r="V53" i="9"/>
  <c r="W53" i="9"/>
  <c r="X53" i="9"/>
  <c r="Y53" i="9"/>
  <c r="Z53" i="9"/>
  <c r="AA53" i="9"/>
  <c r="AB53" i="9"/>
  <c r="B54" i="9"/>
  <c r="C54" i="9"/>
  <c r="D54" i="9"/>
  <c r="E54" i="9"/>
  <c r="F54" i="9"/>
  <c r="G54" i="9"/>
  <c r="H54" i="9"/>
  <c r="I54" i="9"/>
  <c r="J54" i="9"/>
  <c r="K54" i="9"/>
  <c r="L54" i="9"/>
  <c r="M54" i="9"/>
  <c r="N54" i="9"/>
  <c r="Q54" i="9"/>
  <c r="R54" i="9"/>
  <c r="S54" i="9"/>
  <c r="T54" i="9"/>
  <c r="U54" i="9"/>
  <c r="V54" i="9"/>
  <c r="W54" i="9"/>
  <c r="X54" i="9"/>
  <c r="Y54" i="9"/>
  <c r="Z54" i="9"/>
  <c r="AA54" i="9"/>
  <c r="AB54" i="9"/>
  <c r="B55" i="9"/>
  <c r="C55" i="9"/>
  <c r="D55" i="9"/>
  <c r="E55" i="9"/>
  <c r="F55" i="9"/>
  <c r="G55" i="9"/>
  <c r="H55" i="9"/>
  <c r="I55" i="9"/>
  <c r="J55" i="9"/>
  <c r="K55" i="9"/>
  <c r="L55" i="9"/>
  <c r="M55" i="9"/>
  <c r="N55" i="9"/>
  <c r="Q55" i="9"/>
  <c r="R55" i="9"/>
  <c r="S55" i="9"/>
  <c r="T55" i="9"/>
  <c r="U55" i="9"/>
  <c r="V55" i="9"/>
  <c r="W55" i="9"/>
  <c r="X55" i="9"/>
  <c r="Y55" i="9"/>
  <c r="Z55" i="9"/>
  <c r="AA55" i="9"/>
  <c r="AB55" i="9"/>
  <c r="B56" i="9"/>
  <c r="C56" i="9"/>
  <c r="D56" i="9"/>
  <c r="E56" i="9"/>
  <c r="F56" i="9"/>
  <c r="G56" i="9"/>
  <c r="H56" i="9"/>
  <c r="I56" i="9"/>
  <c r="J56" i="9"/>
  <c r="K56" i="9"/>
  <c r="L56" i="9"/>
  <c r="M56" i="9"/>
  <c r="N56" i="9"/>
  <c r="Q56" i="9"/>
  <c r="R56" i="9"/>
  <c r="S56" i="9"/>
  <c r="T56" i="9"/>
  <c r="U56" i="9"/>
  <c r="V56" i="9"/>
  <c r="W56" i="9"/>
  <c r="X56" i="9"/>
  <c r="Y56" i="9"/>
  <c r="Z56" i="9"/>
  <c r="AA56" i="9"/>
  <c r="AB56" i="9"/>
  <c r="B57" i="9"/>
  <c r="C57" i="9"/>
  <c r="D57" i="9"/>
  <c r="E57" i="9"/>
  <c r="F57" i="9"/>
  <c r="G57" i="9"/>
  <c r="H57" i="9"/>
  <c r="I57" i="9"/>
  <c r="J57" i="9"/>
  <c r="K57" i="9"/>
  <c r="L57" i="9"/>
  <c r="M57" i="9"/>
  <c r="N57" i="9"/>
  <c r="Q57" i="9"/>
  <c r="R57" i="9"/>
  <c r="S57" i="9"/>
  <c r="T57" i="9"/>
  <c r="U57" i="9"/>
  <c r="V57" i="9"/>
  <c r="W57" i="9"/>
  <c r="X57" i="9"/>
  <c r="Y57" i="9"/>
  <c r="Z57" i="9"/>
  <c r="AA57" i="9"/>
  <c r="AB57" i="9"/>
  <c r="B58" i="9"/>
  <c r="C58" i="9"/>
  <c r="D58" i="9"/>
  <c r="E58" i="9"/>
  <c r="F58" i="9"/>
  <c r="G58" i="9"/>
  <c r="H58" i="9"/>
  <c r="I58" i="9"/>
  <c r="J58" i="9"/>
  <c r="K58" i="9"/>
  <c r="L58" i="9"/>
  <c r="M58" i="9"/>
  <c r="N58" i="9"/>
  <c r="Q58" i="9"/>
  <c r="R58" i="9"/>
  <c r="S58" i="9"/>
  <c r="T58" i="9"/>
  <c r="U58" i="9"/>
  <c r="V58" i="9"/>
  <c r="W58" i="9"/>
  <c r="X58" i="9"/>
  <c r="Y58" i="9"/>
  <c r="Z58" i="9"/>
  <c r="AA58" i="9"/>
  <c r="AB58" i="9"/>
  <c r="B59" i="9"/>
  <c r="C59" i="9"/>
  <c r="D59" i="9"/>
  <c r="E59" i="9"/>
  <c r="F59" i="9"/>
  <c r="G59" i="9"/>
  <c r="H59" i="9"/>
  <c r="I59" i="9"/>
  <c r="J59" i="9"/>
  <c r="K59" i="9"/>
  <c r="L59" i="9"/>
  <c r="M59" i="9"/>
  <c r="N59" i="9"/>
  <c r="Q59" i="9"/>
  <c r="R59" i="9"/>
  <c r="S59" i="9"/>
  <c r="T59" i="9"/>
  <c r="U59" i="9"/>
  <c r="V59" i="9"/>
  <c r="W59" i="9"/>
  <c r="X59" i="9"/>
  <c r="Y59" i="9"/>
  <c r="Z59" i="9"/>
  <c r="AA59" i="9"/>
  <c r="AB59" i="9"/>
  <c r="B60" i="9"/>
  <c r="C60" i="9"/>
  <c r="D60" i="9"/>
  <c r="E60" i="9"/>
  <c r="F60" i="9"/>
  <c r="G60" i="9"/>
  <c r="H60" i="9"/>
  <c r="I60" i="9"/>
  <c r="J60" i="9"/>
  <c r="K60" i="9"/>
  <c r="L60" i="9"/>
  <c r="M60" i="9"/>
  <c r="N60" i="9"/>
  <c r="Q60" i="9"/>
  <c r="R60" i="9"/>
  <c r="S60" i="9"/>
  <c r="T60" i="9"/>
  <c r="U60" i="9"/>
  <c r="V60" i="9"/>
  <c r="W60" i="9"/>
  <c r="X60" i="9"/>
  <c r="Y60" i="9"/>
  <c r="Z60" i="9"/>
  <c r="AA60" i="9"/>
  <c r="AB60" i="9"/>
  <c r="B61" i="9"/>
  <c r="C61" i="9"/>
  <c r="D61" i="9"/>
  <c r="E61" i="9"/>
  <c r="F61" i="9"/>
  <c r="G61" i="9"/>
  <c r="H61" i="9"/>
  <c r="I61" i="9"/>
  <c r="J61" i="9"/>
  <c r="K61" i="9"/>
  <c r="L61" i="9"/>
  <c r="M61" i="9"/>
  <c r="N61" i="9"/>
  <c r="Q61" i="9"/>
  <c r="R61" i="9"/>
  <c r="S61" i="9"/>
  <c r="T61" i="9"/>
  <c r="U61" i="9"/>
  <c r="V61" i="9"/>
  <c r="W61" i="9"/>
  <c r="X61" i="9"/>
  <c r="Y61" i="9"/>
  <c r="Z61" i="9"/>
  <c r="AA61" i="9"/>
  <c r="AB61" i="9"/>
  <c r="B62" i="9"/>
  <c r="C62" i="9"/>
  <c r="D62" i="9"/>
  <c r="E62" i="9"/>
  <c r="F62" i="9"/>
  <c r="G62" i="9"/>
  <c r="H62" i="9"/>
  <c r="I62" i="9"/>
  <c r="J62" i="9"/>
  <c r="K62" i="9"/>
  <c r="L62" i="9"/>
  <c r="M62" i="9"/>
  <c r="N62" i="9"/>
  <c r="Q62" i="9"/>
  <c r="R62" i="9"/>
  <c r="S62" i="9"/>
  <c r="T62" i="9"/>
  <c r="U62" i="9"/>
  <c r="V62" i="9"/>
  <c r="W62" i="9"/>
  <c r="X62" i="9"/>
  <c r="Y62" i="9"/>
  <c r="Z62" i="9"/>
  <c r="AA62" i="9"/>
  <c r="AB62" i="9"/>
  <c r="B63" i="9"/>
  <c r="C63" i="9"/>
  <c r="D63" i="9"/>
  <c r="E63" i="9"/>
  <c r="F63" i="9"/>
  <c r="G63" i="9"/>
  <c r="H63" i="9"/>
  <c r="I63" i="9"/>
  <c r="J63" i="9"/>
  <c r="K63" i="9"/>
  <c r="L63" i="9"/>
  <c r="M63" i="9"/>
  <c r="N63" i="9"/>
  <c r="Q63" i="9"/>
  <c r="R63" i="9"/>
  <c r="S63" i="9"/>
  <c r="T63" i="9"/>
  <c r="U63" i="9"/>
  <c r="V63" i="9"/>
  <c r="W63" i="9"/>
  <c r="X63" i="9"/>
  <c r="Y63" i="9"/>
  <c r="Z63" i="9"/>
  <c r="AA63" i="9"/>
  <c r="AB63" i="9"/>
  <c r="B64" i="9"/>
  <c r="C64" i="9"/>
  <c r="D64" i="9"/>
  <c r="E64" i="9"/>
  <c r="F64" i="9"/>
  <c r="G64" i="9"/>
  <c r="H64" i="9"/>
  <c r="I64" i="9"/>
  <c r="J64" i="9"/>
  <c r="K64" i="9"/>
  <c r="L64" i="9"/>
  <c r="M64" i="9"/>
  <c r="N64" i="9"/>
  <c r="Q64" i="9"/>
  <c r="R64" i="9"/>
  <c r="S64" i="9"/>
  <c r="T64" i="9"/>
  <c r="U64" i="9"/>
  <c r="V64" i="9"/>
  <c r="W64" i="9"/>
  <c r="X64" i="9"/>
  <c r="Y64" i="9"/>
  <c r="Z64" i="9"/>
  <c r="AA64" i="9"/>
  <c r="AB64" i="9"/>
  <c r="B65" i="9"/>
  <c r="C65" i="9"/>
  <c r="D65" i="9"/>
  <c r="E65" i="9"/>
  <c r="F65" i="9"/>
  <c r="G65" i="9"/>
  <c r="H65" i="9"/>
  <c r="I65" i="9"/>
  <c r="J65" i="9"/>
  <c r="K65" i="9"/>
  <c r="L65" i="9"/>
  <c r="M65" i="9"/>
  <c r="N65" i="9"/>
  <c r="Q65" i="9"/>
  <c r="R65" i="9"/>
  <c r="S65" i="9"/>
  <c r="T65" i="9"/>
  <c r="U65" i="9"/>
  <c r="V65" i="9"/>
  <c r="W65" i="9"/>
  <c r="X65" i="9"/>
  <c r="Y65" i="9"/>
  <c r="Z65" i="9"/>
  <c r="AA65" i="9"/>
  <c r="AB65" i="9"/>
  <c r="B66" i="9"/>
  <c r="C66" i="9"/>
  <c r="D66" i="9"/>
  <c r="E66" i="9"/>
  <c r="F66" i="9"/>
  <c r="G66" i="9"/>
  <c r="H66" i="9"/>
  <c r="I66" i="9"/>
  <c r="J66" i="9"/>
  <c r="K66" i="9"/>
  <c r="L66" i="9"/>
  <c r="M66" i="9"/>
  <c r="N66" i="9"/>
  <c r="Q66" i="9"/>
  <c r="R66" i="9"/>
  <c r="S66" i="9"/>
  <c r="T66" i="9"/>
  <c r="U66" i="9"/>
  <c r="V66" i="9"/>
  <c r="W66" i="9"/>
  <c r="X66" i="9"/>
  <c r="Y66" i="9"/>
  <c r="Z66" i="9"/>
  <c r="AA66" i="9"/>
  <c r="AB66" i="9"/>
  <c r="B67" i="9"/>
  <c r="C67" i="9"/>
  <c r="D67" i="9"/>
  <c r="E67" i="9"/>
  <c r="F67" i="9"/>
  <c r="G67" i="9"/>
  <c r="H67" i="9"/>
  <c r="I67" i="9"/>
  <c r="J67" i="9"/>
  <c r="K67" i="9"/>
  <c r="L67" i="9"/>
  <c r="M67" i="9"/>
  <c r="N67" i="9"/>
  <c r="Q67" i="9"/>
  <c r="R67" i="9"/>
  <c r="S67" i="9"/>
  <c r="T67" i="9"/>
  <c r="U67" i="9"/>
  <c r="V67" i="9"/>
  <c r="W67" i="9"/>
  <c r="X67" i="9"/>
  <c r="Y67" i="9"/>
  <c r="Z67" i="9"/>
  <c r="AA67" i="9"/>
  <c r="AB67" i="9"/>
  <c r="B68" i="9"/>
  <c r="C68" i="9"/>
  <c r="D68" i="9"/>
  <c r="E68" i="9"/>
  <c r="F68" i="9"/>
  <c r="G68" i="9"/>
  <c r="H68" i="9"/>
  <c r="I68" i="9"/>
  <c r="J68" i="9"/>
  <c r="K68" i="9"/>
  <c r="L68" i="9"/>
  <c r="M68" i="9"/>
  <c r="N68" i="9"/>
  <c r="Q68" i="9"/>
  <c r="R68" i="9"/>
  <c r="S68" i="9"/>
  <c r="T68" i="9"/>
  <c r="U68" i="9"/>
  <c r="V68" i="9"/>
  <c r="W68" i="9"/>
  <c r="X68" i="9"/>
  <c r="Y68" i="9"/>
  <c r="Z68" i="9"/>
  <c r="AA68" i="9"/>
  <c r="AB68" i="9"/>
  <c r="B69" i="9"/>
  <c r="C69" i="9"/>
  <c r="D69" i="9"/>
  <c r="E69" i="9"/>
  <c r="F69" i="9"/>
  <c r="G69" i="9"/>
  <c r="H69" i="9"/>
  <c r="I69" i="9"/>
  <c r="J69" i="9"/>
  <c r="K69" i="9"/>
  <c r="L69" i="9"/>
  <c r="M69" i="9"/>
  <c r="N69" i="9"/>
  <c r="Q69" i="9"/>
  <c r="R69" i="9"/>
  <c r="S69" i="9"/>
  <c r="T69" i="9"/>
  <c r="U69" i="9"/>
  <c r="V69" i="9"/>
  <c r="W69" i="9"/>
  <c r="X69" i="9"/>
  <c r="Y69" i="9"/>
  <c r="Z69" i="9"/>
  <c r="AA69" i="9"/>
  <c r="AB69" i="9"/>
  <c r="B70" i="9"/>
  <c r="C70" i="9"/>
  <c r="D70" i="9"/>
  <c r="E70" i="9"/>
  <c r="F70" i="9"/>
  <c r="G70" i="9"/>
  <c r="H70" i="9"/>
  <c r="I70" i="9"/>
  <c r="J70" i="9"/>
  <c r="K70" i="9"/>
  <c r="L70" i="9"/>
  <c r="M70" i="9"/>
  <c r="N70" i="9"/>
  <c r="Q70" i="9"/>
  <c r="R70" i="9"/>
  <c r="S70" i="9"/>
  <c r="T70" i="9"/>
  <c r="U70" i="9"/>
  <c r="V70" i="9"/>
  <c r="W70" i="9"/>
  <c r="X70" i="9"/>
  <c r="Y70" i="9"/>
  <c r="Z70" i="9"/>
  <c r="AA70" i="9"/>
  <c r="AB70" i="9"/>
  <c r="B71" i="9"/>
  <c r="C71" i="9"/>
  <c r="D71" i="9"/>
  <c r="E71" i="9"/>
  <c r="F71" i="9"/>
  <c r="G71" i="9"/>
  <c r="H71" i="9"/>
  <c r="I71" i="9"/>
  <c r="J71" i="9"/>
  <c r="K71" i="9"/>
  <c r="L71" i="9"/>
  <c r="M71" i="9"/>
  <c r="N71" i="9"/>
  <c r="Q71" i="9"/>
  <c r="R71" i="9"/>
  <c r="S71" i="9"/>
  <c r="T71" i="9"/>
  <c r="U71" i="9"/>
  <c r="V71" i="9"/>
  <c r="W71" i="9"/>
  <c r="X71" i="9"/>
  <c r="Y71" i="9"/>
  <c r="Z71" i="9"/>
  <c r="AA71" i="9"/>
  <c r="AB71" i="9"/>
  <c r="B72" i="9"/>
  <c r="C72" i="9"/>
  <c r="D72" i="9"/>
  <c r="E72" i="9"/>
  <c r="F72" i="9"/>
  <c r="G72" i="9"/>
  <c r="H72" i="9"/>
  <c r="I72" i="9"/>
  <c r="J72" i="9"/>
  <c r="K72" i="9"/>
  <c r="L72" i="9"/>
  <c r="M72" i="9"/>
  <c r="N72" i="9"/>
  <c r="Q72" i="9"/>
  <c r="R72" i="9"/>
  <c r="S72" i="9"/>
  <c r="T72" i="9"/>
  <c r="U72" i="9"/>
  <c r="V72" i="9"/>
  <c r="W72" i="9"/>
  <c r="X72" i="9"/>
  <c r="Y72" i="9"/>
  <c r="Z72" i="9"/>
  <c r="AA72" i="9"/>
  <c r="AB72" i="9"/>
  <c r="B73" i="9"/>
  <c r="C73" i="9"/>
  <c r="D73" i="9"/>
  <c r="E73" i="9"/>
  <c r="F73" i="9"/>
  <c r="G73" i="9"/>
  <c r="H73" i="9"/>
  <c r="I73" i="9"/>
  <c r="J73" i="9"/>
  <c r="K73" i="9"/>
  <c r="L73" i="9"/>
  <c r="M73" i="9"/>
  <c r="N73" i="9"/>
  <c r="Q73" i="9"/>
  <c r="R73" i="9"/>
  <c r="S73" i="9"/>
  <c r="T73" i="9"/>
  <c r="U73" i="9"/>
  <c r="V73" i="9"/>
  <c r="W73" i="9"/>
  <c r="X73" i="9"/>
  <c r="Y73" i="9"/>
  <c r="Z73" i="9"/>
  <c r="AA73" i="9"/>
  <c r="AB73" i="9"/>
  <c r="B74" i="9"/>
  <c r="C74" i="9"/>
  <c r="D74" i="9"/>
  <c r="E74" i="9"/>
  <c r="F74" i="9"/>
  <c r="G74" i="9"/>
  <c r="H74" i="9"/>
  <c r="I74" i="9"/>
  <c r="J74" i="9"/>
  <c r="K74" i="9"/>
  <c r="L74" i="9"/>
  <c r="M74" i="9"/>
  <c r="N74" i="9"/>
  <c r="Q74" i="9"/>
  <c r="R74" i="9"/>
  <c r="S74" i="9"/>
  <c r="T74" i="9"/>
  <c r="U74" i="9"/>
  <c r="V74" i="9"/>
  <c r="W74" i="9"/>
  <c r="X74" i="9"/>
  <c r="Y74" i="9"/>
  <c r="Z74" i="9"/>
  <c r="AA74" i="9"/>
  <c r="AB74" i="9"/>
  <c r="B75" i="9"/>
  <c r="C75" i="9"/>
  <c r="D75" i="9"/>
  <c r="E75" i="9"/>
  <c r="F75" i="9"/>
  <c r="G75" i="9"/>
  <c r="H75" i="9"/>
  <c r="I75" i="9"/>
  <c r="J75" i="9"/>
  <c r="K75" i="9"/>
  <c r="L75" i="9"/>
  <c r="M75" i="9"/>
  <c r="N75" i="9"/>
  <c r="Q75" i="9"/>
  <c r="R75" i="9"/>
  <c r="S75" i="9"/>
  <c r="T75" i="9"/>
  <c r="U75" i="9"/>
  <c r="V75" i="9"/>
  <c r="W75" i="9"/>
  <c r="X75" i="9"/>
  <c r="Y75" i="9"/>
  <c r="Z75" i="9"/>
  <c r="AA75" i="9"/>
  <c r="AB75" i="9"/>
  <c r="B77" i="9"/>
  <c r="C77" i="9"/>
  <c r="H77" i="9"/>
  <c r="I77" i="9"/>
  <c r="J77" i="9"/>
  <c r="K77" i="9"/>
  <c r="L77" i="9"/>
  <c r="M77" i="9"/>
  <c r="N77" i="9"/>
  <c r="Q77" i="9"/>
  <c r="R77" i="9"/>
  <c r="S77" i="9"/>
  <c r="T77" i="9"/>
  <c r="U77" i="9"/>
  <c r="V77" i="9"/>
  <c r="W77" i="9"/>
  <c r="X77" i="9"/>
  <c r="Y77" i="9"/>
  <c r="Z77" i="9"/>
  <c r="AA77" i="9"/>
  <c r="AB77" i="9"/>
  <c r="B78" i="9"/>
  <c r="C78" i="9"/>
  <c r="H78" i="9"/>
  <c r="I78" i="9"/>
  <c r="J78" i="9"/>
  <c r="K78" i="9"/>
  <c r="L78" i="9"/>
  <c r="M78" i="9"/>
  <c r="N78" i="9"/>
  <c r="Q78" i="9"/>
  <c r="R78" i="9"/>
  <c r="S78" i="9"/>
  <c r="T78" i="9"/>
  <c r="U78" i="9"/>
  <c r="V78" i="9"/>
  <c r="W78" i="9"/>
  <c r="X78" i="9"/>
  <c r="Y78" i="9"/>
  <c r="Z78" i="9"/>
  <c r="AA78" i="9"/>
  <c r="B79" i="9"/>
  <c r="C79" i="9"/>
  <c r="H79" i="9"/>
  <c r="I79" i="9"/>
  <c r="J79" i="9"/>
  <c r="K79" i="9"/>
  <c r="L79" i="9"/>
  <c r="M79" i="9"/>
  <c r="N79" i="9"/>
  <c r="B80" i="9"/>
  <c r="C80" i="9"/>
  <c r="H80" i="9"/>
  <c r="I80" i="9"/>
  <c r="J80" i="9"/>
  <c r="K80" i="9"/>
  <c r="L80" i="9"/>
  <c r="M80" i="9"/>
  <c r="N80" i="9"/>
  <c r="B43" i="9"/>
  <c r="C43" i="9"/>
  <c r="D43" i="9"/>
  <c r="E43" i="9"/>
  <c r="F43" i="9"/>
  <c r="G43" i="9"/>
  <c r="H43" i="9"/>
  <c r="I43" i="9"/>
  <c r="J43" i="9"/>
  <c r="K43" i="9"/>
  <c r="L43" i="9"/>
  <c r="M43" i="9"/>
  <c r="N43" i="9"/>
  <c r="Q43" i="9"/>
  <c r="R43" i="9"/>
  <c r="S43" i="9"/>
  <c r="T43" i="9"/>
  <c r="U43" i="9"/>
  <c r="V43" i="9"/>
  <c r="W43" i="9"/>
  <c r="X43" i="9"/>
  <c r="Y43" i="9"/>
  <c r="Z43" i="9"/>
  <c r="AA43" i="9"/>
  <c r="AB43" i="9"/>
  <c r="B44" i="9"/>
  <c r="C44" i="9"/>
  <c r="D44" i="9"/>
  <c r="E44" i="9"/>
  <c r="F44" i="9"/>
  <c r="G44" i="9"/>
  <c r="H44" i="9"/>
  <c r="I44" i="9"/>
  <c r="J44" i="9"/>
  <c r="K44" i="9"/>
  <c r="L44" i="9"/>
  <c r="M44" i="9"/>
  <c r="N44" i="9"/>
  <c r="Q44" i="9"/>
  <c r="R44" i="9"/>
  <c r="S44" i="9"/>
  <c r="T44" i="9"/>
  <c r="U44" i="9"/>
  <c r="V44" i="9"/>
  <c r="W44" i="9"/>
  <c r="X44" i="9"/>
  <c r="Y44" i="9"/>
  <c r="Z44" i="9"/>
  <c r="AA44" i="9"/>
  <c r="AB44" i="9"/>
  <c r="B45" i="9"/>
  <c r="C45" i="9"/>
  <c r="D45" i="9"/>
  <c r="E45" i="9"/>
  <c r="F45" i="9"/>
  <c r="G45" i="9"/>
  <c r="H45" i="9"/>
  <c r="I45" i="9"/>
  <c r="J45" i="9"/>
  <c r="K45" i="9"/>
  <c r="L45" i="9"/>
  <c r="M45" i="9"/>
  <c r="N45" i="9"/>
  <c r="Q45" i="9"/>
  <c r="R45" i="9"/>
  <c r="S45" i="9"/>
  <c r="T45" i="9"/>
  <c r="U45" i="9"/>
  <c r="V45" i="9"/>
  <c r="W45" i="9"/>
  <c r="X45" i="9"/>
  <c r="Y45" i="9"/>
  <c r="Z45" i="9"/>
  <c r="AA45" i="9"/>
  <c r="AB45" i="9"/>
  <c r="B46" i="9"/>
  <c r="C46" i="9"/>
  <c r="D46" i="9"/>
  <c r="E46" i="9"/>
  <c r="F46" i="9"/>
  <c r="G46" i="9"/>
  <c r="H46" i="9"/>
  <c r="I46" i="9"/>
  <c r="J46" i="9"/>
  <c r="K46" i="9"/>
  <c r="L46" i="9"/>
  <c r="M46" i="9"/>
  <c r="N46" i="9"/>
  <c r="Q46" i="9"/>
  <c r="R46" i="9"/>
  <c r="S46" i="9"/>
  <c r="T46" i="9"/>
  <c r="U46" i="9"/>
  <c r="V46" i="9"/>
  <c r="W46" i="9"/>
  <c r="X46" i="9"/>
  <c r="Y46" i="9"/>
  <c r="Z46" i="9"/>
  <c r="AA46" i="9"/>
  <c r="AB46" i="9"/>
  <c r="AB47" i="9"/>
  <c r="AA47" i="9"/>
  <c r="Z47" i="9"/>
  <c r="Y47" i="9"/>
  <c r="X47" i="9"/>
  <c r="W47" i="9"/>
  <c r="V47" i="9"/>
  <c r="U47" i="9"/>
  <c r="T47" i="9"/>
  <c r="S47" i="9"/>
  <c r="R47" i="9"/>
  <c r="Q47" i="9"/>
  <c r="N47" i="9"/>
  <c r="M47" i="9"/>
  <c r="L47" i="9"/>
  <c r="K47" i="9"/>
  <c r="J47" i="9"/>
  <c r="I47" i="9"/>
  <c r="H47" i="9"/>
  <c r="G47" i="9"/>
  <c r="F47" i="9"/>
  <c r="E47" i="9"/>
  <c r="D47" i="9"/>
  <c r="C47" i="9"/>
  <c r="B47" i="9"/>
  <c r="B15" i="9"/>
  <c r="C15" i="9"/>
  <c r="D15" i="9"/>
  <c r="E15" i="9"/>
  <c r="F15" i="9"/>
  <c r="G15" i="9"/>
  <c r="H15" i="9"/>
  <c r="I15" i="9"/>
  <c r="J15" i="9"/>
  <c r="K15" i="9"/>
  <c r="L15" i="9"/>
  <c r="M15" i="9"/>
  <c r="N15" i="9"/>
  <c r="Q15" i="9"/>
  <c r="R15" i="9"/>
  <c r="S15" i="9"/>
  <c r="T15" i="9"/>
  <c r="U15" i="9"/>
  <c r="V15" i="9"/>
  <c r="W15" i="9"/>
  <c r="X15" i="9"/>
  <c r="Y15" i="9"/>
  <c r="Z15" i="9"/>
  <c r="AA15" i="9"/>
  <c r="AB15" i="9"/>
  <c r="B16" i="9"/>
  <c r="C16" i="9"/>
  <c r="D16" i="9"/>
  <c r="E16" i="9"/>
  <c r="F16" i="9"/>
  <c r="G16" i="9"/>
  <c r="H16" i="9"/>
  <c r="I16" i="9"/>
  <c r="J16" i="9"/>
  <c r="K16" i="9"/>
  <c r="L16" i="9"/>
  <c r="M16" i="9"/>
  <c r="N16" i="9"/>
  <c r="Q16" i="9"/>
  <c r="R16" i="9"/>
  <c r="S16" i="9"/>
  <c r="T16" i="9"/>
  <c r="U16" i="9"/>
  <c r="V16" i="9"/>
  <c r="W16" i="9"/>
  <c r="X16" i="9"/>
  <c r="Y16" i="9"/>
  <c r="Z16" i="9"/>
  <c r="AA16" i="9"/>
  <c r="AB16" i="9"/>
  <c r="B17" i="9"/>
  <c r="C17" i="9"/>
  <c r="D17" i="9"/>
  <c r="E17" i="9"/>
  <c r="F17" i="9"/>
  <c r="G17" i="9"/>
  <c r="H17" i="9"/>
  <c r="I17" i="9"/>
  <c r="J17" i="9"/>
  <c r="K17" i="9"/>
  <c r="L17" i="9"/>
  <c r="M17" i="9"/>
  <c r="N17" i="9"/>
  <c r="Q17" i="9"/>
  <c r="R17" i="9"/>
  <c r="S17" i="9"/>
  <c r="T17" i="9"/>
  <c r="U17" i="9"/>
  <c r="V17" i="9"/>
  <c r="W17" i="9"/>
  <c r="X17" i="9"/>
  <c r="Y17" i="9"/>
  <c r="Z17" i="9"/>
  <c r="AA17" i="9"/>
  <c r="AB17" i="9"/>
  <c r="B18" i="9"/>
  <c r="C18" i="9"/>
  <c r="D18" i="9"/>
  <c r="E18" i="9"/>
  <c r="F18" i="9"/>
  <c r="G18" i="9"/>
  <c r="H18" i="9"/>
  <c r="I18" i="9"/>
  <c r="J18" i="9"/>
  <c r="K18" i="9"/>
  <c r="L18" i="9"/>
  <c r="M18" i="9"/>
  <c r="N18" i="9"/>
  <c r="P18" i="9"/>
  <c r="Q18" i="9"/>
  <c r="R18" i="9"/>
  <c r="S18" i="9"/>
  <c r="T18" i="9"/>
  <c r="U18" i="9"/>
  <c r="V18" i="9"/>
  <c r="W18" i="9"/>
  <c r="X18" i="9"/>
  <c r="Y18" i="9"/>
  <c r="Z18" i="9"/>
  <c r="AA18" i="9"/>
  <c r="AB18" i="9"/>
  <c r="B19" i="9"/>
  <c r="C19" i="9"/>
  <c r="D19" i="9"/>
  <c r="E19" i="9"/>
  <c r="F19" i="9"/>
  <c r="G19" i="9"/>
  <c r="H19" i="9"/>
  <c r="I19" i="9"/>
  <c r="J19" i="9"/>
  <c r="K19" i="9"/>
  <c r="L19" i="9"/>
  <c r="M19" i="9"/>
  <c r="N19" i="9"/>
  <c r="Q19" i="9"/>
  <c r="R19" i="9"/>
  <c r="S19" i="9"/>
  <c r="T19" i="9"/>
  <c r="U19" i="9"/>
  <c r="V19" i="9"/>
  <c r="W19" i="9"/>
  <c r="X19" i="9"/>
  <c r="Y19" i="9"/>
  <c r="Z19" i="9"/>
  <c r="AA19" i="9"/>
  <c r="AB19" i="9"/>
  <c r="B6" i="9"/>
  <c r="C6" i="9"/>
  <c r="D6" i="9"/>
  <c r="E6" i="9"/>
  <c r="F6" i="9"/>
  <c r="G6" i="9"/>
  <c r="H6" i="9"/>
  <c r="I6" i="9"/>
  <c r="J6" i="9"/>
  <c r="K6" i="9"/>
  <c r="L6" i="9"/>
  <c r="M6" i="9"/>
  <c r="N6" i="9"/>
  <c r="Q6" i="9"/>
  <c r="R6" i="9"/>
  <c r="S6" i="9"/>
  <c r="T6" i="9"/>
  <c r="U6" i="9"/>
  <c r="V6" i="9"/>
  <c r="W6" i="9"/>
  <c r="X6" i="9"/>
  <c r="Y6" i="9"/>
  <c r="Z6" i="9"/>
  <c r="AA6" i="9"/>
  <c r="AB6" i="9"/>
  <c r="B20" i="9"/>
  <c r="C20" i="9"/>
  <c r="D20" i="9"/>
  <c r="E20" i="9"/>
  <c r="F20" i="9"/>
  <c r="G20" i="9"/>
  <c r="H20" i="9"/>
  <c r="I20" i="9"/>
  <c r="J20" i="9"/>
  <c r="K20" i="9"/>
  <c r="M20" i="9"/>
  <c r="N20" i="9"/>
  <c r="Q20" i="9"/>
  <c r="R20" i="9"/>
  <c r="S20" i="9"/>
  <c r="T20" i="9"/>
  <c r="U20" i="9"/>
  <c r="V20" i="9"/>
  <c r="W20" i="9"/>
  <c r="X20" i="9"/>
  <c r="Y20" i="9"/>
  <c r="Z20" i="9"/>
  <c r="AA20" i="9"/>
  <c r="AB20" i="9"/>
  <c r="B21" i="9"/>
  <c r="C21" i="9"/>
  <c r="D21" i="9"/>
  <c r="E21" i="9"/>
  <c r="F21" i="9"/>
  <c r="G21" i="9"/>
  <c r="H21" i="9"/>
  <c r="I21" i="9"/>
  <c r="J21" i="9"/>
  <c r="K21" i="9"/>
  <c r="L21" i="9"/>
  <c r="M21" i="9"/>
  <c r="N21" i="9"/>
  <c r="Q21" i="9"/>
  <c r="R21" i="9"/>
  <c r="S21" i="9"/>
  <c r="T21" i="9"/>
  <c r="U21" i="9"/>
  <c r="V21" i="9"/>
  <c r="W21" i="9"/>
  <c r="X21" i="9"/>
  <c r="Y21" i="9"/>
  <c r="Z21" i="9"/>
  <c r="AA21" i="9"/>
  <c r="AB21" i="9"/>
  <c r="B22" i="9"/>
  <c r="C22" i="9"/>
  <c r="D22" i="9"/>
  <c r="E22" i="9"/>
  <c r="F22" i="9"/>
  <c r="G22" i="9"/>
  <c r="H22" i="9"/>
  <c r="I22" i="9"/>
  <c r="J22" i="9"/>
  <c r="K22" i="9"/>
  <c r="L22" i="9"/>
  <c r="M22" i="9"/>
  <c r="N22" i="9"/>
  <c r="Q22" i="9"/>
  <c r="R22" i="9"/>
  <c r="S22" i="9"/>
  <c r="T22" i="9"/>
  <c r="U22" i="9"/>
  <c r="V22" i="9"/>
  <c r="W22" i="9"/>
  <c r="X22" i="9"/>
  <c r="Y22" i="9"/>
  <c r="Z22" i="9"/>
  <c r="AA22" i="9"/>
  <c r="AB22" i="9"/>
  <c r="B23" i="9"/>
  <c r="C23" i="9"/>
  <c r="D23" i="9"/>
  <c r="E23" i="9"/>
  <c r="F23" i="9"/>
  <c r="G23" i="9"/>
  <c r="H23" i="9"/>
  <c r="I23" i="9"/>
  <c r="J23" i="9"/>
  <c r="K23" i="9"/>
  <c r="L23" i="9"/>
  <c r="M23" i="9"/>
  <c r="N23" i="9"/>
  <c r="Q23" i="9"/>
  <c r="R23" i="9"/>
  <c r="S23" i="9"/>
  <c r="T23" i="9"/>
  <c r="U23" i="9"/>
  <c r="V23" i="9"/>
  <c r="W23" i="9"/>
  <c r="X23" i="9"/>
  <c r="Y23" i="9"/>
  <c r="Z23" i="9"/>
  <c r="AA23" i="9"/>
  <c r="AB23" i="9"/>
  <c r="B24" i="9"/>
  <c r="C24" i="9"/>
  <c r="D24" i="9"/>
  <c r="E24" i="9"/>
  <c r="F24" i="9"/>
  <c r="G24" i="9"/>
  <c r="H24" i="9"/>
  <c r="I24" i="9"/>
  <c r="J24" i="9"/>
  <c r="K24" i="9"/>
  <c r="L24" i="9"/>
  <c r="M24" i="9"/>
  <c r="N24" i="9"/>
  <c r="Q24" i="9"/>
  <c r="R24" i="9"/>
  <c r="S24" i="9"/>
  <c r="T24" i="9"/>
  <c r="U24" i="9"/>
  <c r="V24" i="9"/>
  <c r="W24" i="9"/>
  <c r="X24" i="9"/>
  <c r="Y24" i="9"/>
  <c r="Z24" i="9"/>
  <c r="AA24" i="9"/>
  <c r="AB24" i="9"/>
  <c r="B25" i="9"/>
  <c r="C25" i="9"/>
  <c r="D25" i="9"/>
  <c r="E25" i="9"/>
  <c r="F25" i="9"/>
  <c r="G25" i="9"/>
  <c r="H25" i="9"/>
  <c r="I25" i="9"/>
  <c r="J25" i="9"/>
  <c r="K25" i="9"/>
  <c r="L25" i="9"/>
  <c r="M25" i="9"/>
  <c r="N25" i="9"/>
  <c r="Q25" i="9"/>
  <c r="R25" i="9"/>
  <c r="S25" i="9"/>
  <c r="T25" i="9"/>
  <c r="U25" i="9"/>
  <c r="V25" i="9"/>
  <c r="W25" i="9"/>
  <c r="X25" i="9"/>
  <c r="Y25" i="9"/>
  <c r="Z25" i="9"/>
  <c r="AA25" i="9"/>
  <c r="AB25" i="9"/>
  <c r="B26" i="9"/>
  <c r="C26" i="9"/>
  <c r="D26" i="9"/>
  <c r="E26" i="9"/>
  <c r="F26" i="9"/>
  <c r="G26" i="9"/>
  <c r="H26" i="9"/>
  <c r="I26" i="9"/>
  <c r="J26" i="9"/>
  <c r="K26" i="9"/>
  <c r="L26" i="9"/>
  <c r="M26" i="9"/>
  <c r="N26" i="9"/>
  <c r="Q26" i="9"/>
  <c r="R26" i="9"/>
  <c r="S26" i="9"/>
  <c r="T26" i="9"/>
  <c r="U26" i="9"/>
  <c r="V26" i="9"/>
  <c r="W26" i="9"/>
  <c r="X26" i="9"/>
  <c r="Y26" i="9"/>
  <c r="Z26" i="9"/>
  <c r="AA26" i="9"/>
  <c r="AB26" i="9"/>
  <c r="B27" i="9"/>
  <c r="C27" i="9"/>
  <c r="D27" i="9"/>
  <c r="E27" i="9"/>
  <c r="F27" i="9"/>
  <c r="G27" i="9"/>
  <c r="H27" i="9"/>
  <c r="I27" i="9"/>
  <c r="J27" i="9"/>
  <c r="K27" i="9"/>
  <c r="L27" i="9"/>
  <c r="M27" i="9"/>
  <c r="N27" i="9"/>
  <c r="Q27" i="9"/>
  <c r="R27" i="9"/>
  <c r="S27" i="9"/>
  <c r="T27" i="9"/>
  <c r="U27" i="9"/>
  <c r="V27" i="9"/>
  <c r="W27" i="9"/>
  <c r="X27" i="9"/>
  <c r="Y27" i="9"/>
  <c r="Z27" i="9"/>
  <c r="AA27" i="9"/>
  <c r="AB27" i="9"/>
  <c r="B28" i="9"/>
  <c r="C28" i="9"/>
  <c r="D28" i="9"/>
  <c r="E28" i="9"/>
  <c r="F28" i="9"/>
  <c r="G28" i="9"/>
  <c r="H28" i="9"/>
  <c r="I28" i="9"/>
  <c r="J28" i="9"/>
  <c r="K28" i="9"/>
  <c r="L28" i="9"/>
  <c r="M28" i="9"/>
  <c r="N28" i="9"/>
  <c r="Q28" i="9"/>
  <c r="R28" i="9"/>
  <c r="S28" i="9"/>
  <c r="T28" i="9"/>
  <c r="U28" i="9"/>
  <c r="V28" i="9"/>
  <c r="W28" i="9"/>
  <c r="X28" i="9"/>
  <c r="Y28" i="9"/>
  <c r="Z28" i="9"/>
  <c r="AA28" i="9"/>
  <c r="AB28" i="9"/>
  <c r="B29" i="9"/>
  <c r="C29" i="9"/>
  <c r="D29" i="9"/>
  <c r="E29" i="9"/>
  <c r="F29" i="9"/>
  <c r="G29" i="9"/>
  <c r="H29" i="9"/>
  <c r="I29" i="9"/>
  <c r="J29" i="9"/>
  <c r="K29" i="9"/>
  <c r="L29" i="9"/>
  <c r="M29" i="9"/>
  <c r="N29" i="9"/>
  <c r="Q29" i="9"/>
  <c r="R29" i="9"/>
  <c r="S29" i="9"/>
  <c r="T29" i="9"/>
  <c r="U29" i="9"/>
  <c r="V29" i="9"/>
  <c r="W29" i="9"/>
  <c r="X29" i="9"/>
  <c r="Y29" i="9"/>
  <c r="Z29" i="9"/>
  <c r="AA29" i="9"/>
  <c r="AB29" i="9"/>
  <c r="B30" i="9"/>
  <c r="C30" i="9"/>
  <c r="D30" i="9"/>
  <c r="E30" i="9"/>
  <c r="F30" i="9"/>
  <c r="G30" i="9"/>
  <c r="H30" i="9"/>
  <c r="I30" i="9"/>
  <c r="J30" i="9"/>
  <c r="K30" i="9"/>
  <c r="L30" i="9"/>
  <c r="M30" i="9"/>
  <c r="N30" i="9"/>
  <c r="Q30" i="9"/>
  <c r="R30" i="9"/>
  <c r="S30" i="9"/>
  <c r="T30" i="9"/>
  <c r="U30" i="9"/>
  <c r="V30" i="9"/>
  <c r="W30" i="9"/>
  <c r="X30" i="9"/>
  <c r="Y30" i="9"/>
  <c r="Z30" i="9"/>
  <c r="AA30" i="9"/>
  <c r="AB30" i="9"/>
  <c r="B31" i="9"/>
  <c r="C31" i="9"/>
  <c r="D31" i="9"/>
  <c r="E31" i="9"/>
  <c r="F31" i="9"/>
  <c r="G31" i="9"/>
  <c r="H31" i="9"/>
  <c r="I31" i="9"/>
  <c r="J31" i="9"/>
  <c r="K31" i="9"/>
  <c r="L31" i="9"/>
  <c r="M31" i="9"/>
  <c r="N31" i="9"/>
  <c r="Q31" i="9"/>
  <c r="R31" i="9"/>
  <c r="S31" i="9"/>
  <c r="T31" i="9"/>
  <c r="U31" i="9"/>
  <c r="V31" i="9"/>
  <c r="W31" i="9"/>
  <c r="X31" i="9"/>
  <c r="Y31" i="9"/>
  <c r="Z31" i="9"/>
  <c r="AA31" i="9"/>
  <c r="AB31" i="9"/>
  <c r="B32" i="9"/>
  <c r="C32" i="9"/>
  <c r="D32" i="9"/>
  <c r="E32" i="9"/>
  <c r="F32" i="9"/>
  <c r="G32" i="9"/>
  <c r="H32" i="9"/>
  <c r="I32" i="9"/>
  <c r="J32" i="9"/>
  <c r="K32" i="9"/>
  <c r="L32" i="9"/>
  <c r="M32" i="9"/>
  <c r="N32" i="9"/>
  <c r="Q32" i="9"/>
  <c r="R32" i="9"/>
  <c r="S32" i="9"/>
  <c r="T32" i="9"/>
  <c r="U32" i="9"/>
  <c r="V32" i="9"/>
  <c r="W32" i="9"/>
  <c r="X32" i="9"/>
  <c r="Y32" i="9"/>
  <c r="Z32" i="9"/>
  <c r="AA32" i="9"/>
  <c r="AB32" i="9"/>
  <c r="B33" i="9"/>
  <c r="C33" i="9"/>
  <c r="D33" i="9"/>
  <c r="E33" i="9"/>
  <c r="F33" i="9"/>
  <c r="G33" i="9"/>
  <c r="H33" i="9"/>
  <c r="I33" i="9"/>
  <c r="J33" i="9"/>
  <c r="K33" i="9"/>
  <c r="L33" i="9"/>
  <c r="M33" i="9"/>
  <c r="N33" i="9"/>
  <c r="Q33" i="9"/>
  <c r="R33" i="9"/>
  <c r="S33" i="9"/>
  <c r="T33" i="9"/>
  <c r="U33" i="9"/>
  <c r="V33" i="9"/>
  <c r="W33" i="9"/>
  <c r="X33" i="9"/>
  <c r="Y33" i="9"/>
  <c r="Z33" i="9"/>
  <c r="AA33" i="9"/>
  <c r="AB33" i="9"/>
  <c r="B34" i="9"/>
  <c r="C34" i="9"/>
  <c r="D34" i="9"/>
  <c r="E34" i="9"/>
  <c r="F34" i="9"/>
  <c r="G34" i="9"/>
  <c r="H34" i="9"/>
  <c r="I34" i="9"/>
  <c r="J34" i="9"/>
  <c r="K34" i="9"/>
  <c r="L34" i="9"/>
  <c r="M34" i="9"/>
  <c r="N34" i="9"/>
  <c r="Q34" i="9"/>
  <c r="R34" i="9"/>
  <c r="S34" i="9"/>
  <c r="T34" i="9"/>
  <c r="U34" i="9"/>
  <c r="V34" i="9"/>
  <c r="W34" i="9"/>
  <c r="X34" i="9"/>
  <c r="Y34" i="9"/>
  <c r="Z34" i="9"/>
  <c r="AA34" i="9"/>
  <c r="AB34" i="9"/>
  <c r="B35" i="9"/>
  <c r="C35" i="9"/>
  <c r="D35" i="9"/>
  <c r="E35" i="9"/>
  <c r="F35" i="9"/>
  <c r="G35" i="9"/>
  <c r="H35" i="9"/>
  <c r="I35" i="9"/>
  <c r="J35" i="9"/>
  <c r="K35" i="9"/>
  <c r="L35" i="9"/>
  <c r="M35" i="9"/>
  <c r="N35" i="9"/>
  <c r="Q35" i="9"/>
  <c r="R35" i="9"/>
  <c r="S35" i="9"/>
  <c r="T35" i="9"/>
  <c r="U35" i="9"/>
  <c r="V35" i="9"/>
  <c r="W35" i="9"/>
  <c r="X35" i="9"/>
  <c r="Y35" i="9"/>
  <c r="Z35" i="9"/>
  <c r="AA35" i="9"/>
  <c r="AB35" i="9"/>
  <c r="B36" i="9"/>
  <c r="C36" i="9"/>
  <c r="D36" i="9"/>
  <c r="E36" i="9"/>
  <c r="F36" i="9"/>
  <c r="G36" i="9"/>
  <c r="H36" i="9"/>
  <c r="I36" i="9"/>
  <c r="J36" i="9"/>
  <c r="K36" i="9"/>
  <c r="L36" i="9"/>
  <c r="M36" i="9"/>
  <c r="N36" i="9"/>
  <c r="Q36" i="9"/>
  <c r="R36" i="9"/>
  <c r="S36" i="9"/>
  <c r="T36" i="9"/>
  <c r="U36" i="9"/>
  <c r="V36" i="9"/>
  <c r="W36" i="9"/>
  <c r="X36" i="9"/>
  <c r="Y36" i="9"/>
  <c r="Z36" i="9"/>
  <c r="AA36" i="9"/>
  <c r="AB36" i="9"/>
  <c r="B37" i="9"/>
  <c r="C37" i="9"/>
  <c r="D37" i="9"/>
  <c r="E37" i="9"/>
  <c r="F37" i="9"/>
  <c r="G37" i="9"/>
  <c r="H37" i="9"/>
  <c r="I37" i="9"/>
  <c r="J37" i="9"/>
  <c r="K37" i="9"/>
  <c r="L37" i="9"/>
  <c r="M37" i="9"/>
  <c r="N37" i="9"/>
  <c r="Q37" i="9"/>
  <c r="R37" i="9"/>
  <c r="S37" i="9"/>
  <c r="T37" i="9"/>
  <c r="U37" i="9"/>
  <c r="V37" i="9"/>
  <c r="W37" i="9"/>
  <c r="X37" i="9"/>
  <c r="Y37" i="9"/>
  <c r="Z37" i="9"/>
  <c r="AA37" i="9"/>
  <c r="AB37" i="9"/>
  <c r="B38" i="9"/>
  <c r="C38" i="9"/>
  <c r="D38" i="9"/>
  <c r="E38" i="9"/>
  <c r="F38" i="9"/>
  <c r="G38" i="9"/>
  <c r="H38" i="9"/>
  <c r="I38" i="9"/>
  <c r="J38" i="9"/>
  <c r="K38" i="9"/>
  <c r="L38" i="9"/>
  <c r="M38" i="9"/>
  <c r="N38" i="9"/>
  <c r="Q38" i="9"/>
  <c r="R38" i="9"/>
  <c r="S38" i="9"/>
  <c r="T38" i="9"/>
  <c r="U38" i="9"/>
  <c r="V38" i="9"/>
  <c r="W38" i="9"/>
  <c r="X38" i="9"/>
  <c r="Y38" i="9"/>
  <c r="Z38" i="9"/>
  <c r="AA38" i="9"/>
  <c r="AB38" i="9"/>
  <c r="B39" i="9"/>
  <c r="C39" i="9"/>
  <c r="D39" i="9"/>
  <c r="E39" i="9"/>
  <c r="F39" i="9"/>
  <c r="G39" i="9"/>
  <c r="H39" i="9"/>
  <c r="I39" i="9"/>
  <c r="J39" i="9"/>
  <c r="K39" i="9"/>
  <c r="L39" i="9"/>
  <c r="M39" i="9"/>
  <c r="N39" i="9"/>
  <c r="Q39" i="9"/>
  <c r="R39" i="9"/>
  <c r="S39" i="9"/>
  <c r="T39" i="9"/>
  <c r="U39" i="9"/>
  <c r="V39" i="9"/>
  <c r="W39" i="9"/>
  <c r="X39" i="9"/>
  <c r="Y39" i="9"/>
  <c r="Z39" i="9"/>
  <c r="AA39" i="9"/>
  <c r="AB39" i="9"/>
  <c r="B40" i="9"/>
  <c r="C40" i="9"/>
  <c r="H40" i="9"/>
  <c r="I40" i="9"/>
  <c r="J40" i="9"/>
  <c r="K40" i="9"/>
  <c r="L40" i="9"/>
  <c r="M40" i="9"/>
  <c r="N40" i="9"/>
  <c r="Q40" i="9"/>
  <c r="R40" i="9"/>
  <c r="S40" i="9"/>
  <c r="T40" i="9"/>
  <c r="U40" i="9"/>
  <c r="V40" i="9"/>
  <c r="W40" i="9"/>
  <c r="X40" i="9"/>
  <c r="Y40" i="9"/>
  <c r="Z40" i="9"/>
  <c r="AA40" i="9"/>
  <c r="AB40" i="9"/>
  <c r="B41" i="9"/>
  <c r="C41" i="9"/>
  <c r="H41" i="9"/>
  <c r="I41" i="9"/>
  <c r="J41" i="9"/>
  <c r="K41" i="9"/>
  <c r="L41" i="9"/>
  <c r="M41" i="9"/>
  <c r="N41" i="9"/>
  <c r="Q41" i="9"/>
  <c r="R41" i="9"/>
  <c r="S41" i="9"/>
  <c r="T41" i="9"/>
  <c r="U41" i="9"/>
  <c r="V41" i="9"/>
  <c r="W41" i="9"/>
  <c r="X41" i="9"/>
  <c r="Y41" i="9"/>
  <c r="Z41" i="9"/>
  <c r="AA41" i="9"/>
  <c r="B42" i="9"/>
  <c r="C42" i="9"/>
  <c r="D42" i="9"/>
  <c r="E42" i="9"/>
  <c r="F42" i="9"/>
  <c r="G42" i="9"/>
  <c r="H42" i="9"/>
  <c r="I42" i="9"/>
  <c r="J42" i="9"/>
  <c r="K42" i="9"/>
  <c r="L42" i="9"/>
  <c r="M42" i="9"/>
  <c r="N42" i="9"/>
  <c r="Q42" i="9"/>
  <c r="R42" i="9"/>
  <c r="S42" i="9"/>
  <c r="T42" i="9"/>
  <c r="U42" i="9"/>
  <c r="V42" i="9"/>
  <c r="W42" i="9"/>
  <c r="X42" i="9"/>
  <c r="Y42" i="9"/>
  <c r="Z42" i="9"/>
  <c r="AA42" i="9"/>
  <c r="AB42" i="9"/>
  <c r="B11" i="9"/>
  <c r="C11" i="9"/>
  <c r="D11" i="9"/>
  <c r="E11" i="9"/>
  <c r="F11" i="9"/>
  <c r="G11" i="9"/>
  <c r="H11" i="9"/>
  <c r="I11" i="9"/>
  <c r="J11" i="9"/>
  <c r="K11" i="9"/>
  <c r="L11" i="9"/>
  <c r="M11" i="9"/>
  <c r="N11" i="9"/>
  <c r="Q11" i="9"/>
  <c r="R11" i="9"/>
  <c r="S11" i="9"/>
  <c r="T11" i="9"/>
  <c r="U11" i="9"/>
  <c r="V11" i="9"/>
  <c r="W11" i="9"/>
  <c r="X11" i="9"/>
  <c r="Y11" i="9"/>
  <c r="Z11" i="9"/>
  <c r="AA11" i="9"/>
  <c r="AB11" i="9"/>
  <c r="B12" i="9"/>
  <c r="C12" i="9"/>
  <c r="D12" i="9"/>
  <c r="E12" i="9"/>
  <c r="F12" i="9"/>
  <c r="G12" i="9"/>
  <c r="H12" i="9"/>
  <c r="I12" i="9"/>
  <c r="J12" i="9"/>
  <c r="K12" i="9"/>
  <c r="L12" i="9"/>
  <c r="M12" i="9"/>
  <c r="N12" i="9"/>
  <c r="Q12" i="9"/>
  <c r="R12" i="9"/>
  <c r="S12" i="9"/>
  <c r="T12" i="9"/>
  <c r="U12" i="9"/>
  <c r="V12" i="9"/>
  <c r="W12" i="9"/>
  <c r="X12" i="9"/>
  <c r="Y12" i="9"/>
  <c r="Z12" i="9"/>
  <c r="AA12" i="9"/>
  <c r="AB12" i="9"/>
  <c r="B13" i="9"/>
  <c r="C13" i="9"/>
  <c r="D13" i="9"/>
  <c r="E13" i="9"/>
  <c r="F13" i="9"/>
  <c r="G13" i="9"/>
  <c r="H13" i="9"/>
  <c r="I13" i="9"/>
  <c r="J13" i="9"/>
  <c r="K13" i="9"/>
  <c r="L13" i="9"/>
  <c r="M13" i="9"/>
  <c r="N13" i="9"/>
  <c r="Q13" i="9"/>
  <c r="V13" i="9"/>
  <c r="W13" i="9"/>
  <c r="X13" i="9"/>
  <c r="Y13" i="9"/>
  <c r="Z13" i="9"/>
  <c r="AA13" i="9"/>
  <c r="AB13" i="9"/>
  <c r="B7" i="9"/>
  <c r="C7" i="9"/>
  <c r="D7" i="9"/>
  <c r="E7" i="9"/>
  <c r="F7" i="9"/>
  <c r="G7" i="9"/>
  <c r="H7" i="9"/>
  <c r="I7" i="9"/>
  <c r="J7" i="9"/>
  <c r="K7" i="9"/>
  <c r="L7" i="9"/>
  <c r="M7" i="9"/>
  <c r="N7" i="9"/>
  <c r="Q7" i="9"/>
  <c r="R7" i="9"/>
  <c r="S7" i="9"/>
  <c r="T7" i="9"/>
  <c r="U7" i="9"/>
  <c r="V7" i="9"/>
  <c r="W7" i="9"/>
  <c r="X7" i="9"/>
  <c r="Y7" i="9"/>
  <c r="Z7" i="9"/>
  <c r="AA7" i="9"/>
  <c r="AB7" i="9"/>
  <c r="B8" i="9"/>
  <c r="C8" i="9"/>
  <c r="D8" i="9"/>
  <c r="E8" i="9"/>
  <c r="F8" i="9"/>
  <c r="G8" i="9"/>
  <c r="H8" i="9"/>
  <c r="I8" i="9"/>
  <c r="J8" i="9"/>
  <c r="K8" i="9"/>
  <c r="L8" i="9"/>
  <c r="M8" i="9"/>
  <c r="N8" i="9"/>
  <c r="Q8" i="9"/>
  <c r="R8" i="9"/>
  <c r="S8" i="9"/>
  <c r="T8" i="9"/>
  <c r="U8" i="9"/>
  <c r="V8" i="9"/>
  <c r="W8" i="9"/>
  <c r="X8" i="9"/>
  <c r="Y8" i="9"/>
  <c r="Z8" i="9"/>
  <c r="AA8" i="9"/>
  <c r="AB8" i="9"/>
  <c r="B9" i="9"/>
  <c r="C9" i="9"/>
  <c r="D9" i="9"/>
  <c r="E9" i="9"/>
  <c r="F9" i="9"/>
  <c r="G9" i="9"/>
  <c r="H9" i="9"/>
  <c r="I9" i="9"/>
  <c r="J9" i="9"/>
  <c r="K9" i="9"/>
  <c r="L9" i="9"/>
  <c r="M9" i="9"/>
  <c r="N9" i="9"/>
  <c r="Q9" i="9"/>
  <c r="R9" i="9"/>
  <c r="S9" i="9"/>
  <c r="T9" i="9"/>
  <c r="U9" i="9"/>
  <c r="V9" i="9"/>
  <c r="W9" i="9"/>
  <c r="X9" i="9"/>
  <c r="Y9" i="9"/>
  <c r="Z9" i="9"/>
  <c r="AA9" i="9"/>
  <c r="AB9" i="9"/>
  <c r="B10" i="9"/>
  <c r="C10" i="9"/>
  <c r="D10" i="9"/>
  <c r="E10" i="9"/>
  <c r="F10" i="9"/>
  <c r="G10" i="9"/>
  <c r="H10" i="9"/>
  <c r="I10" i="9"/>
  <c r="J10" i="9"/>
  <c r="K10" i="9"/>
  <c r="L10" i="9"/>
  <c r="M10" i="9"/>
  <c r="N10" i="9"/>
  <c r="Q10" i="9"/>
  <c r="R10" i="9"/>
  <c r="S10" i="9"/>
  <c r="T10" i="9"/>
  <c r="U10" i="9"/>
  <c r="V10" i="9"/>
  <c r="W10" i="9"/>
  <c r="X10" i="9"/>
  <c r="Y10" i="9"/>
  <c r="Z10" i="9"/>
  <c r="AA10" i="9"/>
  <c r="AB10" i="9"/>
  <c r="B14" i="9"/>
  <c r="C14" i="9"/>
  <c r="D14" i="9"/>
  <c r="E14" i="9"/>
  <c r="F14" i="9"/>
  <c r="G14" i="9"/>
  <c r="H14" i="9"/>
  <c r="I14" i="9"/>
  <c r="J14" i="9"/>
  <c r="K14" i="9"/>
  <c r="L14" i="9"/>
  <c r="M14" i="9"/>
  <c r="N14" i="9"/>
  <c r="Q14" i="9"/>
  <c r="R14" i="9"/>
  <c r="S14" i="9"/>
  <c r="T14" i="9"/>
  <c r="U14" i="9"/>
  <c r="V14" i="9"/>
  <c r="W14" i="9"/>
  <c r="X14" i="9"/>
  <c r="Y14" i="9"/>
  <c r="Z14" i="9"/>
  <c r="AA14" i="9"/>
  <c r="AB14" i="9"/>
  <c r="AA36" i="8"/>
  <c r="AB109" i="9" s="1"/>
  <c r="Z36" i="8"/>
  <c r="AA109" i="9" s="1"/>
  <c r="Y36" i="8"/>
  <c r="Z109" i="9" s="1"/>
  <c r="X36" i="8"/>
  <c r="Y109" i="9" s="1"/>
  <c r="W36" i="8"/>
  <c r="X109" i="9" s="1"/>
  <c r="V36" i="8"/>
  <c r="W109" i="9" s="1"/>
  <c r="U36" i="8"/>
  <c r="V109" i="9" s="1"/>
  <c r="T36" i="8"/>
  <c r="S36" i="8"/>
  <c r="T109" i="9" s="1"/>
  <c r="R36" i="8"/>
  <c r="S109" i="9" s="1"/>
  <c r="Q36" i="8"/>
  <c r="R109" i="9" s="1"/>
  <c r="P36" i="8"/>
  <c r="Q109" i="9" s="1"/>
  <c r="AA35" i="8"/>
  <c r="AB108" i="9" s="1"/>
  <c r="Z35" i="8"/>
  <c r="AA108" i="9" s="1"/>
  <c r="Y35" i="8"/>
  <c r="Z108" i="9" s="1"/>
  <c r="X35" i="8"/>
  <c r="Y108" i="9" s="1"/>
  <c r="W35" i="8"/>
  <c r="X108" i="9" s="1"/>
  <c r="V35" i="8"/>
  <c r="W108" i="9" s="1"/>
  <c r="U35" i="8"/>
  <c r="V108" i="9" s="1"/>
  <c r="T35" i="8"/>
  <c r="S35" i="8"/>
  <c r="T108" i="9" s="1"/>
  <c r="R35" i="8"/>
  <c r="S108" i="9" s="1"/>
  <c r="Q35" i="8"/>
  <c r="R108" i="9" s="1"/>
  <c r="P35" i="8"/>
  <c r="Q108" i="9" s="1"/>
  <c r="AA34" i="8"/>
  <c r="AB107" i="9" s="1"/>
  <c r="F36" i="8"/>
  <c r="G109" i="9" s="1"/>
  <c r="F109" i="9"/>
  <c r="E109" i="9"/>
  <c r="D109" i="9"/>
  <c r="G108" i="9"/>
  <c r="F108" i="9"/>
  <c r="E108" i="9"/>
  <c r="D108" i="9"/>
  <c r="G107" i="9"/>
  <c r="F107" i="9"/>
  <c r="E107" i="9"/>
  <c r="D107" i="9"/>
  <c r="G106" i="9"/>
  <c r="F106" i="9"/>
  <c r="E106" i="9"/>
  <c r="D106" i="9"/>
  <c r="O43" i="8"/>
  <c r="P87" i="9" s="1"/>
  <c r="N43" i="8"/>
  <c r="O87" i="9" s="1"/>
  <c r="O41" i="8"/>
  <c r="P86" i="9" s="1"/>
  <c r="O40" i="8"/>
  <c r="P85" i="9" s="1"/>
  <c r="O39" i="8"/>
  <c r="P84" i="9" s="1"/>
  <c r="O38" i="8"/>
  <c r="P83" i="9" s="1"/>
  <c r="O33" i="8"/>
  <c r="P106" i="9" s="1"/>
  <c r="O31" i="8"/>
  <c r="P105" i="9" s="1"/>
  <c r="O30" i="8"/>
  <c r="P104" i="9" s="1"/>
  <c r="O29" i="8"/>
  <c r="P103" i="9" s="1"/>
  <c r="O28" i="8"/>
  <c r="P102" i="9" s="1"/>
  <c r="O26" i="8"/>
  <c r="P101" i="9" s="1"/>
  <c r="N26" i="8"/>
  <c r="O101" i="9" s="1"/>
  <c r="O24" i="8"/>
  <c r="P100" i="9" s="1"/>
  <c r="O21" i="8"/>
  <c r="N21" i="8" s="1"/>
  <c r="O99" i="9" s="1"/>
  <c r="O20" i="8"/>
  <c r="P98" i="9" s="1"/>
  <c r="O18" i="8"/>
  <c r="N18" i="8" s="1"/>
  <c r="O96" i="9" s="1"/>
  <c r="O17" i="8"/>
  <c r="P95" i="9" s="1"/>
  <c r="N17" i="8"/>
  <c r="O95" i="9" s="1"/>
  <c r="O16" i="8"/>
  <c r="N16" i="8" s="1"/>
  <c r="O94" i="9" s="1"/>
  <c r="O15" i="8"/>
  <c r="N15" i="8" s="1"/>
  <c r="O93" i="9" s="1"/>
  <c r="O14" i="8"/>
  <c r="P92" i="9" s="1"/>
  <c r="N14" i="8"/>
  <c r="O92" i="9" s="1"/>
  <c r="O13" i="8"/>
  <c r="N13" i="8" s="1"/>
  <c r="O91" i="9" s="1"/>
  <c r="O12" i="8"/>
  <c r="N12" i="8" s="1"/>
  <c r="O90" i="9" s="1"/>
  <c r="O11" i="8"/>
  <c r="N11" i="8" s="1"/>
  <c r="O89" i="9" s="1"/>
  <c r="O10" i="8"/>
  <c r="P88" i="9" s="1"/>
  <c r="O8" i="8"/>
  <c r="P97" i="9" s="1"/>
  <c r="O7" i="8"/>
  <c r="N7" i="8" s="1"/>
  <c r="O82" i="9" s="1"/>
  <c r="O6" i="8"/>
  <c r="P81" i="9" s="1"/>
  <c r="AA46" i="7"/>
  <c r="AB80" i="9" s="1"/>
  <c r="Z46" i="7"/>
  <c r="AA80" i="9" s="1"/>
  <c r="Y46" i="7"/>
  <c r="Z80" i="9" s="1"/>
  <c r="X46" i="7"/>
  <c r="Y80" i="9" s="1"/>
  <c r="W46" i="7"/>
  <c r="X80" i="9" s="1"/>
  <c r="V46" i="7"/>
  <c r="W80" i="9" s="1"/>
  <c r="U46" i="7"/>
  <c r="V80" i="9" s="1"/>
  <c r="T46" i="7"/>
  <c r="U80" i="9" s="1"/>
  <c r="S46" i="7"/>
  <c r="T80" i="9" s="1"/>
  <c r="R46" i="7"/>
  <c r="S80" i="9" s="1"/>
  <c r="Q46" i="7"/>
  <c r="R80" i="9" s="1"/>
  <c r="Q80" i="9"/>
  <c r="AA45" i="7"/>
  <c r="AB79" i="9" s="1"/>
  <c r="Z45" i="7"/>
  <c r="AA79" i="9" s="1"/>
  <c r="Y45" i="7"/>
  <c r="Z79" i="9" s="1"/>
  <c r="X45" i="7"/>
  <c r="Y79" i="9" s="1"/>
  <c r="W45" i="7"/>
  <c r="X79" i="9" s="1"/>
  <c r="V45" i="7"/>
  <c r="W79" i="9" s="1"/>
  <c r="U45" i="7"/>
  <c r="V79" i="9" s="1"/>
  <c r="T45" i="7"/>
  <c r="U79" i="9" s="1"/>
  <c r="S45" i="7"/>
  <c r="T79" i="9" s="1"/>
  <c r="R45" i="7"/>
  <c r="S79" i="9" s="1"/>
  <c r="Q45" i="7"/>
  <c r="R79" i="9" s="1"/>
  <c r="AA21" i="5"/>
  <c r="Z21" i="5"/>
  <c r="Y21" i="5"/>
  <c r="X21" i="5"/>
  <c r="W21" i="5"/>
  <c r="V21" i="5"/>
  <c r="U21" i="5"/>
  <c r="T21" i="5"/>
  <c r="S21" i="5"/>
  <c r="R21" i="5"/>
  <c r="Q21" i="5"/>
  <c r="P21" i="5"/>
  <c r="AF76" i="9" l="1"/>
  <c r="AE76" i="9"/>
  <c r="AK76" i="9"/>
  <c r="AP76" i="9"/>
  <c r="AI76" i="9"/>
  <c r="AO76" i="9"/>
  <c r="AJ76" i="9"/>
  <c r="AM76" i="9"/>
  <c r="AH76" i="9"/>
  <c r="AN76" i="9"/>
  <c r="AG76" i="9"/>
  <c r="AL76" i="9"/>
  <c r="AE6" i="9"/>
  <c r="AK142" i="9"/>
  <c r="AK134" i="9"/>
  <c r="AK140" i="9"/>
  <c r="AO140" i="9"/>
  <c r="AM141" i="9"/>
  <c r="AE141" i="9"/>
  <c r="AG140" i="9"/>
  <c r="AK138" i="9"/>
  <c r="AE140" i="9"/>
  <c r="AE156" i="9"/>
  <c r="O34" i="8"/>
  <c r="P107" i="9" s="1"/>
  <c r="AP63" i="9"/>
  <c r="AL48" i="9"/>
  <c r="AP59" i="9"/>
  <c r="AB25" i="3"/>
  <c r="O30" i="2"/>
  <c r="O31" i="2" s="1"/>
  <c r="Y25" i="3"/>
  <c r="Z25" i="3"/>
  <c r="X25" i="3"/>
  <c r="N20" i="8"/>
  <c r="O98" i="9" s="1"/>
  <c r="R155" i="2"/>
  <c r="Q155" i="2"/>
  <c r="U155" i="2"/>
  <c r="N49" i="4"/>
  <c r="N25" i="4"/>
  <c r="V8" i="2"/>
  <c r="T8" i="2"/>
  <c r="X8" i="2"/>
  <c r="X155" i="2" s="1"/>
  <c r="N8" i="8"/>
  <c r="O97" i="9" s="1"/>
  <c r="AE58" i="9"/>
  <c r="AK154" i="9"/>
  <c r="U69" i="2"/>
  <c r="V69" i="2"/>
  <c r="O35" i="8"/>
  <c r="P108" i="9" s="1"/>
  <c r="O36" i="8"/>
  <c r="P109" i="9" s="1"/>
  <c r="P93" i="9"/>
  <c r="P91" i="9"/>
  <c r="P89" i="9"/>
  <c r="U109" i="9"/>
  <c r="P99" i="9"/>
  <c r="P96" i="9"/>
  <c r="P94" i="9"/>
  <c r="P90" i="9"/>
  <c r="U108" i="9"/>
  <c r="N30" i="8"/>
  <c r="O104" i="9" s="1"/>
  <c r="AN141" i="9"/>
  <c r="AF141" i="9"/>
  <c r="AJ138" i="9"/>
  <c r="AI137" i="9"/>
  <c r="AI135" i="9"/>
  <c r="N6" i="8"/>
  <c r="O81" i="9" s="1"/>
  <c r="P82" i="9"/>
  <c r="AO154" i="9"/>
  <c r="AE132" i="9"/>
  <c r="AP94" i="9"/>
  <c r="AE154" i="9"/>
  <c r="AE142" i="9"/>
  <c r="AE138" i="9"/>
  <c r="AE134" i="9"/>
  <c r="AL141" i="9"/>
  <c r="AK141" i="9"/>
  <c r="N199" i="10"/>
  <c r="F199" i="10"/>
  <c r="K198" i="10"/>
  <c r="P197" i="10"/>
  <c r="H197" i="10"/>
  <c r="M196" i="10"/>
  <c r="R195" i="10"/>
  <c r="J195" i="10"/>
  <c r="O194" i="10"/>
  <c r="G194" i="10"/>
  <c r="L193" i="10"/>
  <c r="Q191" i="10"/>
  <c r="I191" i="10"/>
  <c r="N190" i="10"/>
  <c r="F190" i="10"/>
  <c r="K183" i="10"/>
  <c r="P182" i="10"/>
  <c r="H182" i="10"/>
  <c r="M181" i="10"/>
  <c r="R179" i="10"/>
  <c r="J179" i="10"/>
  <c r="O178" i="10"/>
  <c r="G178" i="10"/>
  <c r="L177" i="10"/>
  <c r="Q176" i="10"/>
  <c r="I176" i="10"/>
  <c r="N175" i="10"/>
  <c r="F175" i="10"/>
  <c r="K171" i="10"/>
  <c r="P170" i="10"/>
  <c r="H170" i="10"/>
  <c r="M168" i="10"/>
  <c r="R167" i="10"/>
  <c r="J167" i="10"/>
  <c r="O166" i="10"/>
  <c r="G166" i="10"/>
  <c r="L165" i="10"/>
  <c r="Q163" i="10"/>
  <c r="I163" i="10"/>
  <c r="N162" i="10"/>
  <c r="F162" i="10"/>
  <c r="K160" i="10"/>
  <c r="P158" i="10"/>
  <c r="H158" i="10"/>
  <c r="M157" i="10"/>
  <c r="R151" i="10"/>
  <c r="J151" i="10"/>
  <c r="O149" i="10"/>
  <c r="G149" i="10"/>
  <c r="L148" i="10"/>
  <c r="Q147" i="10"/>
  <c r="I147" i="10"/>
  <c r="N146" i="10"/>
  <c r="F146" i="10"/>
  <c r="K145" i="10"/>
  <c r="P144" i="10"/>
  <c r="H144" i="10"/>
  <c r="M143" i="10"/>
  <c r="R142" i="10"/>
  <c r="J142" i="10"/>
  <c r="O139" i="10"/>
  <c r="G139" i="10"/>
  <c r="L138" i="10"/>
  <c r="Q135" i="10"/>
  <c r="I135" i="10"/>
  <c r="N134" i="10"/>
  <c r="F134" i="10"/>
  <c r="K133" i="10"/>
  <c r="P132" i="10"/>
  <c r="H132" i="10"/>
  <c r="M131" i="10"/>
  <c r="R130" i="10"/>
  <c r="J130" i="10"/>
  <c r="O128" i="10"/>
  <c r="G128" i="10"/>
  <c r="L126" i="10"/>
  <c r="Q125" i="10"/>
  <c r="I125" i="10"/>
  <c r="N124" i="10"/>
  <c r="F124" i="10"/>
  <c r="K123" i="10"/>
  <c r="P122" i="10"/>
  <c r="H122" i="10"/>
  <c r="M121" i="10"/>
  <c r="R119" i="10"/>
  <c r="M199" i="10"/>
  <c r="R198" i="10"/>
  <c r="J198" i="10"/>
  <c r="O197" i="10"/>
  <c r="G197" i="10"/>
  <c r="L196" i="10"/>
  <c r="Q195" i="10"/>
  <c r="I195" i="10"/>
  <c r="N194" i="10"/>
  <c r="F194" i="10"/>
  <c r="K193" i="10"/>
  <c r="P191" i="10"/>
  <c r="H191" i="10"/>
  <c r="M190" i="10"/>
  <c r="R183" i="10"/>
  <c r="J183" i="10"/>
  <c r="O182" i="10"/>
  <c r="G182" i="10"/>
  <c r="L181" i="10"/>
  <c r="Q179" i="10"/>
  <c r="I179" i="10"/>
  <c r="N178" i="10"/>
  <c r="F178" i="10"/>
  <c r="K177" i="10"/>
  <c r="P176" i="10"/>
  <c r="H176" i="10"/>
  <c r="M175" i="10"/>
  <c r="R171" i="10"/>
  <c r="J171" i="10"/>
  <c r="O170" i="10"/>
  <c r="G170" i="10"/>
  <c r="L168" i="10"/>
  <c r="Q167" i="10"/>
  <c r="I167" i="10"/>
  <c r="N166" i="10"/>
  <c r="F166" i="10"/>
  <c r="K165" i="10"/>
  <c r="P163" i="10"/>
  <c r="H163" i="10"/>
  <c r="M162" i="10"/>
  <c r="R160" i="10"/>
  <c r="J160" i="10"/>
  <c r="O158" i="10"/>
  <c r="G158" i="10"/>
  <c r="L157" i="10"/>
  <c r="Q151" i="10"/>
  <c r="I151" i="10"/>
  <c r="N149" i="10"/>
  <c r="F149" i="10"/>
  <c r="K148" i="10"/>
  <c r="P147" i="10"/>
  <c r="H147" i="10"/>
  <c r="M146" i="10"/>
  <c r="R145" i="10"/>
  <c r="J145" i="10"/>
  <c r="O144" i="10"/>
  <c r="G144" i="10"/>
  <c r="L143" i="10"/>
  <c r="Q142" i="10"/>
  <c r="I142" i="10"/>
  <c r="N139" i="10"/>
  <c r="F139" i="10"/>
  <c r="K138" i="10"/>
  <c r="P135" i="10"/>
  <c r="H135" i="10"/>
  <c r="M134" i="10"/>
  <c r="R133" i="10"/>
  <c r="J133" i="10"/>
  <c r="O132" i="10"/>
  <c r="G132" i="10"/>
  <c r="L131" i="10"/>
  <c r="Q130" i="10"/>
  <c r="I130" i="10"/>
  <c r="N128" i="10"/>
  <c r="F128" i="10"/>
  <c r="K126" i="10"/>
  <c r="P125" i="10"/>
  <c r="H125" i="10"/>
  <c r="M124" i="10"/>
  <c r="R123" i="10"/>
  <c r="J123" i="10"/>
  <c r="O122" i="10"/>
  <c r="G122" i="10"/>
  <c r="L121" i="10"/>
  <c r="Q119" i="10"/>
  <c r="L199" i="10"/>
  <c r="Q198" i="10"/>
  <c r="I198" i="10"/>
  <c r="N197" i="10"/>
  <c r="F197" i="10"/>
  <c r="K196" i="10"/>
  <c r="P195" i="10"/>
  <c r="H195" i="10"/>
  <c r="M194" i="10"/>
  <c r="R193" i="10"/>
  <c r="J193" i="10"/>
  <c r="O191" i="10"/>
  <c r="G191" i="10"/>
  <c r="L190" i="10"/>
  <c r="Q183" i="10"/>
  <c r="I183" i="10"/>
  <c r="N182" i="10"/>
  <c r="F182" i="10"/>
  <c r="K181" i="10"/>
  <c r="P179" i="10"/>
  <c r="H179" i="10"/>
  <c r="M178" i="10"/>
  <c r="R177" i="10"/>
  <c r="J177" i="10"/>
  <c r="O176" i="10"/>
  <c r="G176" i="10"/>
  <c r="L175" i="10"/>
  <c r="Q171" i="10"/>
  <c r="I171" i="10"/>
  <c r="N170" i="10"/>
  <c r="F170" i="10"/>
  <c r="K168" i="10"/>
  <c r="P167" i="10"/>
  <c r="H167" i="10"/>
  <c r="M166" i="10"/>
  <c r="R165" i="10"/>
  <c r="J165" i="10"/>
  <c r="O163" i="10"/>
  <c r="G163" i="10"/>
  <c r="L162" i="10"/>
  <c r="Q160" i="10"/>
  <c r="I160" i="10"/>
  <c r="N158" i="10"/>
  <c r="F158" i="10"/>
  <c r="K157" i="10"/>
  <c r="P151" i="10"/>
  <c r="H151" i="10"/>
  <c r="M149" i="10"/>
  <c r="R148" i="10"/>
  <c r="J148" i="10"/>
  <c r="O147" i="10"/>
  <c r="G147" i="10"/>
  <c r="L146" i="10"/>
  <c r="Q145" i="10"/>
  <c r="I145" i="10"/>
  <c r="N144" i="10"/>
  <c r="F144" i="10"/>
  <c r="K143" i="10"/>
  <c r="P142" i="10"/>
  <c r="H142" i="10"/>
  <c r="M139" i="10"/>
  <c r="R138" i="10"/>
  <c r="J138" i="10"/>
  <c r="O135" i="10"/>
  <c r="G135" i="10"/>
  <c r="L134" i="10"/>
  <c r="Q133" i="10"/>
  <c r="I133" i="10"/>
  <c r="N132" i="10"/>
  <c r="F132" i="10"/>
  <c r="K131" i="10"/>
  <c r="P130" i="10"/>
  <c r="H130" i="10"/>
  <c r="M128" i="10"/>
  <c r="R126" i="10"/>
  <c r="J126" i="10"/>
  <c r="O125" i="10"/>
  <c r="G125" i="10"/>
  <c r="L124" i="10"/>
  <c r="Q123" i="10"/>
  <c r="I123" i="10"/>
  <c r="N122" i="10"/>
  <c r="F122" i="10"/>
  <c r="K121" i="10"/>
  <c r="K199" i="10"/>
  <c r="P198" i="10"/>
  <c r="H198" i="10"/>
  <c r="M197" i="10"/>
  <c r="R196" i="10"/>
  <c r="J196" i="10"/>
  <c r="O195" i="10"/>
  <c r="G195" i="10"/>
  <c r="L194" i="10"/>
  <c r="Q193" i="10"/>
  <c r="I193" i="10"/>
  <c r="N191" i="10"/>
  <c r="F191" i="10"/>
  <c r="K190" i="10"/>
  <c r="P183" i="10"/>
  <c r="H183" i="10"/>
  <c r="M182" i="10"/>
  <c r="R181" i="10"/>
  <c r="J181" i="10"/>
  <c r="O179" i="10"/>
  <c r="G179" i="10"/>
  <c r="L178" i="10"/>
  <c r="Q177" i="10"/>
  <c r="I177" i="10"/>
  <c r="N176" i="10"/>
  <c r="F176" i="10"/>
  <c r="K175" i="10"/>
  <c r="P171" i="10"/>
  <c r="H171" i="10"/>
  <c r="M170" i="10"/>
  <c r="R168" i="10"/>
  <c r="J168" i="10"/>
  <c r="O167" i="10"/>
  <c r="G167" i="10"/>
  <c r="L166" i="10"/>
  <c r="Q165" i="10"/>
  <c r="I165" i="10"/>
  <c r="N163" i="10"/>
  <c r="F163" i="10"/>
  <c r="K162" i="10"/>
  <c r="P160" i="10"/>
  <c r="H160" i="10"/>
  <c r="M158" i="10"/>
  <c r="R157" i="10"/>
  <c r="J157" i="10"/>
  <c r="O151" i="10"/>
  <c r="G151" i="10"/>
  <c r="L149" i="10"/>
  <c r="Q148" i="10"/>
  <c r="I148" i="10"/>
  <c r="N147" i="10"/>
  <c r="R199" i="10"/>
  <c r="J199" i="10"/>
  <c r="O198" i="10"/>
  <c r="G198" i="10"/>
  <c r="L197" i="10"/>
  <c r="Q196" i="10"/>
  <c r="I196" i="10"/>
  <c r="N195" i="10"/>
  <c r="F195" i="10"/>
  <c r="K194" i="10"/>
  <c r="P193" i="10"/>
  <c r="H193" i="10"/>
  <c r="M191" i="10"/>
  <c r="R190" i="10"/>
  <c r="J190" i="10"/>
  <c r="O183" i="10"/>
  <c r="G183" i="10"/>
  <c r="L182" i="10"/>
  <c r="Q181" i="10"/>
  <c r="I181" i="10"/>
  <c r="N179" i="10"/>
  <c r="F179" i="10"/>
  <c r="K178" i="10"/>
  <c r="P177" i="10"/>
  <c r="H177" i="10"/>
  <c r="M176" i="10"/>
  <c r="R175" i="10"/>
  <c r="J175" i="10"/>
  <c r="O171" i="10"/>
  <c r="G171" i="10"/>
  <c r="L170" i="10"/>
  <c r="Q168" i="10"/>
  <c r="I168" i="10"/>
  <c r="N167" i="10"/>
  <c r="F167" i="10"/>
  <c r="K166" i="10"/>
  <c r="P165" i="10"/>
  <c r="H165" i="10"/>
  <c r="M163" i="10"/>
  <c r="R162" i="10"/>
  <c r="J162" i="10"/>
  <c r="O160" i="10"/>
  <c r="G160" i="10"/>
  <c r="L158" i="10"/>
  <c r="Q157" i="10"/>
  <c r="I157" i="10"/>
  <c r="N151" i="10"/>
  <c r="F151" i="10"/>
  <c r="K149" i="10"/>
  <c r="P148" i="10"/>
  <c r="H148" i="10"/>
  <c r="M147" i="10"/>
  <c r="R146" i="10"/>
  <c r="J146" i="10"/>
  <c r="O145" i="10"/>
  <c r="G145" i="10"/>
  <c r="L144" i="10"/>
  <c r="Q143" i="10"/>
  <c r="Q199" i="10"/>
  <c r="I199" i="10"/>
  <c r="N198" i="10"/>
  <c r="F198" i="10"/>
  <c r="K197" i="10"/>
  <c r="P196" i="10"/>
  <c r="H196" i="10"/>
  <c r="M195" i="10"/>
  <c r="R194" i="10"/>
  <c r="J194" i="10"/>
  <c r="O193" i="10"/>
  <c r="G193" i="10"/>
  <c r="L191" i="10"/>
  <c r="Q190" i="10"/>
  <c r="I190" i="10"/>
  <c r="N183" i="10"/>
  <c r="F183" i="10"/>
  <c r="K182" i="10"/>
  <c r="P181" i="10"/>
  <c r="H181" i="10"/>
  <c r="M179" i="10"/>
  <c r="R178" i="10"/>
  <c r="J178" i="10"/>
  <c r="O177" i="10"/>
  <c r="G177" i="10"/>
  <c r="L176" i="10"/>
  <c r="Q175" i="10"/>
  <c r="I175" i="10"/>
  <c r="N171" i="10"/>
  <c r="F171" i="10"/>
  <c r="K170" i="10"/>
  <c r="P168" i="10"/>
  <c r="H168" i="10"/>
  <c r="M167" i="10"/>
  <c r="R166" i="10"/>
  <c r="J166" i="10"/>
  <c r="O165" i="10"/>
  <c r="G165" i="10"/>
  <c r="L163" i="10"/>
  <c r="Q162" i="10"/>
  <c r="I162" i="10"/>
  <c r="N160" i="10"/>
  <c r="F160" i="10"/>
  <c r="K158" i="10"/>
  <c r="P157" i="10"/>
  <c r="H157" i="10"/>
  <c r="M151" i="10"/>
  <c r="R149" i="10"/>
  <c r="J149" i="10"/>
  <c r="O148" i="10"/>
  <c r="G148" i="10"/>
  <c r="L147" i="10"/>
  <c r="Q146" i="10"/>
  <c r="I146" i="10"/>
  <c r="N145" i="10"/>
  <c r="F145" i="10"/>
  <c r="K144" i="10"/>
  <c r="P143" i="10"/>
  <c r="H143" i="10"/>
  <c r="P199" i="10"/>
  <c r="H199" i="10"/>
  <c r="M198" i="10"/>
  <c r="R197" i="10"/>
  <c r="J197" i="10"/>
  <c r="O196" i="10"/>
  <c r="G196" i="10"/>
  <c r="L195" i="10"/>
  <c r="Q194" i="10"/>
  <c r="I194" i="10"/>
  <c r="N193" i="10"/>
  <c r="F193" i="10"/>
  <c r="K191" i="10"/>
  <c r="P190" i="10"/>
  <c r="H190" i="10"/>
  <c r="M183" i="10"/>
  <c r="R182" i="10"/>
  <c r="J182" i="10"/>
  <c r="O181" i="10"/>
  <c r="G181" i="10"/>
  <c r="L179" i="10"/>
  <c r="Q178" i="10"/>
  <c r="I178" i="10"/>
  <c r="N177" i="10"/>
  <c r="F177" i="10"/>
  <c r="K176" i="10"/>
  <c r="P175" i="10"/>
  <c r="H175" i="10"/>
  <c r="M171" i="10"/>
  <c r="R170" i="10"/>
  <c r="J170" i="10"/>
  <c r="O168" i="10"/>
  <c r="G168" i="10"/>
  <c r="L167" i="10"/>
  <c r="Q166" i="10"/>
  <c r="I166" i="10"/>
  <c r="N165" i="10"/>
  <c r="F165" i="10"/>
  <c r="K163" i="10"/>
  <c r="P162" i="10"/>
  <c r="H162" i="10"/>
  <c r="M160" i="10"/>
  <c r="R158" i="10"/>
  <c r="J158" i="10"/>
  <c r="O157" i="10"/>
  <c r="G157" i="10"/>
  <c r="L151" i="10"/>
  <c r="Q149" i="10"/>
  <c r="I149" i="10"/>
  <c r="N148" i="10"/>
  <c r="F148" i="10"/>
  <c r="K147" i="10"/>
  <c r="P146" i="10"/>
  <c r="H146" i="10"/>
  <c r="M145" i="10"/>
  <c r="R144" i="10"/>
  <c r="J144" i="10"/>
  <c r="O199" i="10"/>
  <c r="G199" i="10"/>
  <c r="L198" i="10"/>
  <c r="Q197" i="10"/>
  <c r="I197" i="10"/>
  <c r="N196" i="10"/>
  <c r="F196" i="10"/>
  <c r="K195" i="10"/>
  <c r="P194" i="10"/>
  <c r="H194" i="10"/>
  <c r="M193" i="10"/>
  <c r="R191" i="10"/>
  <c r="J191" i="10"/>
  <c r="O190" i="10"/>
  <c r="G190" i="10"/>
  <c r="L183" i="10"/>
  <c r="Q182" i="10"/>
  <c r="I182" i="10"/>
  <c r="N181" i="10"/>
  <c r="F181" i="10"/>
  <c r="K179" i="10"/>
  <c r="P178" i="10"/>
  <c r="H178" i="10"/>
  <c r="M177" i="10"/>
  <c r="R176" i="10"/>
  <c r="J176" i="10"/>
  <c r="O175" i="10"/>
  <c r="G175" i="10"/>
  <c r="L171" i="10"/>
  <c r="Q170" i="10"/>
  <c r="I170" i="10"/>
  <c r="N168" i="10"/>
  <c r="F168" i="10"/>
  <c r="K167" i="10"/>
  <c r="P166" i="10"/>
  <c r="H166" i="10"/>
  <c r="M165" i="10"/>
  <c r="R163" i="10"/>
  <c r="J163" i="10"/>
  <c r="O162" i="10"/>
  <c r="G162" i="10"/>
  <c r="L160" i="10"/>
  <c r="Q158" i="10"/>
  <c r="I158" i="10"/>
  <c r="N157" i="10"/>
  <c r="F157" i="10"/>
  <c r="K151" i="10"/>
  <c r="P149" i="10"/>
  <c r="H149" i="10"/>
  <c r="M148" i="10"/>
  <c r="R147" i="10"/>
  <c r="J147" i="10"/>
  <c r="O146" i="10"/>
  <c r="G146" i="10"/>
  <c r="L145" i="10"/>
  <c r="Q144" i="10"/>
  <c r="I144" i="10"/>
  <c r="N143" i="10"/>
  <c r="F143" i="10"/>
  <c r="K142" i="10"/>
  <c r="P139" i="10"/>
  <c r="H139" i="10"/>
  <c r="M138" i="10"/>
  <c r="R135" i="10"/>
  <c r="J135" i="10"/>
  <c r="O134" i="10"/>
  <c r="G134" i="10"/>
  <c r="L133" i="10"/>
  <c r="Q132" i="10"/>
  <c r="I132" i="10"/>
  <c r="N131" i="10"/>
  <c r="F131" i="10"/>
  <c r="K130" i="10"/>
  <c r="P128" i="10"/>
  <c r="H128" i="10"/>
  <c r="M126" i="10"/>
  <c r="R125" i="10"/>
  <c r="J125" i="10"/>
  <c r="O124" i="10"/>
  <c r="G124" i="10"/>
  <c r="L123" i="10"/>
  <c r="Q122" i="10"/>
  <c r="I122" i="10"/>
  <c r="N121" i="10"/>
  <c r="M144" i="10"/>
  <c r="M142" i="10"/>
  <c r="J139" i="10"/>
  <c r="G138" i="10"/>
  <c r="Q134" i="10"/>
  <c r="N133" i="10"/>
  <c r="K132" i="10"/>
  <c r="H131" i="10"/>
  <c r="R128" i="10"/>
  <c r="O126" i="10"/>
  <c r="L125" i="10"/>
  <c r="I124" i="10"/>
  <c r="F123" i="10"/>
  <c r="P121" i="10"/>
  <c r="O119" i="10"/>
  <c r="G119" i="10"/>
  <c r="L117" i="10"/>
  <c r="Q116" i="10"/>
  <c r="I116" i="10"/>
  <c r="N114" i="10"/>
  <c r="F114" i="10"/>
  <c r="K113" i="10"/>
  <c r="P111" i="10"/>
  <c r="H111" i="10"/>
  <c r="M110" i="10"/>
  <c r="F99" i="10"/>
  <c r="F17" i="10"/>
  <c r="R143" i="10"/>
  <c r="L142" i="10"/>
  <c r="I139" i="10"/>
  <c r="F138" i="10"/>
  <c r="P134" i="10"/>
  <c r="M133" i="10"/>
  <c r="J132" i="10"/>
  <c r="G131" i="10"/>
  <c r="Q128" i="10"/>
  <c r="N126" i="10"/>
  <c r="K125" i="10"/>
  <c r="H124" i="10"/>
  <c r="R122" i="10"/>
  <c r="O121" i="10"/>
  <c r="N119" i="10"/>
  <c r="F119" i="10"/>
  <c r="K117" i="10"/>
  <c r="P116" i="10"/>
  <c r="H116" i="10"/>
  <c r="M114" i="10"/>
  <c r="R113" i="10"/>
  <c r="J113" i="10"/>
  <c r="O111" i="10"/>
  <c r="G111" i="10"/>
  <c r="L110" i="10"/>
  <c r="F98" i="10"/>
  <c r="F89" i="10"/>
  <c r="F76" i="10"/>
  <c r="F63" i="10"/>
  <c r="F47" i="10"/>
  <c r="F36" i="10"/>
  <c r="F26" i="10"/>
  <c r="F15" i="10"/>
  <c r="J110" i="10"/>
  <c r="F71" i="10"/>
  <c r="F34" i="10"/>
  <c r="F12" i="10"/>
  <c r="F82" i="10"/>
  <c r="F33" i="10"/>
  <c r="F80" i="10"/>
  <c r="F79" i="10"/>
  <c r="F20" i="10"/>
  <c r="O143" i="10"/>
  <c r="G142" i="10"/>
  <c r="Q138" i="10"/>
  <c r="N135" i="10"/>
  <c r="K134" i="10"/>
  <c r="H133" i="10"/>
  <c r="R131" i="10"/>
  <c r="O130" i="10"/>
  <c r="L128" i="10"/>
  <c r="I126" i="10"/>
  <c r="F125" i="10"/>
  <c r="P123" i="10"/>
  <c r="M122" i="10"/>
  <c r="J121" i="10"/>
  <c r="M119" i="10"/>
  <c r="R117" i="10"/>
  <c r="J117" i="10"/>
  <c r="O116" i="10"/>
  <c r="G116" i="10"/>
  <c r="L114" i="10"/>
  <c r="Q113" i="10"/>
  <c r="I113" i="10"/>
  <c r="N111" i="10"/>
  <c r="F111" i="10"/>
  <c r="K110" i="10"/>
  <c r="F97" i="10"/>
  <c r="F84" i="10"/>
  <c r="F72" i="10"/>
  <c r="F61" i="10"/>
  <c r="F46" i="10"/>
  <c r="F35" i="10"/>
  <c r="F25" i="10"/>
  <c r="F14" i="10"/>
  <c r="K114" i="10"/>
  <c r="H113" i="10"/>
  <c r="R110" i="10"/>
  <c r="F83" i="10"/>
  <c r="F59" i="10"/>
  <c r="F24" i="10"/>
  <c r="F95" i="10"/>
  <c r="F44" i="10"/>
  <c r="F68" i="10"/>
  <c r="F43" i="10"/>
  <c r="F41" i="10"/>
  <c r="J143" i="10"/>
  <c r="F142" i="10"/>
  <c r="P138" i="10"/>
  <c r="M135" i="10"/>
  <c r="J134" i="10"/>
  <c r="G133" i="10"/>
  <c r="Q131" i="10"/>
  <c r="N130" i="10"/>
  <c r="K128" i="10"/>
  <c r="H126" i="10"/>
  <c r="R124" i="10"/>
  <c r="O123" i="10"/>
  <c r="L122" i="10"/>
  <c r="I121" i="10"/>
  <c r="L119" i="10"/>
  <c r="Q117" i="10"/>
  <c r="I117" i="10"/>
  <c r="N116" i="10"/>
  <c r="F116" i="10"/>
  <c r="P113" i="10"/>
  <c r="M111" i="10"/>
  <c r="F96" i="10"/>
  <c r="F45" i="10"/>
  <c r="F69" i="10"/>
  <c r="F23" i="10"/>
  <c r="F32" i="10"/>
  <c r="F147" i="10"/>
  <c r="I143" i="10"/>
  <c r="R139" i="10"/>
  <c r="O138" i="10"/>
  <c r="L135" i="10"/>
  <c r="I134" i="10"/>
  <c r="F133" i="10"/>
  <c r="P131" i="10"/>
  <c r="M130" i="10"/>
  <c r="J128" i="10"/>
  <c r="G126" i="10"/>
  <c r="Q124" i="10"/>
  <c r="N123" i="10"/>
  <c r="K122" i="10"/>
  <c r="H121" i="10"/>
  <c r="K119" i="10"/>
  <c r="P117" i="10"/>
  <c r="H117" i="10"/>
  <c r="M116" i="10"/>
  <c r="R114" i="10"/>
  <c r="J114" i="10"/>
  <c r="O113" i="10"/>
  <c r="G113" i="10"/>
  <c r="L111" i="10"/>
  <c r="Q110" i="10"/>
  <c r="I110" i="10"/>
  <c r="F58" i="10"/>
  <c r="F11" i="10"/>
  <c r="F22" i="10"/>
  <c r="K146" i="10"/>
  <c r="G143" i="10"/>
  <c r="Q139" i="10"/>
  <c r="N138" i="10"/>
  <c r="K135" i="10"/>
  <c r="H134" i="10"/>
  <c r="R132" i="10"/>
  <c r="O131" i="10"/>
  <c r="L130" i="10"/>
  <c r="I128" i="10"/>
  <c r="F126" i="10"/>
  <c r="P124" i="10"/>
  <c r="M123" i="10"/>
  <c r="J122" i="10"/>
  <c r="G121" i="10"/>
  <c r="J119" i="10"/>
  <c r="O117" i="10"/>
  <c r="G117" i="10"/>
  <c r="L116" i="10"/>
  <c r="Q114" i="10"/>
  <c r="I114" i="10"/>
  <c r="N113" i="10"/>
  <c r="F113" i="10"/>
  <c r="K111" i="10"/>
  <c r="P110" i="10"/>
  <c r="H110" i="10"/>
  <c r="F94" i="10"/>
  <c r="F52" i="10"/>
  <c r="F67" i="10"/>
  <c r="P145" i="10"/>
  <c r="O142" i="10"/>
  <c r="L139" i="10"/>
  <c r="I138" i="10"/>
  <c r="F135" i="10"/>
  <c r="P133" i="10"/>
  <c r="M132" i="10"/>
  <c r="J131" i="10"/>
  <c r="G130" i="10"/>
  <c r="Q126" i="10"/>
  <c r="N125" i="10"/>
  <c r="K124" i="10"/>
  <c r="H123" i="10"/>
  <c r="R121" i="10"/>
  <c r="F121" i="10"/>
  <c r="I119" i="10"/>
  <c r="N117" i="10"/>
  <c r="F117" i="10"/>
  <c r="K116" i="10"/>
  <c r="P114" i="10"/>
  <c r="H114" i="10"/>
  <c r="M113" i="10"/>
  <c r="R111" i="10"/>
  <c r="J111" i="10"/>
  <c r="O110" i="10"/>
  <c r="G110" i="10"/>
  <c r="F93" i="10"/>
  <c r="F50" i="10"/>
  <c r="H145" i="10"/>
  <c r="N142" i="10"/>
  <c r="K139" i="10"/>
  <c r="H138" i="10"/>
  <c r="R134" i="10"/>
  <c r="O133" i="10"/>
  <c r="L132" i="10"/>
  <c r="I131" i="10"/>
  <c r="F130" i="10"/>
  <c r="P126" i="10"/>
  <c r="M125" i="10"/>
  <c r="J124" i="10"/>
  <c r="G123" i="10"/>
  <c r="Q121" i="10"/>
  <c r="P119" i="10"/>
  <c r="H119" i="10"/>
  <c r="M117" i="10"/>
  <c r="R116" i="10"/>
  <c r="J116" i="10"/>
  <c r="O114" i="10"/>
  <c r="G114" i="10"/>
  <c r="L113" i="10"/>
  <c r="Q111" i="10"/>
  <c r="I111" i="10"/>
  <c r="N110" i="10"/>
  <c r="F110" i="10"/>
  <c r="F92" i="10"/>
  <c r="F78" i="10"/>
  <c r="F66" i="10"/>
  <c r="F49" i="10"/>
  <c r="F40" i="10"/>
  <c r="F29" i="10"/>
  <c r="F18" i="10"/>
  <c r="F90" i="10"/>
  <c r="F77" i="10"/>
  <c r="F64" i="10"/>
  <c r="F48" i="10"/>
  <c r="F39" i="10"/>
  <c r="F27" i="10"/>
  <c r="F31" i="10"/>
  <c r="U61" i="2"/>
  <c r="T61" i="2"/>
  <c r="V61" i="2"/>
  <c r="V60" i="2"/>
  <c r="U60" i="2"/>
  <c r="T60" i="2"/>
  <c r="U9" i="2"/>
  <c r="T9" i="2"/>
  <c r="V9" i="2"/>
  <c r="Y8" i="2"/>
  <c r="Y155" i="2" s="1"/>
  <c r="N31" i="8"/>
  <c r="O105" i="9" s="1"/>
  <c r="N40" i="8"/>
  <c r="O85" i="9" s="1"/>
  <c r="N41" i="8"/>
  <c r="O86" i="9" s="1"/>
  <c r="N35" i="8"/>
  <c r="O108" i="9" s="1"/>
  <c r="N24" i="8"/>
  <c r="O100" i="9" s="1"/>
  <c r="N33" i="8"/>
  <c r="O106" i="9" s="1"/>
  <c r="AL10" i="9"/>
  <c r="N28" i="8"/>
  <c r="O102" i="9" s="1"/>
  <c r="N34" i="8"/>
  <c r="O107" i="9" s="1"/>
  <c r="N10" i="8"/>
  <c r="O88" i="9" s="1"/>
  <c r="N38" i="8"/>
  <c r="O83" i="9" s="1"/>
  <c r="N29" i="8"/>
  <c r="O103" i="9" s="1"/>
  <c r="N36" i="8"/>
  <c r="O109" i="9" s="1"/>
  <c r="N39" i="8"/>
  <c r="O84" i="9" s="1"/>
  <c r="AI127" i="9"/>
  <c r="AP127" i="9"/>
  <c r="AH127" i="9"/>
  <c r="AF127" i="9"/>
  <c r="AL127" i="9"/>
  <c r="AO127" i="9"/>
  <c r="AE127" i="9"/>
  <c r="AM127" i="9"/>
  <c r="AN127" i="9"/>
  <c r="AK127" i="9"/>
  <c r="AG127" i="9"/>
  <c r="AJ127" i="9"/>
  <c r="AI153" i="9"/>
  <c r="AN149" i="9"/>
  <c r="AF149" i="9"/>
  <c r="AO146" i="9"/>
  <c r="AI145" i="9"/>
  <c r="AN133" i="9"/>
  <c r="AF133" i="9"/>
  <c r="AI128" i="9"/>
  <c r="AH79" i="9"/>
  <c r="AE150" i="9"/>
  <c r="AM149" i="9"/>
  <c r="AE149" i="9"/>
  <c r="AM133" i="9"/>
  <c r="AE133" i="9"/>
  <c r="AO130" i="9"/>
  <c r="AL149" i="9"/>
  <c r="AO148" i="9"/>
  <c r="AG148" i="9"/>
  <c r="AL133" i="9"/>
  <c r="AO131" i="9"/>
  <c r="AG131" i="9"/>
  <c r="AL8" i="9"/>
  <c r="AK133" i="9"/>
  <c r="AL7" i="9"/>
  <c r="AO149" i="9"/>
  <c r="AO133" i="9"/>
  <c r="AE146" i="9"/>
  <c r="AE129" i="9"/>
  <c r="AO150" i="9"/>
  <c r="AK148" i="9"/>
  <c r="AK131" i="9"/>
  <c r="AK146" i="9"/>
  <c r="AN80" i="9"/>
  <c r="AE148" i="9"/>
  <c r="AI147" i="9"/>
  <c r="AI139" i="9"/>
  <c r="AI130" i="9"/>
  <c r="AG130" i="9"/>
  <c r="AO156" i="9"/>
  <c r="AJ154" i="9"/>
  <c r="AG150" i="9"/>
  <c r="AG146" i="9"/>
  <c r="AO141" i="9"/>
  <c r="AG138" i="9"/>
  <c r="AK150" i="9"/>
  <c r="AE152" i="9"/>
  <c r="AE144" i="9"/>
  <c r="AE136" i="9"/>
  <c r="AO129" i="9"/>
  <c r="AK156" i="9"/>
  <c r="AG154" i="9"/>
  <c r="AO145" i="9"/>
  <c r="AO137" i="9"/>
  <c r="AG128" i="9"/>
  <c r="AG142" i="9"/>
  <c r="AI149" i="9"/>
  <c r="AI141" i="9"/>
  <c r="AI133" i="9"/>
  <c r="AK129" i="9"/>
  <c r="AG156" i="9"/>
  <c r="AO153" i="9"/>
  <c r="AK149" i="9"/>
  <c r="AK145" i="9"/>
  <c r="AG141" i="9"/>
  <c r="AK137" i="9"/>
  <c r="AG133" i="9"/>
  <c r="AG134" i="9"/>
  <c r="AG129" i="9"/>
  <c r="AK153" i="9"/>
  <c r="AG149" i="9"/>
  <c r="AG145" i="9"/>
  <c r="AO139" i="9"/>
  <c r="AG137" i="9"/>
  <c r="AO132" i="9"/>
  <c r="AI154" i="9"/>
  <c r="AO152" i="9"/>
  <c r="AG152" i="9"/>
  <c r="AI151" i="9"/>
  <c r="AI146" i="9"/>
  <c r="AO144" i="9"/>
  <c r="AG144" i="9"/>
  <c r="AI143" i="9"/>
  <c r="AI138" i="9"/>
  <c r="AO136" i="9"/>
  <c r="AG136" i="9"/>
  <c r="AI129" i="9"/>
  <c r="AO128" i="9"/>
  <c r="AG153" i="9"/>
  <c r="AO147" i="9"/>
  <c r="AK144" i="9"/>
  <c r="AG139" i="9"/>
  <c r="AK136" i="9"/>
  <c r="AK132" i="9"/>
  <c r="AJ95" i="9"/>
  <c r="AP154" i="9"/>
  <c r="AH154" i="9"/>
  <c r="AP146" i="9"/>
  <c r="AH146" i="9"/>
  <c r="AP138" i="9"/>
  <c r="AH138" i="9"/>
  <c r="AE131" i="9"/>
  <c r="AP129" i="9"/>
  <c r="AH129" i="9"/>
  <c r="AK128" i="9"/>
  <c r="AK152" i="9"/>
  <c r="AG147" i="9"/>
  <c r="AO142" i="9"/>
  <c r="AO138" i="9"/>
  <c r="AO134" i="9"/>
  <c r="AG132" i="9"/>
  <c r="AO143" i="9"/>
  <c r="AG143" i="9"/>
  <c r="AK130" i="9"/>
  <c r="AK151" i="9"/>
  <c r="AK147" i="9"/>
  <c r="AK135" i="9"/>
  <c r="AP36" i="9"/>
  <c r="AL131" i="9"/>
  <c r="AP130" i="9"/>
  <c r="AH130" i="9"/>
  <c r="AL129" i="9"/>
  <c r="AP128" i="9"/>
  <c r="AH128" i="9"/>
  <c r="AL156" i="9"/>
  <c r="AL154" i="9"/>
  <c r="AP153" i="9"/>
  <c r="AH153" i="9"/>
  <c r="AL152" i="9"/>
  <c r="AP151" i="9"/>
  <c r="AH151" i="9"/>
  <c r="AL150" i="9"/>
  <c r="AP149" i="9"/>
  <c r="AH149" i="9"/>
  <c r="AL148" i="9"/>
  <c r="AP147" i="9"/>
  <c r="AH147" i="9"/>
  <c r="AL146" i="9"/>
  <c r="AP145" i="9"/>
  <c r="AH145" i="9"/>
  <c r="AL144" i="9"/>
  <c r="AP143" i="9"/>
  <c r="AH143" i="9"/>
  <c r="AL142" i="9"/>
  <c r="AP141" i="9"/>
  <c r="AH141" i="9"/>
  <c r="AL140" i="9"/>
  <c r="AP139" i="9"/>
  <c r="AH139" i="9"/>
  <c r="AL138" i="9"/>
  <c r="AP137" i="9"/>
  <c r="AH137" i="9"/>
  <c r="AL136" i="9"/>
  <c r="AP135" i="9"/>
  <c r="AH135" i="9"/>
  <c r="AL134" i="9"/>
  <c r="AP133" i="9"/>
  <c r="AH133" i="9"/>
  <c r="AL132" i="9"/>
  <c r="AJ131" i="9"/>
  <c r="AN130" i="9"/>
  <c r="AF130" i="9"/>
  <c r="AJ129" i="9"/>
  <c r="AN128" i="9"/>
  <c r="AF128" i="9"/>
  <c r="AJ156" i="9"/>
  <c r="AN153" i="9"/>
  <c r="AF153" i="9"/>
  <c r="AJ152" i="9"/>
  <c r="AN151" i="9"/>
  <c r="AF151" i="9"/>
  <c r="AJ150" i="9"/>
  <c r="AJ148" i="9"/>
  <c r="AN147" i="9"/>
  <c r="AF147" i="9"/>
  <c r="AJ146" i="9"/>
  <c r="AN145" i="9"/>
  <c r="AF145" i="9"/>
  <c r="AJ144" i="9"/>
  <c r="AN143" i="9"/>
  <c r="AF143" i="9"/>
  <c r="AJ142" i="9"/>
  <c r="AJ140" i="9"/>
  <c r="AN139" i="9"/>
  <c r="AF139" i="9"/>
  <c r="AN137" i="9"/>
  <c r="AF137" i="9"/>
  <c r="AJ136" i="9"/>
  <c r="AN135" i="9"/>
  <c r="AF135" i="9"/>
  <c r="AJ134" i="9"/>
  <c r="AJ132" i="9"/>
  <c r="AO135" i="9"/>
  <c r="AI131" i="9"/>
  <c r="AM130" i="9"/>
  <c r="AE130" i="9"/>
  <c r="AM128" i="9"/>
  <c r="AE128" i="9"/>
  <c r="AI156" i="9"/>
  <c r="AM153" i="9"/>
  <c r="AE153" i="9"/>
  <c r="AI152" i="9"/>
  <c r="AM151" i="9"/>
  <c r="AE151" i="9"/>
  <c r="AI150" i="9"/>
  <c r="AI148" i="9"/>
  <c r="AM147" i="9"/>
  <c r="AE147" i="9"/>
  <c r="AM145" i="9"/>
  <c r="AE145" i="9"/>
  <c r="AI144" i="9"/>
  <c r="AM143" i="9"/>
  <c r="AE143" i="9"/>
  <c r="AI142" i="9"/>
  <c r="AI140" i="9"/>
  <c r="AM139" i="9"/>
  <c r="AE139" i="9"/>
  <c r="AM137" i="9"/>
  <c r="AE137" i="9"/>
  <c r="AI136" i="9"/>
  <c r="AM135" i="9"/>
  <c r="AE135" i="9"/>
  <c r="AI134" i="9"/>
  <c r="AI132" i="9"/>
  <c r="AO151" i="9"/>
  <c r="AG135" i="9"/>
  <c r="AP131" i="9"/>
  <c r="AH131" i="9"/>
  <c r="AL130" i="9"/>
  <c r="AL128" i="9"/>
  <c r="AH156" i="9"/>
  <c r="AL153" i="9"/>
  <c r="AP152" i="9"/>
  <c r="AH152" i="9"/>
  <c r="AL151" i="9"/>
  <c r="AP150" i="9"/>
  <c r="AH150" i="9"/>
  <c r="AP148" i="9"/>
  <c r="AH148" i="9"/>
  <c r="AL147" i="9"/>
  <c r="AL145" i="9"/>
  <c r="AP144" i="9"/>
  <c r="AH144" i="9"/>
  <c r="AL143" i="9"/>
  <c r="AP142" i="9"/>
  <c r="AH142" i="9"/>
  <c r="AP140" i="9"/>
  <c r="AH140" i="9"/>
  <c r="AL139" i="9"/>
  <c r="AL137" i="9"/>
  <c r="AP136" i="9"/>
  <c r="AH136" i="9"/>
  <c r="AL135" i="9"/>
  <c r="AP134" i="9"/>
  <c r="AH134" i="9"/>
  <c r="AP132" i="9"/>
  <c r="AH132" i="9"/>
  <c r="AK143" i="9"/>
  <c r="AE33" i="9"/>
  <c r="AN131" i="9"/>
  <c r="AF131" i="9"/>
  <c r="AJ130" i="9"/>
  <c r="AN129" i="9"/>
  <c r="AF129" i="9"/>
  <c r="AJ128" i="9"/>
  <c r="AN156" i="9"/>
  <c r="AF156" i="9"/>
  <c r="AN154" i="9"/>
  <c r="AF154" i="9"/>
  <c r="AJ153" i="9"/>
  <c r="AN152" i="9"/>
  <c r="AF152" i="9"/>
  <c r="AJ151" i="9"/>
  <c r="AN150" i="9"/>
  <c r="AF150" i="9"/>
  <c r="AJ149" i="9"/>
  <c r="AN148" i="9"/>
  <c r="AF148" i="9"/>
  <c r="AJ147" i="9"/>
  <c r="AN146" i="9"/>
  <c r="AF146" i="9"/>
  <c r="AJ145" i="9"/>
  <c r="AN144" i="9"/>
  <c r="AF144" i="9"/>
  <c r="AJ143" i="9"/>
  <c r="AN142" i="9"/>
  <c r="AF142" i="9"/>
  <c r="AJ141" i="9"/>
  <c r="AN140" i="9"/>
  <c r="AF140" i="9"/>
  <c r="AJ139" i="9"/>
  <c r="AN138" i="9"/>
  <c r="AF138" i="9"/>
  <c r="AJ137" i="9"/>
  <c r="AN136" i="9"/>
  <c r="AF136" i="9"/>
  <c r="AJ135" i="9"/>
  <c r="AN134" i="9"/>
  <c r="AF134" i="9"/>
  <c r="AJ133" i="9"/>
  <c r="AN132" i="9"/>
  <c r="AF132" i="9"/>
  <c r="AG151" i="9"/>
  <c r="AK139" i="9"/>
  <c r="AJ10" i="9"/>
  <c r="AM131" i="9"/>
  <c r="AM129" i="9"/>
  <c r="AM156" i="9"/>
  <c r="AM154" i="9"/>
  <c r="AM152" i="9"/>
  <c r="AM150" i="9"/>
  <c r="AM148" i="9"/>
  <c r="AM146" i="9"/>
  <c r="AM144" i="9"/>
  <c r="AM142" i="9"/>
  <c r="AM140" i="9"/>
  <c r="AM138" i="9"/>
  <c r="AM136" i="9"/>
  <c r="AM134" i="9"/>
  <c r="AM132" i="9"/>
  <c r="AK9" i="9"/>
  <c r="AN13" i="9"/>
  <c r="AJ9" i="9"/>
  <c r="AK12" i="9"/>
  <c r="AP55" i="9"/>
  <c r="AL9" i="9"/>
  <c r="AJ125" i="9"/>
  <c r="AP96" i="9"/>
  <c r="AH92" i="9"/>
  <c r="AP88" i="9"/>
  <c r="AM47" i="9"/>
  <c r="AM108" i="9"/>
  <c r="AK106" i="9"/>
  <c r="AN92" i="9"/>
  <c r="AM68" i="9"/>
  <c r="AM64" i="9"/>
  <c r="AM60" i="9"/>
  <c r="AM56" i="9"/>
  <c r="AM52" i="9"/>
  <c r="AM48" i="9"/>
  <c r="AL47" i="9"/>
  <c r="AO105" i="9"/>
  <c r="AK48" i="9"/>
  <c r="AK85" i="9"/>
  <c r="AM10" i="9"/>
  <c r="AE10" i="9"/>
  <c r="AL30" i="9"/>
  <c r="AI80" i="9"/>
  <c r="AI71" i="9"/>
  <c r="AE67" i="9"/>
  <c r="AE63" i="9"/>
  <c r="AE59" i="9"/>
  <c r="AE55" i="9"/>
  <c r="AM51" i="9"/>
  <c r="AL100" i="9"/>
  <c r="AL95" i="9"/>
  <c r="AL91" i="9"/>
  <c r="AL97" i="9"/>
  <c r="AO120" i="9"/>
  <c r="AP43" i="9"/>
  <c r="AF107" i="9"/>
  <c r="AE103" i="9"/>
  <c r="AN37" i="9"/>
  <c r="AO25" i="9"/>
  <c r="AO21" i="9"/>
  <c r="AL19" i="9"/>
  <c r="AO74" i="9"/>
  <c r="AG72" i="9"/>
  <c r="AI66" i="9"/>
  <c r="AL54" i="9"/>
  <c r="AP50" i="9"/>
  <c r="AN87" i="9"/>
  <c r="AO92" i="9"/>
  <c r="AP82" i="9"/>
  <c r="AP10" i="9"/>
  <c r="AM9" i="9"/>
  <c r="AE9" i="9"/>
  <c r="AO7" i="9"/>
  <c r="AG7" i="9"/>
  <c r="AK104" i="9"/>
  <c r="AI47" i="9"/>
  <c r="AP51" i="9"/>
  <c r="AE66" i="9"/>
  <c r="AG103" i="9"/>
  <c r="AO13" i="9"/>
  <c r="AK41" i="9"/>
  <c r="AK29" i="9"/>
  <c r="AP15" i="9"/>
  <c r="AK54" i="9"/>
  <c r="AM67" i="9"/>
  <c r="AI104" i="9"/>
  <c r="AM7" i="9"/>
  <c r="AL28" i="9"/>
  <c r="AK84" i="9"/>
  <c r="AI48" i="9"/>
  <c r="AN71" i="9"/>
  <c r="AJ104" i="9"/>
  <c r="AJ40" i="9"/>
  <c r="AI67" i="9"/>
  <c r="AE62" i="9"/>
  <c r="AI59" i="9"/>
  <c r="AI55" i="9"/>
  <c r="AE54" i="9"/>
  <c r="AM55" i="9"/>
  <c r="AH94" i="9"/>
  <c r="AP33" i="9"/>
  <c r="AG10" i="9"/>
  <c r="AJ7" i="9"/>
  <c r="AL11" i="9"/>
  <c r="AG41" i="9"/>
  <c r="AI40" i="9"/>
  <c r="AK39" i="9"/>
  <c r="AP35" i="9"/>
  <c r="AG33" i="9"/>
  <c r="AK31" i="9"/>
  <c r="AO27" i="9"/>
  <c r="AI24" i="9"/>
  <c r="AL23" i="9"/>
  <c r="AP20" i="9"/>
  <c r="AI18" i="9"/>
  <c r="AI17" i="9"/>
  <c r="AO63" i="9"/>
  <c r="AI62" i="9"/>
  <c r="AO59" i="9"/>
  <c r="AI58" i="9"/>
  <c r="AO55" i="9"/>
  <c r="AI54" i="9"/>
  <c r="AH53" i="9"/>
  <c r="AO51" i="9"/>
  <c r="AL37" i="9"/>
  <c r="AM50" i="9"/>
  <c r="AM59" i="9"/>
  <c r="AH82" i="9"/>
  <c r="AK95" i="9"/>
  <c r="AE107" i="9"/>
  <c r="AO10" i="9"/>
  <c r="AH9" i="9"/>
  <c r="AN10" i="9"/>
  <c r="AF10" i="9"/>
  <c r="AO9" i="9"/>
  <c r="AG9" i="9"/>
  <c r="AH32" i="9"/>
  <c r="AF25" i="9"/>
  <c r="AN84" i="9"/>
  <c r="AO103" i="9"/>
  <c r="AL51" i="9"/>
  <c r="AI63" i="9"/>
  <c r="AJ97" i="9"/>
  <c r="AP14" i="9"/>
  <c r="AN9" i="9"/>
  <c r="AF9" i="9"/>
  <c r="AH7" i="9"/>
  <c r="AG42" i="9"/>
  <c r="AI38" i="9"/>
  <c r="AO36" i="9"/>
  <c r="AO34" i="9"/>
  <c r="AM29" i="9"/>
  <c r="AP26" i="9"/>
  <c r="AK22" i="9"/>
  <c r="AM21" i="9"/>
  <c r="AK6" i="9"/>
  <c r="AH16" i="9"/>
  <c r="AE15" i="9"/>
  <c r="AJ72" i="9"/>
  <c r="AH19" i="9"/>
  <c r="AM63" i="9"/>
  <c r="AK97" i="9"/>
  <c r="AM115" i="9"/>
  <c r="AN115" i="9"/>
  <c r="AL115" i="9"/>
  <c r="AH115" i="9"/>
  <c r="AP115" i="9"/>
  <c r="AG115" i="9"/>
  <c r="AI115" i="9"/>
  <c r="AF115" i="9"/>
  <c r="AO115" i="9"/>
  <c r="AJ115" i="9"/>
  <c r="AI110" i="9"/>
  <c r="AP110" i="9"/>
  <c r="AH110" i="9"/>
  <c r="AL110" i="9"/>
  <c r="AK110" i="9"/>
  <c r="AJ110" i="9"/>
  <c r="AG110" i="9"/>
  <c r="AM110" i="9"/>
  <c r="AF110" i="9"/>
  <c r="AO110" i="9"/>
  <c r="AN110" i="9"/>
  <c r="AJ78" i="9"/>
  <c r="AH78" i="9"/>
  <c r="AG78" i="9"/>
  <c r="AL78" i="9"/>
  <c r="AI78" i="9"/>
  <c r="AN78" i="9"/>
  <c r="AM78" i="9"/>
  <c r="AK78" i="9"/>
  <c r="AF78" i="9"/>
  <c r="AE78" i="9"/>
  <c r="AJ73" i="9"/>
  <c r="AK73" i="9"/>
  <c r="AI73" i="9"/>
  <c r="AN73" i="9"/>
  <c r="AE73" i="9"/>
  <c r="AL73" i="9"/>
  <c r="AG73" i="9"/>
  <c r="AF73" i="9"/>
  <c r="AP73" i="9"/>
  <c r="AO73" i="9"/>
  <c r="AJ69" i="9"/>
  <c r="AM69" i="9"/>
  <c r="AL69" i="9"/>
  <c r="AP69" i="9"/>
  <c r="AG69" i="9"/>
  <c r="AN69" i="9"/>
  <c r="AE69" i="9"/>
  <c r="AO69" i="9"/>
  <c r="AK69" i="9"/>
  <c r="AI69" i="9"/>
  <c r="AH69" i="9"/>
  <c r="AK65" i="9"/>
  <c r="AJ65" i="9"/>
  <c r="AN65" i="9"/>
  <c r="AF65" i="9"/>
  <c r="AL65" i="9"/>
  <c r="AP65" i="9"/>
  <c r="AO65" i="9"/>
  <c r="AM65" i="9"/>
  <c r="AI65" i="9"/>
  <c r="AH65" i="9"/>
  <c r="AG65" i="9"/>
  <c r="AK61" i="9"/>
  <c r="AJ61" i="9"/>
  <c r="AN61" i="9"/>
  <c r="AF61" i="9"/>
  <c r="AL61" i="9"/>
  <c r="AP61" i="9"/>
  <c r="AO61" i="9"/>
  <c r="AM61" i="9"/>
  <c r="AI61" i="9"/>
  <c r="AH61" i="9"/>
  <c r="AG61" i="9"/>
  <c r="AK49" i="9"/>
  <c r="AJ49" i="9"/>
  <c r="AN49" i="9"/>
  <c r="AF49" i="9"/>
  <c r="AH49" i="9"/>
  <c r="AG49" i="9"/>
  <c r="AE49" i="9"/>
  <c r="AP49" i="9"/>
  <c r="AM86" i="9"/>
  <c r="AE86" i="9"/>
  <c r="AJ86" i="9"/>
  <c r="AI86" i="9"/>
  <c r="AN86" i="9"/>
  <c r="AL86" i="9"/>
  <c r="AO86" i="9"/>
  <c r="AK86" i="9"/>
  <c r="AP86" i="9"/>
  <c r="AH86" i="9"/>
  <c r="AG86" i="9"/>
  <c r="AF86" i="9"/>
  <c r="AN89" i="9"/>
  <c r="AF89" i="9"/>
  <c r="AM89" i="9"/>
  <c r="AE89" i="9"/>
  <c r="AI89" i="9"/>
  <c r="AP89" i="9"/>
  <c r="AH89" i="9"/>
  <c r="AJ89" i="9"/>
  <c r="AG89" i="9"/>
  <c r="AO89" i="9"/>
  <c r="AK89" i="9"/>
  <c r="AG53" i="9"/>
  <c r="AO78" i="9"/>
  <c r="AP7" i="9"/>
  <c r="AI7" i="9"/>
  <c r="AN12" i="9"/>
  <c r="AF12" i="9"/>
  <c r="AM12" i="9"/>
  <c r="AE12" i="9"/>
  <c r="AI12" i="9"/>
  <c r="AG12" i="9"/>
  <c r="AP12" i="9"/>
  <c r="AO12" i="9"/>
  <c r="AN32" i="9"/>
  <c r="AF32" i="9"/>
  <c r="AM32" i="9"/>
  <c r="AE32" i="9"/>
  <c r="AP32" i="9"/>
  <c r="AO32" i="9"/>
  <c r="AL32" i="9"/>
  <c r="AK32" i="9"/>
  <c r="AN28" i="9"/>
  <c r="AF28" i="9"/>
  <c r="AM28" i="9"/>
  <c r="AE28" i="9"/>
  <c r="AJ28" i="9"/>
  <c r="AI28" i="9"/>
  <c r="AH28" i="9"/>
  <c r="AG28" i="9"/>
  <c r="AN24" i="9"/>
  <c r="AF24" i="9"/>
  <c r="AM24" i="9"/>
  <c r="AE24" i="9"/>
  <c r="AP24" i="9"/>
  <c r="AO24" i="9"/>
  <c r="AL24" i="9"/>
  <c r="AK24" i="9"/>
  <c r="AO18" i="9"/>
  <c r="AG18" i="9"/>
  <c r="AN18" i="9"/>
  <c r="AF18" i="9"/>
  <c r="AJ18" i="9"/>
  <c r="AP18" i="9"/>
  <c r="AM18" i="9"/>
  <c r="AL18" i="9"/>
  <c r="AM125" i="9"/>
  <c r="AL125" i="9"/>
  <c r="AH125" i="9"/>
  <c r="AO125" i="9"/>
  <c r="AG125" i="9"/>
  <c r="AN125" i="9"/>
  <c r="AF125" i="9"/>
  <c r="AK125" i="9"/>
  <c r="AM117" i="9"/>
  <c r="AH117" i="9"/>
  <c r="AP117" i="9"/>
  <c r="AG117" i="9"/>
  <c r="AK117" i="9"/>
  <c r="AJ117" i="9"/>
  <c r="AI117" i="9"/>
  <c r="AN117" i="9"/>
  <c r="AL117" i="9"/>
  <c r="AF117" i="9"/>
  <c r="AK47" i="9"/>
  <c r="AJ47" i="9"/>
  <c r="AN47" i="9"/>
  <c r="AF47" i="9"/>
  <c r="AG47" i="9"/>
  <c r="AE47" i="9"/>
  <c r="AP47" i="9"/>
  <c r="AO47" i="9"/>
  <c r="AM109" i="9"/>
  <c r="AE109" i="9"/>
  <c r="AL109" i="9"/>
  <c r="AK109" i="9"/>
  <c r="AP109" i="9"/>
  <c r="AG109" i="9"/>
  <c r="AO109" i="9"/>
  <c r="AF109" i="9"/>
  <c r="AH109" i="9"/>
  <c r="AN109" i="9"/>
  <c r="AI109" i="9"/>
  <c r="AI105" i="9"/>
  <c r="AP105" i="9"/>
  <c r="AH105" i="9"/>
  <c r="AL105" i="9"/>
  <c r="AK105" i="9"/>
  <c r="AE105" i="9"/>
  <c r="AJ105" i="9"/>
  <c r="AF105" i="9"/>
  <c r="AN105" i="9"/>
  <c r="AM105" i="9"/>
  <c r="AG105" i="9"/>
  <c r="AJ101" i="9"/>
  <c r="AI101" i="9"/>
  <c r="AM101" i="9"/>
  <c r="AE101" i="9"/>
  <c r="AL101" i="9"/>
  <c r="AF101" i="9"/>
  <c r="AK101" i="9"/>
  <c r="AG101" i="9"/>
  <c r="AP101" i="9"/>
  <c r="AO101" i="9"/>
  <c r="AN101" i="9"/>
  <c r="AG20" i="9"/>
  <c r="AE21" i="9"/>
  <c r="AL22" i="9"/>
  <c r="AJ24" i="9"/>
  <c r="AH26" i="9"/>
  <c r="AP27" i="9"/>
  <c r="AN29" i="9"/>
  <c r="AL31" i="9"/>
  <c r="AH33" i="9"/>
  <c r="AF35" i="9"/>
  <c r="AL38" i="9"/>
  <c r="AK42" i="9"/>
  <c r="AL12" i="9"/>
  <c r="AH14" i="9"/>
  <c r="AI16" i="9"/>
  <c r="AK18" i="9"/>
  <c r="AL6" i="9"/>
  <c r="AE61" i="9"/>
  <c r="AJ109" i="9"/>
  <c r="AI112" i="9"/>
  <c r="AP112" i="9"/>
  <c r="AH112" i="9"/>
  <c r="AL112" i="9"/>
  <c r="AK112" i="9"/>
  <c r="AJ112" i="9"/>
  <c r="AG112" i="9"/>
  <c r="AF112" i="9"/>
  <c r="AN112" i="9"/>
  <c r="AM112" i="9"/>
  <c r="AJ44" i="9"/>
  <c r="AO44" i="9"/>
  <c r="AF44" i="9"/>
  <c r="AN44" i="9"/>
  <c r="AE44" i="9"/>
  <c r="AI44" i="9"/>
  <c r="AP44" i="9"/>
  <c r="AG44" i="9"/>
  <c r="AM44" i="9"/>
  <c r="AL44" i="9"/>
  <c r="AK44" i="9"/>
  <c r="AK57" i="9"/>
  <c r="AJ57" i="9"/>
  <c r="AN57" i="9"/>
  <c r="AF57" i="9"/>
  <c r="AL57" i="9"/>
  <c r="AP57" i="9"/>
  <c r="AO57" i="9"/>
  <c r="AM57" i="9"/>
  <c r="AI57" i="9"/>
  <c r="AH57" i="9"/>
  <c r="AG57" i="9"/>
  <c r="AK53" i="9"/>
  <c r="AJ53" i="9"/>
  <c r="AN53" i="9"/>
  <c r="AF53" i="9"/>
  <c r="AL53" i="9"/>
  <c r="AP53" i="9"/>
  <c r="AO53" i="9"/>
  <c r="AM53" i="9"/>
  <c r="AI53" i="9"/>
  <c r="AN98" i="9"/>
  <c r="AF98" i="9"/>
  <c r="AM98" i="9"/>
  <c r="AE98" i="9"/>
  <c r="AI98" i="9"/>
  <c r="AP98" i="9"/>
  <c r="AH98" i="9"/>
  <c r="AJ98" i="9"/>
  <c r="AG98" i="9"/>
  <c r="AO98" i="9"/>
  <c r="AK98" i="9"/>
  <c r="AN93" i="9"/>
  <c r="AF93" i="9"/>
  <c r="AM93" i="9"/>
  <c r="AE93" i="9"/>
  <c r="AI93" i="9"/>
  <c r="AP93" i="9"/>
  <c r="AH93" i="9"/>
  <c r="AJ93" i="9"/>
  <c r="AG93" i="9"/>
  <c r="AO93" i="9"/>
  <c r="AK93" i="9"/>
  <c r="AL93" i="9"/>
  <c r="AF20" i="9"/>
  <c r="AG26" i="9"/>
  <c r="AE35" i="9"/>
  <c r="AK38" i="9"/>
  <c r="AJ42" i="9"/>
  <c r="AE14" i="9"/>
  <c r="AN40" i="9"/>
  <c r="AF40" i="9"/>
  <c r="AM40" i="9"/>
  <c r="AE40" i="9"/>
  <c r="AP40" i="9"/>
  <c r="AO40" i="9"/>
  <c r="AL40" i="9"/>
  <c r="AK40" i="9"/>
  <c r="AN36" i="9"/>
  <c r="AF36" i="9"/>
  <c r="AM36" i="9"/>
  <c r="AE36" i="9"/>
  <c r="AJ36" i="9"/>
  <c r="AI36" i="9"/>
  <c r="AH36" i="9"/>
  <c r="AG36" i="9"/>
  <c r="AH10" i="9"/>
  <c r="AJ8" i="9"/>
  <c r="AK7" i="9"/>
  <c r="AN43" i="9"/>
  <c r="AF43" i="9"/>
  <c r="AI43" i="9"/>
  <c r="AH43" i="9"/>
  <c r="AL43" i="9"/>
  <c r="AJ43" i="9"/>
  <c r="AO43" i="9"/>
  <c r="AM43" i="9"/>
  <c r="AK43" i="9"/>
  <c r="AG43" i="9"/>
  <c r="AE43" i="9"/>
  <c r="AN77" i="9"/>
  <c r="AF77" i="9"/>
  <c r="AK77" i="9"/>
  <c r="AJ77" i="9"/>
  <c r="AO77" i="9"/>
  <c r="AE77" i="9"/>
  <c r="AL77" i="9"/>
  <c r="AH77" i="9"/>
  <c r="AG77" i="9"/>
  <c r="AP77" i="9"/>
  <c r="AN20" i="9"/>
  <c r="AL21" i="9"/>
  <c r="AG23" i="9"/>
  <c r="AE25" i="9"/>
  <c r="AO26" i="9"/>
  <c r="AK28" i="9"/>
  <c r="AI30" i="9"/>
  <c r="AG32" i="9"/>
  <c r="AO33" i="9"/>
  <c r="AM35" i="9"/>
  <c r="AK37" i="9"/>
  <c r="AG39" i="9"/>
  <c r="AF41" i="9"/>
  <c r="AG11" i="9"/>
  <c r="AK13" i="9"/>
  <c r="AE17" i="9"/>
  <c r="AG19" i="9"/>
  <c r="AH47" i="9"/>
  <c r="AI49" i="9"/>
  <c r="AH73" i="9"/>
  <c r="AI125" i="9"/>
  <c r="AJ31" i="9"/>
  <c r="AI31" i="9"/>
  <c r="AP31" i="9"/>
  <c r="AF31" i="9"/>
  <c r="AO31" i="9"/>
  <c r="AE31" i="9"/>
  <c r="AN31" i="9"/>
  <c r="AM31" i="9"/>
  <c r="AJ27" i="9"/>
  <c r="AI27" i="9"/>
  <c r="AL27" i="9"/>
  <c r="AK27" i="9"/>
  <c r="AH27" i="9"/>
  <c r="AG27" i="9"/>
  <c r="AI124" i="9"/>
  <c r="AP124" i="9"/>
  <c r="AH124" i="9"/>
  <c r="AL124" i="9"/>
  <c r="AK124" i="9"/>
  <c r="AM124" i="9"/>
  <c r="AJ124" i="9"/>
  <c r="AO124" i="9"/>
  <c r="AN124" i="9"/>
  <c r="AG124" i="9"/>
  <c r="AF124" i="9"/>
  <c r="AI122" i="9"/>
  <c r="AP122" i="9"/>
  <c r="AH122" i="9"/>
  <c r="AL122" i="9"/>
  <c r="AK122" i="9"/>
  <c r="AM122" i="9"/>
  <c r="AJ122" i="9"/>
  <c r="AO122" i="9"/>
  <c r="AN122" i="9"/>
  <c r="AG122" i="9"/>
  <c r="AF122" i="9"/>
  <c r="AI116" i="9"/>
  <c r="AK116" i="9"/>
  <c r="AJ116" i="9"/>
  <c r="AN116" i="9"/>
  <c r="AM116" i="9"/>
  <c r="AO116" i="9"/>
  <c r="AL116" i="9"/>
  <c r="AP116" i="9"/>
  <c r="AH116" i="9"/>
  <c r="AG116" i="9"/>
  <c r="AF116" i="9"/>
  <c r="AO20" i="9"/>
  <c r="AH23" i="9"/>
  <c r="AJ30" i="9"/>
  <c r="AN35" i="9"/>
  <c r="AH39" i="9"/>
  <c r="AH11" i="9"/>
  <c r="AG17" i="9"/>
  <c r="AL49" i="9"/>
  <c r="AE57" i="9"/>
  <c r="AM73" i="9"/>
  <c r="AM111" i="9"/>
  <c r="AL111" i="9"/>
  <c r="AP111" i="9"/>
  <c r="AH111" i="9"/>
  <c r="AO111" i="9"/>
  <c r="AG111" i="9"/>
  <c r="AN111" i="9"/>
  <c r="AF111" i="9"/>
  <c r="AI111" i="9"/>
  <c r="AK111" i="9"/>
  <c r="AJ111" i="9"/>
  <c r="AI114" i="9"/>
  <c r="AP114" i="9"/>
  <c r="AH114" i="9"/>
  <c r="AL114" i="9"/>
  <c r="AK114" i="9"/>
  <c r="AM114" i="9"/>
  <c r="AJ114" i="9"/>
  <c r="AO114" i="9"/>
  <c r="AN114" i="9"/>
  <c r="AG114" i="9"/>
  <c r="AF114" i="9"/>
  <c r="AJ46" i="9"/>
  <c r="AI46" i="9"/>
  <c r="AM46" i="9"/>
  <c r="AE46" i="9"/>
  <c r="AL46" i="9"/>
  <c r="AF46" i="9"/>
  <c r="AK46" i="9"/>
  <c r="AG46" i="9"/>
  <c r="AP46" i="9"/>
  <c r="AO46" i="9"/>
  <c r="AN46" i="9"/>
  <c r="AJ80" i="9"/>
  <c r="AL80" i="9"/>
  <c r="AK80" i="9"/>
  <c r="AO80" i="9"/>
  <c r="AF80" i="9"/>
  <c r="AM80" i="9"/>
  <c r="AH80" i="9"/>
  <c r="AG80" i="9"/>
  <c r="AE80" i="9"/>
  <c r="AP80" i="9"/>
  <c r="AJ75" i="9"/>
  <c r="AN75" i="9"/>
  <c r="AE75" i="9"/>
  <c r="AM75" i="9"/>
  <c r="AH75" i="9"/>
  <c r="AO75" i="9"/>
  <c r="AF75" i="9"/>
  <c r="AP75" i="9"/>
  <c r="AL75" i="9"/>
  <c r="AK75" i="9"/>
  <c r="AI75" i="9"/>
  <c r="AG51" i="9"/>
  <c r="AN21" i="9"/>
  <c r="AK23" i="9"/>
  <c r="AG25" i="9"/>
  <c r="AE27" i="9"/>
  <c r="AO28" i="9"/>
  <c r="AK30" i="9"/>
  <c r="AI32" i="9"/>
  <c r="AG34" i="9"/>
  <c r="AO35" i="9"/>
  <c r="AM37" i="9"/>
  <c r="AH41" i="9"/>
  <c r="AK11" i="9"/>
  <c r="AG15" i="9"/>
  <c r="AH17" i="9"/>
  <c r="AI19" i="9"/>
  <c r="AM49" i="9"/>
  <c r="AO112" i="9"/>
  <c r="AJ39" i="9"/>
  <c r="AI39" i="9"/>
  <c r="AP39" i="9"/>
  <c r="AF39" i="9"/>
  <c r="AO39" i="9"/>
  <c r="AE39" i="9"/>
  <c r="AN39" i="9"/>
  <c r="AM39" i="9"/>
  <c r="AO8" i="9"/>
  <c r="AM119" i="9"/>
  <c r="AO119" i="9"/>
  <c r="AK119" i="9"/>
  <c r="AJ119" i="9"/>
  <c r="AP119" i="9"/>
  <c r="AF119" i="9"/>
  <c r="AN119" i="9"/>
  <c r="AL119" i="9"/>
  <c r="AI119" i="9"/>
  <c r="AH119" i="9"/>
  <c r="AG119" i="9"/>
  <c r="AP107" i="9"/>
  <c r="AH25" i="9"/>
  <c r="AF27" i="9"/>
  <c r="AP28" i="9"/>
  <c r="AJ32" i="9"/>
  <c r="AH34" i="9"/>
  <c r="AL39" i="9"/>
  <c r="AE7" i="9"/>
  <c r="AH15" i="9"/>
  <c r="AO49" i="9"/>
  <c r="AF69" i="9"/>
  <c r="AG75" i="9"/>
  <c r="AH44" i="9"/>
  <c r="AL89" i="9"/>
  <c r="AL98" i="9"/>
  <c r="AK115" i="9"/>
  <c r="AJ11" i="9"/>
  <c r="AI11" i="9"/>
  <c r="AM11" i="9"/>
  <c r="AE11" i="9"/>
  <c r="AF11" i="9"/>
  <c r="AP11" i="9"/>
  <c r="AO11" i="9"/>
  <c r="AN11" i="9"/>
  <c r="AJ35" i="9"/>
  <c r="AI35" i="9"/>
  <c r="AL35" i="9"/>
  <c r="AK35" i="9"/>
  <c r="AH35" i="9"/>
  <c r="AG35" i="9"/>
  <c r="AK17" i="9"/>
  <c r="AJ17" i="9"/>
  <c r="AN17" i="9"/>
  <c r="AF17" i="9"/>
  <c r="AP17" i="9"/>
  <c r="AO17" i="9"/>
  <c r="AM17" i="9"/>
  <c r="AL17" i="9"/>
  <c r="AN26" i="9"/>
  <c r="AF26" i="9"/>
  <c r="AM26" i="9"/>
  <c r="AE26" i="9"/>
  <c r="AL26" i="9"/>
  <c r="AK26" i="9"/>
  <c r="AJ26" i="9"/>
  <c r="AI26" i="9"/>
  <c r="AN22" i="9"/>
  <c r="AF22" i="9"/>
  <c r="AM22" i="9"/>
  <c r="AE22" i="9"/>
  <c r="AH22" i="9"/>
  <c r="AG22" i="9"/>
  <c r="AP22" i="9"/>
  <c r="AO22" i="9"/>
  <c r="AO6" i="9"/>
  <c r="AG6" i="9"/>
  <c r="AN6" i="9"/>
  <c r="AF6" i="9"/>
  <c r="AJ6" i="9"/>
  <c r="AP6" i="9"/>
  <c r="AM6" i="9"/>
  <c r="AN8" i="9"/>
  <c r="AM113" i="9"/>
  <c r="AL113" i="9"/>
  <c r="AP113" i="9"/>
  <c r="AH113" i="9"/>
  <c r="AO113" i="9"/>
  <c r="AG113" i="9"/>
  <c r="AI113" i="9"/>
  <c r="AF113" i="9"/>
  <c r="AN113" i="9"/>
  <c r="AK113" i="9"/>
  <c r="AJ113" i="9"/>
  <c r="AN45" i="9"/>
  <c r="AF45" i="9"/>
  <c r="AM45" i="9"/>
  <c r="AE45" i="9"/>
  <c r="AI45" i="9"/>
  <c r="AP45" i="9"/>
  <c r="AO45" i="9"/>
  <c r="AH45" i="9"/>
  <c r="AK45" i="9"/>
  <c r="AJ45" i="9"/>
  <c r="AG45" i="9"/>
  <c r="AN79" i="9"/>
  <c r="AF79" i="9"/>
  <c r="AO79" i="9"/>
  <c r="AM79" i="9"/>
  <c r="AI79" i="9"/>
  <c r="AP79" i="9"/>
  <c r="AG79" i="9"/>
  <c r="AL79" i="9"/>
  <c r="AK79" i="9"/>
  <c r="AJ79" i="9"/>
  <c r="AN74" i="9"/>
  <c r="AF74" i="9"/>
  <c r="AH74" i="9"/>
  <c r="AP74" i="9"/>
  <c r="AG74" i="9"/>
  <c r="AK74" i="9"/>
  <c r="AI74" i="9"/>
  <c r="AM74" i="9"/>
  <c r="AL74" i="9"/>
  <c r="AJ74" i="9"/>
  <c r="AE74" i="9"/>
  <c r="AN70" i="9"/>
  <c r="AF70" i="9"/>
  <c r="AJ70" i="9"/>
  <c r="AI70" i="9"/>
  <c r="AM70" i="9"/>
  <c r="AK70" i="9"/>
  <c r="AG70" i="9"/>
  <c r="AE70" i="9"/>
  <c r="AP70" i="9"/>
  <c r="AO70" i="9"/>
  <c r="AO66" i="9"/>
  <c r="AG66" i="9"/>
  <c r="AN66" i="9"/>
  <c r="AF66" i="9"/>
  <c r="AJ66" i="9"/>
  <c r="AP66" i="9"/>
  <c r="AH66" i="9"/>
  <c r="AM66" i="9"/>
  <c r="AL66" i="9"/>
  <c r="AK66" i="9"/>
  <c r="AO62" i="9"/>
  <c r="AG62" i="9"/>
  <c r="AN62" i="9"/>
  <c r="AF62" i="9"/>
  <c r="AJ62" i="9"/>
  <c r="AP62" i="9"/>
  <c r="AH62" i="9"/>
  <c r="AM62" i="9"/>
  <c r="AL62" i="9"/>
  <c r="AK62" i="9"/>
  <c r="AO58" i="9"/>
  <c r="AG58" i="9"/>
  <c r="AN58" i="9"/>
  <c r="AF58" i="9"/>
  <c r="AJ58" i="9"/>
  <c r="AP58" i="9"/>
  <c r="AH58" i="9"/>
  <c r="AM58" i="9"/>
  <c r="AL58" i="9"/>
  <c r="AK58" i="9"/>
  <c r="AO54" i="9"/>
  <c r="AG54" i="9"/>
  <c r="AN54" i="9"/>
  <c r="AF54" i="9"/>
  <c r="AJ54" i="9"/>
  <c r="AP54" i="9"/>
  <c r="AH54" i="9"/>
  <c r="AM54" i="9"/>
  <c r="AO50" i="9"/>
  <c r="AG50" i="9"/>
  <c r="AN50" i="9"/>
  <c r="AF50" i="9"/>
  <c r="AJ50" i="9"/>
  <c r="AI50" i="9"/>
  <c r="AH50" i="9"/>
  <c r="AE50" i="9"/>
  <c r="AI87" i="9"/>
  <c r="AP87" i="9"/>
  <c r="AG87" i="9"/>
  <c r="AO87" i="9"/>
  <c r="AF87" i="9"/>
  <c r="AK87" i="9"/>
  <c r="AJ87" i="9"/>
  <c r="AH87" i="9"/>
  <c r="AM87" i="9"/>
  <c r="AL87" i="9"/>
  <c r="AE87" i="9"/>
  <c r="AJ99" i="9"/>
  <c r="AI99" i="9"/>
  <c r="AM99" i="9"/>
  <c r="AE99" i="9"/>
  <c r="AL99" i="9"/>
  <c r="AN99" i="9"/>
  <c r="AK99" i="9"/>
  <c r="AO99" i="9"/>
  <c r="AP99" i="9"/>
  <c r="AH99" i="9"/>
  <c r="AG99" i="9"/>
  <c r="AF99" i="9"/>
  <c r="AJ94" i="9"/>
  <c r="AI94" i="9"/>
  <c r="AM94" i="9"/>
  <c r="AE94" i="9"/>
  <c r="AL94" i="9"/>
  <c r="AN94" i="9"/>
  <c r="AK94" i="9"/>
  <c r="AO94" i="9"/>
  <c r="AG94" i="9"/>
  <c r="AF94" i="9"/>
  <c r="AJ90" i="9"/>
  <c r="AI90" i="9"/>
  <c r="AM90" i="9"/>
  <c r="AE90" i="9"/>
  <c r="AL90" i="9"/>
  <c r="AN90" i="9"/>
  <c r="AK90" i="9"/>
  <c r="AO90" i="9"/>
  <c r="AP90" i="9"/>
  <c r="AH90" i="9"/>
  <c r="AG90" i="9"/>
  <c r="AF90" i="9"/>
  <c r="AJ82" i="9"/>
  <c r="AI82" i="9"/>
  <c r="AM82" i="9"/>
  <c r="AE82" i="9"/>
  <c r="AL82" i="9"/>
  <c r="AN82" i="9"/>
  <c r="AK82" i="9"/>
  <c r="AO82" i="9"/>
  <c r="AG82" i="9"/>
  <c r="AF82" i="9"/>
  <c r="AI22" i="9"/>
  <c r="AG24" i="9"/>
  <c r="AM27" i="9"/>
  <c r="AG31" i="9"/>
  <c r="AK36" i="9"/>
  <c r="AG40" i="9"/>
  <c r="AH12" i="9"/>
  <c r="AI10" i="9"/>
  <c r="AE18" i="9"/>
  <c r="AH6" i="9"/>
  <c r="AK50" i="9"/>
  <c r="AH70" i="9"/>
  <c r="AI77" i="9"/>
  <c r="AL45" i="9"/>
  <c r="AO117" i="9"/>
  <c r="AK8" i="9"/>
  <c r="AI8" i="9"/>
  <c r="AP8" i="9"/>
  <c r="AJ23" i="9"/>
  <c r="AI23" i="9"/>
  <c r="AP23" i="9"/>
  <c r="AF23" i="9"/>
  <c r="AO23" i="9"/>
  <c r="AE23" i="9"/>
  <c r="AN23" i="9"/>
  <c r="AM23" i="9"/>
  <c r="AK20" i="9"/>
  <c r="AJ20" i="9"/>
  <c r="AM20" i="9"/>
  <c r="AL20" i="9"/>
  <c r="AI20" i="9"/>
  <c r="AH20" i="9"/>
  <c r="AH8" i="9"/>
  <c r="AO14" i="9"/>
  <c r="AG14" i="9"/>
  <c r="AN14" i="9"/>
  <c r="AF14" i="9"/>
  <c r="AJ14" i="9"/>
  <c r="AM14" i="9"/>
  <c r="AL14" i="9"/>
  <c r="AK14" i="9"/>
  <c r="AI14" i="9"/>
  <c r="AG8" i="9"/>
  <c r="AN42" i="9"/>
  <c r="AF42" i="9"/>
  <c r="AM42" i="9"/>
  <c r="AE42" i="9"/>
  <c r="AI42" i="9"/>
  <c r="AP42" i="9"/>
  <c r="AO42" i="9"/>
  <c r="AL42" i="9"/>
  <c r="AN38" i="9"/>
  <c r="AF38" i="9"/>
  <c r="AM38" i="9"/>
  <c r="AE38" i="9"/>
  <c r="AH38" i="9"/>
  <c r="AG38" i="9"/>
  <c r="AP38" i="9"/>
  <c r="AO38" i="9"/>
  <c r="AN34" i="9"/>
  <c r="AF34" i="9"/>
  <c r="AM34" i="9"/>
  <c r="AE34" i="9"/>
  <c r="AL34" i="9"/>
  <c r="AK34" i="9"/>
  <c r="AJ34" i="9"/>
  <c r="AI34" i="9"/>
  <c r="AN30" i="9"/>
  <c r="AF30" i="9"/>
  <c r="AM30" i="9"/>
  <c r="AE30" i="9"/>
  <c r="AH30" i="9"/>
  <c r="AG30" i="9"/>
  <c r="AP30" i="9"/>
  <c r="AO30" i="9"/>
  <c r="AO16" i="9"/>
  <c r="AG16" i="9"/>
  <c r="AN16" i="9"/>
  <c r="AF16" i="9"/>
  <c r="AJ16" i="9"/>
  <c r="AP16" i="9"/>
  <c r="AM16" i="9"/>
  <c r="AL16" i="9"/>
  <c r="AK16" i="9"/>
  <c r="AM121" i="9"/>
  <c r="AL121" i="9"/>
  <c r="AP121" i="9"/>
  <c r="AH121" i="9"/>
  <c r="AO121" i="9"/>
  <c r="AG121" i="9"/>
  <c r="AI121" i="9"/>
  <c r="AF121" i="9"/>
  <c r="AN121" i="9"/>
  <c r="AK121" i="9"/>
  <c r="AJ121" i="9"/>
  <c r="AF8" i="9"/>
  <c r="AK10" i="9"/>
  <c r="AP9" i="9"/>
  <c r="AI9" i="9"/>
  <c r="AM8" i="9"/>
  <c r="AE8" i="9"/>
  <c r="AN7" i="9"/>
  <c r="AF7" i="9"/>
  <c r="AM13" i="9"/>
  <c r="AL13" i="9"/>
  <c r="AF13" i="9"/>
  <c r="AP13" i="9"/>
  <c r="AE13" i="9"/>
  <c r="AJ13" i="9"/>
  <c r="AG13" i="9"/>
  <c r="AJ41" i="9"/>
  <c r="AI41" i="9"/>
  <c r="AM41" i="9"/>
  <c r="AE41" i="9"/>
  <c r="AO41" i="9"/>
  <c r="AN41" i="9"/>
  <c r="AL41" i="9"/>
  <c r="AJ37" i="9"/>
  <c r="AI37" i="9"/>
  <c r="AH37" i="9"/>
  <c r="AG37" i="9"/>
  <c r="AP37" i="9"/>
  <c r="AF37" i="9"/>
  <c r="AO37" i="9"/>
  <c r="AE37" i="9"/>
  <c r="AJ33" i="9"/>
  <c r="AI33" i="9"/>
  <c r="AN33" i="9"/>
  <c r="AM33" i="9"/>
  <c r="AL33" i="9"/>
  <c r="AK33" i="9"/>
  <c r="AJ29" i="9"/>
  <c r="AI29" i="9"/>
  <c r="AH29" i="9"/>
  <c r="AG29" i="9"/>
  <c r="AP29" i="9"/>
  <c r="AF29" i="9"/>
  <c r="AO29" i="9"/>
  <c r="AE29" i="9"/>
  <c r="AJ25" i="9"/>
  <c r="AI25" i="9"/>
  <c r="AN25" i="9"/>
  <c r="AM25" i="9"/>
  <c r="AL25" i="9"/>
  <c r="AK25" i="9"/>
  <c r="AK21" i="9"/>
  <c r="AJ21" i="9"/>
  <c r="AI21" i="9"/>
  <c r="AH21" i="9"/>
  <c r="AG21" i="9"/>
  <c r="AP21" i="9"/>
  <c r="AF21" i="9"/>
  <c r="AK19" i="9"/>
  <c r="AJ19" i="9"/>
  <c r="AN19" i="9"/>
  <c r="AF19" i="9"/>
  <c r="AE19" i="9"/>
  <c r="AP19" i="9"/>
  <c r="AO19" i="9"/>
  <c r="AM19" i="9"/>
  <c r="AK15" i="9"/>
  <c r="AJ15" i="9"/>
  <c r="AN15" i="9"/>
  <c r="AF15" i="9"/>
  <c r="AO15" i="9"/>
  <c r="AM15" i="9"/>
  <c r="AL15" i="9"/>
  <c r="AI15" i="9"/>
  <c r="AI126" i="9"/>
  <c r="AP126" i="9"/>
  <c r="AH126" i="9"/>
  <c r="AL126" i="9"/>
  <c r="AK126" i="9"/>
  <c r="AJ126" i="9"/>
  <c r="AG126" i="9"/>
  <c r="AM126" i="9"/>
  <c r="AF126" i="9"/>
  <c r="AO126" i="9"/>
  <c r="AN126" i="9"/>
  <c r="AI123" i="9"/>
  <c r="AP123" i="9"/>
  <c r="AH123" i="9"/>
  <c r="AL123" i="9"/>
  <c r="AK123" i="9"/>
  <c r="AJ123" i="9"/>
  <c r="AG123" i="9"/>
  <c r="AF123" i="9"/>
  <c r="AO123" i="9"/>
  <c r="AN123" i="9"/>
  <c r="AM123" i="9"/>
  <c r="AI120" i="9"/>
  <c r="AP120" i="9"/>
  <c r="AH120" i="9"/>
  <c r="AL120" i="9"/>
  <c r="AK120" i="9"/>
  <c r="AJ120" i="9"/>
  <c r="AG120" i="9"/>
  <c r="AM120" i="9"/>
  <c r="AF120" i="9"/>
  <c r="AN120" i="9"/>
  <c r="AI118" i="9"/>
  <c r="AN118" i="9"/>
  <c r="AM118" i="9"/>
  <c r="AH118" i="9"/>
  <c r="AP118" i="9"/>
  <c r="AG118" i="9"/>
  <c r="AJ118" i="9"/>
  <c r="AF118" i="9"/>
  <c r="AO118" i="9"/>
  <c r="AK118" i="9"/>
  <c r="AI83" i="9"/>
  <c r="AJ83" i="9"/>
  <c r="AH83" i="9"/>
  <c r="AM83" i="9"/>
  <c r="AL83" i="9"/>
  <c r="AN83" i="9"/>
  <c r="AK83" i="9"/>
  <c r="AO83" i="9"/>
  <c r="AP83" i="9"/>
  <c r="AG83" i="9"/>
  <c r="AF83" i="9"/>
  <c r="AE83" i="9"/>
  <c r="AM106" i="9"/>
  <c r="AE106" i="9"/>
  <c r="AL106" i="9"/>
  <c r="AP106" i="9"/>
  <c r="AH106" i="9"/>
  <c r="AO106" i="9"/>
  <c r="AG106" i="9"/>
  <c r="AI106" i="9"/>
  <c r="AF106" i="9"/>
  <c r="AN106" i="9"/>
  <c r="AJ106" i="9"/>
  <c r="AN102" i="9"/>
  <c r="AF102" i="9"/>
  <c r="AM102" i="9"/>
  <c r="AE102" i="9"/>
  <c r="AI102" i="9"/>
  <c r="AP102" i="9"/>
  <c r="AH102" i="9"/>
  <c r="AJ102" i="9"/>
  <c r="AG102" i="9"/>
  <c r="AO102" i="9"/>
  <c r="AK102" i="9"/>
  <c r="AL102" i="9"/>
  <c r="AE20" i="9"/>
  <c r="AJ22" i="9"/>
  <c r="AH24" i="9"/>
  <c r="AP25" i="9"/>
  <c r="AN27" i="9"/>
  <c r="AL29" i="9"/>
  <c r="AH31" i="9"/>
  <c r="AF33" i="9"/>
  <c r="AP34" i="9"/>
  <c r="AL36" i="9"/>
  <c r="AJ38" i="9"/>
  <c r="AH40" i="9"/>
  <c r="AH42" i="9"/>
  <c r="AJ12" i="9"/>
  <c r="AE16" i="9"/>
  <c r="AH18" i="9"/>
  <c r="AI6" i="9"/>
  <c r="AL50" i="9"/>
  <c r="AE53" i="9"/>
  <c r="AE65" i="9"/>
  <c r="AL70" i="9"/>
  <c r="AM77" i="9"/>
  <c r="AH46" i="9"/>
  <c r="AH101" i="9"/>
  <c r="AL118" i="9"/>
  <c r="AO67" i="9"/>
  <c r="AI72" i="9"/>
  <c r="AP67" i="9"/>
  <c r="AN72" i="9"/>
  <c r="AF72" i="9"/>
  <c r="AM72" i="9"/>
  <c r="AL72" i="9"/>
  <c r="AH72" i="9"/>
  <c r="AO72" i="9"/>
  <c r="AE72" i="9"/>
  <c r="AN68" i="9"/>
  <c r="AP68" i="9"/>
  <c r="AG68" i="9"/>
  <c r="AO68" i="9"/>
  <c r="AF68" i="9"/>
  <c r="AJ68" i="9"/>
  <c r="AH68" i="9"/>
  <c r="AO64" i="9"/>
  <c r="AG64" i="9"/>
  <c r="AN64" i="9"/>
  <c r="AF64" i="9"/>
  <c r="AJ64" i="9"/>
  <c r="AP64" i="9"/>
  <c r="AH64" i="9"/>
  <c r="AO60" i="9"/>
  <c r="AG60" i="9"/>
  <c r="AN60" i="9"/>
  <c r="AF60" i="9"/>
  <c r="AJ60" i="9"/>
  <c r="AP60" i="9"/>
  <c r="AH60" i="9"/>
  <c r="AO56" i="9"/>
  <c r="AG56" i="9"/>
  <c r="AN56" i="9"/>
  <c r="AF56" i="9"/>
  <c r="AJ56" i="9"/>
  <c r="AP56" i="9"/>
  <c r="AH56" i="9"/>
  <c r="AO52" i="9"/>
  <c r="AG52" i="9"/>
  <c r="AN52" i="9"/>
  <c r="AF52" i="9"/>
  <c r="AJ52" i="9"/>
  <c r="AP52" i="9"/>
  <c r="AH52" i="9"/>
  <c r="AO48" i="9"/>
  <c r="AG48" i="9"/>
  <c r="AN48" i="9"/>
  <c r="AF48" i="9"/>
  <c r="AJ48" i="9"/>
  <c r="AI85" i="9"/>
  <c r="AM85" i="9"/>
  <c r="AL85" i="9"/>
  <c r="AP85" i="9"/>
  <c r="AG85" i="9"/>
  <c r="AO85" i="9"/>
  <c r="AF85" i="9"/>
  <c r="AH85" i="9"/>
  <c r="AE85" i="9"/>
  <c r="AN85" i="9"/>
  <c r="AJ85" i="9"/>
  <c r="AJ96" i="9"/>
  <c r="AI96" i="9"/>
  <c r="AM96" i="9"/>
  <c r="AE96" i="9"/>
  <c r="AL96" i="9"/>
  <c r="AF96" i="9"/>
  <c r="AK96" i="9"/>
  <c r="AG96" i="9"/>
  <c r="AJ92" i="9"/>
  <c r="AI92" i="9"/>
  <c r="AM92" i="9"/>
  <c r="AE92" i="9"/>
  <c r="AL92" i="9"/>
  <c r="AF92" i="9"/>
  <c r="AK92" i="9"/>
  <c r="AG92" i="9"/>
  <c r="AJ88" i="9"/>
  <c r="AI88" i="9"/>
  <c r="AM88" i="9"/>
  <c r="AE88" i="9"/>
  <c r="AL88" i="9"/>
  <c r="AF88" i="9"/>
  <c r="AK88" i="9"/>
  <c r="AG88" i="9"/>
  <c r="AP48" i="9"/>
  <c r="AE51" i="9"/>
  <c r="AE52" i="9"/>
  <c r="AE56" i="9"/>
  <c r="AE60" i="9"/>
  <c r="AE64" i="9"/>
  <c r="AE68" i="9"/>
  <c r="AE71" i="9"/>
  <c r="AK72" i="9"/>
  <c r="AP92" i="9"/>
  <c r="AG107" i="9"/>
  <c r="AN81" i="9"/>
  <c r="AF81" i="9"/>
  <c r="AM81" i="9"/>
  <c r="AE81" i="9"/>
  <c r="AI81" i="9"/>
  <c r="AP81" i="9"/>
  <c r="AH81" i="9"/>
  <c r="AJ81" i="9"/>
  <c r="AG81" i="9"/>
  <c r="AO81" i="9"/>
  <c r="AK81" i="9"/>
  <c r="AI108" i="9"/>
  <c r="AO108" i="9"/>
  <c r="AF108" i="9"/>
  <c r="AN108" i="9"/>
  <c r="AE108" i="9"/>
  <c r="AJ108" i="9"/>
  <c r="AH108" i="9"/>
  <c r="AP108" i="9"/>
  <c r="AG108" i="9"/>
  <c r="AM104" i="9"/>
  <c r="AE104" i="9"/>
  <c r="AL104" i="9"/>
  <c r="AP104" i="9"/>
  <c r="AH104" i="9"/>
  <c r="AO104" i="9"/>
  <c r="AG104" i="9"/>
  <c r="AN104" i="9"/>
  <c r="AF104" i="9"/>
  <c r="AI52" i="9"/>
  <c r="AI56" i="9"/>
  <c r="AI60" i="9"/>
  <c r="AI64" i="9"/>
  <c r="AI68" i="9"/>
  <c r="AP72" i="9"/>
  <c r="AL81" i="9"/>
  <c r="AH88" i="9"/>
  <c r="AH96" i="9"/>
  <c r="AH13" i="9"/>
  <c r="AJ71" i="9"/>
  <c r="AP71" i="9"/>
  <c r="AG71" i="9"/>
  <c r="AO71" i="9"/>
  <c r="AF71" i="9"/>
  <c r="AK71" i="9"/>
  <c r="AH71" i="9"/>
  <c r="AK67" i="9"/>
  <c r="AJ67" i="9"/>
  <c r="AN67" i="9"/>
  <c r="AF67" i="9"/>
  <c r="AL67" i="9"/>
  <c r="AK63" i="9"/>
  <c r="AJ63" i="9"/>
  <c r="AN63" i="9"/>
  <c r="AF63" i="9"/>
  <c r="AL63" i="9"/>
  <c r="AK59" i="9"/>
  <c r="AJ59" i="9"/>
  <c r="AN59" i="9"/>
  <c r="AF59" i="9"/>
  <c r="AL59" i="9"/>
  <c r="AK55" i="9"/>
  <c r="AJ55" i="9"/>
  <c r="AN55" i="9"/>
  <c r="AF55" i="9"/>
  <c r="AL55" i="9"/>
  <c r="AK51" i="9"/>
  <c r="AJ51" i="9"/>
  <c r="AN51" i="9"/>
  <c r="AF51" i="9"/>
  <c r="AN100" i="9"/>
  <c r="AF100" i="9"/>
  <c r="AM100" i="9"/>
  <c r="AE100" i="9"/>
  <c r="AI100" i="9"/>
  <c r="AP100" i="9"/>
  <c r="AH100" i="9"/>
  <c r="AO100" i="9"/>
  <c r="AG100" i="9"/>
  <c r="AN95" i="9"/>
  <c r="AF95" i="9"/>
  <c r="AM95" i="9"/>
  <c r="AE95" i="9"/>
  <c r="AI95" i="9"/>
  <c r="AP95" i="9"/>
  <c r="AH95" i="9"/>
  <c r="AO95" i="9"/>
  <c r="AG95" i="9"/>
  <c r="AN91" i="9"/>
  <c r="AF91" i="9"/>
  <c r="AM91" i="9"/>
  <c r="AE91" i="9"/>
  <c r="AI91" i="9"/>
  <c r="AP91" i="9"/>
  <c r="AH91" i="9"/>
  <c r="AO91" i="9"/>
  <c r="AG91" i="9"/>
  <c r="AN97" i="9"/>
  <c r="AF97" i="9"/>
  <c r="AM97" i="9"/>
  <c r="AE97" i="9"/>
  <c r="AI97" i="9"/>
  <c r="AP97" i="9"/>
  <c r="AH97" i="9"/>
  <c r="AO97" i="9"/>
  <c r="AG97" i="9"/>
  <c r="AE48" i="9"/>
  <c r="AH51" i="9"/>
  <c r="AK52" i="9"/>
  <c r="AG55" i="9"/>
  <c r="AK56" i="9"/>
  <c r="AG59" i="9"/>
  <c r="AK60" i="9"/>
  <c r="AG63" i="9"/>
  <c r="AK64" i="9"/>
  <c r="AG67" i="9"/>
  <c r="AK68" i="9"/>
  <c r="AL71" i="9"/>
  <c r="AN88" i="9"/>
  <c r="AJ91" i="9"/>
  <c r="AN96" i="9"/>
  <c r="AJ100" i="9"/>
  <c r="AK108" i="9"/>
  <c r="AM84" i="9"/>
  <c r="AE84" i="9"/>
  <c r="AP84" i="9"/>
  <c r="AG84" i="9"/>
  <c r="AO84" i="9"/>
  <c r="AF84" i="9"/>
  <c r="AJ84" i="9"/>
  <c r="AI84" i="9"/>
  <c r="AH84" i="9"/>
  <c r="AM107" i="9"/>
  <c r="AI107" i="9"/>
  <c r="AH107" i="9"/>
  <c r="AL107" i="9"/>
  <c r="AK107" i="9"/>
  <c r="AN107" i="9"/>
  <c r="AJ107" i="9"/>
  <c r="AO107" i="9"/>
  <c r="AI103" i="9"/>
  <c r="AP103" i="9"/>
  <c r="AH103" i="9"/>
  <c r="AL103" i="9"/>
  <c r="AK103" i="9"/>
  <c r="AM103" i="9"/>
  <c r="AJ103" i="9"/>
  <c r="AN103" i="9"/>
  <c r="AH48" i="9"/>
  <c r="AI51" i="9"/>
  <c r="AL52" i="9"/>
  <c r="AH55" i="9"/>
  <c r="AL56" i="9"/>
  <c r="AH59" i="9"/>
  <c r="AL60" i="9"/>
  <c r="AH63" i="9"/>
  <c r="AL64" i="9"/>
  <c r="AH67" i="9"/>
  <c r="AL68" i="9"/>
  <c r="AM71" i="9"/>
  <c r="AO88" i="9"/>
  <c r="AK91" i="9"/>
  <c r="AO96" i="9"/>
  <c r="AK100" i="9"/>
  <c r="AF103" i="9"/>
  <c r="AL108" i="9"/>
  <c r="AL84" i="9"/>
  <c r="AI13" i="9"/>
  <c r="Q79" i="9"/>
  <c r="AE79" i="9" s="1"/>
  <c r="F46" i="7"/>
  <c r="G80" i="9" s="1"/>
  <c r="F80" i="9"/>
  <c r="E80" i="9"/>
  <c r="D80" i="9"/>
  <c r="G79" i="9"/>
  <c r="F79" i="9"/>
  <c r="E79" i="9"/>
  <c r="D79" i="9"/>
  <c r="G78" i="9"/>
  <c r="F78" i="9"/>
  <c r="E78" i="9"/>
  <c r="D78" i="9"/>
  <c r="G77" i="9"/>
  <c r="F77" i="9"/>
  <c r="E77" i="9"/>
  <c r="O51" i="7"/>
  <c r="P46" i="9" s="1"/>
  <c r="O50" i="7"/>
  <c r="P45" i="9" s="1"/>
  <c r="O49" i="7"/>
  <c r="O48" i="7"/>
  <c r="O46" i="7"/>
  <c r="P80" i="9" s="1"/>
  <c r="O43" i="7"/>
  <c r="P77" i="9" s="1"/>
  <c r="N43" i="7"/>
  <c r="O77" i="9" s="1"/>
  <c r="P75" i="9"/>
  <c r="O39" i="7"/>
  <c r="P74" i="9" s="1"/>
  <c r="O38" i="7"/>
  <c r="P73" i="9" s="1"/>
  <c r="P72" i="9"/>
  <c r="O36" i="7"/>
  <c r="P71" i="9" s="1"/>
  <c r="N36" i="7"/>
  <c r="O71" i="9" s="1"/>
  <c r="O34" i="7"/>
  <c r="P70" i="9" s="1"/>
  <c r="O33" i="7"/>
  <c r="P69" i="9" s="1"/>
  <c r="O31" i="7"/>
  <c r="P68" i="9" s="1"/>
  <c r="O30" i="7"/>
  <c r="P67" i="9" s="1"/>
  <c r="O28" i="7"/>
  <c r="P66" i="9" s="1"/>
  <c r="O25" i="7"/>
  <c r="P65" i="9" s="1"/>
  <c r="O24" i="7"/>
  <c r="P64" i="9" s="1"/>
  <c r="O23" i="7"/>
  <c r="P63" i="9" s="1"/>
  <c r="O22" i="7"/>
  <c r="P62" i="9" s="1"/>
  <c r="O21" i="7"/>
  <c r="P61" i="9" s="1"/>
  <c r="O20" i="7"/>
  <c r="P60" i="9" s="1"/>
  <c r="P59" i="9"/>
  <c r="O59" i="9"/>
  <c r="P58" i="9"/>
  <c r="O16" i="7"/>
  <c r="P57" i="9" s="1"/>
  <c r="N16" i="7"/>
  <c r="O57" i="9" s="1"/>
  <c r="O15" i="7"/>
  <c r="P56" i="9" s="1"/>
  <c r="O14" i="7"/>
  <c r="P55" i="9" s="1"/>
  <c r="O13" i="7"/>
  <c r="P54" i="9" s="1"/>
  <c r="O12" i="7"/>
  <c r="P53" i="9" s="1"/>
  <c r="O11" i="7"/>
  <c r="P52" i="9" s="1"/>
  <c r="O10" i="7"/>
  <c r="P51" i="9" s="1"/>
  <c r="N10" i="7"/>
  <c r="O51" i="9" s="1"/>
  <c r="O9" i="7"/>
  <c r="P50" i="9" s="1"/>
  <c r="O8" i="7"/>
  <c r="P49" i="9" s="1"/>
  <c r="O7" i="7"/>
  <c r="P48" i="9" s="1"/>
  <c r="O6" i="7"/>
  <c r="P47" i="9" s="1"/>
  <c r="R137" i="10" l="1"/>
  <c r="N164" i="10"/>
  <c r="G137" i="10"/>
  <c r="G120" i="10"/>
  <c r="R173" i="10"/>
  <c r="J174" i="10"/>
  <c r="Q172" i="10"/>
  <c r="M172" i="10"/>
  <c r="G161" i="10"/>
  <c r="M161" i="10"/>
  <c r="H137" i="10"/>
  <c r="K137" i="10"/>
  <c r="R120" i="10"/>
  <c r="H120" i="10"/>
  <c r="M164" i="10"/>
  <c r="H164" i="10"/>
  <c r="G174" i="10"/>
  <c r="M127" i="10"/>
  <c r="J173" i="10"/>
  <c r="Q173" i="10"/>
  <c r="J172" i="10"/>
  <c r="J127" i="10"/>
  <c r="O127" i="10"/>
  <c r="L120" i="10"/>
  <c r="M174" i="10"/>
  <c r="M120" i="10"/>
  <c r="O174" i="10"/>
  <c r="P174" i="10"/>
  <c r="G172" i="10"/>
  <c r="Q127" i="10"/>
  <c r="M137" i="10"/>
  <c r="K172" i="10"/>
  <c r="H172" i="10"/>
  <c r="L137" i="10"/>
  <c r="G173" i="10"/>
  <c r="L173" i="10"/>
  <c r="I173" i="10"/>
  <c r="I172" i="10"/>
  <c r="K127" i="10"/>
  <c r="H127" i="10"/>
  <c r="P137" i="10"/>
  <c r="R174" i="10"/>
  <c r="I174" i="10"/>
  <c r="R127" i="10"/>
  <c r="N127" i="10"/>
  <c r="N137" i="10"/>
  <c r="N172" i="10"/>
  <c r="P172" i="10"/>
  <c r="O164" i="10"/>
  <c r="I164" i="10"/>
  <c r="L127" i="10"/>
  <c r="P127" i="10"/>
  <c r="J164" i="10"/>
  <c r="L174" i="10"/>
  <c r="Q174" i="10"/>
  <c r="O137" i="10"/>
  <c r="I120" i="10"/>
  <c r="R164" i="10"/>
  <c r="K120" i="10"/>
  <c r="P120" i="10"/>
  <c r="P164" i="10"/>
  <c r="I137" i="10"/>
  <c r="N120" i="10"/>
  <c r="N173" i="10"/>
  <c r="M173" i="10"/>
  <c r="G105" i="10"/>
  <c r="J120" i="10"/>
  <c r="O172" i="10"/>
  <c r="L172" i="10"/>
  <c r="Q137" i="10"/>
  <c r="J137" i="10"/>
  <c r="Q120" i="10"/>
  <c r="O120" i="10"/>
  <c r="K164" i="10"/>
  <c r="L164" i="10"/>
  <c r="Q164" i="10"/>
  <c r="O173" i="10"/>
  <c r="H173" i="10"/>
  <c r="K173" i="10"/>
  <c r="I127" i="10"/>
  <c r="G127" i="10"/>
  <c r="G164" i="10"/>
  <c r="N174" i="10"/>
  <c r="H174" i="10"/>
  <c r="K174" i="10"/>
  <c r="R172" i="10"/>
  <c r="P173" i="10"/>
  <c r="AD76" i="9"/>
  <c r="AC76" i="9" s="1"/>
  <c r="G180" i="10"/>
  <c r="N12" i="7"/>
  <c r="O53" i="9" s="1"/>
  <c r="N30" i="7"/>
  <c r="O67" i="9" s="1"/>
  <c r="N21" i="7"/>
  <c r="O61" i="9" s="1"/>
  <c r="N39" i="7"/>
  <c r="O74" i="9" s="1"/>
  <c r="N8" i="7"/>
  <c r="O49" i="9" s="1"/>
  <c r="N23" i="7"/>
  <c r="O63" i="9" s="1"/>
  <c r="N33" i="7"/>
  <c r="O69" i="9" s="1"/>
  <c r="T155" i="2"/>
  <c r="AA25" i="3"/>
  <c r="V155" i="2"/>
  <c r="AC25" i="3"/>
  <c r="P169" i="10"/>
  <c r="K180" i="10"/>
  <c r="R180" i="10"/>
  <c r="O180" i="10"/>
  <c r="P180" i="10"/>
  <c r="W8" i="2"/>
  <c r="N51" i="7"/>
  <c r="O46" i="9" s="1"/>
  <c r="N25" i="7"/>
  <c r="O65" i="9" s="1"/>
  <c r="N14" i="7"/>
  <c r="O55" i="9" s="1"/>
  <c r="N40" i="7"/>
  <c r="N7" i="7"/>
  <c r="O48" i="9" s="1"/>
  <c r="N9" i="7"/>
  <c r="O50" i="9" s="1"/>
  <c r="N11" i="7"/>
  <c r="O52" i="9" s="1"/>
  <c r="N13" i="7"/>
  <c r="O54" i="9" s="1"/>
  <c r="N15" i="7"/>
  <c r="O56" i="9" s="1"/>
  <c r="O58" i="9"/>
  <c r="N20" i="7"/>
  <c r="O60" i="9" s="1"/>
  <c r="N22" i="7"/>
  <c r="O62" i="9" s="1"/>
  <c r="N24" i="7"/>
  <c r="O64" i="9" s="1"/>
  <c r="N28" i="7"/>
  <c r="O66" i="9" s="1"/>
  <c r="N31" i="7"/>
  <c r="O68" i="9" s="1"/>
  <c r="N34" i="7"/>
  <c r="O70" i="9" s="1"/>
  <c r="N37" i="7"/>
  <c r="O72" i="9" s="1"/>
  <c r="N50" i="7"/>
  <c r="O45" i="9" s="1"/>
  <c r="N48" i="7"/>
  <c r="O43" i="9" s="1"/>
  <c r="P43" i="9"/>
  <c r="O45" i="7"/>
  <c r="N45" i="7" s="1"/>
  <c r="O79" i="9" s="1"/>
  <c r="N6" i="7"/>
  <c r="O47" i="9" s="1"/>
  <c r="N49" i="7"/>
  <c r="O44" i="9" s="1"/>
  <c r="P44" i="9"/>
  <c r="O44" i="7"/>
  <c r="AB78" i="9"/>
  <c r="AP78" i="9" s="1"/>
  <c r="N38" i="7"/>
  <c r="O73" i="9" s="1"/>
  <c r="N46" i="7"/>
  <c r="O80" i="9" s="1"/>
  <c r="W69" i="2"/>
  <c r="Y69" i="2"/>
  <c r="X69" i="2"/>
  <c r="I180" i="10"/>
  <c r="M169" i="10"/>
  <c r="M154" i="10"/>
  <c r="O105" i="10"/>
  <c r="O106" i="10" s="1"/>
  <c r="Q180" i="10"/>
  <c r="M105" i="10"/>
  <c r="M106" i="10" s="1"/>
  <c r="I105" i="10"/>
  <c r="I106" i="10" s="1"/>
  <c r="P105" i="10"/>
  <c r="L115" i="10"/>
  <c r="H153" i="10"/>
  <c r="H180" i="10"/>
  <c r="J105" i="10"/>
  <c r="J106" i="10" s="1"/>
  <c r="N115" i="10"/>
  <c r="R105" i="10"/>
  <c r="R106" i="10" s="1"/>
  <c r="P115" i="10"/>
  <c r="M180" i="10"/>
  <c r="N180" i="10"/>
  <c r="N105" i="10"/>
  <c r="N106" i="10" s="1"/>
  <c r="L161" i="10"/>
  <c r="H115" i="10"/>
  <c r="Q169" i="10"/>
  <c r="K169" i="10"/>
  <c r="O161" i="10"/>
  <c r="Q161" i="10"/>
  <c r="R161" i="10"/>
  <c r="S171" i="10"/>
  <c r="S143" i="10"/>
  <c r="S113" i="10"/>
  <c r="S110" i="10"/>
  <c r="S133" i="10"/>
  <c r="S142" i="10"/>
  <c r="S162" i="10"/>
  <c r="S167" i="10"/>
  <c r="S125" i="10"/>
  <c r="S122" i="10"/>
  <c r="S138" i="10"/>
  <c r="S124" i="10"/>
  <c r="S168" i="10"/>
  <c r="S193" i="10"/>
  <c r="S191" i="10"/>
  <c r="S182" i="10"/>
  <c r="S178" i="10"/>
  <c r="S111" i="10"/>
  <c r="S131" i="10"/>
  <c r="S190" i="10"/>
  <c r="S148" i="10"/>
  <c r="S195" i="10"/>
  <c r="S147" i="10"/>
  <c r="S144" i="10"/>
  <c r="S139" i="10"/>
  <c r="S146" i="10"/>
  <c r="S196" i="10"/>
  <c r="S198" i="10"/>
  <c r="S151" i="10"/>
  <c r="S157" i="10"/>
  <c r="S177" i="10"/>
  <c r="S160" i="10"/>
  <c r="S176" i="10"/>
  <c r="S170" i="10"/>
  <c r="S166" i="10"/>
  <c r="S116" i="10"/>
  <c r="S119" i="10"/>
  <c r="S175" i="10"/>
  <c r="S179" i="10"/>
  <c r="S135" i="10"/>
  <c r="S132" i="10"/>
  <c r="S128" i="10"/>
  <c r="S121" i="10"/>
  <c r="S134" i="10"/>
  <c r="S181" i="10"/>
  <c r="S183" i="10"/>
  <c r="S197" i="10"/>
  <c r="S194" i="10"/>
  <c r="S117" i="10"/>
  <c r="S114" i="10"/>
  <c r="S123" i="10"/>
  <c r="S130" i="10"/>
  <c r="S126" i="10"/>
  <c r="S199" i="10"/>
  <c r="S165" i="10"/>
  <c r="S145" i="10"/>
  <c r="S163" i="10"/>
  <c r="S158" i="10"/>
  <c r="S149" i="10"/>
  <c r="K105" i="10"/>
  <c r="K106" i="10" s="1"/>
  <c r="O115" i="10"/>
  <c r="M156" i="10"/>
  <c r="J154" i="10"/>
  <c r="K154" i="10"/>
  <c r="G169" i="10"/>
  <c r="R136" i="10"/>
  <c r="Q154" i="10"/>
  <c r="G136" i="10"/>
  <c r="G140" i="10" s="1"/>
  <c r="O192" i="10"/>
  <c r="O200" i="10" s="1"/>
  <c r="P156" i="10"/>
  <c r="N161" i="10"/>
  <c r="N155" i="10"/>
  <c r="L105" i="10"/>
  <c r="L106" i="10" s="1"/>
  <c r="K115" i="10"/>
  <c r="H154" i="10"/>
  <c r="L180" i="10"/>
  <c r="J150" i="10"/>
  <c r="K156" i="10"/>
  <c r="O169" i="10"/>
  <c r="I169" i="10"/>
  <c r="M136" i="10"/>
  <c r="M140" i="10" s="1"/>
  <c r="O136" i="10"/>
  <c r="O140" i="10" s="1"/>
  <c r="I192" i="10"/>
  <c r="I200" i="10" s="1"/>
  <c r="J153" i="10"/>
  <c r="J155" i="10"/>
  <c r="N153" i="10"/>
  <c r="K150" i="10"/>
  <c r="Q150" i="10"/>
  <c r="H136" i="10"/>
  <c r="H140" i="10" s="1"/>
  <c r="L192" i="10"/>
  <c r="L200" i="10" s="1"/>
  <c r="H155" i="10"/>
  <c r="Q156" i="10"/>
  <c r="P153" i="10"/>
  <c r="N150" i="10"/>
  <c r="L169" i="10"/>
  <c r="K161" i="10"/>
  <c r="P136" i="10"/>
  <c r="P140" i="10" s="1"/>
  <c r="M192" i="10"/>
  <c r="M200" i="10" s="1"/>
  <c r="P155" i="10"/>
  <c r="R150" i="10"/>
  <c r="I153" i="10"/>
  <c r="L155" i="10"/>
  <c r="N154" i="10"/>
  <c r="M153" i="10"/>
  <c r="H150" i="10"/>
  <c r="I136" i="10"/>
  <c r="I140" i="10" s="1"/>
  <c r="K153" i="10"/>
  <c r="N192" i="10"/>
  <c r="N200" i="10" s="1"/>
  <c r="J161" i="10"/>
  <c r="I115" i="10"/>
  <c r="M115" i="10"/>
  <c r="Q153" i="10"/>
  <c r="N156" i="10"/>
  <c r="H161" i="10"/>
  <c r="O150" i="10"/>
  <c r="P161" i="10"/>
  <c r="Q115" i="10"/>
  <c r="O154" i="10"/>
  <c r="L150" i="10"/>
  <c r="P154" i="10"/>
  <c r="Q136" i="10"/>
  <c r="Q140" i="10" s="1"/>
  <c r="J169" i="10"/>
  <c r="L154" i="10"/>
  <c r="J136" i="10"/>
  <c r="R153" i="10"/>
  <c r="P192" i="10"/>
  <c r="P200" i="10" s="1"/>
  <c r="J192" i="10"/>
  <c r="J200" i="10" s="1"/>
  <c r="I155" i="10"/>
  <c r="N169" i="10"/>
  <c r="N136" i="10"/>
  <c r="N140" i="10" s="1"/>
  <c r="O156" i="10"/>
  <c r="M155" i="10"/>
  <c r="K155" i="10"/>
  <c r="I154" i="10"/>
  <c r="M150" i="10"/>
  <c r="K136" i="10"/>
  <c r="K140" i="10" s="1"/>
  <c r="Q192" i="10"/>
  <c r="Q200" i="10" s="1"/>
  <c r="R192" i="10"/>
  <c r="R200" i="10" s="1"/>
  <c r="Q155" i="10"/>
  <c r="L153" i="10"/>
  <c r="O153" i="10"/>
  <c r="O155" i="10"/>
  <c r="L156" i="10"/>
  <c r="R169" i="10"/>
  <c r="I161" i="10"/>
  <c r="P150" i="10"/>
  <c r="J156" i="10"/>
  <c r="Q105" i="10"/>
  <c r="Q106" i="10" s="1"/>
  <c r="H105" i="10"/>
  <c r="H106" i="10" s="1"/>
  <c r="R155" i="10"/>
  <c r="R154" i="10"/>
  <c r="H169" i="10"/>
  <c r="J115" i="10"/>
  <c r="I150" i="10"/>
  <c r="I152" i="10" s="1"/>
  <c r="L136" i="10"/>
  <c r="L140" i="10" s="1"/>
  <c r="H192" i="10"/>
  <c r="H200" i="10" s="1"/>
  <c r="K192" i="10"/>
  <c r="K200" i="10" s="1"/>
  <c r="J180" i="10"/>
  <c r="H156" i="10"/>
  <c r="I156" i="10"/>
  <c r="R156" i="10"/>
  <c r="Y61" i="2"/>
  <c r="X61" i="2"/>
  <c r="W61" i="2"/>
  <c r="Y60" i="2"/>
  <c r="X60" i="2"/>
  <c r="W60" i="2"/>
  <c r="Y9" i="2"/>
  <c r="X9" i="2"/>
  <c r="W9" i="2"/>
  <c r="P106" i="10"/>
  <c r="AD150" i="9"/>
  <c r="AD133" i="9"/>
  <c r="AD149" i="9"/>
  <c r="AD137" i="9"/>
  <c r="AD135" i="9"/>
  <c r="AD151" i="9"/>
  <c r="AD136" i="9"/>
  <c r="AD138" i="9"/>
  <c r="AD142" i="9"/>
  <c r="AD132" i="9"/>
  <c r="AD148" i="9"/>
  <c r="AD128" i="9"/>
  <c r="AD139" i="9"/>
  <c r="AD152" i="9"/>
  <c r="AD143" i="9"/>
  <c r="AD153" i="9"/>
  <c r="AD144" i="9"/>
  <c r="AD154" i="9"/>
  <c r="AD129" i="9"/>
  <c r="AD141" i="9"/>
  <c r="AD134" i="9"/>
  <c r="AD140" i="9"/>
  <c r="AD145" i="9"/>
  <c r="AD131" i="9"/>
  <c r="AD130" i="9"/>
  <c r="AD146" i="9"/>
  <c r="AD147" i="9"/>
  <c r="AD17" i="9"/>
  <c r="AD9" i="9"/>
  <c r="AD104" i="9"/>
  <c r="AC104" i="9" s="1"/>
  <c r="AD77" i="9"/>
  <c r="AC77" i="9" s="1"/>
  <c r="AD109" i="9"/>
  <c r="AC109" i="9" s="1"/>
  <c r="AD21" i="9"/>
  <c r="AD35" i="9"/>
  <c r="AD53" i="9"/>
  <c r="AC53" i="9" s="1"/>
  <c r="AD60" i="9"/>
  <c r="AD58" i="9"/>
  <c r="AD74" i="9"/>
  <c r="AD20" i="9"/>
  <c r="AD23" i="9"/>
  <c r="AD18" i="9"/>
  <c r="AD97" i="9"/>
  <c r="AC97" i="9" s="1"/>
  <c r="AD100" i="9"/>
  <c r="AC100" i="9" s="1"/>
  <c r="AD108" i="9"/>
  <c r="AC108" i="9" s="1"/>
  <c r="AD72" i="9"/>
  <c r="AC72" i="9" s="1"/>
  <c r="AD55" i="9"/>
  <c r="AD106" i="9"/>
  <c r="AC106" i="9" s="1"/>
  <c r="AD29" i="9"/>
  <c r="AD80" i="9"/>
  <c r="AD46" i="9"/>
  <c r="AD107" i="9"/>
  <c r="AC107" i="9" s="1"/>
  <c r="AD93" i="9"/>
  <c r="AC93" i="9" s="1"/>
  <c r="AD33" i="9"/>
  <c r="AD101" i="9"/>
  <c r="AC101" i="9" s="1"/>
  <c r="AD63" i="9"/>
  <c r="AD36" i="9"/>
  <c r="AD40" i="9"/>
  <c r="AD105" i="9"/>
  <c r="AC105" i="9" s="1"/>
  <c r="AD71" i="9"/>
  <c r="AC71" i="9" s="1"/>
  <c r="AD103" i="9"/>
  <c r="AC103" i="9" s="1"/>
  <c r="AD51" i="9"/>
  <c r="AC51" i="9" s="1"/>
  <c r="AD82" i="9"/>
  <c r="AC82" i="9" s="1"/>
  <c r="AD45" i="9"/>
  <c r="AD50" i="9"/>
  <c r="AD62" i="9"/>
  <c r="AD27" i="9"/>
  <c r="AD43" i="9"/>
  <c r="AD10" i="9"/>
  <c r="AD31" i="9"/>
  <c r="AD102" i="9"/>
  <c r="AC102" i="9" s="1"/>
  <c r="AD19" i="9"/>
  <c r="AD91" i="9"/>
  <c r="AC91" i="9" s="1"/>
  <c r="AD11" i="9"/>
  <c r="AD24" i="9"/>
  <c r="AD28" i="9"/>
  <c r="AD32" i="9"/>
  <c r="AD12" i="9"/>
  <c r="AD86" i="9"/>
  <c r="AC86" i="9" s="1"/>
  <c r="AD61" i="9"/>
  <c r="AD25" i="9"/>
  <c r="AD13" i="9"/>
  <c r="AD59" i="9"/>
  <c r="AC59" i="9" s="1"/>
  <c r="AD15" i="9"/>
  <c r="AD8" i="9"/>
  <c r="AD88" i="9"/>
  <c r="AC88" i="9" s="1"/>
  <c r="AD92" i="9"/>
  <c r="AC92" i="9" s="1"/>
  <c r="AD85" i="9"/>
  <c r="AC85" i="9" s="1"/>
  <c r="AD90" i="9"/>
  <c r="AC90" i="9" s="1"/>
  <c r="AD87" i="9"/>
  <c r="AD54" i="9"/>
  <c r="AD6" i="9"/>
  <c r="AD7" i="9"/>
  <c r="AD89" i="9"/>
  <c r="AC89" i="9" s="1"/>
  <c r="AD83" i="9"/>
  <c r="AC83" i="9" s="1"/>
  <c r="AD37" i="9"/>
  <c r="AD81" i="9"/>
  <c r="AD48" i="9"/>
  <c r="AC48" i="9" s="1"/>
  <c r="AD95" i="9"/>
  <c r="AC95" i="9" s="1"/>
  <c r="AD67" i="9"/>
  <c r="AD16" i="9"/>
  <c r="AD70" i="9"/>
  <c r="AD66" i="9"/>
  <c r="AC66" i="9" s="1"/>
  <c r="AD79" i="9"/>
  <c r="AD75" i="9"/>
  <c r="AD98" i="9"/>
  <c r="AC98" i="9" s="1"/>
  <c r="AD69" i="9"/>
  <c r="AD52" i="9"/>
  <c r="AD94" i="9"/>
  <c r="AC94" i="9" s="1"/>
  <c r="AD39" i="9"/>
  <c r="AD57" i="9"/>
  <c r="AC57" i="9" s="1"/>
  <c r="AD56" i="9"/>
  <c r="AD14" i="9"/>
  <c r="AD44" i="9"/>
  <c r="AD30" i="9"/>
  <c r="AD34" i="9"/>
  <c r="AD38" i="9"/>
  <c r="AD47" i="9"/>
  <c r="AD73" i="9"/>
  <c r="AD42" i="9"/>
  <c r="AD99" i="9"/>
  <c r="AC99" i="9" s="1"/>
  <c r="AD26" i="9"/>
  <c r="AD49" i="9"/>
  <c r="AD96" i="9"/>
  <c r="AC96" i="9" s="1"/>
  <c r="AD68" i="9"/>
  <c r="AD84" i="9"/>
  <c r="AC84" i="9" s="1"/>
  <c r="AD64" i="9"/>
  <c r="AD65" i="9"/>
  <c r="AD22" i="9"/>
  <c r="O43" i="6"/>
  <c r="P131" i="9" s="1"/>
  <c r="O42" i="6"/>
  <c r="P130" i="9" s="1"/>
  <c r="O41" i="6"/>
  <c r="P129" i="9" s="1"/>
  <c r="O40" i="6"/>
  <c r="P128" i="9" s="1"/>
  <c r="P154" i="9"/>
  <c r="O31" i="6"/>
  <c r="P153" i="9" s="1"/>
  <c r="O30" i="6"/>
  <c r="P152" i="9" s="1"/>
  <c r="O29" i="6"/>
  <c r="P151" i="9" s="1"/>
  <c r="O28" i="6"/>
  <c r="P150" i="9" s="1"/>
  <c r="O20" i="6"/>
  <c r="P149" i="9" s="1"/>
  <c r="O27" i="6"/>
  <c r="P148" i="9" s="1"/>
  <c r="P147" i="9"/>
  <c r="O25" i="6"/>
  <c r="P146" i="9" s="1"/>
  <c r="O24" i="6"/>
  <c r="P145" i="9" s="1"/>
  <c r="O23" i="6"/>
  <c r="P144" i="9" s="1"/>
  <c r="O22" i="6"/>
  <c r="P143" i="9" s="1"/>
  <c r="O17" i="6"/>
  <c r="P142" i="9" s="1"/>
  <c r="O16" i="6"/>
  <c r="P141" i="9" s="1"/>
  <c r="O15" i="6"/>
  <c r="P140" i="9" s="1"/>
  <c r="O14" i="6"/>
  <c r="P139" i="9" s="1"/>
  <c r="O13" i="6"/>
  <c r="P138" i="9" s="1"/>
  <c r="O12" i="6"/>
  <c r="P137" i="9" s="1"/>
  <c r="O11" i="6"/>
  <c r="P136" i="9" s="1"/>
  <c r="O10" i="6"/>
  <c r="P135" i="9" s="1"/>
  <c r="O9" i="6"/>
  <c r="O7" i="6"/>
  <c r="O6" i="6"/>
  <c r="P132" i="9" s="1"/>
  <c r="AB155" i="9"/>
  <c r="AP155" i="9" s="1"/>
  <c r="AA155" i="9"/>
  <c r="AO155" i="9" s="1"/>
  <c r="Z155" i="9"/>
  <c r="AN155" i="9" s="1"/>
  <c r="Y155" i="9"/>
  <c r="AM155" i="9" s="1"/>
  <c r="X155" i="9"/>
  <c r="AL155" i="9" s="1"/>
  <c r="W155" i="9"/>
  <c r="AK155" i="9" s="1"/>
  <c r="V155" i="9"/>
  <c r="AJ155" i="9" s="1"/>
  <c r="U155" i="9"/>
  <c r="AI155" i="9" s="1"/>
  <c r="T155" i="9"/>
  <c r="AH155" i="9" s="1"/>
  <c r="S155" i="9"/>
  <c r="AG155" i="9" s="1"/>
  <c r="R155" i="9"/>
  <c r="AF155" i="9" s="1"/>
  <c r="Q155" i="9"/>
  <c r="AE155" i="9" s="1"/>
  <c r="AA37" i="6"/>
  <c r="AB157" i="9" s="1"/>
  <c r="AP157" i="9" s="1"/>
  <c r="Z37" i="6"/>
  <c r="AA157" i="9" s="1"/>
  <c r="AO157" i="9" s="1"/>
  <c r="Y37" i="6"/>
  <c r="Z157" i="9" s="1"/>
  <c r="AN157" i="9" s="1"/>
  <c r="X37" i="6"/>
  <c r="Y157" i="9" s="1"/>
  <c r="AM157" i="9" s="1"/>
  <c r="W37" i="6"/>
  <c r="X157" i="9" s="1"/>
  <c r="AL157" i="9" s="1"/>
  <c r="N112" i="10" s="1"/>
  <c r="V37" i="6"/>
  <c r="W157" i="9" s="1"/>
  <c r="AK157" i="9" s="1"/>
  <c r="M112" i="10" s="1"/>
  <c r="U37" i="6"/>
  <c r="V157" i="9" s="1"/>
  <c r="AJ157" i="9" s="1"/>
  <c r="T37" i="6"/>
  <c r="U157" i="9" s="1"/>
  <c r="AI157" i="9" s="1"/>
  <c r="S37" i="6"/>
  <c r="T157" i="9" s="1"/>
  <c r="AH157" i="9" s="1"/>
  <c r="R37" i="6"/>
  <c r="S157" i="9" s="1"/>
  <c r="AG157" i="9" s="1"/>
  <c r="Q37" i="6"/>
  <c r="R157" i="9" s="1"/>
  <c r="AF157" i="9" s="1"/>
  <c r="Q157" i="9"/>
  <c r="AE157" i="9" s="1"/>
  <c r="AA38" i="6"/>
  <c r="AB158" i="9" s="1"/>
  <c r="AP158" i="9" s="1"/>
  <c r="R109" i="10" s="1"/>
  <c r="Z38" i="6"/>
  <c r="AA158" i="9" s="1"/>
  <c r="AO158" i="9" s="1"/>
  <c r="Y38" i="6"/>
  <c r="Z158" i="9" s="1"/>
  <c r="AN158" i="9" s="1"/>
  <c r="X38" i="6"/>
  <c r="Y158" i="9" s="1"/>
  <c r="AM158" i="9" s="1"/>
  <c r="W38" i="6"/>
  <c r="X158" i="9" s="1"/>
  <c r="AL158" i="9" s="1"/>
  <c r="V38" i="6"/>
  <c r="W158" i="9" s="1"/>
  <c r="AK158" i="9" s="1"/>
  <c r="U38" i="6"/>
  <c r="V158" i="9" s="1"/>
  <c r="AJ158" i="9" s="1"/>
  <c r="L109" i="10" s="1"/>
  <c r="T38" i="6"/>
  <c r="U158" i="9" s="1"/>
  <c r="AI158" i="9" s="1"/>
  <c r="S38" i="6"/>
  <c r="T158" i="9" s="1"/>
  <c r="AH158" i="9" s="1"/>
  <c r="R38" i="6"/>
  <c r="S158" i="9" s="1"/>
  <c r="AG158" i="9" s="1"/>
  <c r="Q38" i="6"/>
  <c r="R158" i="9" s="1"/>
  <c r="AF158" i="9" s="1"/>
  <c r="Q158" i="9"/>
  <c r="AE158" i="9" s="1"/>
  <c r="F38" i="6"/>
  <c r="G158" i="9" s="1"/>
  <c r="E38" i="6"/>
  <c r="F158" i="9" s="1"/>
  <c r="D158" i="9"/>
  <c r="F37" i="6"/>
  <c r="G157" i="9" s="1"/>
  <c r="E37" i="6"/>
  <c r="F157" i="9" s="1"/>
  <c r="D157" i="9"/>
  <c r="F36" i="6"/>
  <c r="G156" i="9" s="1"/>
  <c r="E36" i="6"/>
  <c r="F156" i="9" s="1"/>
  <c r="F35" i="6"/>
  <c r="G155" i="9" s="1"/>
  <c r="E35" i="6"/>
  <c r="F155" i="9" s="1"/>
  <c r="D155" i="9"/>
  <c r="AA22" i="5"/>
  <c r="Z22" i="5"/>
  <c r="Y22" i="5"/>
  <c r="X22" i="5"/>
  <c r="W22" i="5"/>
  <c r="V22" i="5"/>
  <c r="U22" i="5"/>
  <c r="T22" i="5"/>
  <c r="S22" i="5"/>
  <c r="R22" i="5"/>
  <c r="Q22" i="5"/>
  <c r="O29" i="5"/>
  <c r="P110" i="9" s="1"/>
  <c r="O27" i="5"/>
  <c r="AD127" i="9" s="1"/>
  <c r="N27" i="5"/>
  <c r="O114" i="9" s="1"/>
  <c r="O26" i="5"/>
  <c r="AE126" i="9" s="1"/>
  <c r="O25" i="5"/>
  <c r="O24" i="5"/>
  <c r="O19" i="5"/>
  <c r="N19" i="5"/>
  <c r="O124" i="9" s="1"/>
  <c r="O17" i="5"/>
  <c r="AE121" i="9" s="1"/>
  <c r="AD121" i="9" s="1"/>
  <c r="O14" i="5"/>
  <c r="O13" i="5"/>
  <c r="N13" i="5"/>
  <c r="O120" i="9" s="1"/>
  <c r="O10" i="5"/>
  <c r="O9" i="5"/>
  <c r="P118" i="9" s="1"/>
  <c r="O8" i="5"/>
  <c r="O7" i="5"/>
  <c r="AE116" i="9" s="1"/>
  <c r="AD116" i="9" s="1"/>
  <c r="O6" i="5"/>
  <c r="AE115" i="9" s="1"/>
  <c r="AD115" i="9" s="1"/>
  <c r="F22" i="5"/>
  <c r="E22" i="5"/>
  <c r="D22" i="5"/>
  <c r="C22" i="5"/>
  <c r="F21" i="5"/>
  <c r="E21" i="5"/>
  <c r="D21" i="5"/>
  <c r="C21" i="5"/>
  <c r="F20" i="5"/>
  <c r="E20" i="5"/>
  <c r="D20" i="5"/>
  <c r="C20" i="5"/>
  <c r="E19" i="5"/>
  <c r="D19" i="5"/>
  <c r="C19" i="5"/>
  <c r="AB41" i="9"/>
  <c r="AP41" i="9" s="1"/>
  <c r="N47" i="4"/>
  <c r="O18" i="9" s="1"/>
  <c r="N45" i="4"/>
  <c r="O16" i="9" s="1"/>
  <c r="N44" i="4"/>
  <c r="O15" i="9" s="1"/>
  <c r="N43" i="4"/>
  <c r="O14" i="9" s="1"/>
  <c r="N27" i="4"/>
  <c r="O37" i="9" s="1"/>
  <c r="N22" i="4"/>
  <c r="O35" i="9" s="1"/>
  <c r="N16" i="4"/>
  <c r="O29" i="9" s="1"/>
  <c r="N15" i="4"/>
  <c r="O28" i="9" s="1"/>
  <c r="N7" i="4"/>
  <c r="O21" i="9" s="1"/>
  <c r="N6" i="4"/>
  <c r="O20" i="9" s="1"/>
  <c r="O48" i="4"/>
  <c r="P19" i="9" s="1"/>
  <c r="O46" i="4"/>
  <c r="P17" i="9" s="1"/>
  <c r="O45" i="4"/>
  <c r="P16" i="9" s="1"/>
  <c r="O44" i="4"/>
  <c r="P15" i="9" s="1"/>
  <c r="O43" i="4"/>
  <c r="P14" i="9" s="1"/>
  <c r="O41" i="4"/>
  <c r="P10" i="9" s="1"/>
  <c r="O40" i="4"/>
  <c r="P9" i="9" s="1"/>
  <c r="O39" i="4"/>
  <c r="P8" i="9" s="1"/>
  <c r="O38" i="4"/>
  <c r="P7" i="9" s="1"/>
  <c r="O36" i="4"/>
  <c r="P13" i="9" s="1"/>
  <c r="O35" i="4"/>
  <c r="P12" i="9" s="1"/>
  <c r="O34" i="4"/>
  <c r="P11" i="9" s="1"/>
  <c r="O33" i="4"/>
  <c r="P42" i="9" s="1"/>
  <c r="O31" i="4"/>
  <c r="P40" i="9" s="1"/>
  <c r="O29" i="4"/>
  <c r="P39" i="9" s="1"/>
  <c r="O28" i="4"/>
  <c r="P38" i="9" s="1"/>
  <c r="O27" i="4"/>
  <c r="P37" i="9" s="1"/>
  <c r="P36" i="9"/>
  <c r="O22" i="4"/>
  <c r="P35" i="9" s="1"/>
  <c r="O21" i="4"/>
  <c r="P34" i="9" s="1"/>
  <c r="O20" i="4"/>
  <c r="P33" i="9" s="1"/>
  <c r="O19" i="4"/>
  <c r="P32" i="9" s="1"/>
  <c r="O18" i="4"/>
  <c r="P31" i="9" s="1"/>
  <c r="O17" i="4"/>
  <c r="P30" i="9" s="1"/>
  <c r="O16" i="4"/>
  <c r="P29" i="9" s="1"/>
  <c r="O15" i="4"/>
  <c r="P28" i="9" s="1"/>
  <c r="O13" i="4"/>
  <c r="P27" i="9" s="1"/>
  <c r="O12" i="4"/>
  <c r="P26" i="9" s="1"/>
  <c r="O11" i="4"/>
  <c r="P25" i="9" s="1"/>
  <c r="O10" i="4"/>
  <c r="P24" i="9" s="1"/>
  <c r="O9" i="4"/>
  <c r="P23" i="9" s="1"/>
  <c r="O8" i="4"/>
  <c r="P22" i="9" s="1"/>
  <c r="O7" i="4"/>
  <c r="P21" i="9" s="1"/>
  <c r="O6" i="4"/>
  <c r="P20" i="9" s="1"/>
  <c r="F32" i="4"/>
  <c r="G41" i="9" s="1"/>
  <c r="E32" i="4"/>
  <c r="F41" i="9" s="1"/>
  <c r="D32" i="4"/>
  <c r="E41" i="9" s="1"/>
  <c r="F31" i="4"/>
  <c r="G40" i="9" s="1"/>
  <c r="E31" i="4"/>
  <c r="F40" i="9" s="1"/>
  <c r="D31" i="4"/>
  <c r="E40" i="9" s="1"/>
  <c r="C31" i="4"/>
  <c r="D40" i="9" s="1"/>
  <c r="G184" i="10" l="1"/>
  <c r="R140" i="10"/>
  <c r="Q112" i="10"/>
  <c r="Q118" i="10"/>
  <c r="J109" i="10"/>
  <c r="N109" i="10"/>
  <c r="N118" i="10"/>
  <c r="R118" i="10"/>
  <c r="K109" i="10"/>
  <c r="O109" i="10"/>
  <c r="K112" i="10"/>
  <c r="O112" i="10"/>
  <c r="K118" i="10"/>
  <c r="O118" i="10"/>
  <c r="AD126" i="9"/>
  <c r="I109" i="10"/>
  <c r="M109" i="10"/>
  <c r="I112" i="10"/>
  <c r="M118" i="10"/>
  <c r="J112" i="10"/>
  <c r="J129" i="10" s="1"/>
  <c r="J118" i="10"/>
  <c r="AD41" i="9"/>
  <c r="H109" i="10"/>
  <c r="P109" i="10"/>
  <c r="H112" i="10"/>
  <c r="L112" i="10"/>
  <c r="P112" i="10"/>
  <c r="H118" i="10"/>
  <c r="L118" i="10"/>
  <c r="P118" i="10"/>
  <c r="AD78" i="9"/>
  <c r="Q109" i="10"/>
  <c r="AE122" i="9"/>
  <c r="AD122" i="9" s="1"/>
  <c r="P124" i="9"/>
  <c r="AC49" i="9"/>
  <c r="AC47" i="9"/>
  <c r="AC58" i="9"/>
  <c r="AC50" i="9"/>
  <c r="AC60" i="9"/>
  <c r="AC56" i="9"/>
  <c r="AC61" i="9"/>
  <c r="AC64" i="9"/>
  <c r="AC67" i="9"/>
  <c r="AC63" i="9"/>
  <c r="AC54" i="9"/>
  <c r="AC70" i="9"/>
  <c r="AC62" i="9"/>
  <c r="N13" i="6"/>
  <c r="O138" i="9" s="1"/>
  <c r="N24" i="6"/>
  <c r="O145" i="9" s="1"/>
  <c r="AE112" i="9"/>
  <c r="P133" i="9"/>
  <c r="AE113" i="9"/>
  <c r="P134" i="9"/>
  <c r="N41" i="6"/>
  <c r="O129" i="9" s="1"/>
  <c r="N28" i="6"/>
  <c r="O150" i="9" s="1"/>
  <c r="N42" i="6"/>
  <c r="O130" i="9" s="1"/>
  <c r="AB158" i="10" a="1"/>
  <c r="AB158" i="10" s="1"/>
  <c r="K152" i="10"/>
  <c r="O75" i="9"/>
  <c r="AC75" i="9" s="1"/>
  <c r="AC69" i="9"/>
  <c r="AC45" i="9"/>
  <c r="AC65" i="9"/>
  <c r="AC74" i="9"/>
  <c r="O152" i="10"/>
  <c r="W155" i="2"/>
  <c r="AD25" i="3"/>
  <c r="CL110" i="10" a="1"/>
  <c r="CL110" i="10" s="1"/>
  <c r="AC55" i="9"/>
  <c r="R152" i="10"/>
  <c r="AC73" i="9"/>
  <c r="AC52" i="9"/>
  <c r="AC43" i="9"/>
  <c r="AC68" i="9"/>
  <c r="M184" i="10"/>
  <c r="AC44" i="9"/>
  <c r="AC46" i="9"/>
  <c r="L152" i="10"/>
  <c r="R112" i="10"/>
  <c r="AC79" i="9"/>
  <c r="P79" i="9"/>
  <c r="H152" i="10"/>
  <c r="N44" i="7"/>
  <c r="O78" i="9" s="1"/>
  <c r="P78" i="9"/>
  <c r="AC80" i="9"/>
  <c r="Q184" i="10"/>
  <c r="CD121" i="10" a="1"/>
  <c r="CD121" i="10" s="1"/>
  <c r="CD105" i="10" a="1"/>
  <c r="CD105" i="10" s="1"/>
  <c r="CD106" i="10" s="1"/>
  <c r="I118" i="10"/>
  <c r="AD158" i="9"/>
  <c r="AD157" i="9"/>
  <c r="F13" i="10" s="1"/>
  <c r="AD155" i="9"/>
  <c r="N23" i="6"/>
  <c r="O144" i="9" s="1"/>
  <c r="L129" i="10"/>
  <c r="O20" i="5"/>
  <c r="P125" i="9" s="1"/>
  <c r="AB125" i="9"/>
  <c r="AP125" i="9" s="1"/>
  <c r="AE120" i="9"/>
  <c r="P122" i="9"/>
  <c r="N13" i="4"/>
  <c r="O27" i="9" s="1"/>
  <c r="N28" i="4"/>
  <c r="O38" i="9" s="1"/>
  <c r="O184" i="10"/>
  <c r="O32" i="4"/>
  <c r="P41" i="9" s="1"/>
  <c r="J152" i="10"/>
  <c r="M152" i="10"/>
  <c r="P152" i="10"/>
  <c r="Q152" i="10"/>
  <c r="CD180" i="10" a="1"/>
  <c r="CD180" i="10" s="1"/>
  <c r="CD161" i="10" a="1"/>
  <c r="CD161" i="10" s="1"/>
  <c r="CK112" i="10" a="1"/>
  <c r="CK112" i="10" s="1"/>
  <c r="CK153" i="10" a="1"/>
  <c r="CK153" i="10" s="1"/>
  <c r="CK197" i="10" a="1"/>
  <c r="CK197" i="10" s="1"/>
  <c r="CH195" i="10" a="1"/>
  <c r="CH195" i="10" s="1"/>
  <c r="CD142" i="10" a="1"/>
  <c r="CD142" i="10" s="1"/>
  <c r="CD173" i="10" a="1"/>
  <c r="CD173" i="10" s="1"/>
  <c r="CD138" i="10" a="1"/>
  <c r="CD138" i="10" s="1"/>
  <c r="CD167" i="10" a="1"/>
  <c r="CD167" i="10" s="1"/>
  <c r="CK133" i="10" a="1"/>
  <c r="CK133" i="10" s="1"/>
  <c r="CK193" i="10" a="1"/>
  <c r="CK193" i="10" s="1"/>
  <c r="CD144" i="10" a="1"/>
  <c r="CD144" i="10" s="1"/>
  <c r="CD174" i="10" a="1"/>
  <c r="CD174" i="10" s="1"/>
  <c r="CD182" i="10" a="1"/>
  <c r="CD182" i="10" s="1"/>
  <c r="CK135" i="10" a="1"/>
  <c r="CK135" i="10" s="1"/>
  <c r="CK198" i="10" a="1"/>
  <c r="CK198" i="10" s="1"/>
  <c r="L184" i="10"/>
  <c r="AC21" i="9"/>
  <c r="CD148" i="10" a="1"/>
  <c r="CD148" i="10" s="1"/>
  <c r="CD155" i="10" a="1"/>
  <c r="CD155" i="10" s="1"/>
  <c r="CD195" i="10" a="1"/>
  <c r="CD195" i="10" s="1"/>
  <c r="CK113" i="10" a="1"/>
  <c r="CK113" i="10" s="1"/>
  <c r="CK149" i="10" a="1"/>
  <c r="CK149" i="10" s="1"/>
  <c r="I184" i="10"/>
  <c r="K129" i="10"/>
  <c r="K184" i="10"/>
  <c r="AE119" i="9"/>
  <c r="AD119" i="9" s="1"/>
  <c r="P119" i="9"/>
  <c r="H129" i="10"/>
  <c r="CD133" i="10" a="1"/>
  <c r="CD133" i="10" s="1"/>
  <c r="CD125" i="10" a="1"/>
  <c r="CD125" i="10" s="1"/>
  <c r="CD137" i="10" a="1"/>
  <c r="CD137" i="10" s="1"/>
  <c r="CD196" i="10" a="1"/>
  <c r="CD196" i="10" s="1"/>
  <c r="CK128" i="10" a="1"/>
  <c r="CK128" i="10" s="1"/>
  <c r="CK116" i="10" a="1"/>
  <c r="CK116" i="10" s="1"/>
  <c r="CK136" i="10" a="1"/>
  <c r="CK136" i="10" s="1"/>
  <c r="CK167" i="10" a="1"/>
  <c r="CK167" i="10" s="1"/>
  <c r="CH179" i="10" a="1"/>
  <c r="CH179" i="10" s="1"/>
  <c r="CK148" i="10" a="1"/>
  <c r="CK148" i="10" s="1"/>
  <c r="CK171" i="10" a="1"/>
  <c r="CK171" i="10" s="1"/>
  <c r="CK182" i="10" a="1"/>
  <c r="CK182" i="10" s="1"/>
  <c r="CH122" i="10" a="1"/>
  <c r="CH122" i="10" s="1"/>
  <c r="CK126" i="10" a="1"/>
  <c r="CK126" i="10" s="1"/>
  <c r="CK192" i="10" a="1"/>
  <c r="CK192" i="10" s="1"/>
  <c r="CH119" i="10" a="1"/>
  <c r="CH119" i="10" s="1"/>
  <c r="CD190" i="10" a="1"/>
  <c r="CD190" i="10" s="1"/>
  <c r="CK154" i="10" a="1"/>
  <c r="CK154" i="10" s="1"/>
  <c r="CD136" i="10" a="1"/>
  <c r="CD136" i="10" s="1"/>
  <c r="CD139" i="10" a="1"/>
  <c r="CD139" i="10" s="1"/>
  <c r="CD198" i="10" a="1"/>
  <c r="CD198" i="10" s="1"/>
  <c r="CK132" i="10" a="1"/>
  <c r="CK132" i="10" s="1"/>
  <c r="CK142" i="10" a="1"/>
  <c r="CK142" i="10" s="1"/>
  <c r="CK177" i="10" a="1"/>
  <c r="CK177" i="10" s="1"/>
  <c r="CH134" i="10" a="1"/>
  <c r="CH134" i="10" s="1"/>
  <c r="CD113" i="10" a="1"/>
  <c r="CD113" i="10" s="1"/>
  <c r="CD112" i="10" a="1"/>
  <c r="CD112" i="10" s="1"/>
  <c r="CD146" i="10" a="1"/>
  <c r="CD146" i="10" s="1"/>
  <c r="CD170" i="10" a="1"/>
  <c r="CD170" i="10" s="1"/>
  <c r="CK105" i="10" a="1"/>
  <c r="CK105" i="10" s="1"/>
  <c r="CK106" i="10" s="1"/>
  <c r="CK109" i="10" a="1"/>
  <c r="CK109" i="10" s="1"/>
  <c r="CK143" i="10" a="1"/>
  <c r="CK143" i="10" s="1"/>
  <c r="CK175" i="10" a="1"/>
  <c r="CK175" i="10" s="1"/>
  <c r="CH136" i="10" a="1"/>
  <c r="CH136" i="10" s="1"/>
  <c r="CD115" i="10" a="1"/>
  <c r="CD115" i="10" s="1"/>
  <c r="CD134" i="10" a="1"/>
  <c r="CD134" i="10" s="1"/>
  <c r="CD151" i="10" a="1"/>
  <c r="CD151" i="10" s="1"/>
  <c r="CD192" i="10" a="1"/>
  <c r="CD192" i="10" s="1"/>
  <c r="CK110" i="10" a="1"/>
  <c r="CK110" i="10" s="1"/>
  <c r="CK141" i="10" a="1"/>
  <c r="CK141" i="10" s="1"/>
  <c r="CK144" i="10" a="1"/>
  <c r="CK144" i="10" s="1"/>
  <c r="CK180" i="10" a="1"/>
  <c r="CK180" i="10" s="1"/>
  <c r="CH171" i="10" a="1"/>
  <c r="CH171" i="10" s="1"/>
  <c r="AB119" i="10" a="1"/>
  <c r="AB119" i="10" s="1"/>
  <c r="AB117" i="10" a="1"/>
  <c r="AB117" i="10" s="1"/>
  <c r="AB136" i="10" a="1"/>
  <c r="AB136" i="10" s="1"/>
  <c r="AB131" i="10" a="1"/>
  <c r="AB131" i="10" s="1"/>
  <c r="AB143" i="10" a="1"/>
  <c r="AB143" i="10" s="1"/>
  <c r="AB197" i="10" a="1"/>
  <c r="AB197" i="10" s="1"/>
  <c r="CD110" i="10" a="1"/>
  <c r="CD110" i="10" s="1"/>
  <c r="CD179" i="10" a="1"/>
  <c r="CD179" i="10" s="1"/>
  <c r="CD169" i="10" a="1"/>
  <c r="CD169" i="10" s="1"/>
  <c r="CK114" i="10" a="1"/>
  <c r="CK114" i="10" s="1"/>
  <c r="CK151" i="10" a="1"/>
  <c r="CK151" i="10" s="1"/>
  <c r="CH156" i="10" a="1"/>
  <c r="CH156" i="10" s="1"/>
  <c r="BS177" i="10" a="1"/>
  <c r="BS177" i="10" s="1"/>
  <c r="AB105" i="10" a="1"/>
  <c r="AB105" i="10" s="1"/>
  <c r="AB150" i="10" a="1"/>
  <c r="AB150" i="10" s="1"/>
  <c r="AB124" i="10" a="1"/>
  <c r="AB124" i="10" s="1"/>
  <c r="AB163" i="10" a="1"/>
  <c r="AB163" i="10" s="1"/>
  <c r="AB175" i="10" a="1"/>
  <c r="AB175" i="10" s="1"/>
  <c r="AB114" i="10" a="1"/>
  <c r="AB114" i="10" s="1"/>
  <c r="AB191" i="10" a="1"/>
  <c r="AB191" i="10" s="1"/>
  <c r="CD111" i="10" a="1"/>
  <c r="CD111" i="10" s="1"/>
  <c r="CD128" i="10" a="1"/>
  <c r="CD128" i="10" s="1"/>
  <c r="CD145" i="10" a="1"/>
  <c r="CD145" i="10" s="1"/>
  <c r="CD117" i="10" a="1"/>
  <c r="CD117" i="10" s="1"/>
  <c r="CD158" i="10" a="1"/>
  <c r="CD158" i="10" s="1"/>
  <c r="CD176" i="10" a="1"/>
  <c r="CD176" i="10" s="1"/>
  <c r="CD132" i="10" a="1"/>
  <c r="CD132" i="10" s="1"/>
  <c r="CD199" i="10" a="1"/>
  <c r="CD199" i="10" s="1"/>
  <c r="CD168" i="10" a="1"/>
  <c r="CD168" i="10" s="1"/>
  <c r="CD183" i="10" a="1"/>
  <c r="CD183" i="10" s="1"/>
  <c r="CK124" i="10" a="1"/>
  <c r="CK124" i="10" s="1"/>
  <c r="CK122" i="10" a="1"/>
  <c r="CK122" i="10" s="1"/>
  <c r="CK111" i="10" a="1"/>
  <c r="CK111" i="10" s="1"/>
  <c r="CK178" i="10" a="1"/>
  <c r="CK178" i="10" s="1"/>
  <c r="CK139" i="10" a="1"/>
  <c r="CK139" i="10" s="1"/>
  <c r="CK169" i="10" a="1"/>
  <c r="CK169" i="10" s="1"/>
  <c r="CK137" i="10" a="1"/>
  <c r="CK137" i="10" s="1"/>
  <c r="CK174" i="10" a="1"/>
  <c r="CK174" i="10" s="1"/>
  <c r="CK165" i="10" a="1"/>
  <c r="CK165" i="10" s="1"/>
  <c r="CH118" i="10" a="1"/>
  <c r="CH118" i="10" s="1"/>
  <c r="CH121" i="10" a="1"/>
  <c r="CH121" i="10" s="1"/>
  <c r="CH153" i="10" a="1"/>
  <c r="CH153" i="10" s="1"/>
  <c r="CH181" i="10" a="1"/>
  <c r="CH181" i="10" s="1"/>
  <c r="CH193" i="10" a="1"/>
  <c r="CH193" i="10" s="1"/>
  <c r="CG112" i="10" a="1"/>
  <c r="CG112" i="10" s="1"/>
  <c r="CG109" i="10" a="1"/>
  <c r="CG109" i="10" s="1"/>
  <c r="CG153" i="10" a="1"/>
  <c r="CG153" i="10" s="1"/>
  <c r="CG158" i="10" a="1"/>
  <c r="CG158" i="10" s="1"/>
  <c r="CG196" i="10" a="1"/>
  <c r="CG196" i="10" s="1"/>
  <c r="CJ118" i="10" a="1"/>
  <c r="CJ118" i="10" s="1"/>
  <c r="CJ120" i="10" a="1"/>
  <c r="CJ120" i="10" s="1"/>
  <c r="CJ196" i="10" a="1"/>
  <c r="CJ196" i="10" s="1"/>
  <c r="CJ162" i="10" a="1"/>
  <c r="CJ162" i="10" s="1"/>
  <c r="CJ195" i="10" a="1"/>
  <c r="CJ195" i="10" s="1"/>
  <c r="CC128" i="10" a="1"/>
  <c r="CC128" i="10" s="1"/>
  <c r="CC114" i="10" a="1"/>
  <c r="CC114" i="10" s="1"/>
  <c r="CC138" i="10" a="1"/>
  <c r="CC138" i="10" s="1"/>
  <c r="CC162" i="10" a="1"/>
  <c r="CC162" i="10" s="1"/>
  <c r="CC177" i="10" a="1"/>
  <c r="CC177" i="10" s="1"/>
  <c r="CI109" i="10" a="1"/>
  <c r="CI109" i="10" s="1"/>
  <c r="CI123" i="10" a="1"/>
  <c r="CI123" i="10" s="1"/>
  <c r="CI155" i="10" a="1"/>
  <c r="CI155" i="10" s="1"/>
  <c r="CI182" i="10" a="1"/>
  <c r="CI182" i="10" s="1"/>
  <c r="CI170" i="10" a="1"/>
  <c r="CI170" i="10" s="1"/>
  <c r="CL134" i="10" a="1"/>
  <c r="CL134" i="10" s="1"/>
  <c r="AB122" i="10" a="1"/>
  <c r="AB122" i="10" s="1"/>
  <c r="CG113" i="10" a="1"/>
  <c r="CG113" i="10" s="1"/>
  <c r="CG151" i="10" a="1"/>
  <c r="CG151" i="10" s="1"/>
  <c r="CG165" i="10" a="1"/>
  <c r="CG165" i="10" s="1"/>
  <c r="CG195" i="10" a="1"/>
  <c r="CG195" i="10" s="1"/>
  <c r="CG156" i="10" a="1"/>
  <c r="CG156" i="10" s="1"/>
  <c r="CJ110" i="10" a="1"/>
  <c r="CJ110" i="10" s="1"/>
  <c r="CJ142" i="10" a="1"/>
  <c r="CJ142" i="10" s="1"/>
  <c r="CJ160" i="10" a="1"/>
  <c r="CJ160" i="10" s="1"/>
  <c r="CJ174" i="10" a="1"/>
  <c r="CJ174" i="10" s="1"/>
  <c r="CJ168" i="10" a="1"/>
  <c r="CJ168" i="10" s="1"/>
  <c r="CC142" i="10" a="1"/>
  <c r="CC142" i="10" s="1"/>
  <c r="CC130" i="10" a="1"/>
  <c r="CC130" i="10" s="1"/>
  <c r="CC199" i="10" a="1"/>
  <c r="CC199" i="10" s="1"/>
  <c r="CC170" i="10" a="1"/>
  <c r="CC170" i="10" s="1"/>
  <c r="CC174" i="10" a="1"/>
  <c r="CC174" i="10" s="1"/>
  <c r="CI117" i="10" a="1"/>
  <c r="CI117" i="10" s="1"/>
  <c r="CI134" i="10" a="1"/>
  <c r="CI134" i="10" s="1"/>
  <c r="CI149" i="10" a="1"/>
  <c r="CI149" i="10" s="1"/>
  <c r="CI160" i="10" a="1"/>
  <c r="CI160" i="10" s="1"/>
  <c r="CI191" i="10" a="1"/>
  <c r="CI191" i="10" s="1"/>
  <c r="CL153" i="10" a="1"/>
  <c r="CL153" i="10" s="1"/>
  <c r="AB118" i="10" a="1"/>
  <c r="AB118" i="10" s="1"/>
  <c r="CH131" i="10" a="1"/>
  <c r="CH131" i="10" s="1"/>
  <c r="CH141" i="10" a="1"/>
  <c r="CH141" i="10" s="1"/>
  <c r="CH135" i="10" a="1"/>
  <c r="CH135" i="10" s="1"/>
  <c r="CH192" i="10" a="1"/>
  <c r="CH192" i="10" s="1"/>
  <c r="CH180" i="10" a="1"/>
  <c r="CH180" i="10" s="1"/>
  <c r="CG122" i="10" a="1"/>
  <c r="CG122" i="10" s="1"/>
  <c r="CG111" i="10" a="1"/>
  <c r="CG111" i="10" s="1"/>
  <c r="CG161" i="10" a="1"/>
  <c r="CG161" i="10" s="1"/>
  <c r="CG141" i="10" a="1"/>
  <c r="CG141" i="10" s="1"/>
  <c r="CG174" i="10" a="1"/>
  <c r="CG174" i="10" s="1"/>
  <c r="CJ132" i="10" a="1"/>
  <c r="CJ132" i="10" s="1"/>
  <c r="CJ143" i="10" a="1"/>
  <c r="CJ143" i="10" s="1"/>
  <c r="CJ164" i="10" a="1"/>
  <c r="CJ164" i="10" s="1"/>
  <c r="CJ199" i="10" a="1"/>
  <c r="CJ199" i="10" s="1"/>
  <c r="CJ169" i="10" a="1"/>
  <c r="CJ169" i="10" s="1"/>
  <c r="CC144" i="10" a="1"/>
  <c r="CC144" i="10" s="1"/>
  <c r="CC109" i="10" a="1"/>
  <c r="CC109" i="10" s="1"/>
  <c r="CC135" i="10" a="1"/>
  <c r="CC135" i="10" s="1"/>
  <c r="CC172" i="10" a="1"/>
  <c r="CC172" i="10" s="1"/>
  <c r="CC180" i="10" a="1"/>
  <c r="CC180" i="10" s="1"/>
  <c r="CI125" i="10" a="1"/>
  <c r="CI125" i="10" s="1"/>
  <c r="CI139" i="10" a="1"/>
  <c r="CI139" i="10" s="1"/>
  <c r="CI174" i="10" a="1"/>
  <c r="CI174" i="10" s="1"/>
  <c r="CI163" i="10" a="1"/>
  <c r="CI163" i="10" s="1"/>
  <c r="CI192" i="10" a="1"/>
  <c r="CI192" i="10" s="1"/>
  <c r="AB176" i="10" a="1"/>
  <c r="AB176" i="10" s="1"/>
  <c r="AB109" i="10" a="1"/>
  <c r="AB109" i="10" s="1"/>
  <c r="CH148" i="10" a="1"/>
  <c r="CH148" i="10" s="1"/>
  <c r="CH154" i="10" a="1"/>
  <c r="CH154" i="10" s="1"/>
  <c r="CH161" i="10" a="1"/>
  <c r="CH161" i="10" s="1"/>
  <c r="CG126" i="10" a="1"/>
  <c r="CG126" i="10" s="1"/>
  <c r="CG118" i="10" a="1"/>
  <c r="CG118" i="10" s="1"/>
  <c r="CG162" i="10" a="1"/>
  <c r="CG162" i="10" s="1"/>
  <c r="CG148" i="10" a="1"/>
  <c r="CG148" i="10" s="1"/>
  <c r="CG179" i="10" a="1"/>
  <c r="CG179" i="10" s="1"/>
  <c r="CJ131" i="10" a="1"/>
  <c r="CJ131" i="10" s="1"/>
  <c r="CJ127" i="10" a="1"/>
  <c r="CJ127" i="10" s="1"/>
  <c r="CJ155" i="10" a="1"/>
  <c r="CJ155" i="10" s="1"/>
  <c r="CJ180" i="10" a="1"/>
  <c r="CJ180" i="10" s="1"/>
  <c r="CJ177" i="10" a="1"/>
  <c r="CJ177" i="10" s="1"/>
  <c r="CC115" i="10" a="1"/>
  <c r="CC115" i="10" s="1"/>
  <c r="CC132" i="10" a="1"/>
  <c r="CC132" i="10" s="1"/>
  <c r="CC154" i="10" a="1"/>
  <c r="CC154" i="10" s="1"/>
  <c r="CC148" i="10" a="1"/>
  <c r="CC148" i="10" s="1"/>
  <c r="CC196" i="10" a="1"/>
  <c r="CC196" i="10" s="1"/>
  <c r="CI126" i="10" a="1"/>
  <c r="CI126" i="10" s="1"/>
  <c r="CI145" i="10" a="1"/>
  <c r="CI145" i="10" s="1"/>
  <c r="CI153" i="10" a="1"/>
  <c r="CI153" i="10" s="1"/>
  <c r="CI171" i="10" a="1"/>
  <c r="CI171" i="10" s="1"/>
  <c r="CI173" i="10" a="1"/>
  <c r="CI173" i="10" s="1"/>
  <c r="AB160" i="10" a="1"/>
  <c r="AB160" i="10" s="1"/>
  <c r="AB123" i="10" a="1"/>
  <c r="AB123" i="10" s="1"/>
  <c r="AB113" i="10" a="1"/>
  <c r="AB113" i="10" s="1"/>
  <c r="CD175" i="10" a="1"/>
  <c r="CD175" i="10" s="1"/>
  <c r="CK191" i="10" a="1"/>
  <c r="CK191" i="10" s="1"/>
  <c r="CH164" i="10" a="1"/>
  <c r="CH164" i="10" s="1"/>
  <c r="CG134" i="10" a="1"/>
  <c r="CG134" i="10" s="1"/>
  <c r="CG147" i="10" a="1"/>
  <c r="CG147" i="10" s="1"/>
  <c r="CG171" i="10" a="1"/>
  <c r="CG171" i="10" s="1"/>
  <c r="CG142" i="10" a="1"/>
  <c r="CG142" i="10" s="1"/>
  <c r="CG199" i="10" a="1"/>
  <c r="CG199" i="10" s="1"/>
  <c r="CJ136" i="10" a="1"/>
  <c r="CJ136" i="10" s="1"/>
  <c r="CJ128" i="10" a="1"/>
  <c r="CJ128" i="10" s="1"/>
  <c r="CJ161" i="10" a="1"/>
  <c r="CJ161" i="10" s="1"/>
  <c r="CJ181" i="10" a="1"/>
  <c r="CJ181" i="10" s="1"/>
  <c r="CJ191" i="10" a="1"/>
  <c r="CJ191" i="10" s="1"/>
  <c r="CC105" i="10" a="1"/>
  <c r="CC105" i="10" s="1"/>
  <c r="CC106" i="10" s="1"/>
  <c r="CC143" i="10" a="1"/>
  <c r="CC143" i="10" s="1"/>
  <c r="CC155" i="10" a="1"/>
  <c r="CC155" i="10" s="1"/>
  <c r="CC157" i="10" a="1"/>
  <c r="CC157" i="10" s="1"/>
  <c r="CC163" i="10" a="1"/>
  <c r="CC163" i="10" s="1"/>
  <c r="CI150" i="10" a="1"/>
  <c r="CI150" i="10" s="1"/>
  <c r="CI124" i="10" a="1"/>
  <c r="CI124" i="10" s="1"/>
  <c r="CI132" i="10" a="1"/>
  <c r="CI132" i="10" s="1"/>
  <c r="CI195" i="10" a="1"/>
  <c r="CI195" i="10" s="1"/>
  <c r="CI178" i="10" a="1"/>
  <c r="CI178" i="10" s="1"/>
  <c r="AB155" i="10" a="1"/>
  <c r="AB155" i="10" s="1"/>
  <c r="AB169" i="10" a="1"/>
  <c r="AB169" i="10" s="1"/>
  <c r="AB182" i="10" a="1"/>
  <c r="AB182" i="10" s="1"/>
  <c r="AB133" i="10" a="1"/>
  <c r="AB133" i="10" s="1"/>
  <c r="AB127" i="10" a="1"/>
  <c r="AB127" i="10" s="1"/>
  <c r="CD122" i="10" a="1"/>
  <c r="CD122" i="10" s="1"/>
  <c r="CD153" i="10" a="1"/>
  <c r="CD153" i="10" s="1"/>
  <c r="CK118" i="10" a="1"/>
  <c r="CK118" i="10" s="1"/>
  <c r="CK156" i="10" a="1"/>
  <c r="CK156" i="10" s="1"/>
  <c r="CK183" i="10" a="1"/>
  <c r="CK183" i="10" s="1"/>
  <c r="CH175" i="10" a="1"/>
  <c r="CH175" i="10" s="1"/>
  <c r="AB132" i="10" a="1"/>
  <c r="AB132" i="10" s="1"/>
  <c r="AB134" i="10" a="1"/>
  <c r="AB134" i="10" s="1"/>
  <c r="AB125" i="10" a="1"/>
  <c r="AB125" i="10" s="1"/>
  <c r="AB126" i="10" a="1"/>
  <c r="AB126" i="10" s="1"/>
  <c r="AB165" i="10" a="1"/>
  <c r="AB165" i="10" s="1"/>
  <c r="AB178" i="10" a="1"/>
  <c r="AB178" i="10" s="1"/>
  <c r="AB141" i="10" a="1"/>
  <c r="AB141" i="10" s="1"/>
  <c r="CD123" i="10" a="1"/>
  <c r="CD123" i="10" s="1"/>
  <c r="CD116" i="10" a="1"/>
  <c r="CD116" i="10" s="1"/>
  <c r="CD141" i="10" a="1"/>
  <c r="CD141" i="10" s="1"/>
  <c r="CD126" i="10" a="1"/>
  <c r="CD126" i="10" s="1"/>
  <c r="CD147" i="10" a="1"/>
  <c r="CD147" i="10" s="1"/>
  <c r="CD194" i="10" a="1"/>
  <c r="CD194" i="10" s="1"/>
  <c r="CD156" i="10" a="1"/>
  <c r="CD156" i="10" s="1"/>
  <c r="CD150" i="10" a="1"/>
  <c r="CD150" i="10" s="1"/>
  <c r="CD197" i="10" a="1"/>
  <c r="CD197" i="10" s="1"/>
  <c r="CD171" i="10" a="1"/>
  <c r="CD171" i="10" s="1"/>
  <c r="CD177" i="10" a="1"/>
  <c r="CD177" i="10" s="1"/>
  <c r="CK117" i="10" a="1"/>
  <c r="CK117" i="10" s="1"/>
  <c r="CK147" i="10" a="1"/>
  <c r="CK147" i="10" s="1"/>
  <c r="CK121" i="10" a="1"/>
  <c r="CK121" i="10" s="1"/>
  <c r="CK130" i="10" a="1"/>
  <c r="CK130" i="10" s="1"/>
  <c r="CK157" i="10" a="1"/>
  <c r="CK157" i="10" s="1"/>
  <c r="CK150" i="10" a="1"/>
  <c r="CK150" i="10" s="1"/>
  <c r="CK155" i="10" a="1"/>
  <c r="CK155" i="10" s="1"/>
  <c r="CK179" i="10" a="1"/>
  <c r="CK179" i="10" s="1"/>
  <c r="CK176" i="10" a="1"/>
  <c r="CK176" i="10" s="1"/>
  <c r="CH114" i="10" a="1"/>
  <c r="CH114" i="10" s="1"/>
  <c r="CH143" i="10" a="1"/>
  <c r="CH143" i="10" s="1"/>
  <c r="CH151" i="10" a="1"/>
  <c r="CH151" i="10" s="1"/>
  <c r="CH133" i="10" a="1"/>
  <c r="CH133" i="10" s="1"/>
  <c r="CH172" i="10" a="1"/>
  <c r="CH172" i="10" s="1"/>
  <c r="CG137" i="10" a="1"/>
  <c r="CG137" i="10" s="1"/>
  <c r="CG139" i="10" a="1"/>
  <c r="CG139" i="10" s="1"/>
  <c r="CG172" i="10" a="1"/>
  <c r="CG172" i="10" s="1"/>
  <c r="CG144" i="10" a="1"/>
  <c r="CG144" i="10" s="1"/>
  <c r="CG175" i="10" a="1"/>
  <c r="CG175" i="10" s="1"/>
  <c r="CJ112" i="10" a="1"/>
  <c r="CJ112" i="10" s="1"/>
  <c r="CJ130" i="10" a="1"/>
  <c r="CJ130" i="10" s="1"/>
  <c r="CJ145" i="10" a="1"/>
  <c r="CJ145" i="10" s="1"/>
  <c r="CJ173" i="10" a="1"/>
  <c r="CJ173" i="10" s="1"/>
  <c r="CJ183" i="10" a="1"/>
  <c r="CJ183" i="10" s="1"/>
  <c r="CJ198" i="10" a="1"/>
  <c r="CJ198" i="10" s="1"/>
  <c r="CC117" i="10" a="1"/>
  <c r="CC117" i="10" s="1"/>
  <c r="CC139" i="10" a="1"/>
  <c r="CC139" i="10" s="1"/>
  <c r="CC176" i="10" a="1"/>
  <c r="CC176" i="10" s="1"/>
  <c r="CC181" i="10" a="1"/>
  <c r="CC181" i="10" s="1"/>
  <c r="CC167" i="10" a="1"/>
  <c r="CC167" i="10" s="1"/>
  <c r="CI115" i="10" a="1"/>
  <c r="CI115" i="10" s="1"/>
  <c r="CI138" i="10" a="1"/>
  <c r="CI138" i="10" s="1"/>
  <c r="CI151" i="10" a="1"/>
  <c r="CI151" i="10" s="1"/>
  <c r="CI175" i="10" a="1"/>
  <c r="CI175" i="10" s="1"/>
  <c r="CI162" i="10" a="1"/>
  <c r="CI162" i="10" s="1"/>
  <c r="CL105" i="10" a="1"/>
  <c r="CL105" i="10" s="1"/>
  <c r="CL106" i="10" s="1"/>
  <c r="AB170" i="10" a="1"/>
  <c r="AB170" i="10" s="1"/>
  <c r="AB121" i="10" a="1"/>
  <c r="AB121" i="10" s="1"/>
  <c r="AB120" i="10" a="1"/>
  <c r="AB120" i="10" s="1"/>
  <c r="AB199" i="10" a="1"/>
  <c r="AB199" i="10" s="1"/>
  <c r="AB130" i="10" a="1"/>
  <c r="AB130" i="10" s="1"/>
  <c r="AB174" i="10" a="1"/>
  <c r="AB174" i="10" s="1"/>
  <c r="CD119" i="10" a="1"/>
  <c r="CD119" i="10" s="1"/>
  <c r="CD149" i="10" a="1"/>
  <c r="CD149" i="10" s="1"/>
  <c r="CK146" i="10" a="1"/>
  <c r="CK146" i="10" s="1"/>
  <c r="CK145" i="10" a="1"/>
  <c r="CK145" i="10" s="1"/>
  <c r="CH137" i="10" a="1"/>
  <c r="CH137" i="10" s="1"/>
  <c r="BA183" i="10" a="1"/>
  <c r="BA183" i="10" s="1"/>
  <c r="AB139" i="10" a="1"/>
  <c r="AB139" i="10" s="1"/>
  <c r="AB156" i="10" a="1"/>
  <c r="AB156" i="10" s="1"/>
  <c r="AB151" i="10" a="1"/>
  <c r="AB151" i="10" s="1"/>
  <c r="AB145" i="10" a="1"/>
  <c r="AB145" i="10" s="1"/>
  <c r="AB167" i="10" a="1"/>
  <c r="AB167" i="10" s="1"/>
  <c r="AB190" i="10" a="1"/>
  <c r="AB190" i="10" s="1"/>
  <c r="AB149" i="10" a="1"/>
  <c r="AB149" i="10" s="1"/>
  <c r="CD118" i="10" a="1"/>
  <c r="CD118" i="10" s="1"/>
  <c r="CD120" i="10" a="1"/>
  <c r="CD120" i="10" s="1"/>
  <c r="CD127" i="10" a="1"/>
  <c r="CD127" i="10" s="1"/>
  <c r="CD131" i="10" a="1"/>
  <c r="CD131" i="10" s="1"/>
  <c r="CD154" i="10" a="1"/>
  <c r="CD154" i="10" s="1"/>
  <c r="CD163" i="10" a="1"/>
  <c r="CD163" i="10" s="1"/>
  <c r="CD164" i="10" a="1"/>
  <c r="CD164" i="10" s="1"/>
  <c r="CD165" i="10" a="1"/>
  <c r="CD165" i="10" s="1"/>
  <c r="CD160" i="10" a="1"/>
  <c r="CD160" i="10" s="1"/>
  <c r="CD172" i="10" a="1"/>
  <c r="CD172" i="10" s="1"/>
  <c r="CD191" i="10" a="1"/>
  <c r="CD191" i="10" s="1"/>
  <c r="CK115" i="10" a="1"/>
  <c r="CK115" i="10" s="1"/>
  <c r="CK123" i="10" a="1"/>
  <c r="CK123" i="10" s="1"/>
  <c r="CK125" i="10" a="1"/>
  <c r="CK125" i="10" s="1"/>
  <c r="CK134" i="10" a="1"/>
  <c r="CK134" i="10" s="1"/>
  <c r="CK164" i="10" a="1"/>
  <c r="CK164" i="10" s="1"/>
  <c r="CK161" i="10" a="1"/>
  <c r="CK161" i="10" s="1"/>
  <c r="CK172" i="10" a="1"/>
  <c r="CK172" i="10" s="1"/>
  <c r="CK196" i="10" a="1"/>
  <c r="CK196" i="10" s="1"/>
  <c r="CK195" i="10" a="1"/>
  <c r="CK195" i="10" s="1"/>
  <c r="CH115" i="10" a="1"/>
  <c r="CH115" i="10" s="1"/>
  <c r="CH145" i="10" a="1"/>
  <c r="CH145" i="10" s="1"/>
  <c r="CH197" i="10" a="1"/>
  <c r="CH197" i="10" s="1"/>
  <c r="CH138" i="10" a="1"/>
  <c r="CH138" i="10" s="1"/>
  <c r="CH177" i="10" a="1"/>
  <c r="CH177" i="10" s="1"/>
  <c r="CG117" i="10" a="1"/>
  <c r="CG117" i="10" s="1"/>
  <c r="CG128" i="10" a="1"/>
  <c r="CG128" i="10" s="1"/>
  <c r="CG164" i="10" a="1"/>
  <c r="CG164" i="10" s="1"/>
  <c r="CG138" i="10" a="1"/>
  <c r="CG138" i="10" s="1"/>
  <c r="CG182" i="10" a="1"/>
  <c r="CG182" i="10" s="1"/>
  <c r="CG197" i="10" a="1"/>
  <c r="CG197" i="10" s="1"/>
  <c r="CJ111" i="10" a="1"/>
  <c r="CJ111" i="10" s="1"/>
  <c r="CJ141" i="10" a="1"/>
  <c r="CJ141" i="10" s="1"/>
  <c r="CJ135" i="10" a="1"/>
  <c r="CJ135" i="10" s="1"/>
  <c r="CJ134" i="10" a="1"/>
  <c r="CJ134" i="10" s="1"/>
  <c r="CJ157" i="10" a="1"/>
  <c r="CJ157" i="10" s="1"/>
  <c r="CC123" i="10" a="1"/>
  <c r="CC123" i="10" s="1"/>
  <c r="CC122" i="10" a="1"/>
  <c r="CC122" i="10" s="1"/>
  <c r="CC156" i="10" a="1"/>
  <c r="CC156" i="10" s="1"/>
  <c r="CC182" i="10" a="1"/>
  <c r="CC182" i="10" s="1"/>
  <c r="CC171" i="10" a="1"/>
  <c r="CC171" i="10" s="1"/>
  <c r="CI121" i="10" a="1"/>
  <c r="CI121" i="10" s="1"/>
  <c r="CI141" i="10" a="1"/>
  <c r="CI141" i="10" s="1"/>
  <c r="CI154" i="10" a="1"/>
  <c r="CI154" i="10" s="1"/>
  <c r="CI180" i="10" a="1"/>
  <c r="CI180" i="10" s="1"/>
  <c r="CI164" i="10" a="1"/>
  <c r="CI164" i="10" s="1"/>
  <c r="AB137" i="10" a="1"/>
  <c r="AB137" i="10" s="1"/>
  <c r="AB142" i="10" a="1"/>
  <c r="AB142" i="10" s="1"/>
  <c r="AB144" i="10" a="1"/>
  <c r="AB144" i="10" s="1"/>
  <c r="CE166" i="10" a="1"/>
  <c r="CE166" i="10" s="1"/>
  <c r="CE181" i="10" a="1"/>
  <c r="CE181" i="10" s="1"/>
  <c r="CE191" i="10" a="1"/>
  <c r="CE191" i="10" s="1"/>
  <c r="CE145" i="10" a="1"/>
  <c r="CE145" i="10" s="1"/>
  <c r="CE169" i="10" a="1"/>
  <c r="CE169" i="10" s="1"/>
  <c r="CE131" i="10" a="1"/>
  <c r="CE131" i="10" s="1"/>
  <c r="CE127" i="10" a="1"/>
  <c r="CE127" i="10" s="1"/>
  <c r="CE154" i="10" a="1"/>
  <c r="CE154" i="10" s="1"/>
  <c r="CE125" i="10" a="1"/>
  <c r="CE125" i="10" s="1"/>
  <c r="CE111" i="10" a="1"/>
  <c r="CE111" i="10" s="1"/>
  <c r="CF197" i="10" a="1"/>
  <c r="CF197" i="10" s="1"/>
  <c r="CF179" i="10" a="1"/>
  <c r="CF179" i="10" s="1"/>
  <c r="CF156" i="10" a="1"/>
  <c r="CF156" i="10" s="1"/>
  <c r="CF143" i="10" a="1"/>
  <c r="CF143" i="10" s="1"/>
  <c r="CF174" i="10" a="1"/>
  <c r="CF174" i="10" s="1"/>
  <c r="CF162" i="10" a="1"/>
  <c r="CF162" i="10" s="1"/>
  <c r="CF146" i="10" a="1"/>
  <c r="CF146" i="10" s="1"/>
  <c r="CF112" i="10" a="1"/>
  <c r="CF112" i="10" s="1"/>
  <c r="CF132" i="10" a="1"/>
  <c r="CF132" i="10" s="1"/>
  <c r="CF120" i="10" a="1"/>
  <c r="CF120" i="10" s="1"/>
  <c r="CF121" i="10" a="1"/>
  <c r="CF121" i="10" s="1"/>
  <c r="CL196" i="10" a="1"/>
  <c r="CL196" i="10" s="1"/>
  <c r="CL182" i="10" a="1"/>
  <c r="CL182" i="10" s="1"/>
  <c r="CL166" i="10" a="1"/>
  <c r="CL166" i="10" s="1"/>
  <c r="CL179" i="10" a="1"/>
  <c r="CL179" i="10" s="1"/>
  <c r="CL190" i="10" a="1"/>
  <c r="CL190" i="10" s="1"/>
  <c r="CL162" i="10" a="1"/>
  <c r="CL162" i="10" s="1"/>
  <c r="CL131" i="10" a="1"/>
  <c r="CL131" i="10" s="1"/>
  <c r="CL118" i="10" a="1"/>
  <c r="CL118" i="10" s="1"/>
  <c r="CL128" i="10" a="1"/>
  <c r="CL128" i="10" s="1"/>
  <c r="CL123" i="10" a="1"/>
  <c r="CL123" i="10" s="1"/>
  <c r="CI193" i="10" a="1"/>
  <c r="CI193" i="10" s="1"/>
  <c r="CI167" i="10" a="1"/>
  <c r="CI167" i="10" s="1"/>
  <c r="CI168" i="10" a="1"/>
  <c r="CI168" i="10" s="1"/>
  <c r="CI181" i="10" a="1"/>
  <c r="CI181" i="10" s="1"/>
  <c r="CI146" i="10" a="1"/>
  <c r="CI146" i="10" s="1"/>
  <c r="CI156" i="10" a="1"/>
  <c r="CI156" i="10" s="1"/>
  <c r="CI144" i="10" a="1"/>
  <c r="CI144" i="10" s="1"/>
  <c r="CI116" i="10" a="1"/>
  <c r="CI116" i="10" s="1"/>
  <c r="CI122" i="10" a="1"/>
  <c r="CI122" i="10" s="1"/>
  <c r="CI105" i="10" a="1"/>
  <c r="CI105" i="10" s="1"/>
  <c r="CI106" i="10" s="1"/>
  <c r="CC194" i="10" a="1"/>
  <c r="CC194" i="10" s="1"/>
  <c r="CC183" i="10" a="1"/>
  <c r="CC183" i="10" s="1"/>
  <c r="CC195" i="10" a="1"/>
  <c r="CC195" i="10" s="1"/>
  <c r="CC198" i="10" a="1"/>
  <c r="CC198" i="10" s="1"/>
  <c r="CC147" i="10" a="1"/>
  <c r="CC147" i="10" s="1"/>
  <c r="CC151" i="10" a="1"/>
  <c r="CC151" i="10" s="1"/>
  <c r="CC120" i="10" a="1"/>
  <c r="CC120" i="10" s="1"/>
  <c r="CC131" i="10" a="1"/>
  <c r="CC131" i="10" s="1"/>
  <c r="CC127" i="10" a="1"/>
  <c r="CC127" i="10" s="1"/>
  <c r="CC119" i="10" a="1"/>
  <c r="CC119" i="10" s="1"/>
  <c r="CC113" i="10" a="1"/>
  <c r="CC113" i="10" s="1"/>
  <c r="CJ192" i="10" a="1"/>
  <c r="CJ192" i="10" s="1"/>
  <c r="CJ167" i="10" a="1"/>
  <c r="CJ167" i="10" s="1"/>
  <c r="CJ197" i="10" a="1"/>
  <c r="CJ197" i="10" s="1"/>
  <c r="CJ153" i="10" a="1"/>
  <c r="CJ153" i="10" s="1"/>
  <c r="CJ179" i="10" a="1"/>
  <c r="CJ179" i="10" s="1"/>
  <c r="CJ156" i="10" a="1"/>
  <c r="CJ156" i="10" s="1"/>
  <c r="CJ144" i="10" a="1"/>
  <c r="CJ144" i="10" s="1"/>
  <c r="CJ139" i="10" a="1"/>
  <c r="CJ139" i="10" s="1"/>
  <c r="CJ113" i="10" a="1"/>
  <c r="CJ113" i="10" s="1"/>
  <c r="CJ105" i="10" a="1"/>
  <c r="CJ105" i="10" s="1"/>
  <c r="CJ106" i="10" s="1"/>
  <c r="CJ109" i="10" a="1"/>
  <c r="CJ109" i="10" s="1"/>
  <c r="CG181" i="10" a="1"/>
  <c r="CG181" i="10" s="1"/>
  <c r="CG193" i="10" a="1"/>
  <c r="CG193" i="10" s="1"/>
  <c r="CG160" i="10" a="1"/>
  <c r="CG160" i="10" s="1"/>
  <c r="CG136" i="10" a="1"/>
  <c r="CG136" i="10" s="1"/>
  <c r="CG198" i="10" a="1"/>
  <c r="CG198" i="10" s="1"/>
  <c r="CG170" i="10" a="1"/>
  <c r="CG170" i="10" s="1"/>
  <c r="CG145" i="10" a="1"/>
  <c r="CG145" i="10" s="1"/>
  <c r="CG110" i="10" a="1"/>
  <c r="CG110" i="10" s="1"/>
  <c r="CG124" i="10" a="1"/>
  <c r="CG124" i="10" s="1"/>
  <c r="CG119" i="10" a="1"/>
  <c r="CG119" i="10" s="1"/>
  <c r="CG116" i="10" a="1"/>
  <c r="CG116" i="10" s="1"/>
  <c r="CH174" i="10" a="1"/>
  <c r="CH174" i="10" s="1"/>
  <c r="CH169" i="10" a="1"/>
  <c r="CH169" i="10" s="1"/>
  <c r="CH190" i="10" a="1"/>
  <c r="CH190" i="10" s="1"/>
  <c r="CH182" i="10" a="1"/>
  <c r="CH182" i="10" s="1"/>
  <c r="CH170" i="10" a="1"/>
  <c r="CH170" i="10" s="1"/>
  <c r="CH155" i="10" a="1"/>
  <c r="CH155" i="10" s="1"/>
  <c r="CH146" i="10" a="1"/>
  <c r="CH146" i="10" s="1"/>
  <c r="CH139" i="10" a="1"/>
  <c r="CH139" i="10" s="1"/>
  <c r="CH126" i="10" a="1"/>
  <c r="CH126" i="10" s="1"/>
  <c r="CH113" i="10" a="1"/>
  <c r="CH113" i="10" s="1"/>
  <c r="CK170" i="10" a="1"/>
  <c r="CK170" i="10" s="1"/>
  <c r="CE196" i="10" a="1"/>
  <c r="CE196" i="10" s="1"/>
  <c r="CE164" i="10" a="1"/>
  <c r="CE164" i="10" s="1"/>
  <c r="CE175" i="10" a="1"/>
  <c r="CE175" i="10" s="1"/>
  <c r="CE178" i="10" a="1"/>
  <c r="CE178" i="10" s="1"/>
  <c r="CE143" i="10" a="1"/>
  <c r="CE143" i="10" s="1"/>
  <c r="CE167" i="10" a="1"/>
  <c r="CE167" i="10" s="1"/>
  <c r="CE130" i="10" a="1"/>
  <c r="CE130" i="10" s="1"/>
  <c r="CE123" i="10" a="1"/>
  <c r="CE123" i="10" s="1"/>
  <c r="CE144" i="10" a="1"/>
  <c r="CE144" i="10" s="1"/>
  <c r="CE150" i="10" a="1"/>
  <c r="CE150" i="10" s="1"/>
  <c r="CE109" i="10" a="1"/>
  <c r="CE109" i="10" s="1"/>
  <c r="CF190" i="10" a="1"/>
  <c r="CF190" i="10" s="1"/>
  <c r="CF194" i="10" a="1"/>
  <c r="CF194" i="10" s="1"/>
  <c r="CF151" i="10" a="1"/>
  <c r="CF151" i="10" s="1"/>
  <c r="CF134" i="10" a="1"/>
  <c r="CF134" i="10" s="1"/>
  <c r="CF173" i="10" a="1"/>
  <c r="CF173" i="10" s="1"/>
  <c r="CF172" i="10" a="1"/>
  <c r="CF172" i="10" s="1"/>
  <c r="CF136" i="10" a="1"/>
  <c r="CF136" i="10" s="1"/>
  <c r="CF147" i="10" a="1"/>
  <c r="CF147" i="10" s="1"/>
  <c r="CF111" i="10" a="1"/>
  <c r="CF111" i="10" s="1"/>
  <c r="CF150" i="10" a="1"/>
  <c r="CF150" i="10" s="1"/>
  <c r="CL181" i="10" a="1"/>
  <c r="CL181" i="10" s="1"/>
  <c r="CL173" i="10" a="1"/>
  <c r="CL173" i="10" s="1"/>
  <c r="CL161" i="10" a="1"/>
  <c r="CL161" i="10" s="1"/>
  <c r="CL171" i="10" a="1"/>
  <c r="CL171" i="10" s="1"/>
  <c r="CL160" i="10" a="1"/>
  <c r="CL160" i="10" s="1"/>
  <c r="CL155" i="10" a="1"/>
  <c r="CL155" i="10" s="1"/>
  <c r="CL117" i="10" a="1"/>
  <c r="CL117" i="10" s="1"/>
  <c r="CL127" i="10" a="1"/>
  <c r="CL127" i="10" s="1"/>
  <c r="CL124" i="10" a="1"/>
  <c r="CL124" i="10" s="1"/>
  <c r="CL115" i="10" a="1"/>
  <c r="CL115" i="10" s="1"/>
  <c r="CI198" i="10" a="1"/>
  <c r="CI198" i="10" s="1"/>
  <c r="CI165" i="10" a="1"/>
  <c r="CI165" i="10" s="1"/>
  <c r="CI166" i="10" a="1"/>
  <c r="CI166" i="10" s="1"/>
  <c r="CI199" i="10" a="1"/>
  <c r="CI199" i="10" s="1"/>
  <c r="CI131" i="10" a="1"/>
  <c r="CI131" i="10" s="1"/>
  <c r="CI176" i="10" a="1"/>
  <c r="CI176" i="10" s="1"/>
  <c r="CI143" i="10" a="1"/>
  <c r="CI143" i="10" s="1"/>
  <c r="CI142" i="10" a="1"/>
  <c r="CI142" i="10" s="1"/>
  <c r="CI136" i="10" a="1"/>
  <c r="CI136" i="10" s="1"/>
  <c r="CI118" i="10" a="1"/>
  <c r="CI118" i="10" s="1"/>
  <c r="CC193" i="10" a="1"/>
  <c r="CC193" i="10" s="1"/>
  <c r="CC178" i="10" a="1"/>
  <c r="CC178" i="10" s="1"/>
  <c r="CC192" i="10" a="1"/>
  <c r="CC192" i="10" s="1"/>
  <c r="CC197" i="10" a="1"/>
  <c r="CC197" i="10" s="1"/>
  <c r="CC136" i="10" a="1"/>
  <c r="CC136" i="10" s="1"/>
  <c r="CC175" i="10" a="1"/>
  <c r="CC175" i="10" s="1"/>
  <c r="CC116" i="10" a="1"/>
  <c r="CC116" i="10" s="1"/>
  <c r="CC126" i="10" a="1"/>
  <c r="CC126" i="10" s="1"/>
  <c r="CC153" i="10" a="1"/>
  <c r="CC153" i="10" s="1"/>
  <c r="CC111" i="10" a="1"/>
  <c r="CC111" i="10" s="1"/>
  <c r="CC118" i="10" a="1"/>
  <c r="CC118" i="10" s="1"/>
  <c r="CJ172" i="10" a="1"/>
  <c r="CJ172" i="10" s="1"/>
  <c r="CJ166" i="10" a="1"/>
  <c r="CJ166" i="10" s="1"/>
  <c r="CJ194" i="10" a="1"/>
  <c r="CJ194" i="10" s="1"/>
  <c r="CJ146" i="10" a="1"/>
  <c r="CJ146" i="10" s="1"/>
  <c r="CJ165" i="10" a="1"/>
  <c r="CJ165" i="10" s="1"/>
  <c r="CJ154" i="10" a="1"/>
  <c r="CJ154" i="10" s="1"/>
  <c r="CJ133" i="10" a="1"/>
  <c r="CJ133" i="10" s="1"/>
  <c r="CJ138" i="10" a="1"/>
  <c r="CJ138" i="10" s="1"/>
  <c r="CJ150" i="10" a="1"/>
  <c r="CJ150" i="10" s="1"/>
  <c r="CJ122" i="10" a="1"/>
  <c r="CJ122" i="10" s="1"/>
  <c r="CG176" i="10" a="1"/>
  <c r="CG176" i="10" s="1"/>
  <c r="CG173" i="10" a="1"/>
  <c r="CG173" i="10" s="1"/>
  <c r="CG155" i="10" a="1"/>
  <c r="CG155" i="10" s="1"/>
  <c r="CG133" i="10" a="1"/>
  <c r="CG133" i="10" s="1"/>
  <c r="CG169" i="10" a="1"/>
  <c r="CG169" i="10" s="1"/>
  <c r="CG168" i="10" a="1"/>
  <c r="CG168" i="10" s="1"/>
  <c r="CG143" i="10" a="1"/>
  <c r="CG143" i="10" s="1"/>
  <c r="CG105" i="10" a="1"/>
  <c r="CG105" i="10" s="1"/>
  <c r="CG106" i="10" s="1"/>
  <c r="CG130" i="10" a="1"/>
  <c r="CG130" i="10" s="1"/>
  <c r="CG115" i="10" a="1"/>
  <c r="CG115" i="10" s="1"/>
  <c r="CH196" i="10" a="1"/>
  <c r="CH196" i="10" s="1"/>
  <c r="CH167" i="10" a="1"/>
  <c r="CH167" i="10" s="1"/>
  <c r="CH183" i="10" a="1"/>
  <c r="CH183" i="10" s="1"/>
  <c r="CH176" i="10" a="1"/>
  <c r="CH176" i="10" s="1"/>
  <c r="CH166" i="10" a="1"/>
  <c r="CH166" i="10" s="1"/>
  <c r="CH160" i="10" a="1"/>
  <c r="CH160" i="10" s="1"/>
  <c r="CH125" i="10" a="1"/>
  <c r="CH125" i="10" s="1"/>
  <c r="CH120" i="10" a="1"/>
  <c r="CH120" i="10" s="1"/>
  <c r="CH132" i="10" a="1"/>
  <c r="CH132" i="10" s="1"/>
  <c r="CH112" i="10" a="1"/>
  <c r="CH112" i="10" s="1"/>
  <c r="CK168" i="10" a="1"/>
  <c r="CK168" i="10" s="1"/>
  <c r="CK194" i="10" a="1"/>
  <c r="CK194" i="10" s="1"/>
  <c r="CE195" i="10" a="1"/>
  <c r="CE195" i="10" s="1"/>
  <c r="CE163" i="10" a="1"/>
  <c r="CE163" i="10" s="1"/>
  <c r="CE190" i="10" a="1"/>
  <c r="CE190" i="10" s="1"/>
  <c r="CE153" i="10" a="1"/>
  <c r="CE153" i="10" s="1"/>
  <c r="CE160" i="10" a="1"/>
  <c r="CE160" i="10" s="1"/>
  <c r="CE193" i="10" a="1"/>
  <c r="CE193" i="10" s="1"/>
  <c r="CE126" i="10" a="1"/>
  <c r="CE126" i="10" s="1"/>
  <c r="CE118" i="10" a="1"/>
  <c r="CE118" i="10" s="1"/>
  <c r="CE141" i="10" a="1"/>
  <c r="CE141" i="10" s="1"/>
  <c r="CE138" i="10" a="1"/>
  <c r="CE138" i="10" s="1"/>
  <c r="CE120" i="10" a="1"/>
  <c r="CE120" i="10" s="1"/>
  <c r="CF182" i="10" a="1"/>
  <c r="CF182" i="10" s="1"/>
  <c r="CF193" i="10" a="1"/>
  <c r="CF193" i="10" s="1"/>
  <c r="CF145" i="10" a="1"/>
  <c r="CF145" i="10" s="1"/>
  <c r="CF163" i="10" a="1"/>
  <c r="CF163" i="10" s="1"/>
  <c r="CF154" i="10" a="1"/>
  <c r="CF154" i="10" s="1"/>
  <c r="CF170" i="10" a="1"/>
  <c r="CF170" i="10" s="1"/>
  <c r="CF131" i="10" a="1"/>
  <c r="CF131" i="10" s="1"/>
  <c r="CF135" i="10" a="1"/>
  <c r="CF135" i="10" s="1"/>
  <c r="CF149" i="10" a="1"/>
  <c r="CF149" i="10" s="1"/>
  <c r="CF137" i="10" a="1"/>
  <c r="CF137" i="10" s="1"/>
  <c r="CL195" i="10" a="1"/>
  <c r="CL195" i="10" s="1"/>
  <c r="CL174" i="10" a="1"/>
  <c r="CL174" i="10" s="1"/>
  <c r="CL151" i="10" a="1"/>
  <c r="CL151" i="10" s="1"/>
  <c r="CL145" i="10" a="1"/>
  <c r="CL145" i="10" s="1"/>
  <c r="CL168" i="10" a="1"/>
  <c r="CL168" i="10" s="1"/>
  <c r="CL154" i="10" a="1"/>
  <c r="CL154" i="10" s="1"/>
  <c r="CL148" i="10" a="1"/>
  <c r="CL148" i="10" s="1"/>
  <c r="CL114" i="10" a="1"/>
  <c r="CL114" i="10" s="1"/>
  <c r="CE192" i="10" a="1"/>
  <c r="CE192" i="10" s="1"/>
  <c r="CE162" i="10" a="1"/>
  <c r="CE162" i="10" s="1"/>
  <c r="CE176" i="10" a="1"/>
  <c r="CE176" i="10" s="1"/>
  <c r="CE146" i="10" a="1"/>
  <c r="CE146" i="10" s="1"/>
  <c r="CE174" i="10" a="1"/>
  <c r="CE174" i="10" s="1"/>
  <c r="CE165" i="10" a="1"/>
  <c r="CE165" i="10" s="1"/>
  <c r="CE122" i="10" a="1"/>
  <c r="CE122" i="10" s="1"/>
  <c r="CE115" i="10" a="1"/>
  <c r="CE115" i="10" s="1"/>
  <c r="CE132" i="10" a="1"/>
  <c r="CE132" i="10" s="1"/>
  <c r="CE134" i="10" a="1"/>
  <c r="CE134" i="10" s="1"/>
  <c r="CF181" i="10" a="1"/>
  <c r="CF181" i="10" s="1"/>
  <c r="CF195" i="10" a="1"/>
  <c r="CF195" i="10" s="1"/>
  <c r="CF139" i="10" a="1"/>
  <c r="CF139" i="10" s="1"/>
  <c r="CF155" i="10" a="1"/>
  <c r="CF155" i="10" s="1"/>
  <c r="CF148" i="10" a="1"/>
  <c r="CF148" i="10" s="1"/>
  <c r="CF168" i="10" a="1"/>
  <c r="CF168" i="10" s="1"/>
  <c r="CF127" i="10" a="1"/>
  <c r="CF127" i="10" s="1"/>
  <c r="CF119" i="10" a="1"/>
  <c r="CF119" i="10" s="1"/>
  <c r="CF133" i="10" a="1"/>
  <c r="CF133" i="10" s="1"/>
  <c r="CF130" i="10" a="1"/>
  <c r="CF130" i="10" s="1"/>
  <c r="CL194" i="10" a="1"/>
  <c r="CL194" i="10" s="1"/>
  <c r="CL199" i="10" a="1"/>
  <c r="CL199" i="10" s="1"/>
  <c r="CL150" i="10" a="1"/>
  <c r="CL150" i="10" s="1"/>
  <c r="CL144" i="10" a="1"/>
  <c r="CL144" i="10" s="1"/>
  <c r="CL165" i="10" a="1"/>
  <c r="CL165" i="10" s="1"/>
  <c r="CL177" i="10" a="1"/>
  <c r="CL177" i="10" s="1"/>
  <c r="CL136" i="10" a="1"/>
  <c r="CL136" i="10" s="1"/>
  <c r="CL132" i="10" a="1"/>
  <c r="CL132" i="10" s="1"/>
  <c r="CL146" i="10" a="1"/>
  <c r="CL146" i="10" s="1"/>
  <c r="CE183" i="10" a="1"/>
  <c r="CE183" i="10" s="1"/>
  <c r="CE168" i="10" a="1"/>
  <c r="CE168" i="10" s="1"/>
  <c r="CE199" i="10" a="1"/>
  <c r="CE199" i="10" s="1"/>
  <c r="CE156" i="10" a="1"/>
  <c r="CE156" i="10" s="1"/>
  <c r="CE173" i="10" a="1"/>
  <c r="CE173" i="10" s="1"/>
  <c r="CE161" i="10" a="1"/>
  <c r="CE161" i="10" s="1"/>
  <c r="CE112" i="10" a="1"/>
  <c r="CE112" i="10" s="1"/>
  <c r="CE110" i="10" a="1"/>
  <c r="CE110" i="10" s="1"/>
  <c r="CE142" i="10" a="1"/>
  <c r="CE142" i="10" s="1"/>
  <c r="CE117" i="10" a="1"/>
  <c r="CE117" i="10" s="1"/>
  <c r="CF176" i="10" a="1"/>
  <c r="CF176" i="10" s="1"/>
  <c r="CF192" i="10" a="1"/>
  <c r="CF192" i="10" s="1"/>
  <c r="CF177" i="10" a="1"/>
  <c r="CF177" i="10" s="1"/>
  <c r="CF142" i="10" a="1"/>
  <c r="CF142" i="10" s="1"/>
  <c r="CF158" i="10" a="1"/>
  <c r="CF158" i="10" s="1"/>
  <c r="CF166" i="10" a="1"/>
  <c r="CF166" i="10" s="1"/>
  <c r="CF126" i="10" a="1"/>
  <c r="CF126" i="10" s="1"/>
  <c r="CF118" i="10" a="1"/>
  <c r="CF118" i="10" s="1"/>
  <c r="CF128" i="10" a="1"/>
  <c r="CF128" i="10" s="1"/>
  <c r="CF114" i="10" a="1"/>
  <c r="CF114" i="10" s="1"/>
  <c r="CL197" i="10" a="1"/>
  <c r="CL197" i="10" s="1"/>
  <c r="CL178" i="10" a="1"/>
  <c r="CL178" i="10" s="1"/>
  <c r="CL138" i="10" a="1"/>
  <c r="CL138" i="10" s="1"/>
  <c r="CL143" i="10" a="1"/>
  <c r="CL143" i="10" s="1"/>
  <c r="CL164" i="10" a="1"/>
  <c r="CL164" i="10" s="1"/>
  <c r="CL176" i="10" a="1"/>
  <c r="CL176" i="10" s="1"/>
  <c r="CL125" i="10" a="1"/>
  <c r="CL125" i="10" s="1"/>
  <c r="CL126" i="10" a="1"/>
  <c r="CL126" i="10" s="1"/>
  <c r="CL119" i="10" a="1"/>
  <c r="CL119" i="10" s="1"/>
  <c r="CL120" i="10" a="1"/>
  <c r="CL120" i="10" s="1"/>
  <c r="CI196" i="10" a="1"/>
  <c r="CI196" i="10" s="1"/>
  <c r="CI177" i="10" a="1"/>
  <c r="CI177" i="10" s="1"/>
  <c r="CI161" i="10" a="1"/>
  <c r="CI161" i="10" s="1"/>
  <c r="CI190" i="10" a="1"/>
  <c r="CI190" i="10" s="1"/>
  <c r="CI147" i="10" a="1"/>
  <c r="CI147" i="10" s="1"/>
  <c r="CI137" i="10" a="1"/>
  <c r="CI137" i="10" s="1"/>
  <c r="CI148" i="10" a="1"/>
  <c r="CI148" i="10" s="1"/>
  <c r="CI133" i="10" a="1"/>
  <c r="CI133" i="10" s="1"/>
  <c r="CI130" i="10" a="1"/>
  <c r="CI130" i="10" s="1"/>
  <c r="CI112" i="10" a="1"/>
  <c r="CI112" i="10" s="1"/>
  <c r="CI114" i="10" a="1"/>
  <c r="CI114" i="10" s="1"/>
  <c r="CC173" i="10" a="1"/>
  <c r="CC173" i="10" s="1"/>
  <c r="CC166" i="10" a="1"/>
  <c r="CC166" i="10" s="1"/>
  <c r="CC168" i="10" a="1"/>
  <c r="CC168" i="10" s="1"/>
  <c r="CC179" i="10" a="1"/>
  <c r="CC179" i="10" s="1"/>
  <c r="CC150" i="10" a="1"/>
  <c r="CC150" i="10" s="1"/>
  <c r="CC190" i="10" a="1"/>
  <c r="CC190" i="10" s="1"/>
  <c r="CC125" i="10" a="1"/>
  <c r="CC125" i="10" s="1"/>
  <c r="CC146" i="10" a="1"/>
  <c r="CC146" i="10" s="1"/>
  <c r="CC141" i="10" a="1"/>
  <c r="CC141" i="10" s="1"/>
  <c r="CC112" i="10" a="1"/>
  <c r="CC112" i="10" s="1"/>
  <c r="CJ171" i="10" a="1"/>
  <c r="CJ171" i="10" s="1"/>
  <c r="CJ182" i="10" a="1"/>
  <c r="CJ182" i="10" s="1"/>
  <c r="CJ193" i="10" a="1"/>
  <c r="CJ193" i="10" s="1"/>
  <c r="CJ149" i="10" a="1"/>
  <c r="CJ149" i="10" s="1"/>
  <c r="CJ151" i="10" a="1"/>
  <c r="CJ151" i="10" s="1"/>
  <c r="CJ163" i="10" a="1"/>
  <c r="CJ163" i="10" s="1"/>
  <c r="CJ124" i="10" a="1"/>
  <c r="CJ124" i="10" s="1"/>
  <c r="CJ116" i="10" a="1"/>
  <c r="CJ116" i="10" s="1"/>
  <c r="CJ126" i="10" a="1"/>
  <c r="CJ126" i="10" s="1"/>
  <c r="CJ121" i="10" a="1"/>
  <c r="CJ121" i="10" s="1"/>
  <c r="CG194" i="10" a="1"/>
  <c r="CG194" i="10" s="1"/>
  <c r="CG191" i="10" a="1"/>
  <c r="CG191" i="10" s="1"/>
  <c r="CG178" i="10" a="1"/>
  <c r="CG178" i="10" s="1"/>
  <c r="CG157" i="10" a="1"/>
  <c r="CG157" i="10" s="1"/>
  <c r="CG167" i="10" a="1"/>
  <c r="CG167" i="10" s="1"/>
  <c r="CG149" i="10" a="1"/>
  <c r="CG149" i="10" s="1"/>
  <c r="CG135" i="10" a="1"/>
  <c r="CG135" i="10" s="1"/>
  <c r="CG146" i="10" a="1"/>
  <c r="CG146" i="10" s="1"/>
  <c r="CG131" i="10" a="1"/>
  <c r="CG131" i="10" s="1"/>
  <c r="CG114" i="10" a="1"/>
  <c r="CG114" i="10" s="1"/>
  <c r="CH199" i="10" a="1"/>
  <c r="CH199" i="10" s="1"/>
  <c r="CH173" i="10" a="1"/>
  <c r="CH173" i="10" s="1"/>
  <c r="CH158" i="10" a="1"/>
  <c r="CH158" i="10" s="1"/>
  <c r="CH157" i="10" a="1"/>
  <c r="CH157" i="10" s="1"/>
  <c r="CH162" i="10" a="1"/>
  <c r="CH162" i="10" s="1"/>
  <c r="CH168" i="10" a="1"/>
  <c r="CH168" i="10" s="1"/>
  <c r="CH144" i="10" a="1"/>
  <c r="CH144" i="10" s="1"/>
  <c r="CH128" i="10" a="1"/>
  <c r="CH128" i="10" s="1"/>
  <c r="CH130" i="10" a="1"/>
  <c r="CH130" i="10" s="1"/>
  <c r="CH109" i="10" a="1"/>
  <c r="CH109" i="10" s="1"/>
  <c r="CH123" i="10" a="1"/>
  <c r="CH123" i="10" s="1"/>
  <c r="CK163" i="10" a="1"/>
  <c r="CK163" i="10" s="1"/>
  <c r="CK181" i="10" a="1"/>
  <c r="CK181" i="10" s="1"/>
  <c r="CE172" i="10" a="1"/>
  <c r="CE172" i="10" s="1"/>
  <c r="CE198" i="10" a="1"/>
  <c r="CE198" i="10" s="1"/>
  <c r="CE194" i="10" a="1"/>
  <c r="CE194" i="10" s="1"/>
  <c r="CE151" i="10" a="1"/>
  <c r="CE151" i="10" s="1"/>
  <c r="CE157" i="10" a="1"/>
  <c r="CE157" i="10" s="1"/>
  <c r="CE149" i="10" a="1"/>
  <c r="CE149" i="10" s="1"/>
  <c r="CE147" i="10" a="1"/>
  <c r="CE147" i="10" s="1"/>
  <c r="CE105" i="10" a="1"/>
  <c r="CE105" i="10" s="1"/>
  <c r="CE106" i="10" s="1"/>
  <c r="CE133" i="10" a="1"/>
  <c r="CE133" i="10" s="1"/>
  <c r="CE121" i="10" a="1"/>
  <c r="CE121" i="10" s="1"/>
  <c r="CF175" i="10" a="1"/>
  <c r="CF175" i="10" s="1"/>
  <c r="CF183" i="10" a="1"/>
  <c r="CF183" i="10" s="1"/>
  <c r="CF164" i="10" a="1"/>
  <c r="CF164" i="10" s="1"/>
  <c r="CF141" i="10" a="1"/>
  <c r="CF141" i="10" s="1"/>
  <c r="CF171" i="10" a="1"/>
  <c r="CF171" i="10" s="1"/>
  <c r="CF165" i="10" a="1"/>
  <c r="CF165" i="10" s="1"/>
  <c r="CF123" i="10" a="1"/>
  <c r="CF123" i="10" s="1"/>
  <c r="CF113" i="10" a="1"/>
  <c r="CF113" i="10" s="1"/>
  <c r="CF125" i="10" a="1"/>
  <c r="CF125" i="10" s="1"/>
  <c r="CF117" i="10" a="1"/>
  <c r="CF117" i="10" s="1"/>
  <c r="CL183" i="10" a="1"/>
  <c r="CL183" i="10" s="1"/>
  <c r="CL198" i="10" a="1"/>
  <c r="CL198" i="10" s="1"/>
  <c r="CL170" i="10" a="1"/>
  <c r="CL170" i="10" s="1"/>
  <c r="CL142" i="10" a="1"/>
  <c r="CL142" i="10" s="1"/>
  <c r="CL157" i="10" a="1"/>
  <c r="CL157" i="10" s="1"/>
  <c r="CL163" i="10" a="1"/>
  <c r="CL163" i="10" s="1"/>
  <c r="CL121" i="10" a="1"/>
  <c r="CL121" i="10" s="1"/>
  <c r="CL122" i="10" a="1"/>
  <c r="CL122" i="10" s="1"/>
  <c r="CL147" i="10" a="1"/>
  <c r="CL147" i="10" s="1"/>
  <c r="CL116" i="10" a="1"/>
  <c r="CL116" i="10" s="1"/>
  <c r="CI179" i="10" a="1"/>
  <c r="CI179" i="10" s="1"/>
  <c r="CI172" i="10" a="1"/>
  <c r="CI172" i="10" s="1"/>
  <c r="CI158" i="10" a="1"/>
  <c r="CI158" i="10" s="1"/>
  <c r="CI183" i="10" a="1"/>
  <c r="CI183" i="10" s="1"/>
  <c r="CI135" i="10" a="1"/>
  <c r="CI135" i="10" s="1"/>
  <c r="CI194" i="10" a="1"/>
  <c r="CI194" i="10" s="1"/>
  <c r="CI128" i="10" a="1"/>
  <c r="CI128" i="10" s="1"/>
  <c r="CI127" i="10" a="1"/>
  <c r="CI127" i="10" s="1"/>
  <c r="CI119" i="10" a="1"/>
  <c r="CI119" i="10" s="1"/>
  <c r="CI111" i="10" a="1"/>
  <c r="CI111" i="10" s="1"/>
  <c r="CI113" i="10" a="1"/>
  <c r="CI113" i="10" s="1"/>
  <c r="CC191" i="10" a="1"/>
  <c r="CC191" i="10" s="1"/>
  <c r="CC165" i="10" a="1"/>
  <c r="CC165" i="10" s="1"/>
  <c r="CC164" i="10" a="1"/>
  <c r="CC164" i="10" s="1"/>
  <c r="CC161" i="10" a="1"/>
  <c r="CC161" i="10" s="1"/>
  <c r="CC149" i="10" a="1"/>
  <c r="CC149" i="10" s="1"/>
  <c r="CC158" i="10" a="1"/>
  <c r="CC158" i="10" s="1"/>
  <c r="CC121" i="10" a="1"/>
  <c r="CC121" i="10" s="1"/>
  <c r="CC145" i="10" a="1"/>
  <c r="CC145" i="10" s="1"/>
  <c r="CC133" i="10" a="1"/>
  <c r="CC133" i="10" s="1"/>
  <c r="CC110" i="10" a="1"/>
  <c r="CC110" i="10" s="1"/>
  <c r="CJ170" i="10" a="1"/>
  <c r="CJ170" i="10" s="1"/>
  <c r="CJ176" i="10" a="1"/>
  <c r="CJ176" i="10" s="1"/>
  <c r="CJ178" i="10" a="1"/>
  <c r="CJ178" i="10" s="1"/>
  <c r="CJ137" i="10" a="1"/>
  <c r="CJ137" i="10" s="1"/>
  <c r="CJ148" i="10" a="1"/>
  <c r="CJ148" i="10" s="1"/>
  <c r="CJ147" i="10" a="1"/>
  <c r="CJ147" i="10" s="1"/>
  <c r="CJ123" i="10" a="1"/>
  <c r="CJ123" i="10" s="1"/>
  <c r="CJ115" i="10" a="1"/>
  <c r="CJ115" i="10" s="1"/>
  <c r="CJ125" i="10" a="1"/>
  <c r="CJ125" i="10" s="1"/>
  <c r="CJ114" i="10" a="1"/>
  <c r="CJ114" i="10" s="1"/>
  <c r="CG180" i="10" a="1"/>
  <c r="CG180" i="10" s="1"/>
  <c r="CG192" i="10" a="1"/>
  <c r="CG192" i="10" s="1"/>
  <c r="CG163" i="10" a="1"/>
  <c r="CG163" i="10" s="1"/>
  <c r="CG154" i="10" a="1"/>
  <c r="CG154" i="10" s="1"/>
  <c r="CG166" i="10" a="1"/>
  <c r="CG166" i="10" s="1"/>
  <c r="CG183" i="10" a="1"/>
  <c r="CG183" i="10" s="1"/>
  <c r="CG132" i="10" a="1"/>
  <c r="CG132" i="10" s="1"/>
  <c r="CG125" i="10" a="1"/>
  <c r="CG125" i="10" s="1"/>
  <c r="CG127" i="10" a="1"/>
  <c r="CG127" i="10" s="1"/>
  <c r="CG120" i="10" a="1"/>
  <c r="CG120" i="10" s="1"/>
  <c r="CH194" i="10" a="1"/>
  <c r="CH194" i="10" s="1"/>
  <c r="CH191" i="10" a="1"/>
  <c r="CH191" i="10" s="1"/>
  <c r="CH198" i="10" a="1"/>
  <c r="CH198" i="10" s="1"/>
  <c r="CH150" i="10" a="1"/>
  <c r="CH150" i="10" s="1"/>
  <c r="CH147" i="10" a="1"/>
  <c r="CH147" i="10" s="1"/>
  <c r="CH165" i="10" a="1"/>
  <c r="CH165" i="10" s="1"/>
  <c r="CH142" i="10" a="1"/>
  <c r="CH142" i="10" s="1"/>
  <c r="CH124" i="10" a="1"/>
  <c r="CH124" i="10" s="1"/>
  <c r="CH127" i="10" a="1"/>
  <c r="CH127" i="10" s="1"/>
  <c r="CH105" i="10" a="1"/>
  <c r="CH105" i="10" s="1"/>
  <c r="CH106" i="10" s="1"/>
  <c r="CH116" i="10" a="1"/>
  <c r="CH116" i="10" s="1"/>
  <c r="CK190" i="10" a="1"/>
  <c r="CK190" i="10" s="1"/>
  <c r="CK162" i="10" a="1"/>
  <c r="CK162" i="10" s="1"/>
  <c r="CE171" i="10" a="1"/>
  <c r="CE171" i="10" s="1"/>
  <c r="CE197" i="10" a="1"/>
  <c r="CE197" i="10" s="1"/>
  <c r="CE180" i="10" a="1"/>
  <c r="CE180" i="10" s="1"/>
  <c r="CE139" i="10" a="1"/>
  <c r="CE139" i="10" s="1"/>
  <c r="CE155" i="10" a="1"/>
  <c r="CE155" i="10" s="1"/>
  <c r="CE137" i="10" a="1"/>
  <c r="CE137" i="10" s="1"/>
  <c r="CE136" i="10" a="1"/>
  <c r="CE136" i="10" s="1"/>
  <c r="CE148" i="10" a="1"/>
  <c r="CE148" i="10" s="1"/>
  <c r="CE128" i="10" a="1"/>
  <c r="CE128" i="10" s="1"/>
  <c r="CE116" i="10" a="1"/>
  <c r="CE116" i="10" s="1"/>
  <c r="CF157" i="10" a="1"/>
  <c r="CF157" i="10" s="1"/>
  <c r="CF196" i="10" a="1"/>
  <c r="CF196" i="10" s="1"/>
  <c r="CF160" i="10" a="1"/>
  <c r="CF160" i="10" s="1"/>
  <c r="CF191" i="10" a="1"/>
  <c r="CF191" i="10" s="1"/>
  <c r="CF169" i="10" a="1"/>
  <c r="CF169" i="10" s="1"/>
  <c r="CF161" i="10" a="1"/>
  <c r="CF161" i="10" s="1"/>
  <c r="CF122" i="10" a="1"/>
  <c r="CF122" i="10" s="1"/>
  <c r="CF110" i="10" a="1"/>
  <c r="CF110" i="10" s="1"/>
  <c r="CF124" i="10" a="1"/>
  <c r="CF124" i="10" s="1"/>
  <c r="CF116" i="10" a="1"/>
  <c r="CF116" i="10" s="1"/>
  <c r="CL180" i="10" a="1"/>
  <c r="CL180" i="10" s="1"/>
  <c r="CL193" i="10" a="1"/>
  <c r="CL193" i="10" s="1"/>
  <c r="CL169" i="10" a="1"/>
  <c r="CL169" i="10" s="1"/>
  <c r="CL139" i="10" a="1"/>
  <c r="CL139" i="10" s="1"/>
  <c r="CL156" i="10" a="1"/>
  <c r="CL156" i="10" s="1"/>
  <c r="CL158" i="10" a="1"/>
  <c r="CL158" i="10" s="1"/>
  <c r="CL109" i="10" a="1"/>
  <c r="CL109" i="10" s="1"/>
  <c r="CL112" i="10" a="1"/>
  <c r="CL112" i="10" s="1"/>
  <c r="CL135" i="10" a="1"/>
  <c r="CL135" i="10" s="1"/>
  <c r="CL113" i="10" a="1"/>
  <c r="CL113" i="10" s="1"/>
  <c r="CE170" i="10" a="1"/>
  <c r="CE170" i="10" s="1"/>
  <c r="CE182" i="10" a="1"/>
  <c r="CE182" i="10" s="1"/>
  <c r="CE179" i="10" a="1"/>
  <c r="CE179" i="10" s="1"/>
  <c r="CE177" i="10" a="1"/>
  <c r="CE177" i="10" s="1"/>
  <c r="CE158" i="10" a="1"/>
  <c r="CE158" i="10" s="1"/>
  <c r="CE114" i="10" a="1"/>
  <c r="CE114" i="10" s="1"/>
  <c r="CE135" i="10" a="1"/>
  <c r="CE135" i="10" s="1"/>
  <c r="CE119" i="10" a="1"/>
  <c r="CE119" i="10" s="1"/>
  <c r="CE124" i="10" a="1"/>
  <c r="CE124" i="10" s="1"/>
  <c r="CE113" i="10" a="1"/>
  <c r="CE113" i="10" s="1"/>
  <c r="CF198" i="10" a="1"/>
  <c r="CF198" i="10" s="1"/>
  <c r="CF199" i="10" a="1"/>
  <c r="CF199" i="10" s="1"/>
  <c r="CF180" i="10" a="1"/>
  <c r="CF180" i="10" s="1"/>
  <c r="CF144" i="10" a="1"/>
  <c r="CF144" i="10" s="1"/>
  <c r="CF178" i="10" a="1"/>
  <c r="CF178" i="10" s="1"/>
  <c r="CF167" i="10" a="1"/>
  <c r="CF167" i="10" s="1"/>
  <c r="CF153" i="10" a="1"/>
  <c r="CF153" i="10" s="1"/>
  <c r="CF115" i="10" a="1"/>
  <c r="CF115" i="10" s="1"/>
  <c r="CF105" i="10" a="1"/>
  <c r="CF105" i="10" s="1"/>
  <c r="CF106" i="10" s="1"/>
  <c r="CF138" i="10" a="1"/>
  <c r="CF138" i="10" s="1"/>
  <c r="CF109" i="10" a="1"/>
  <c r="CF109" i="10" s="1"/>
  <c r="CL175" i="10" a="1"/>
  <c r="CL175" i="10" s="1"/>
  <c r="CL192" i="10" a="1"/>
  <c r="CL192" i="10" s="1"/>
  <c r="CL167" i="10" a="1"/>
  <c r="CL167" i="10" s="1"/>
  <c r="CL191" i="10" a="1"/>
  <c r="CL191" i="10" s="1"/>
  <c r="CL141" i="10" a="1"/>
  <c r="CL141" i="10" s="1"/>
  <c r="CL172" i="10" a="1"/>
  <c r="CL172" i="10" s="1"/>
  <c r="CL149" i="10" a="1"/>
  <c r="CL149" i="10" s="1"/>
  <c r="CL137" i="10" a="1"/>
  <c r="CL137" i="10" s="1"/>
  <c r="CL133" i="10" a="1"/>
  <c r="CL133" i="10" s="1"/>
  <c r="CL111" i="10" a="1"/>
  <c r="CL111" i="10" s="1"/>
  <c r="AB157" i="10" a="1"/>
  <c r="AB157" i="10" s="1"/>
  <c r="AB168" i="10" a="1"/>
  <c r="AB168" i="10" s="1"/>
  <c r="CD135" i="10" a="1"/>
  <c r="CD135" i="10" s="1"/>
  <c r="CD166" i="10" a="1"/>
  <c r="CD166" i="10" s="1"/>
  <c r="CK120" i="10" a="1"/>
  <c r="CK120" i="10" s="1"/>
  <c r="CH111" i="10" a="1"/>
  <c r="CH111" i="10" s="1"/>
  <c r="AF150" i="10" a="1"/>
  <c r="AF150" i="10" s="1"/>
  <c r="AB162" i="10" a="1"/>
  <c r="AB162" i="10" s="1"/>
  <c r="AB128" i="10" a="1"/>
  <c r="AB128" i="10" s="1"/>
  <c r="AB111" i="10" a="1"/>
  <c r="AB111" i="10" s="1"/>
  <c r="AB148" i="10" a="1"/>
  <c r="AB148" i="10" s="1"/>
  <c r="AB172" i="10" a="1"/>
  <c r="AB172" i="10" s="1"/>
  <c r="AB112" i="10" a="1"/>
  <c r="AB112" i="10" s="1"/>
  <c r="CD109" i="10" a="1"/>
  <c r="CD109" i="10" s="1"/>
  <c r="CD124" i="10" a="1"/>
  <c r="CD124" i="10" s="1"/>
  <c r="CD143" i="10" a="1"/>
  <c r="CD143" i="10" s="1"/>
  <c r="CD114" i="10" a="1"/>
  <c r="CD114" i="10" s="1"/>
  <c r="CD157" i="10" a="1"/>
  <c r="CD157" i="10" s="1"/>
  <c r="CD181" i="10" a="1"/>
  <c r="CD181" i="10" s="1"/>
  <c r="CD130" i="10" a="1"/>
  <c r="CD130" i="10" s="1"/>
  <c r="CD193" i="10" a="1"/>
  <c r="CD193" i="10" s="1"/>
  <c r="CD162" i="10" a="1"/>
  <c r="CD162" i="10" s="1"/>
  <c r="CD178" i="10" a="1"/>
  <c r="CD178" i="10" s="1"/>
  <c r="CK119" i="10" a="1"/>
  <c r="CK119" i="10" s="1"/>
  <c r="CK127" i="10" a="1"/>
  <c r="CK127" i="10" s="1"/>
  <c r="CK131" i="10" a="1"/>
  <c r="CK131" i="10" s="1"/>
  <c r="CK158" i="10" a="1"/>
  <c r="CK158" i="10" s="1"/>
  <c r="CK138" i="10" a="1"/>
  <c r="CK138" i="10" s="1"/>
  <c r="CK166" i="10" a="1"/>
  <c r="CK166" i="10" s="1"/>
  <c r="CK173" i="10" a="1"/>
  <c r="CK173" i="10" s="1"/>
  <c r="CK199" i="10" a="1"/>
  <c r="CK199" i="10" s="1"/>
  <c r="CK160" i="10" a="1"/>
  <c r="CK160" i="10" s="1"/>
  <c r="CH110" i="10" a="1"/>
  <c r="CH110" i="10" s="1"/>
  <c r="CH117" i="10" a="1"/>
  <c r="CH117" i="10" s="1"/>
  <c r="CH149" i="10" a="1"/>
  <c r="CH149" i="10" s="1"/>
  <c r="CH163" i="10" a="1"/>
  <c r="CH163" i="10" s="1"/>
  <c r="CH178" i="10" a="1"/>
  <c r="CH178" i="10" s="1"/>
  <c r="CG123" i="10" a="1"/>
  <c r="CG123" i="10" s="1"/>
  <c r="CG121" i="10" a="1"/>
  <c r="CG121" i="10" s="1"/>
  <c r="CG177" i="10" a="1"/>
  <c r="CG177" i="10" s="1"/>
  <c r="CG150" i="10" a="1"/>
  <c r="CG150" i="10" s="1"/>
  <c r="CG190" i="10" a="1"/>
  <c r="CG190" i="10" s="1"/>
  <c r="CJ117" i="10" a="1"/>
  <c r="CJ117" i="10" s="1"/>
  <c r="CJ119" i="10" a="1"/>
  <c r="CJ119" i="10" s="1"/>
  <c r="CJ175" i="10" a="1"/>
  <c r="CJ175" i="10" s="1"/>
  <c r="CJ158" i="10" a="1"/>
  <c r="CJ158" i="10" s="1"/>
  <c r="CJ190" i="10" a="1"/>
  <c r="CJ190" i="10" s="1"/>
  <c r="CC124" i="10" a="1"/>
  <c r="CC124" i="10" s="1"/>
  <c r="CC134" i="10" a="1"/>
  <c r="CC134" i="10" s="1"/>
  <c r="CC137" i="10" a="1"/>
  <c r="CC137" i="10" s="1"/>
  <c r="CC160" i="10" a="1"/>
  <c r="CC160" i="10" s="1"/>
  <c r="CC169" i="10" a="1"/>
  <c r="CC169" i="10" s="1"/>
  <c r="CI110" i="10" a="1"/>
  <c r="CI110" i="10" s="1"/>
  <c r="CI120" i="10" a="1"/>
  <c r="CI120" i="10" s="1"/>
  <c r="CI157" i="10" a="1"/>
  <c r="CI157" i="10" s="1"/>
  <c r="CI197" i="10" a="1"/>
  <c r="CI197" i="10" s="1"/>
  <c r="CI169" i="10" a="1"/>
  <c r="CI169" i="10" s="1"/>
  <c r="CL130" i="10" a="1"/>
  <c r="CL130" i="10" s="1"/>
  <c r="N18" i="4"/>
  <c r="O31" i="9" s="1"/>
  <c r="N12" i="4"/>
  <c r="O26" i="9" s="1"/>
  <c r="N21" i="4"/>
  <c r="O34" i="9" s="1"/>
  <c r="N36" i="4"/>
  <c r="O13" i="9" s="1"/>
  <c r="N8" i="4"/>
  <c r="O22" i="9" s="1"/>
  <c r="N17" i="4"/>
  <c r="O30" i="9" s="1"/>
  <c r="N29" i="4"/>
  <c r="O39" i="9" s="1"/>
  <c r="N46" i="4"/>
  <c r="O17" i="9" s="1"/>
  <c r="N10" i="4"/>
  <c r="O24" i="9" s="1"/>
  <c r="N19" i="4"/>
  <c r="O32" i="9" s="1"/>
  <c r="N34" i="4"/>
  <c r="O11" i="9" s="1"/>
  <c r="N9" i="4"/>
  <c r="O23" i="9" s="1"/>
  <c r="N31" i="4"/>
  <c r="O40" i="9" s="1"/>
  <c r="N11" i="4"/>
  <c r="O25" i="9" s="1"/>
  <c r="N20" i="4"/>
  <c r="O33" i="9" s="1"/>
  <c r="N35" i="4"/>
  <c r="O12" i="9" s="1"/>
  <c r="AT197" i="10" a="1"/>
  <c r="AT197" i="10" s="1"/>
  <c r="AT110" i="10" a="1"/>
  <c r="AT110" i="10" s="1"/>
  <c r="AT132" i="10" a="1"/>
  <c r="AT132" i="10" s="1"/>
  <c r="BL126" i="10" a="1"/>
  <c r="BL126" i="10" s="1"/>
  <c r="BL117" i="10" a="1"/>
  <c r="BL117" i="10" s="1"/>
  <c r="BL147" i="10" a="1"/>
  <c r="BL147" i="10" s="1"/>
  <c r="BL155" i="10" a="1"/>
  <c r="BL155" i="10" s="1"/>
  <c r="BL123" i="10" a="1"/>
  <c r="BL123" i="10" s="1"/>
  <c r="AT190" i="10" a="1"/>
  <c r="AT190" i="10" s="1"/>
  <c r="BL158" i="10" a="1"/>
  <c r="BL158" i="10" s="1"/>
  <c r="BL165" i="10" a="1"/>
  <c r="BL165" i="10" s="1"/>
  <c r="BL167" i="10" a="1"/>
  <c r="BL167" i="10" s="1"/>
  <c r="BL169" i="10" a="1"/>
  <c r="BL169" i="10" s="1"/>
  <c r="AI114" i="10" a="1"/>
  <c r="AI114" i="10" s="1"/>
  <c r="AI118" i="10" a="1"/>
  <c r="AI118" i="10" s="1"/>
  <c r="AI160" i="10" a="1"/>
  <c r="AI160" i="10" s="1"/>
  <c r="AI171" i="10" a="1"/>
  <c r="AI171" i="10" s="1"/>
  <c r="AI143" i="10" a="1"/>
  <c r="AI143" i="10" s="1"/>
  <c r="AI183" i="10" a="1"/>
  <c r="AI183" i="10" s="1"/>
  <c r="BA119" i="10" a="1"/>
  <c r="BA119" i="10" s="1"/>
  <c r="BA166" i="10" a="1"/>
  <c r="BA166" i="10" s="1"/>
  <c r="BA171" i="10" a="1"/>
  <c r="BA171" i="10" s="1"/>
  <c r="BA190" i="10" a="1"/>
  <c r="BA190" i="10" s="1"/>
  <c r="BA198" i="10" a="1"/>
  <c r="BA198" i="10" s="1"/>
  <c r="BS138" i="10" a="1"/>
  <c r="BS138" i="10" s="1"/>
  <c r="BS137" i="10" a="1"/>
  <c r="BS137" i="10" s="1"/>
  <c r="BS109" i="10" a="1"/>
  <c r="BS109" i="10" s="1"/>
  <c r="BS172" i="10" a="1"/>
  <c r="BS172" i="10" s="1"/>
  <c r="AX128" i="10" a="1"/>
  <c r="AX128" i="10" s="1"/>
  <c r="AT113" i="10" a="1"/>
  <c r="AT113" i="10" s="1"/>
  <c r="AT168" i="10" a="1"/>
  <c r="AT168" i="10" s="1"/>
  <c r="AT160" i="10" a="1"/>
  <c r="AT160" i="10" s="1"/>
  <c r="AT138" i="10" a="1"/>
  <c r="AT138" i="10" s="1"/>
  <c r="AT126" i="10" a="1"/>
  <c r="AT126" i="10" s="1"/>
  <c r="AT172" i="10" a="1"/>
  <c r="AT172" i="10" s="1"/>
  <c r="AT125" i="10" a="1"/>
  <c r="AT125" i="10" s="1"/>
  <c r="AT162" i="10" a="1"/>
  <c r="AT162" i="10" s="1"/>
  <c r="BL133" i="10" a="1"/>
  <c r="BL133" i="10" s="1"/>
  <c r="BL125" i="10" a="1"/>
  <c r="BL125" i="10" s="1"/>
  <c r="BL153" i="10" a="1"/>
  <c r="BL153" i="10" s="1"/>
  <c r="AC195" i="10" a="1"/>
  <c r="AC195" i="10" s="1"/>
  <c r="AC193" i="10" a="1"/>
  <c r="AC193" i="10" s="1"/>
  <c r="AC191" i="10" a="1"/>
  <c r="AC191" i="10" s="1"/>
  <c r="AC194" i="10" a="1"/>
  <c r="AC194" i="10" s="1"/>
  <c r="AC120" i="10" a="1"/>
  <c r="AC120" i="10" s="1"/>
  <c r="AC134" i="10" a="1"/>
  <c r="AC134" i="10" s="1"/>
  <c r="AC167" i="10" a="1"/>
  <c r="AC167" i="10" s="1"/>
  <c r="AC198" i="10" a="1"/>
  <c r="AC198" i="10" s="1"/>
  <c r="AC122" i="10" a="1"/>
  <c r="AC122" i="10" s="1"/>
  <c r="AC113" i="10" a="1"/>
  <c r="AC113" i="10" s="1"/>
  <c r="AC156" i="10" a="1"/>
  <c r="AC156" i="10" s="1"/>
  <c r="AC148" i="10" a="1"/>
  <c r="AC148" i="10" s="1"/>
  <c r="AD194" i="10" a="1"/>
  <c r="AD194" i="10" s="1"/>
  <c r="AD192" i="10" a="1"/>
  <c r="AD192" i="10" s="1"/>
  <c r="AD116" i="10" a="1"/>
  <c r="AD116" i="10" s="1"/>
  <c r="AD134" i="10" a="1"/>
  <c r="AD134" i="10" s="1"/>
  <c r="AD156" i="10" a="1"/>
  <c r="AD156" i="10" s="1"/>
  <c r="AD111" i="10" a="1"/>
  <c r="AD111" i="10" s="1"/>
  <c r="AD168" i="10" a="1"/>
  <c r="AD168" i="10" s="1"/>
  <c r="AD197" i="10" a="1"/>
  <c r="AD197" i="10" s="1"/>
  <c r="AD177" i="10" a="1"/>
  <c r="AD177" i="10" s="1"/>
  <c r="AD141" i="10" a="1"/>
  <c r="AD141" i="10" s="1"/>
  <c r="AD148" i="10" a="1"/>
  <c r="AD148" i="10" s="1"/>
  <c r="AD146" i="10" a="1"/>
  <c r="AD146" i="10" s="1"/>
  <c r="AJ198" i="10" a="1"/>
  <c r="AJ198" i="10" s="1"/>
  <c r="AJ195" i="10" a="1"/>
  <c r="AJ195" i="10" s="1"/>
  <c r="AJ199" i="10" a="1"/>
  <c r="AJ199" i="10" s="1"/>
  <c r="AJ170" i="10" a="1"/>
  <c r="AJ170" i="10" s="1"/>
  <c r="AJ168" i="10" a="1"/>
  <c r="AJ168" i="10" s="1"/>
  <c r="AC177" i="10" a="1"/>
  <c r="AC177" i="10" s="1"/>
  <c r="AC183" i="10" a="1"/>
  <c r="AC183" i="10" s="1"/>
  <c r="AC118" i="10" a="1"/>
  <c r="AC118" i="10" s="1"/>
  <c r="AC128" i="10" a="1"/>
  <c r="AC128" i="10" s="1"/>
  <c r="AC176" i="10" a="1"/>
  <c r="AC176" i="10" s="1"/>
  <c r="AC166" i="10" a="1"/>
  <c r="AC166" i="10" s="1"/>
  <c r="AC125" i="10" a="1"/>
  <c r="AC125" i="10" s="1"/>
  <c r="AC155" i="10" a="1"/>
  <c r="AC155" i="10" s="1"/>
  <c r="AC133" i="10" a="1"/>
  <c r="AC133" i="10" s="1"/>
  <c r="AC139" i="10" a="1"/>
  <c r="AC139" i="10" s="1"/>
  <c r="AD195" i="10" a="1"/>
  <c r="AD195" i="10" s="1"/>
  <c r="AD191" i="10" a="1"/>
  <c r="AD191" i="10" s="1"/>
  <c r="AD183" i="10" a="1"/>
  <c r="AD183" i="10" s="1"/>
  <c r="AD114" i="10" a="1"/>
  <c r="AD114" i="10" s="1"/>
  <c r="AD133" i="10" a="1"/>
  <c r="AD133" i="10" s="1"/>
  <c r="AD132" i="10" a="1"/>
  <c r="AD132" i="10" s="1"/>
  <c r="AD109" i="10" a="1"/>
  <c r="AD109" i="10" s="1"/>
  <c r="AD165" i="10" a="1"/>
  <c r="AD165" i="10" s="1"/>
  <c r="AD164" i="10" a="1"/>
  <c r="AD164" i="10" s="1"/>
  <c r="AD174" i="10" a="1"/>
  <c r="AD174" i="10" s="1"/>
  <c r="AD151" i="10" a="1"/>
  <c r="AD151" i="10" s="1"/>
  <c r="AD147" i="10" a="1"/>
  <c r="AD147" i="10" s="1"/>
  <c r="AD143" i="10" a="1"/>
  <c r="AD143" i="10" s="1"/>
  <c r="AJ192" i="10" a="1"/>
  <c r="AJ192" i="10" s="1"/>
  <c r="AJ161" i="10" a="1"/>
  <c r="AJ161" i="10" s="1"/>
  <c r="AJ158" i="10" a="1"/>
  <c r="AJ158" i="10" s="1"/>
  <c r="AJ166" i="10" a="1"/>
  <c r="AJ166" i="10" s="1"/>
  <c r="AC173" i="10" a="1"/>
  <c r="AC173" i="10" s="1"/>
  <c r="AC181" i="10" a="1"/>
  <c r="AC181" i="10" s="1"/>
  <c r="AC192" i="10" a="1"/>
  <c r="AC192" i="10" s="1"/>
  <c r="AC172" i="10" a="1"/>
  <c r="AC172" i="10" s="1"/>
  <c r="AC170" i="10" a="1"/>
  <c r="AC170" i="10" s="1"/>
  <c r="AC164" i="10" a="1"/>
  <c r="AC164" i="10" s="1"/>
  <c r="AC124" i="10" a="1"/>
  <c r="AC124" i="10" s="1"/>
  <c r="AC154" i="10" a="1"/>
  <c r="AC154" i="10" s="1"/>
  <c r="AC131" i="10" a="1"/>
  <c r="AC131" i="10" s="1"/>
  <c r="AC130" i="10" a="1"/>
  <c r="AC130" i="10" s="1"/>
  <c r="AD181" i="10" a="1"/>
  <c r="AD181" i="10" s="1"/>
  <c r="AD112" i="10" a="1"/>
  <c r="AD112" i="10" s="1"/>
  <c r="AD128" i="10" a="1"/>
  <c r="AD128" i="10" s="1"/>
  <c r="AD131" i="10" a="1"/>
  <c r="AD131" i="10" s="1"/>
  <c r="AD179" i="10" a="1"/>
  <c r="AD179" i="10" s="1"/>
  <c r="AD155" i="10" a="1"/>
  <c r="AD155" i="10" s="1"/>
  <c r="AD161" i="10" a="1"/>
  <c r="AD161" i="10" s="1"/>
  <c r="AD173" i="10" a="1"/>
  <c r="AD173" i="10" s="1"/>
  <c r="AD154" i="10" a="1"/>
  <c r="AD154" i="10" s="1"/>
  <c r="AD130" i="10" a="1"/>
  <c r="AD130" i="10" s="1"/>
  <c r="AJ190" i="10" a="1"/>
  <c r="AJ190" i="10" s="1"/>
  <c r="AJ143" i="10" a="1"/>
  <c r="AJ143" i="10" s="1"/>
  <c r="AJ149" i="10" a="1"/>
  <c r="AJ149" i="10" s="1"/>
  <c r="AJ155" i="10" a="1"/>
  <c r="AJ155" i="10" s="1"/>
  <c r="AC197" i="10" a="1"/>
  <c r="AC197" i="10" s="1"/>
  <c r="AC158" i="10" a="1"/>
  <c r="AC158" i="10" s="1"/>
  <c r="AC178" i="10" a="1"/>
  <c r="AC178" i="10" s="1"/>
  <c r="AC171" i="10" a="1"/>
  <c r="AC171" i="10" s="1"/>
  <c r="AC169" i="10" a="1"/>
  <c r="AC169" i="10" s="1"/>
  <c r="AC165" i="10" a="1"/>
  <c r="AC165" i="10" s="1"/>
  <c r="AC161" i="10" a="1"/>
  <c r="AC161" i="10" s="1"/>
  <c r="AC111" i="10" a="1"/>
  <c r="AC111" i="10" s="1"/>
  <c r="AC153" i="10" a="1"/>
  <c r="AC153" i="10" s="1"/>
  <c r="AC121" i="10" a="1"/>
  <c r="AC121" i="10" s="1"/>
  <c r="AD160" i="10" a="1"/>
  <c r="AD160" i="10" s="1"/>
  <c r="AD110" i="10" a="1"/>
  <c r="AD110" i="10" s="1"/>
  <c r="AD125" i="10" a="1"/>
  <c r="AD125" i="10" s="1"/>
  <c r="AD124" i="10" a="1"/>
  <c r="AD124" i="10" s="1"/>
  <c r="AD176" i="10" a="1"/>
  <c r="AD176" i="10" s="1"/>
  <c r="AD166" i="10" a="1"/>
  <c r="AD166" i="10" s="1"/>
  <c r="AD162" i="10" a="1"/>
  <c r="AD162" i="10" s="1"/>
  <c r="AD153" i="10" a="1"/>
  <c r="AD153" i="10" s="1"/>
  <c r="AD105" i="10" a="1"/>
  <c r="AD105" i="10" s="1"/>
  <c r="AJ122" i="10" a="1"/>
  <c r="AJ122" i="10" s="1"/>
  <c r="AJ141" i="10" a="1"/>
  <c r="AJ141" i="10" s="1"/>
  <c r="AJ136" i="10" a="1"/>
  <c r="AJ136" i="10" s="1"/>
  <c r="AC190" i="10" a="1"/>
  <c r="AC190" i="10" s="1"/>
  <c r="AC149" i="10" a="1"/>
  <c r="AC149" i="10" s="1"/>
  <c r="AC174" i="10" a="1"/>
  <c r="AC174" i="10" s="1"/>
  <c r="AC160" i="10" a="1"/>
  <c r="AC160" i="10" s="1"/>
  <c r="AC182" i="10" a="1"/>
  <c r="AC182" i="10" s="1"/>
  <c r="AC143" i="10" a="1"/>
  <c r="AC143" i="10" s="1"/>
  <c r="AC109" i="10" a="1"/>
  <c r="AC109" i="10" s="1"/>
  <c r="AC116" i="10" a="1"/>
  <c r="AC116" i="10" s="1"/>
  <c r="AC147" i="10" a="1"/>
  <c r="AC147" i="10" s="1"/>
  <c r="AC157" i="10" a="1"/>
  <c r="AC157" i="10" s="1"/>
  <c r="AC146" i="10" a="1"/>
  <c r="AC146" i="10" s="1"/>
  <c r="AC162" i="10" a="1"/>
  <c r="AC162" i="10" s="1"/>
  <c r="AC142" i="10" a="1"/>
  <c r="AC142" i="10" s="1"/>
  <c r="AC180" i="10" a="1"/>
  <c r="AC180" i="10" s="1"/>
  <c r="AC168" i="10" a="1"/>
  <c r="AC168" i="10" s="1"/>
  <c r="AC136" i="10" a="1"/>
  <c r="AC136" i="10" s="1"/>
  <c r="AC151" i="10" a="1"/>
  <c r="AC151" i="10" s="1"/>
  <c r="AC114" i="10" a="1"/>
  <c r="AC114" i="10" s="1"/>
  <c r="AC132" i="10" a="1"/>
  <c r="AC132" i="10" s="1"/>
  <c r="AC145" i="10" a="1"/>
  <c r="AC145" i="10" s="1"/>
  <c r="AC199" i="10" a="1"/>
  <c r="AC199" i="10" s="1"/>
  <c r="AC141" i="10" a="1"/>
  <c r="AC141" i="10" s="1"/>
  <c r="AC150" i="10" a="1"/>
  <c r="AC150" i="10" s="1"/>
  <c r="AC138" i="10" a="1"/>
  <c r="AC138" i="10" s="1"/>
  <c r="AC179" i="10" a="1"/>
  <c r="AC179" i="10" s="1"/>
  <c r="AC163" i="10" a="1"/>
  <c r="AC163" i="10" s="1"/>
  <c r="AC135" i="10" a="1"/>
  <c r="AC135" i="10" s="1"/>
  <c r="AC117" i="10" a="1"/>
  <c r="AC117" i="10" s="1"/>
  <c r="AC112" i="10" a="1"/>
  <c r="AC112" i="10" s="1"/>
  <c r="AC119" i="10" a="1"/>
  <c r="AC119" i="10" s="1"/>
  <c r="AC126" i="10" a="1"/>
  <c r="AC126" i="10" s="1"/>
  <c r="AC196" i="10" a="1"/>
  <c r="AC196" i="10" s="1"/>
  <c r="AC127" i="10" a="1"/>
  <c r="AC127" i="10" s="1"/>
  <c r="AD138" i="10" a="1"/>
  <c r="AD138" i="10" s="1"/>
  <c r="AD180" i="10" a="1"/>
  <c r="AD180" i="10" s="1"/>
  <c r="AD170" i="10" a="1"/>
  <c r="AD170" i="10" s="1"/>
  <c r="AD135" i="10" a="1"/>
  <c r="AD135" i="10" s="1"/>
  <c r="AJ173" i="10" a="1"/>
  <c r="AJ173" i="10" s="1"/>
  <c r="AJ130" i="10" a="1"/>
  <c r="AJ130" i="10" s="1"/>
  <c r="AJ105" i="10" a="1"/>
  <c r="AJ105" i="10" s="1"/>
  <c r="AJ174" i="10" a="1"/>
  <c r="AJ174" i="10" s="1"/>
  <c r="AJ179" i="10" a="1"/>
  <c r="AJ179" i="10" s="1"/>
  <c r="AJ176" i="10" a="1"/>
  <c r="AJ176" i="10" s="1"/>
  <c r="AJ126" i="10" a="1"/>
  <c r="AJ126" i="10" s="1"/>
  <c r="AJ147" i="10" a="1"/>
  <c r="AJ147" i="10" s="1"/>
  <c r="AJ124" i="10" a="1"/>
  <c r="AJ124" i="10" s="1"/>
  <c r="AG183" i="10" a="1"/>
  <c r="AG183" i="10" s="1"/>
  <c r="AG151" i="10" a="1"/>
  <c r="AG151" i="10" s="1"/>
  <c r="AG150" i="10" a="1"/>
  <c r="AG150" i="10" s="1"/>
  <c r="AG135" i="10" a="1"/>
  <c r="AG135" i="10" s="1"/>
  <c r="AG173" i="10" a="1"/>
  <c r="AG173" i="10" s="1"/>
  <c r="AG176" i="10" a="1"/>
  <c r="AG176" i="10" s="1"/>
  <c r="AG169" i="10" a="1"/>
  <c r="AG169" i="10" s="1"/>
  <c r="AG114" i="10" a="1"/>
  <c r="AG114" i="10" s="1"/>
  <c r="AG148" i="10" a="1"/>
  <c r="AG148" i="10" s="1"/>
  <c r="AG128" i="10" a="1"/>
  <c r="AG128" i="10" s="1"/>
  <c r="AG111" i="10" a="1"/>
  <c r="AG111" i="10" s="1"/>
  <c r="AA192" i="10" a="1"/>
  <c r="AA192" i="10" s="1"/>
  <c r="AC115" i="10" a="1"/>
  <c r="AC115" i="10" s="1"/>
  <c r="AD120" i="10" a="1"/>
  <c r="AD120" i="10" s="1"/>
  <c r="AD172" i="10" a="1"/>
  <c r="AD172" i="10" s="1"/>
  <c r="AD167" i="10" a="1"/>
  <c r="AD167" i="10" s="1"/>
  <c r="AD123" i="10" a="1"/>
  <c r="AD123" i="10" s="1"/>
  <c r="AJ194" i="10" a="1"/>
  <c r="AJ194" i="10" s="1"/>
  <c r="AJ137" i="10" a="1"/>
  <c r="AJ137" i="10" s="1"/>
  <c r="AJ123" i="10" a="1"/>
  <c r="AJ123" i="10" s="1"/>
  <c r="AJ171" i="10" a="1"/>
  <c r="AJ171" i="10" s="1"/>
  <c r="AJ175" i="10" a="1"/>
  <c r="AJ175" i="10" s="1"/>
  <c r="AJ172" i="10" a="1"/>
  <c r="AJ172" i="10" s="1"/>
  <c r="AJ119" i="10" a="1"/>
  <c r="AJ119" i="10" s="1"/>
  <c r="AJ144" i="10" a="1"/>
  <c r="AJ144" i="10" s="1"/>
  <c r="AJ154" i="10" a="1"/>
  <c r="AJ154" i="10" s="1"/>
  <c r="AG197" i="10" a="1"/>
  <c r="AG197" i="10" s="1"/>
  <c r="AG147" i="10" a="1"/>
  <c r="AG147" i="10" s="1"/>
  <c r="AG146" i="10" a="1"/>
  <c r="AG146" i="10" s="1"/>
  <c r="AG126" i="10" a="1"/>
  <c r="AG126" i="10" s="1"/>
  <c r="AG172" i="10" a="1"/>
  <c r="AG172" i="10" s="1"/>
  <c r="AG195" i="10" a="1"/>
  <c r="AG195" i="10" s="1"/>
  <c r="AG168" i="10" a="1"/>
  <c r="AG168" i="10" s="1"/>
  <c r="AG112" i="10" a="1"/>
  <c r="AG112" i="10" s="1"/>
  <c r="AG120" i="10" a="1"/>
  <c r="AG120" i="10" s="1"/>
  <c r="AG109" i="10" a="1"/>
  <c r="AG109" i="10" s="1"/>
  <c r="AG160" i="10" a="1"/>
  <c r="AG160" i="10" s="1"/>
  <c r="AC110" i="10" a="1"/>
  <c r="AC110" i="10" s="1"/>
  <c r="AD118" i="10" a="1"/>
  <c r="AD118" i="10" s="1"/>
  <c r="AD169" i="10" a="1"/>
  <c r="AD169" i="10" s="1"/>
  <c r="AD182" i="10" a="1"/>
  <c r="AD182" i="10" s="1"/>
  <c r="AD178" i="10" a="1"/>
  <c r="AD178" i="10" s="1"/>
  <c r="AD122" i="10" a="1"/>
  <c r="AD122" i="10" s="1"/>
  <c r="AJ127" i="10" a="1"/>
  <c r="AJ127" i="10" s="1"/>
  <c r="AJ120" i="10" a="1"/>
  <c r="AJ120" i="10" s="1"/>
  <c r="AJ164" i="10" a="1"/>
  <c r="AJ164" i="10" s="1"/>
  <c r="AJ167" i="10" a="1"/>
  <c r="AJ167" i="10" s="1"/>
  <c r="AJ163" i="10" a="1"/>
  <c r="AJ163" i="10" s="1"/>
  <c r="AJ146" i="10" a="1"/>
  <c r="AJ146" i="10" s="1"/>
  <c r="AJ142" i="10" a="1"/>
  <c r="AJ142" i="10" s="1"/>
  <c r="AJ151" i="10" a="1"/>
  <c r="AJ151" i="10" s="1"/>
  <c r="AG179" i="10" a="1"/>
  <c r="AG179" i="10" s="1"/>
  <c r="AG136" i="10" a="1"/>
  <c r="AG136" i="10" s="1"/>
  <c r="AG139" i="10" a="1"/>
  <c r="AG139" i="10" s="1"/>
  <c r="AG198" i="10" a="1"/>
  <c r="AG198" i="10" s="1"/>
  <c r="AG158" i="10" a="1"/>
  <c r="AG158" i="10" s="1"/>
  <c r="AG194" i="10" a="1"/>
  <c r="AG194" i="10" s="1"/>
  <c r="AG155" i="10" a="1"/>
  <c r="AG155" i="10" s="1"/>
  <c r="AG110" i="10" a="1"/>
  <c r="AG110" i="10" s="1"/>
  <c r="AG119" i="10" a="1"/>
  <c r="AG119" i="10" s="1"/>
  <c r="AG143" i="10" a="1"/>
  <c r="AG143" i="10" s="1"/>
  <c r="AG141" i="10" a="1"/>
  <c r="AG141" i="10" s="1"/>
  <c r="AC123" i="10" a="1"/>
  <c r="AC123" i="10" s="1"/>
  <c r="AC105" i="10" a="1"/>
  <c r="AC105" i="10" s="1"/>
  <c r="AD199" i="10" a="1"/>
  <c r="AD199" i="10" s="1"/>
  <c r="AD190" i="10" a="1"/>
  <c r="AD190" i="10" s="1"/>
  <c r="AD119" i="10" a="1"/>
  <c r="AD119" i="10" s="1"/>
  <c r="AD163" i="10" a="1"/>
  <c r="AD163" i="10" s="1"/>
  <c r="AD158" i="10" a="1"/>
  <c r="AD158" i="10" s="1"/>
  <c r="AD139" i="10" a="1"/>
  <c r="AD139" i="10" s="1"/>
  <c r="AJ118" i="10" a="1"/>
  <c r="AJ118" i="10" s="1"/>
  <c r="AJ193" i="10" a="1"/>
  <c r="AJ193" i="10" s="1"/>
  <c r="AJ162" i="10" a="1"/>
  <c r="AJ162" i="10" s="1"/>
  <c r="AJ157" i="10" a="1"/>
  <c r="AJ157" i="10" s="1"/>
  <c r="AJ128" i="10" a="1"/>
  <c r="AJ128" i="10" s="1"/>
  <c r="AJ139" i="10" a="1"/>
  <c r="AJ139" i="10" s="1"/>
  <c r="AJ121" i="10" a="1"/>
  <c r="AJ121" i="10" s="1"/>
  <c r="AC144" i="10" a="1"/>
  <c r="AC144" i="10" s="1"/>
  <c r="AD196" i="10" a="1"/>
  <c r="AD196" i="10" s="1"/>
  <c r="AD171" i="10" a="1"/>
  <c r="AD171" i="10" s="1"/>
  <c r="AD117" i="10" a="1"/>
  <c r="AD117" i="10" s="1"/>
  <c r="AD150" i="10" a="1"/>
  <c r="AD150" i="10" s="1"/>
  <c r="AD145" i="10" a="1"/>
  <c r="AD145" i="10" s="1"/>
  <c r="AJ196" i="10" a="1"/>
  <c r="AJ196" i="10" s="1"/>
  <c r="AJ116" i="10" a="1"/>
  <c r="AJ116" i="10" s="1"/>
  <c r="AJ182" i="10" a="1"/>
  <c r="AJ182" i="10" s="1"/>
  <c r="AJ183" i="10" a="1"/>
  <c r="AJ183" i="10" s="1"/>
  <c r="AJ148" i="10" a="1"/>
  <c r="AJ148" i="10" s="1"/>
  <c r="AJ111" i="10" a="1"/>
  <c r="AJ111" i="10" s="1"/>
  <c r="AJ125" i="10" a="1"/>
  <c r="AJ125" i="10" s="1"/>
  <c r="AG193" i="10" a="1"/>
  <c r="AG193" i="10" s="1"/>
  <c r="AG167" i="10" a="1"/>
  <c r="AG167" i="10" s="1"/>
  <c r="AG178" i="10" a="1"/>
  <c r="AG178" i="10" s="1"/>
  <c r="AG162" i="10" a="1"/>
  <c r="AG162" i="10" s="1"/>
  <c r="AG171" i="10" a="1"/>
  <c r="AG171" i="10" s="1"/>
  <c r="AG127" i="10" a="1"/>
  <c r="AG127" i="10" s="1"/>
  <c r="AG149" i="10" a="1"/>
  <c r="AG149" i="10" s="1"/>
  <c r="AG156" i="10" a="1"/>
  <c r="AG156" i="10" s="1"/>
  <c r="AG125" i="10" a="1"/>
  <c r="AG125" i="10" s="1"/>
  <c r="AG137" i="10" a="1"/>
  <c r="AG137" i="10" s="1"/>
  <c r="AC137" i="10" a="1"/>
  <c r="AC137" i="10" s="1"/>
  <c r="AD193" i="10" a="1"/>
  <c r="AD193" i="10" s="1"/>
  <c r="AD157" i="10" a="1"/>
  <c r="AD157" i="10" s="1"/>
  <c r="AD115" i="10" a="1"/>
  <c r="AD115" i="10" s="1"/>
  <c r="AD149" i="10" a="1"/>
  <c r="AD149" i="10" s="1"/>
  <c r="AD127" i="10" a="1"/>
  <c r="AD127" i="10" s="1"/>
  <c r="AJ115" i="10" a="1"/>
  <c r="AJ115" i="10" s="1"/>
  <c r="AJ133" i="10" a="1"/>
  <c r="AJ133" i="10" s="1"/>
  <c r="AJ114" i="10" a="1"/>
  <c r="AJ114" i="10" s="1"/>
  <c r="AJ181" i="10" a="1"/>
  <c r="AJ181" i="10" s="1"/>
  <c r="AJ165" i="10" a="1"/>
  <c r="AJ165" i="10" s="1"/>
  <c r="AJ145" i="10" a="1"/>
  <c r="AJ145" i="10" s="1"/>
  <c r="AJ109" i="10" a="1"/>
  <c r="AJ109" i="10" s="1"/>
  <c r="AJ117" i="10" a="1"/>
  <c r="AJ117" i="10" s="1"/>
  <c r="AC175" i="10" a="1"/>
  <c r="AC175" i="10" s="1"/>
  <c r="AD137" i="10" a="1"/>
  <c r="AD137" i="10" s="1"/>
  <c r="AD113" i="10" a="1"/>
  <c r="AD113" i="10" s="1"/>
  <c r="AD198" i="10" a="1"/>
  <c r="AD198" i="10" s="1"/>
  <c r="AD144" i="10" a="1"/>
  <c r="AD144" i="10" s="1"/>
  <c r="AD126" i="10" a="1"/>
  <c r="AD126" i="10" s="1"/>
  <c r="AJ113" i="10" a="1"/>
  <c r="AJ113" i="10" s="1"/>
  <c r="AJ132" i="10" a="1"/>
  <c r="AJ132" i="10" s="1"/>
  <c r="AJ112" i="10" a="1"/>
  <c r="AJ112" i="10" s="1"/>
  <c r="AJ197" i="10" a="1"/>
  <c r="AJ197" i="10" s="1"/>
  <c r="AJ169" i="10" a="1"/>
  <c r="AJ169" i="10" s="1"/>
  <c r="AJ160" i="10" a="1"/>
  <c r="AJ160" i="10" s="1"/>
  <c r="AJ135" i="10" a="1"/>
  <c r="AJ135" i="10" s="1"/>
  <c r="AJ156" i="10" a="1"/>
  <c r="AJ156" i="10" s="1"/>
  <c r="AJ150" i="10" a="1"/>
  <c r="AJ150" i="10" s="1"/>
  <c r="AG164" i="10" a="1"/>
  <c r="AG164" i="10" s="1"/>
  <c r="AG165" i="10" a="1"/>
  <c r="AG165" i="10" s="1"/>
  <c r="AG144" i="10" a="1"/>
  <c r="AG144" i="10" s="1"/>
  <c r="AG196" i="10" a="1"/>
  <c r="AG196" i="10" s="1"/>
  <c r="AD142" i="10" a="1"/>
  <c r="AD142" i="10" s="1"/>
  <c r="AD121" i="10" a="1"/>
  <c r="AD121" i="10" s="1"/>
  <c r="AD175" i="10" a="1"/>
  <c r="AD175" i="10" s="1"/>
  <c r="AD136" i="10" a="1"/>
  <c r="AD136" i="10" s="1"/>
  <c r="AJ177" i="10" a="1"/>
  <c r="AJ177" i="10" s="1"/>
  <c r="AJ131" i="10" a="1"/>
  <c r="AJ131" i="10" s="1"/>
  <c r="AJ110" i="10" a="1"/>
  <c r="AJ110" i="10" s="1"/>
  <c r="AJ178" i="10" a="1"/>
  <c r="AJ178" i="10" s="1"/>
  <c r="AJ191" i="10" a="1"/>
  <c r="AJ191" i="10" s="1"/>
  <c r="AJ180" i="10" a="1"/>
  <c r="AJ180" i="10" s="1"/>
  <c r="AJ134" i="10" a="1"/>
  <c r="AJ134" i="10" s="1"/>
  <c r="AJ138" i="10" a="1"/>
  <c r="AJ138" i="10" s="1"/>
  <c r="AJ153" i="10" a="1"/>
  <c r="AJ153" i="10" s="1"/>
  <c r="AG199" i="10" a="1"/>
  <c r="AG199" i="10" s="1"/>
  <c r="AG154" i="10" a="1"/>
  <c r="AG154" i="10" s="1"/>
  <c r="AG122" i="10" a="1"/>
  <c r="AG122" i="10" s="1"/>
  <c r="AG132" i="10" a="1"/>
  <c r="AG132" i="10" s="1"/>
  <c r="AA197" i="10" a="1"/>
  <c r="AA197" i="10" s="1"/>
  <c r="AA196" i="10" a="1"/>
  <c r="AA196" i="10" s="1"/>
  <c r="AA126" i="10" a="1"/>
  <c r="AA126" i="10" s="1"/>
  <c r="AA161" i="10" a="1"/>
  <c r="AA161" i="10" s="1"/>
  <c r="AA158" i="10" a="1"/>
  <c r="AA158" i="10" s="1"/>
  <c r="AA171" i="10" a="1"/>
  <c r="AA171" i="10" s="1"/>
  <c r="AA157" i="10" a="1"/>
  <c r="AA157" i="10" s="1"/>
  <c r="AA160" i="10" a="1"/>
  <c r="AA160" i="10" s="1"/>
  <c r="AA137" i="10" a="1"/>
  <c r="AA137" i="10" s="1"/>
  <c r="AA114" i="10" a="1"/>
  <c r="AA114" i="10" s="1"/>
  <c r="AA150" i="10" a="1"/>
  <c r="AA150" i="10" s="1"/>
  <c r="AH197" i="10" a="1"/>
  <c r="AH197" i="10" s="1"/>
  <c r="AH138" i="10" a="1"/>
  <c r="AH138" i="10" s="1"/>
  <c r="AH199" i="10" a="1"/>
  <c r="AH199" i="10" s="1"/>
  <c r="AH195" i="10" a="1"/>
  <c r="AH195" i="10" s="1"/>
  <c r="AH166" i="10" a="1"/>
  <c r="AH166" i="10" s="1"/>
  <c r="AH164" i="10" a="1"/>
  <c r="AH164" i="10" s="1"/>
  <c r="AH148" i="10" a="1"/>
  <c r="AH148" i="10" s="1"/>
  <c r="AH111" i="10" a="1"/>
  <c r="AH111" i="10" s="1"/>
  <c r="AH123" i="10" a="1"/>
  <c r="AH123" i="10" s="1"/>
  <c r="AE199" i="10" a="1"/>
  <c r="AE199" i="10" s="1"/>
  <c r="AE134" i="10" a="1"/>
  <c r="AE134" i="10" s="1"/>
  <c r="AG192" i="10" a="1"/>
  <c r="AG192" i="10" s="1"/>
  <c r="AG163" i="10" a="1"/>
  <c r="AG163" i="10" s="1"/>
  <c r="AG180" i="10" a="1"/>
  <c r="AG180" i="10" s="1"/>
  <c r="AG116" i="10" a="1"/>
  <c r="AG116" i="10" s="1"/>
  <c r="AG131" i="10" a="1"/>
  <c r="AG131" i="10" s="1"/>
  <c r="AA194" i="10" a="1"/>
  <c r="AA194" i="10" s="1"/>
  <c r="AA183" i="10" a="1"/>
  <c r="AA183" i="10" s="1"/>
  <c r="AA198" i="10" a="1"/>
  <c r="AA198" i="10" s="1"/>
  <c r="AA148" i="10" a="1"/>
  <c r="AA148" i="10" s="1"/>
  <c r="AA153" i="10" a="1"/>
  <c r="AA153" i="10" s="1"/>
  <c r="AA199" i="10" a="1"/>
  <c r="AA199" i="10" s="1"/>
  <c r="AA172" i="10" a="1"/>
  <c r="AA172" i="10" s="1"/>
  <c r="AA127" i="10" a="1"/>
  <c r="AA127" i="10" s="1"/>
  <c r="AA124" i="10" a="1"/>
  <c r="AA124" i="10" s="1"/>
  <c r="AA112" i="10" a="1"/>
  <c r="AA112" i="10" s="1"/>
  <c r="AA133" i="10" a="1"/>
  <c r="AA133" i="10" s="1"/>
  <c r="AH196" i="10" a="1"/>
  <c r="AH196" i="10" s="1"/>
  <c r="AH163" i="10" a="1"/>
  <c r="AH163" i="10" s="1"/>
  <c r="AH198" i="10" a="1"/>
  <c r="AH198" i="10" s="1"/>
  <c r="AH180" i="10" a="1"/>
  <c r="AH180" i="10" s="1"/>
  <c r="AH192" i="10" a="1"/>
  <c r="AH192" i="10" s="1"/>
  <c r="AH183" i="10" a="1"/>
  <c r="AH183" i="10" s="1"/>
  <c r="AH154" i="10" a="1"/>
  <c r="AH154" i="10" s="1"/>
  <c r="AH119" i="10" a="1"/>
  <c r="AH119" i="10" s="1"/>
  <c r="AH156" i="10" a="1"/>
  <c r="AH156" i="10" s="1"/>
  <c r="AH109" i="10" a="1"/>
  <c r="AH109" i="10" s="1"/>
  <c r="AH116" i="10" a="1"/>
  <c r="AH116" i="10" s="1"/>
  <c r="AE193" i="10" a="1"/>
  <c r="AE193" i="10" s="1"/>
  <c r="AE181" i="10" a="1"/>
  <c r="AE181" i="10" s="1"/>
  <c r="AE133" i="10" a="1"/>
  <c r="AE133" i="10" s="1"/>
  <c r="AE176" i="10" a="1"/>
  <c r="AE176" i="10" s="1"/>
  <c r="AE175" i="10" a="1"/>
  <c r="AE175" i="10" s="1"/>
  <c r="AG145" i="10" a="1"/>
  <c r="AG145" i="10" s="1"/>
  <c r="AG181" i="10" a="1"/>
  <c r="AG181" i="10" s="1"/>
  <c r="AG161" i="10" a="1"/>
  <c r="AG161" i="10" s="1"/>
  <c r="AG142" i="10" a="1"/>
  <c r="AG142" i="10" s="1"/>
  <c r="AA190" i="10" a="1"/>
  <c r="AA190" i="10" s="1"/>
  <c r="AA195" i="10" a="1"/>
  <c r="AA195" i="10" s="1"/>
  <c r="AA143" i="10" a="1"/>
  <c r="AA143" i="10" s="1"/>
  <c r="AA149" i="10" a="1"/>
  <c r="AA149" i="10" s="1"/>
  <c r="AA178" i="10" a="1"/>
  <c r="AA178" i="10" s="1"/>
  <c r="AA165" i="10" a="1"/>
  <c r="AA165" i="10" s="1"/>
  <c r="AA119" i="10" a="1"/>
  <c r="AA119" i="10" s="1"/>
  <c r="AA151" i="10" a="1"/>
  <c r="AA151" i="10" s="1"/>
  <c r="AA110" i="10" a="1"/>
  <c r="AA110" i="10" s="1"/>
  <c r="AA131" i="10" a="1"/>
  <c r="AA131" i="10" s="1"/>
  <c r="AH160" i="10" a="1"/>
  <c r="AH160" i="10" s="1"/>
  <c r="AH161" i="10" a="1"/>
  <c r="AH161" i="10" s="1"/>
  <c r="AH177" i="10" a="1"/>
  <c r="AH177" i="10" s="1"/>
  <c r="AH181" i="10" a="1"/>
  <c r="AH181" i="10" s="1"/>
  <c r="AH182" i="10" a="1"/>
  <c r="AH182" i="10" s="1"/>
  <c r="AH153" i="10" a="1"/>
  <c r="AH153" i="10" s="1"/>
  <c r="AH105" i="10" a="1"/>
  <c r="AH105" i="10" s="1"/>
  <c r="AH131" i="10" a="1"/>
  <c r="AH131" i="10" s="1"/>
  <c r="AH118" i="10" a="1"/>
  <c r="AH118" i="10" s="1"/>
  <c r="AH114" i="10" a="1"/>
  <c r="AH114" i="10" s="1"/>
  <c r="AE190" i="10" a="1"/>
  <c r="AE190" i="10" s="1"/>
  <c r="AE131" i="10" a="1"/>
  <c r="AE131" i="10" s="1"/>
  <c r="AE169" i="10" a="1"/>
  <c r="AE169" i="10" s="1"/>
  <c r="AE170" i="10" a="1"/>
  <c r="AE170" i="10" s="1"/>
  <c r="AE165" i="10" a="1"/>
  <c r="AE165" i="10" s="1"/>
  <c r="AE174" i="10" a="1"/>
  <c r="AE174" i="10" s="1"/>
  <c r="AE196" i="10" a="1"/>
  <c r="AE196" i="10" s="1"/>
  <c r="AE136" i="10" a="1"/>
  <c r="AE136" i="10" s="1"/>
  <c r="AE112" i="10" a="1"/>
  <c r="AE112" i="10" s="1"/>
  <c r="AE146" i="10" a="1"/>
  <c r="AE146" i="10" s="1"/>
  <c r="AG175" i="10" a="1"/>
  <c r="AG175" i="10" s="1"/>
  <c r="AG138" i="10" a="1"/>
  <c r="AG138" i="10" s="1"/>
  <c r="AG170" i="10" a="1"/>
  <c r="AG170" i="10" s="1"/>
  <c r="AG134" i="10" a="1"/>
  <c r="AG134" i="10" s="1"/>
  <c r="AG118" i="10" a="1"/>
  <c r="AG118" i="10" s="1"/>
  <c r="AA180" i="10" a="1"/>
  <c r="AA180" i="10" s="1"/>
  <c r="AA193" i="10" a="1"/>
  <c r="AA193" i="10" s="1"/>
  <c r="AA122" i="10" a="1"/>
  <c r="AA122" i="10" s="1"/>
  <c r="AA141" i="10" a="1"/>
  <c r="AA141" i="10" s="1"/>
  <c r="AA174" i="10" a="1"/>
  <c r="AA174" i="10" s="1"/>
  <c r="AA139" i="10" a="1"/>
  <c r="AA139" i="10" s="1"/>
  <c r="AA113" i="10" a="1"/>
  <c r="AA113" i="10" s="1"/>
  <c r="AA109" i="10" a="1"/>
  <c r="AA109" i="10" s="1"/>
  <c r="AA147" i="10" a="1"/>
  <c r="AA147" i="10" s="1"/>
  <c r="AH191" i="10" a="1"/>
  <c r="AH191" i="10" s="1"/>
  <c r="AH145" i="10" a="1"/>
  <c r="AH145" i="10" s="1"/>
  <c r="AH157" i="10" a="1"/>
  <c r="AH157" i="10" s="1"/>
  <c r="AH176" i="10" a="1"/>
  <c r="AH176" i="10" s="1"/>
  <c r="AH171" i="10" a="1"/>
  <c r="AH171" i="10" s="1"/>
  <c r="AH179" i="10" a="1"/>
  <c r="AH179" i="10" s="1"/>
  <c r="AH151" i="10" a="1"/>
  <c r="AH151" i="10" s="1"/>
  <c r="AH158" i="10" a="1"/>
  <c r="AH158" i="10" s="1"/>
  <c r="AG182" i="10" a="1"/>
  <c r="AG182" i="10" s="1"/>
  <c r="AG166" i="10" a="1"/>
  <c r="AG166" i="10" s="1"/>
  <c r="AG191" i="10" a="1"/>
  <c r="AG191" i="10" s="1"/>
  <c r="AG121" i="10" a="1"/>
  <c r="AG121" i="10" s="1"/>
  <c r="AG115" i="10" a="1"/>
  <c r="AG115" i="10" s="1"/>
  <c r="AA163" i="10" a="1"/>
  <c r="AA163" i="10" s="1"/>
  <c r="AA182" i="10" a="1"/>
  <c r="AA182" i="10" s="1"/>
  <c r="AA191" i="10" a="1"/>
  <c r="AA191" i="10" s="1"/>
  <c r="AA136" i="10" a="1"/>
  <c r="AA136" i="10" s="1"/>
  <c r="AA169" i="10" a="1"/>
  <c r="AA169" i="10" s="1"/>
  <c r="AA132" i="10" a="1"/>
  <c r="AA132" i="10" s="1"/>
  <c r="AA146" i="10" a="1"/>
  <c r="AA146" i="10" s="1"/>
  <c r="AA111" i="10" a="1"/>
  <c r="AA111" i="10" s="1"/>
  <c r="AA128" i="10" a="1"/>
  <c r="AA128" i="10" s="1"/>
  <c r="AA134" i="10" a="1"/>
  <c r="AA134" i="10" s="1"/>
  <c r="AG153" i="10" a="1"/>
  <c r="AG153" i="10" s="1"/>
  <c r="AG190" i="10" a="1"/>
  <c r="AG190" i="10" s="1"/>
  <c r="AG105" i="10" a="1"/>
  <c r="AG105" i="10" s="1"/>
  <c r="AG113" i="10" a="1"/>
  <c r="AG113" i="10" s="1"/>
  <c r="AA155" i="10" a="1"/>
  <c r="AA155" i="10" s="1"/>
  <c r="AA176" i="10" a="1"/>
  <c r="AA176" i="10" s="1"/>
  <c r="AA177" i="10" a="1"/>
  <c r="AA177" i="10" s="1"/>
  <c r="AA135" i="10" a="1"/>
  <c r="AA135" i="10" s="1"/>
  <c r="AA179" i="10" a="1"/>
  <c r="AA179" i="10" s="1"/>
  <c r="AA130" i="10" a="1"/>
  <c r="AA130" i="10" s="1"/>
  <c r="AA144" i="10" a="1"/>
  <c r="AA144" i="10" s="1"/>
  <c r="AA120" i="10" a="1"/>
  <c r="AA120" i="10" s="1"/>
  <c r="AA123" i="10" a="1"/>
  <c r="AA123" i="10" s="1"/>
  <c r="AA121" i="10" a="1"/>
  <c r="AA121" i="10" s="1"/>
  <c r="AH162" i="10" a="1"/>
  <c r="AH162" i="10" s="1"/>
  <c r="AH135" i="10" a="1"/>
  <c r="AH135" i="10" s="1"/>
  <c r="AH134" i="10" a="1"/>
  <c r="AH134" i="10" s="1"/>
  <c r="AH172" i="10" a="1"/>
  <c r="AH172" i="10" s="1"/>
  <c r="AH193" i="10" a="1"/>
  <c r="AH193" i="10" s="1"/>
  <c r="AH175" i="10" a="1"/>
  <c r="AH175" i="10" s="1"/>
  <c r="AH147" i="10" a="1"/>
  <c r="AH147" i="10" s="1"/>
  <c r="AH133" i="10" a="1"/>
  <c r="AH133" i="10" s="1"/>
  <c r="AH127" i="10" a="1"/>
  <c r="AH127" i="10" s="1"/>
  <c r="AH137" i="10" a="1"/>
  <c r="AH137" i="10" s="1"/>
  <c r="AE192" i="10" a="1"/>
  <c r="AE192" i="10" s="1"/>
  <c r="AE172" i="10" a="1"/>
  <c r="AE172" i="10" s="1"/>
  <c r="AG123" i="10" a="1"/>
  <c r="AG123" i="10" s="1"/>
  <c r="AG177" i="10" a="1"/>
  <c r="AG177" i="10" s="1"/>
  <c r="AG130" i="10" a="1"/>
  <c r="AG130" i="10" s="1"/>
  <c r="AG117" i="10" a="1"/>
  <c r="AG117" i="10" s="1"/>
  <c r="AA154" i="10" a="1"/>
  <c r="AA154" i="10" s="1"/>
  <c r="AA170" i="10" a="1"/>
  <c r="AA170" i="10" s="1"/>
  <c r="AA173" i="10" a="1"/>
  <c r="AA173" i="10" s="1"/>
  <c r="AA181" i="10" a="1"/>
  <c r="AA181" i="10" s="1"/>
  <c r="AA175" i="10" a="1"/>
  <c r="AA175" i="10" s="1"/>
  <c r="AA125" i="10" a="1"/>
  <c r="AA125" i="10" s="1"/>
  <c r="AA142" i="10" a="1"/>
  <c r="AA142" i="10" s="1"/>
  <c r="AA116" i="10" a="1"/>
  <c r="AA116" i="10" s="1"/>
  <c r="AA117" i="10" a="1"/>
  <c r="AA117" i="10" s="1"/>
  <c r="AA118" i="10" a="1"/>
  <c r="AA118" i="10" s="1"/>
  <c r="AH144" i="10" a="1"/>
  <c r="AH144" i="10" s="1"/>
  <c r="AH126" i="10" a="1"/>
  <c r="AH126" i="10" s="1"/>
  <c r="AH122" i="10" a="1"/>
  <c r="AH122" i="10" s="1"/>
  <c r="AH194" i="10" a="1"/>
  <c r="AH194" i="10" s="1"/>
  <c r="AH190" i="10" a="1"/>
  <c r="AH190" i="10" s="1"/>
  <c r="AH174" i="10" a="1"/>
  <c r="AH174" i="10" s="1"/>
  <c r="AG174" i="10" a="1"/>
  <c r="AG174" i="10" s="1"/>
  <c r="AG157" i="10" a="1"/>
  <c r="AG157" i="10" s="1"/>
  <c r="AG124" i="10" a="1"/>
  <c r="AG124" i="10" s="1"/>
  <c r="AG133" i="10" a="1"/>
  <c r="AG133" i="10" s="1"/>
  <c r="AA145" i="10" a="1"/>
  <c r="AA145" i="10" s="1"/>
  <c r="AA168" i="10" a="1"/>
  <c r="AA168" i="10" s="1"/>
  <c r="AA166" i="10" a="1"/>
  <c r="AA166" i="10" s="1"/>
  <c r="AA164" i="10" a="1"/>
  <c r="AA164" i="10" s="1"/>
  <c r="AA167" i="10" a="1"/>
  <c r="AA167" i="10" s="1"/>
  <c r="AA162" i="10" a="1"/>
  <c r="AA162" i="10" s="1"/>
  <c r="AA138" i="10" a="1"/>
  <c r="AA138" i="10" s="1"/>
  <c r="AA115" i="10" a="1"/>
  <c r="AA115" i="10" s="1"/>
  <c r="AA156" i="10" a="1"/>
  <c r="AA156" i="10" s="1"/>
  <c r="AA105" i="10" a="1"/>
  <c r="AA105" i="10" s="1"/>
  <c r="AH121" i="10" a="1"/>
  <c r="AH121" i="10" s="1"/>
  <c r="AH146" i="10" a="1"/>
  <c r="AH146" i="10" s="1"/>
  <c r="AH115" i="10" a="1"/>
  <c r="AH115" i="10" s="1"/>
  <c r="AE191" i="10" a="1"/>
  <c r="AE191" i="10" s="1"/>
  <c r="AE117" i="10" a="1"/>
  <c r="AE117" i="10" s="1"/>
  <c r="AE124" i="10" a="1"/>
  <c r="AE124" i="10" s="1"/>
  <c r="AE166" i="10" a="1"/>
  <c r="AE166" i="10" s="1"/>
  <c r="AE157" i="10" a="1"/>
  <c r="AE157" i="10" s="1"/>
  <c r="AE150" i="10" a="1"/>
  <c r="AE150" i="10" s="1"/>
  <c r="AE139" i="10" a="1"/>
  <c r="AE139" i="10" s="1"/>
  <c r="AE141" i="10" a="1"/>
  <c r="AE141" i="10" s="1"/>
  <c r="AF124" i="10" a="1"/>
  <c r="AF124" i="10" s="1"/>
  <c r="AF147" i="10" a="1"/>
  <c r="AF147" i="10" s="1"/>
  <c r="AF123" i="10" a="1"/>
  <c r="AF123" i="10" s="1"/>
  <c r="AF162" i="10" a="1"/>
  <c r="AF162" i="10" s="1"/>
  <c r="AF181" i="10" a="1"/>
  <c r="AF181" i="10" s="1"/>
  <c r="AF149" i="10" a="1"/>
  <c r="AF149" i="10" s="1"/>
  <c r="AF126" i="10" a="1"/>
  <c r="AF126" i="10" s="1"/>
  <c r="AF160" i="10" a="1"/>
  <c r="AF160" i="10" s="1"/>
  <c r="AI198" i="10" a="1"/>
  <c r="AI198" i="10" s="1"/>
  <c r="AI180" i="10" a="1"/>
  <c r="AI180" i="10" s="1"/>
  <c r="AI119" i="10" a="1"/>
  <c r="AI119" i="10" s="1"/>
  <c r="AI196" i="10" a="1"/>
  <c r="AI196" i="10" s="1"/>
  <c r="AI155" i="10" a="1"/>
  <c r="AI155" i="10" s="1"/>
  <c r="AI179" i="10" a="1"/>
  <c r="AI179" i="10" s="1"/>
  <c r="AI133" i="10" a="1"/>
  <c r="AI133" i="10" s="1"/>
  <c r="AI113" i="10" a="1"/>
  <c r="AI113" i="10" s="1"/>
  <c r="AI138" i="10" a="1"/>
  <c r="AI138" i="10" s="1"/>
  <c r="AI112" i="10" a="1"/>
  <c r="AI112" i="10" s="1"/>
  <c r="AH173" i="10" a="1"/>
  <c r="AH173" i="10" s="1"/>
  <c r="AH149" i="10" a="1"/>
  <c r="AH149" i="10" s="1"/>
  <c r="AH113" i="10" a="1"/>
  <c r="AH113" i="10" s="1"/>
  <c r="AE113" i="10" a="1"/>
  <c r="AE113" i="10" s="1"/>
  <c r="AE179" i="10" a="1"/>
  <c r="AE179" i="10" s="1"/>
  <c r="AE198" i="10" a="1"/>
  <c r="AE198" i="10" s="1"/>
  <c r="AE177" i="10" a="1"/>
  <c r="AE177" i="10" s="1"/>
  <c r="AE125" i="10" a="1"/>
  <c r="AE125" i="10" s="1"/>
  <c r="AE135" i="10" a="1"/>
  <c r="AE135" i="10" s="1"/>
  <c r="AE127" i="10" a="1"/>
  <c r="AE127" i="10" s="1"/>
  <c r="AE138" i="10" a="1"/>
  <c r="AE138" i="10" s="1"/>
  <c r="AF198" i="10" a="1"/>
  <c r="AF198" i="10" s="1"/>
  <c r="AF182" i="10" a="1"/>
  <c r="AF182" i="10" s="1"/>
  <c r="AF127" i="10" a="1"/>
  <c r="AF127" i="10" s="1"/>
  <c r="AF199" i="10" a="1"/>
  <c r="AF199" i="10" s="1"/>
  <c r="AF161" i="10" a="1"/>
  <c r="AF161" i="10" s="1"/>
  <c r="AF176" i="10" a="1"/>
  <c r="AF176" i="10" s="1"/>
  <c r="AF135" i="10" a="1"/>
  <c r="AF135" i="10" s="1"/>
  <c r="AF105" i="10" a="1"/>
  <c r="AF105" i="10" s="1"/>
  <c r="AF144" i="10" a="1"/>
  <c r="AF144" i="10" s="1"/>
  <c r="AF141" i="10" a="1"/>
  <c r="AF141" i="10" s="1"/>
  <c r="AI163" i="10" a="1"/>
  <c r="AI163" i="10" s="1"/>
  <c r="AI176" i="10" a="1"/>
  <c r="AI176" i="10" s="1"/>
  <c r="AI117" i="10" a="1"/>
  <c r="AI117" i="10" s="1"/>
  <c r="AI170" i="10" a="1"/>
  <c r="AI170" i="10" s="1"/>
  <c r="AI193" i="10" a="1"/>
  <c r="AI193" i="10" s="1"/>
  <c r="AI175" i="10" a="1"/>
  <c r="AI175" i="10" s="1"/>
  <c r="AI132" i="10" a="1"/>
  <c r="AI132" i="10" s="1"/>
  <c r="AI111" i="10" a="1"/>
  <c r="AI111" i="10" s="1"/>
  <c r="AI137" i="10" a="1"/>
  <c r="AI137" i="10" s="1"/>
  <c r="AH170" i="10" a="1"/>
  <c r="AH170" i="10" s="1"/>
  <c r="AH155" i="10" a="1"/>
  <c r="AH155" i="10" s="1"/>
  <c r="AH141" i="10" a="1"/>
  <c r="AH141" i="10" s="1"/>
  <c r="AE183" i="10" a="1"/>
  <c r="AE183" i="10" s="1"/>
  <c r="AE111" i="10" a="1"/>
  <c r="AE111" i="10" s="1"/>
  <c r="AE168" i="10" a="1"/>
  <c r="AE168" i="10" s="1"/>
  <c r="AE164" i="10" a="1"/>
  <c r="AE164" i="10" s="1"/>
  <c r="AE173" i="10" a="1"/>
  <c r="AE173" i="10" s="1"/>
  <c r="AE121" i="10" a="1"/>
  <c r="AE121" i="10" s="1"/>
  <c r="AE122" i="10" a="1"/>
  <c r="AE122" i="10" s="1"/>
  <c r="AE145" i="10" a="1"/>
  <c r="AE145" i="10" s="1"/>
  <c r="AE115" i="10" a="1"/>
  <c r="AE115" i="10" s="1"/>
  <c r="AF183" i="10" a="1"/>
  <c r="AF183" i="10" s="1"/>
  <c r="AF170" i="10" a="1"/>
  <c r="AF170" i="10" s="1"/>
  <c r="AF179" i="10" a="1"/>
  <c r="AF179" i="10" s="1"/>
  <c r="AF165" i="10" a="1"/>
  <c r="AF165" i="10" s="1"/>
  <c r="AF178" i="10" a="1"/>
  <c r="AF178" i="10" s="1"/>
  <c r="AF196" i="10" a="1"/>
  <c r="AF196" i="10" s="1"/>
  <c r="AF171" i="10" a="1"/>
  <c r="AF171" i="10" s="1"/>
  <c r="AF122" i="10" a="1"/>
  <c r="AF122" i="10" s="1"/>
  <c r="AF134" i="10" a="1"/>
  <c r="AF134" i="10" s="1"/>
  <c r="AF143" i="10" a="1"/>
  <c r="AF143" i="10" s="1"/>
  <c r="AF125" i="10" a="1"/>
  <c r="AF125" i="10" s="1"/>
  <c r="AI197" i="10" a="1"/>
  <c r="AI197" i="10" s="1"/>
  <c r="AI194" i="10" a="1"/>
  <c r="AI194" i="10" s="1"/>
  <c r="AI157" i="10" a="1"/>
  <c r="AI157" i="10" s="1"/>
  <c r="AI172" i="10" a="1"/>
  <c r="AI172" i="10" s="1"/>
  <c r="AI177" i="10" a="1"/>
  <c r="AI177" i="10" s="1"/>
  <c r="AI168" i="10" a="1"/>
  <c r="AI168" i="10" s="1"/>
  <c r="AI178" i="10" a="1"/>
  <c r="AI178" i="10" s="1"/>
  <c r="AI167" i="10" a="1"/>
  <c r="AI167" i="10" s="1"/>
  <c r="AI131" i="10" a="1"/>
  <c r="AI131" i="10" s="1"/>
  <c r="AI109" i="10" a="1"/>
  <c r="AI109" i="10" s="1"/>
  <c r="AI136" i="10" a="1"/>
  <c r="AI136" i="10" s="1"/>
  <c r="AH165" i="10" a="1"/>
  <c r="AH165" i="10" s="1"/>
  <c r="AH168" i="10" a="1"/>
  <c r="AH168" i="10" s="1"/>
  <c r="AH132" i="10" a="1"/>
  <c r="AH132" i="10" s="1"/>
  <c r="AH117" i="10" a="1"/>
  <c r="AH117" i="10" s="1"/>
  <c r="AE180" i="10" a="1"/>
  <c r="AE180" i="10" s="1"/>
  <c r="AE109" i="10" a="1"/>
  <c r="AE109" i="10" s="1"/>
  <c r="AE167" i="10" a="1"/>
  <c r="AE167" i="10" s="1"/>
  <c r="AE163" i="10" a="1"/>
  <c r="AE163" i="10" s="1"/>
  <c r="AE162" i="10" a="1"/>
  <c r="AE162" i="10" s="1"/>
  <c r="AE120" i="10" a="1"/>
  <c r="AE120" i="10" s="1"/>
  <c r="AE116" i="10" a="1"/>
  <c r="AE116" i="10" s="1"/>
  <c r="AE126" i="10" a="1"/>
  <c r="AE126" i="10" s="1"/>
  <c r="AF169" i="10" a="1"/>
  <c r="AF169" i="10" s="1"/>
  <c r="AF175" i="10" a="1"/>
  <c r="AF175" i="10" s="1"/>
  <c r="AF164" i="10" a="1"/>
  <c r="AF164" i="10" s="1"/>
  <c r="AF174" i="10" a="1"/>
  <c r="AF174" i="10" s="1"/>
  <c r="AF180" i="10" a="1"/>
  <c r="AF180" i="10" s="1"/>
  <c r="AF148" i="10" a="1"/>
  <c r="AF148" i="10" s="1"/>
  <c r="AF116" i="10" a="1"/>
  <c r="AF116" i="10" s="1"/>
  <c r="AF121" i="10" a="1"/>
  <c r="AF121" i="10" s="1"/>
  <c r="AF142" i="10" a="1"/>
  <c r="AF142" i="10" s="1"/>
  <c r="AF115" i="10" a="1"/>
  <c r="AF115" i="10" s="1"/>
  <c r="AH139" i="10" a="1"/>
  <c r="AH139" i="10" s="1"/>
  <c r="AH169" i="10" a="1"/>
  <c r="AH169" i="10" s="1"/>
  <c r="AH120" i="10" a="1"/>
  <c r="AH120" i="10" s="1"/>
  <c r="AH136" i="10" a="1"/>
  <c r="AH136" i="10" s="1"/>
  <c r="AE171" i="10" a="1"/>
  <c r="AE171" i="10" s="1"/>
  <c r="AE156" i="10" a="1"/>
  <c r="AE156" i="10" s="1"/>
  <c r="AE155" i="10" a="1"/>
  <c r="AE155" i="10" s="1"/>
  <c r="AE160" i="10" a="1"/>
  <c r="AE160" i="10" s="1"/>
  <c r="AE154" i="10" a="1"/>
  <c r="AE154" i="10" s="1"/>
  <c r="AE114" i="10" a="1"/>
  <c r="AE114" i="10" s="1"/>
  <c r="AE144" i="10" a="1"/>
  <c r="AE144" i="10" s="1"/>
  <c r="AF156" i="10" a="1"/>
  <c r="AF156" i="10" s="1"/>
  <c r="AF168" i="10" a="1"/>
  <c r="AF168" i="10" s="1"/>
  <c r="AF154" i="10" a="1"/>
  <c r="AF154" i="10" s="1"/>
  <c r="AF163" i="10" a="1"/>
  <c r="AF163" i="10" s="1"/>
  <c r="AF172" i="10" a="1"/>
  <c r="AF172" i="10" s="1"/>
  <c r="AF133" i="10" a="1"/>
  <c r="AF133" i="10" s="1"/>
  <c r="AF114" i="10" a="1"/>
  <c r="AF114" i="10" s="1"/>
  <c r="AF120" i="10" a="1"/>
  <c r="AF120" i="10" s="1"/>
  <c r="AF138" i="10" a="1"/>
  <c r="AF138" i="10" s="1"/>
  <c r="AF113" i="10" a="1"/>
  <c r="AF113" i="10" s="1"/>
  <c r="AH142" i="10" a="1"/>
  <c r="AH142" i="10" s="1"/>
  <c r="AH178" i="10" a="1"/>
  <c r="AH178" i="10" s="1"/>
  <c r="AH124" i="10" a="1"/>
  <c r="AH124" i="10" s="1"/>
  <c r="AE137" i="10" a="1"/>
  <c r="AE137" i="10" s="1"/>
  <c r="AE148" i="10" a="1"/>
  <c r="AE148" i="10" s="1"/>
  <c r="AE151" i="10" a="1"/>
  <c r="AE151" i="10" s="1"/>
  <c r="AE158" i="10" a="1"/>
  <c r="AE158" i="10" s="1"/>
  <c r="AE153" i="10" a="1"/>
  <c r="AE153" i="10" s="1"/>
  <c r="AE110" i="10" a="1"/>
  <c r="AE110" i="10" s="1"/>
  <c r="AE143" i="10" a="1"/>
  <c r="AE143" i="10" s="1"/>
  <c r="AF192" i="10" a="1"/>
  <c r="AF192" i="10" s="1"/>
  <c r="AF155" i="10" a="1"/>
  <c r="AF155" i="10" s="1"/>
  <c r="AF167" i="10" a="1"/>
  <c r="AF167" i="10" s="1"/>
  <c r="AF153" i="10" a="1"/>
  <c r="AF153" i="10" s="1"/>
  <c r="AF157" i="10" a="1"/>
  <c r="AF157" i="10" s="1"/>
  <c r="AF131" i="10" a="1"/>
  <c r="AF131" i="10" s="1"/>
  <c r="AF112" i="10" a="1"/>
  <c r="AF112" i="10" s="1"/>
  <c r="AF119" i="10" a="1"/>
  <c r="AF119" i="10" s="1"/>
  <c r="AF118" i="10" a="1"/>
  <c r="AF118" i="10" s="1"/>
  <c r="AF137" i="10" a="1"/>
  <c r="AF137" i="10" s="1"/>
  <c r="AH125" i="10" a="1"/>
  <c r="AH125" i="10" s="1"/>
  <c r="AH167" i="10" a="1"/>
  <c r="AH167" i="10" s="1"/>
  <c r="AH130" i="10" a="1"/>
  <c r="AH130" i="10" s="1"/>
  <c r="AH112" i="10" a="1"/>
  <c r="AH112" i="10" s="1"/>
  <c r="AE128" i="10" a="1"/>
  <c r="AE128" i="10" s="1"/>
  <c r="AE132" i="10" a="1"/>
  <c r="AE132" i="10" s="1"/>
  <c r="AE147" i="10" a="1"/>
  <c r="AE147" i="10" s="1"/>
  <c r="AE197" i="10" a="1"/>
  <c r="AE197" i="10" s="1"/>
  <c r="AE123" i="10" a="1"/>
  <c r="AE123" i="10" s="1"/>
  <c r="AE149" i="10" a="1"/>
  <c r="AE149" i="10" s="1"/>
  <c r="AE118" i="10" a="1"/>
  <c r="AE118" i="10" s="1"/>
  <c r="AF191" i="10" a="1"/>
  <c r="AF191" i="10" s="1"/>
  <c r="AF132" i="10" a="1"/>
  <c r="AF132" i="10" s="1"/>
  <c r="AF166" i="10" a="1"/>
  <c r="AF166" i="10" s="1"/>
  <c r="AF139" i="10" a="1"/>
  <c r="AF139" i="10" s="1"/>
  <c r="AF177" i="10" a="1"/>
  <c r="AF177" i="10" s="1"/>
  <c r="AF194" i="10" a="1"/>
  <c r="AF194" i="10" s="1"/>
  <c r="AF128" i="10" a="1"/>
  <c r="AF128" i="10" s="1"/>
  <c r="AF110" i="10" a="1"/>
  <c r="AF110" i="10" s="1"/>
  <c r="AF146" i="10" a="1"/>
  <c r="AF146" i="10" s="1"/>
  <c r="AF111" i="10" a="1"/>
  <c r="AF111" i="10" s="1"/>
  <c r="AF117" i="10" a="1"/>
  <c r="AF117" i="10" s="1"/>
  <c r="AI121" i="10" a="1"/>
  <c r="AI121" i="10" s="1"/>
  <c r="AI134" i="10" a="1"/>
  <c r="AI134" i="10" s="1"/>
  <c r="AI141" i="10" a="1"/>
  <c r="AI141" i="10" s="1"/>
  <c r="AI166" i="10" a="1"/>
  <c r="AI166" i="10" s="1"/>
  <c r="AI191" i="10" a="1"/>
  <c r="AI191" i="10" s="1"/>
  <c r="AI142" i="10" a="1"/>
  <c r="AI142" i="10" s="1"/>
  <c r="AH143" i="10" a="1"/>
  <c r="AH143" i="10" s="1"/>
  <c r="AH150" i="10" a="1"/>
  <c r="AH150" i="10" s="1"/>
  <c r="AH128" i="10" a="1"/>
  <c r="AH128" i="10" s="1"/>
  <c r="AH110" i="10" a="1"/>
  <c r="AH110" i="10" s="1"/>
  <c r="AE194" i="10" a="1"/>
  <c r="AE194" i="10" s="1"/>
  <c r="AE119" i="10" a="1"/>
  <c r="AE119" i="10" s="1"/>
  <c r="AE130" i="10" a="1"/>
  <c r="AE130" i="10" s="1"/>
  <c r="AE182" i="10" a="1"/>
  <c r="AE182" i="10" s="1"/>
  <c r="AE178" i="10" a="1"/>
  <c r="AE178" i="10" s="1"/>
  <c r="AE195" i="10" a="1"/>
  <c r="AE195" i="10" s="1"/>
  <c r="AE161" i="10" a="1"/>
  <c r="AE161" i="10" s="1"/>
  <c r="AE105" i="10" a="1"/>
  <c r="AE105" i="10" s="1"/>
  <c r="AE142" i="10" a="1"/>
  <c r="AE142" i="10" s="1"/>
  <c r="AB147" i="10" a="1"/>
  <c r="AB147" i="10" s="1"/>
  <c r="AB115" i="10" a="1"/>
  <c r="AB115" i="10" s="1"/>
  <c r="AB138" i="10" a="1"/>
  <c r="AB138" i="10" s="1"/>
  <c r="AB154" i="10" a="1"/>
  <c r="AB154" i="10" s="1"/>
  <c r="AB180" i="10" a="1"/>
  <c r="AB180" i="10" s="1"/>
  <c r="AB171" i="10" a="1"/>
  <c r="AB171" i="10" s="1"/>
  <c r="AB116" i="10" a="1"/>
  <c r="AB116" i="10" s="1"/>
  <c r="AB135" i="10" a="1"/>
  <c r="AB135" i="10" s="1"/>
  <c r="AB196" i="10" a="1"/>
  <c r="AB196" i="10" s="1"/>
  <c r="AB193" i="10" a="1"/>
  <c r="AB193" i="10" s="1"/>
  <c r="AT141" i="10" a="1"/>
  <c r="AT141" i="10" s="1"/>
  <c r="AB195" i="10" a="1"/>
  <c r="AB195" i="10" s="1"/>
  <c r="AT112" i="10" a="1"/>
  <c r="AT112" i="10" s="1"/>
  <c r="AT175" i="10" a="1"/>
  <c r="AT175" i="10" s="1"/>
  <c r="AT130" i="10" a="1"/>
  <c r="AT130" i="10" s="1"/>
  <c r="AT134" i="10" a="1"/>
  <c r="AT134" i="10" s="1"/>
  <c r="AT191" i="10" a="1"/>
  <c r="AT191" i="10" s="1"/>
  <c r="BL127" i="10" a="1"/>
  <c r="BL127" i="10" s="1"/>
  <c r="BL120" i="10" a="1"/>
  <c r="BL120" i="10" s="1"/>
  <c r="BL138" i="10" a="1"/>
  <c r="BL138" i="10" s="1"/>
  <c r="BL118" i="10" a="1"/>
  <c r="BL118" i="10" s="1"/>
  <c r="BL157" i="10" a="1"/>
  <c r="BL157" i="10" s="1"/>
  <c r="BL162" i="10" a="1"/>
  <c r="BL162" i="10" s="1"/>
  <c r="BL164" i="10" a="1"/>
  <c r="BL164" i="10" s="1"/>
  <c r="BL144" i="10" a="1"/>
  <c r="BL144" i="10" s="1"/>
  <c r="AT196" i="10" a="1"/>
  <c r="AT196" i="10" s="1"/>
  <c r="BL163" i="10" a="1"/>
  <c r="BL163" i="10" s="1"/>
  <c r="BL172" i="10" a="1"/>
  <c r="BL172" i="10" s="1"/>
  <c r="BL193" i="10" a="1"/>
  <c r="BL193" i="10" s="1"/>
  <c r="BL179" i="10" a="1"/>
  <c r="BL179" i="10" s="1"/>
  <c r="BL171" i="10" a="1"/>
  <c r="BL171" i="10" s="1"/>
  <c r="AI116" i="10" a="1"/>
  <c r="AI116" i="10" s="1"/>
  <c r="AI146" i="10" a="1"/>
  <c r="AI146" i="10" s="1"/>
  <c r="AI162" i="10" a="1"/>
  <c r="AI162" i="10" s="1"/>
  <c r="AI190" i="10" a="1"/>
  <c r="AI190" i="10" s="1"/>
  <c r="AI148" i="10" a="1"/>
  <c r="AI148" i="10" s="1"/>
  <c r="BA116" i="10" a="1"/>
  <c r="BA116" i="10" s="1"/>
  <c r="BA132" i="10" a="1"/>
  <c r="BA132" i="10" s="1"/>
  <c r="BA149" i="10" a="1"/>
  <c r="BA149" i="10" s="1"/>
  <c r="BA173" i="10" a="1"/>
  <c r="BA173" i="10" s="1"/>
  <c r="BA196" i="10" a="1"/>
  <c r="BA196" i="10" s="1"/>
  <c r="BA199" i="10" a="1"/>
  <c r="BA199" i="10" s="1"/>
  <c r="BS143" i="10" a="1"/>
  <c r="BS143" i="10" s="1"/>
  <c r="BS141" i="10" a="1"/>
  <c r="BS141" i="10" s="1"/>
  <c r="BS112" i="10" a="1"/>
  <c r="BS112" i="10" s="1"/>
  <c r="BS176" i="10" a="1"/>
  <c r="BS176" i="10" s="1"/>
  <c r="BS178" i="10" a="1"/>
  <c r="BS178" i="10" s="1"/>
  <c r="AF193" i="10" a="1"/>
  <c r="AF193" i="10" s="1"/>
  <c r="AF190" i="10" a="1"/>
  <c r="AF190" i="10" s="1"/>
  <c r="AT153" i="10" a="1"/>
  <c r="AT153" i="10" s="1"/>
  <c r="AT139" i="10" a="1"/>
  <c r="AT139" i="10" s="1"/>
  <c r="AT128" i="10" a="1"/>
  <c r="AT128" i="10" s="1"/>
  <c r="AT198" i="10" a="1"/>
  <c r="AT198" i="10" s="1"/>
  <c r="AT158" i="10" a="1"/>
  <c r="AT158" i="10" s="1"/>
  <c r="AT147" i="10" a="1"/>
  <c r="AT147" i="10" s="1"/>
  <c r="AT155" i="10" a="1"/>
  <c r="AT155" i="10" s="1"/>
  <c r="BL119" i="10" a="1"/>
  <c r="BL119" i="10" s="1"/>
  <c r="BL134" i="10" a="1"/>
  <c r="BL134" i="10" s="1"/>
  <c r="BL149" i="10" a="1"/>
  <c r="BL149" i="10" s="1"/>
  <c r="BL180" i="10" a="1"/>
  <c r="BL180" i="10" s="1"/>
  <c r="BL166" i="10" a="1"/>
  <c r="BL166" i="10" s="1"/>
  <c r="BL105" i="10" a="1"/>
  <c r="BL105" i="10" s="1"/>
  <c r="AT193" i="10" a="1"/>
  <c r="AT193" i="10" s="1"/>
  <c r="BL173" i="10" a="1"/>
  <c r="BL173" i="10" s="1"/>
  <c r="BL196" i="10" a="1"/>
  <c r="BL196" i="10" s="1"/>
  <c r="BL183" i="10" a="1"/>
  <c r="BL183" i="10" s="1"/>
  <c r="BL174" i="10" a="1"/>
  <c r="BL174" i="10" s="1"/>
  <c r="AI124" i="10" a="1"/>
  <c r="AI124" i="10" s="1"/>
  <c r="AI128" i="10" a="1"/>
  <c r="AI128" i="10" s="1"/>
  <c r="AI165" i="10" a="1"/>
  <c r="AI165" i="10" s="1"/>
  <c r="AI195" i="10" a="1"/>
  <c r="AI195" i="10" s="1"/>
  <c r="AI161" i="10" a="1"/>
  <c r="AI161" i="10" s="1"/>
  <c r="BA144" i="10" a="1"/>
  <c r="BA144" i="10" s="1"/>
  <c r="BA137" i="10" a="1"/>
  <c r="BA137" i="10" s="1"/>
  <c r="BA150" i="10" a="1"/>
  <c r="BA150" i="10" s="1"/>
  <c r="BA174" i="10" a="1"/>
  <c r="BA174" i="10" s="1"/>
  <c r="BS133" i="10" a="1"/>
  <c r="BS133" i="10" s="1"/>
  <c r="BS118" i="10" a="1"/>
  <c r="BS118" i="10" s="1"/>
  <c r="BS145" i="10" a="1"/>
  <c r="BS145" i="10" s="1"/>
  <c r="BS142" i="10" a="1"/>
  <c r="BS142" i="10" s="1"/>
  <c r="BS122" i="10" a="1"/>
  <c r="BS122" i="10" s="1"/>
  <c r="BS181" i="10" a="1"/>
  <c r="BS181" i="10" s="1"/>
  <c r="BS195" i="10" a="1"/>
  <c r="BS195" i="10" s="1"/>
  <c r="AF173" i="10" a="1"/>
  <c r="AF173" i="10" s="1"/>
  <c r="AX164" i="10" a="1"/>
  <c r="AX164" i="10" s="1"/>
  <c r="AT111" i="10" a="1"/>
  <c r="AT111" i="10" s="1"/>
  <c r="BL151" i="10" a="1"/>
  <c r="BL151" i="10" s="1"/>
  <c r="BL181" i="10" a="1"/>
  <c r="BL181" i="10" s="1"/>
  <c r="BL168" i="10" a="1"/>
  <c r="BL168" i="10" s="1"/>
  <c r="BL112" i="10" a="1"/>
  <c r="BL112" i="10" s="1"/>
  <c r="BL114" i="10" a="1"/>
  <c r="BL114" i="10" s="1"/>
  <c r="BL177" i="10" a="1"/>
  <c r="BL177" i="10" s="1"/>
  <c r="BL197" i="10" a="1"/>
  <c r="BL197" i="10" s="1"/>
  <c r="BL192" i="10" a="1"/>
  <c r="BL192" i="10" s="1"/>
  <c r="BL178" i="10" a="1"/>
  <c r="BL178" i="10" s="1"/>
  <c r="AI105" i="10" a="1"/>
  <c r="AI105" i="10" s="1"/>
  <c r="AI150" i="10" a="1"/>
  <c r="AI150" i="10" s="1"/>
  <c r="AI182" i="10" a="1"/>
  <c r="AI182" i="10" s="1"/>
  <c r="AI115" i="10" a="1"/>
  <c r="AI115" i="10" s="1"/>
  <c r="AI199" i="10" a="1"/>
  <c r="AI199" i="10" s="1"/>
  <c r="BA123" i="10" a="1"/>
  <c r="BA123" i="10" s="1"/>
  <c r="BA111" i="10" a="1"/>
  <c r="BA111" i="10" s="1"/>
  <c r="BA176" i="10" a="1"/>
  <c r="BA176" i="10" s="1"/>
  <c r="BA147" i="10" a="1"/>
  <c r="BA147" i="10" s="1"/>
  <c r="BA168" i="10" a="1"/>
  <c r="BA168" i="10" s="1"/>
  <c r="BS120" i="10" a="1"/>
  <c r="BS120" i="10" s="1"/>
  <c r="BS163" i="10" a="1"/>
  <c r="BS163" i="10" s="1"/>
  <c r="BS148" i="10" a="1"/>
  <c r="BS148" i="10" s="1"/>
  <c r="BS175" i="10" a="1"/>
  <c r="BS175" i="10" s="1"/>
  <c r="AF197" i="10" a="1"/>
  <c r="AF197" i="10" s="1"/>
  <c r="AX131" i="10" a="1"/>
  <c r="AX131" i="10" s="1"/>
  <c r="AT164" i="10" a="1"/>
  <c r="AT164" i="10" s="1"/>
  <c r="AT131" i="10" a="1"/>
  <c r="AT131" i="10" s="1"/>
  <c r="AT142" i="10" a="1"/>
  <c r="AT142" i="10" s="1"/>
  <c r="BL143" i="10" a="1"/>
  <c r="BL143" i="10" s="1"/>
  <c r="BL115" i="10" a="1"/>
  <c r="BL115" i="10" s="1"/>
  <c r="BL116" i="10" a="1"/>
  <c r="BL116" i="10" s="1"/>
  <c r="BL198" i="10" a="1"/>
  <c r="BL198" i="10" s="1"/>
  <c r="BL195" i="10" a="1"/>
  <c r="BL195" i="10" s="1"/>
  <c r="BL182" i="10" a="1"/>
  <c r="BL182" i="10" s="1"/>
  <c r="BL194" i="10" a="1"/>
  <c r="BL194" i="10" s="1"/>
  <c r="AI151" i="10" a="1"/>
  <c r="AI151" i="10" s="1"/>
  <c r="AI123" i="10" a="1"/>
  <c r="AI123" i="10" s="1"/>
  <c r="AI120" i="10" a="1"/>
  <c r="AI120" i="10" s="1"/>
  <c r="AI164" i="10" a="1"/>
  <c r="AI164" i="10" s="1"/>
  <c r="AI149" i="10" a="1"/>
  <c r="AI149" i="10" s="1"/>
  <c r="AI126" i="10" a="1"/>
  <c r="AI126" i="10" s="1"/>
  <c r="BA141" i="10" a="1"/>
  <c r="BA141" i="10" s="1"/>
  <c r="BA114" i="10" a="1"/>
  <c r="BA114" i="10" s="1"/>
  <c r="BA139" i="10" a="1"/>
  <c r="BA139" i="10" s="1"/>
  <c r="BA170" i="10" a="1"/>
  <c r="BA170" i="10" s="1"/>
  <c r="BA191" i="10" a="1"/>
  <c r="BA191" i="10" s="1"/>
  <c r="BS132" i="10" a="1"/>
  <c r="BS132" i="10" s="1"/>
  <c r="BS144" i="10" a="1"/>
  <c r="BS144" i="10" s="1"/>
  <c r="BS154" i="10" a="1"/>
  <c r="BS154" i="10" s="1"/>
  <c r="BA192" i="10" a="1"/>
  <c r="BA192" i="10" s="1"/>
  <c r="BS166" i="10" a="1"/>
  <c r="BS166" i="10" s="1"/>
  <c r="BS193" i="10" a="1"/>
  <c r="BS193" i="10" s="1"/>
  <c r="AF109" i="10" a="1"/>
  <c r="AF109" i="10" s="1"/>
  <c r="AF136" i="10" a="1"/>
  <c r="AF136" i="10" s="1"/>
  <c r="AX133" i="10" a="1"/>
  <c r="AX133" i="10" s="1"/>
  <c r="AT109" i="10" a="1"/>
  <c r="AT109" i="10" s="1"/>
  <c r="AT135" i="10" a="1"/>
  <c r="AT135" i="10" s="1"/>
  <c r="AT136" i="10" a="1"/>
  <c r="AT136" i="10" s="1"/>
  <c r="BL142" i="10" a="1"/>
  <c r="BL142" i="10" s="1"/>
  <c r="AT127" i="10" a="1"/>
  <c r="AT127" i="10" s="1"/>
  <c r="BL109" i="10" a="1"/>
  <c r="BL109" i="10" s="1"/>
  <c r="AT166" i="10" a="1"/>
  <c r="AT166" i="10" s="1"/>
  <c r="BL154" i="10" a="1"/>
  <c r="BL154" i="10" s="1"/>
  <c r="BL170" i="10" a="1"/>
  <c r="BL170" i="10" s="1"/>
  <c r="AB179" i="10" a="1"/>
  <c r="AB179" i="10" s="1"/>
  <c r="AB192" i="10" a="1"/>
  <c r="AB192" i="10" s="1"/>
  <c r="AB146" i="10" a="1"/>
  <c r="AB146" i="10" s="1"/>
  <c r="AB164" i="10" a="1"/>
  <c r="AB164" i="10" s="1"/>
  <c r="AB153" i="10" a="1"/>
  <c r="AB153" i="10" s="1"/>
  <c r="AB194" i="10" a="1"/>
  <c r="AB194" i="10" s="1"/>
  <c r="AT144" i="10" a="1"/>
  <c r="AT144" i="10" s="1"/>
  <c r="AT115" i="10" a="1"/>
  <c r="AT115" i="10" s="1"/>
  <c r="AT151" i="10" a="1"/>
  <c r="AT151" i="10" s="1"/>
  <c r="AT171" i="10" a="1"/>
  <c r="AT171" i="10" s="1"/>
  <c r="AT149" i="10" a="1"/>
  <c r="AT149" i="10" s="1"/>
  <c r="AT146" i="10" a="1"/>
  <c r="AT146" i="10" s="1"/>
  <c r="BL110" i="10" a="1"/>
  <c r="BL110" i="10" s="1"/>
  <c r="AT179" i="10" a="1"/>
  <c r="AT179" i="10" s="1"/>
  <c r="AT181" i="10" a="1"/>
  <c r="AT181" i="10" s="1"/>
  <c r="AT167" i="10" a="1"/>
  <c r="AT167" i="10" s="1"/>
  <c r="BL139" i="10" a="1"/>
  <c r="BL139" i="10" s="1"/>
  <c r="BL145" i="10" a="1"/>
  <c r="BL145" i="10" s="1"/>
  <c r="BL175" i="10" a="1"/>
  <c r="BL175" i="10" s="1"/>
  <c r="AT178" i="10" a="1"/>
  <c r="AT178" i="10" s="1"/>
  <c r="AT174" i="10" a="1"/>
  <c r="AT174" i="10" s="1"/>
  <c r="BL132" i="10" a="1"/>
  <c r="BL132" i="10" s="1"/>
  <c r="BL128" i="10" a="1"/>
  <c r="BL128" i="10" s="1"/>
  <c r="BL191" i="10" a="1"/>
  <c r="BL191" i="10" s="1"/>
  <c r="AI153" i="10" a="1"/>
  <c r="AI153" i="10" s="1"/>
  <c r="AI139" i="10" a="1"/>
  <c r="AI139" i="10" s="1"/>
  <c r="AI127" i="10" a="1"/>
  <c r="AI127" i="10" s="1"/>
  <c r="AI169" i="10" a="1"/>
  <c r="AI169" i="10" s="1"/>
  <c r="AI158" i="10" a="1"/>
  <c r="AI158" i="10" s="1"/>
  <c r="AI135" i="10" a="1"/>
  <c r="AI135" i="10" s="1"/>
  <c r="AI181" i="10" a="1"/>
  <c r="AI181" i="10" s="1"/>
  <c r="BA115" i="10" a="1"/>
  <c r="BA115" i="10" s="1"/>
  <c r="BA143" i="10" a="1"/>
  <c r="BA143" i="10" s="1"/>
  <c r="BS119" i="10" a="1"/>
  <c r="BS119" i="10" s="1"/>
  <c r="BA197" i="10" a="1"/>
  <c r="BA197" i="10" s="1"/>
  <c r="BS146" i="10" a="1"/>
  <c r="BS146" i="10" s="1"/>
  <c r="BS160" i="10" a="1"/>
  <c r="BS160" i="10" s="1"/>
  <c r="BS111" i="10" a="1"/>
  <c r="BS111" i="10" s="1"/>
  <c r="BS168" i="10" a="1"/>
  <c r="BS168" i="10" s="1"/>
  <c r="AF145" i="10" a="1"/>
  <c r="AF145" i="10" s="1"/>
  <c r="AF151" i="10" a="1"/>
  <c r="AF151" i="10" s="1"/>
  <c r="AU190" i="10" a="1"/>
  <c r="AU190" i="10" s="1"/>
  <c r="AU162" i="10" a="1"/>
  <c r="AU162" i="10" s="1"/>
  <c r="AU132" i="10" a="1"/>
  <c r="AU132" i="10" s="1"/>
  <c r="AU125" i="10" a="1"/>
  <c r="AU125" i="10" s="1"/>
  <c r="AU178" i="10" a="1"/>
  <c r="AU178" i="10" s="1"/>
  <c r="AU115" i="10" a="1"/>
  <c r="AU115" i="10" s="1"/>
  <c r="AU136" i="10" a="1"/>
  <c r="AU136" i="10" s="1"/>
  <c r="AV147" i="10" a="1"/>
  <c r="AV147" i="10" s="1"/>
  <c r="AV179" i="10" a="1"/>
  <c r="AV179" i="10" s="1"/>
  <c r="AV183" i="10" a="1"/>
  <c r="AV183" i="10" s="1"/>
  <c r="AV125" i="10" a="1"/>
  <c r="AV125" i="10" s="1"/>
  <c r="AV153" i="10" a="1"/>
  <c r="AV153" i="10" s="1"/>
  <c r="AV151" i="10" a="1"/>
  <c r="AV151" i="10" s="1"/>
  <c r="AV109" i="10" a="1"/>
  <c r="AV109" i="10" s="1"/>
  <c r="AV134" i="10" a="1"/>
  <c r="AV134" i="10" s="1"/>
  <c r="BB146" i="10" a="1"/>
  <c r="BB146" i="10" s="1"/>
  <c r="BB178" i="10" a="1"/>
  <c r="BB178" i="10" s="1"/>
  <c r="BB174" i="10" a="1"/>
  <c r="BB174" i="10" s="1"/>
  <c r="BB165" i="10" a="1"/>
  <c r="BB165" i="10" s="1"/>
  <c r="BB173" i="10" a="1"/>
  <c r="BB173" i="10" s="1"/>
  <c r="BB151" i="10" a="1"/>
  <c r="BB151" i="10" s="1"/>
  <c r="BB154" i="10" a="1"/>
  <c r="BB154" i="10" s="1"/>
  <c r="BB137" i="10" a="1"/>
  <c r="BB137" i="10" s="1"/>
  <c r="AU182" i="10" a="1"/>
  <c r="AU182" i="10" s="1"/>
  <c r="AU193" i="10" a="1"/>
  <c r="AU193" i="10" s="1"/>
  <c r="AU157" i="10" a="1"/>
  <c r="AU157" i="10" s="1"/>
  <c r="AU177" i="10" a="1"/>
  <c r="AU177" i="10" s="1"/>
  <c r="AU130" i="10" a="1"/>
  <c r="AU130" i="10" s="1"/>
  <c r="AU144" i="10" a="1"/>
  <c r="AU144" i="10" s="1"/>
  <c r="AU172" i="10" a="1"/>
  <c r="AU172" i="10" s="1"/>
  <c r="AU112" i="10" a="1"/>
  <c r="AU112" i="10" s="1"/>
  <c r="AU147" i="10" a="1"/>
  <c r="AU147" i="10" s="1"/>
  <c r="AU138" i="10" a="1"/>
  <c r="AU138" i="10" s="1"/>
  <c r="AU131" i="10" a="1"/>
  <c r="AU131" i="10" s="1"/>
  <c r="AV197" i="10" a="1"/>
  <c r="AV197" i="10" s="1"/>
  <c r="AV192" i="10" a="1"/>
  <c r="AV192" i="10" s="1"/>
  <c r="AV196" i="10" a="1"/>
  <c r="AV196" i="10" s="1"/>
  <c r="AV165" i="10" a="1"/>
  <c r="AV165" i="10" s="1"/>
  <c r="AV122" i="10" a="1"/>
  <c r="AV122" i="10" s="1"/>
  <c r="AV138" i="10" a="1"/>
  <c r="AV138" i="10" s="1"/>
  <c r="AV157" i="10" a="1"/>
  <c r="AV157" i="10" s="1"/>
  <c r="AV131" i="10" a="1"/>
  <c r="AV131" i="10" s="1"/>
  <c r="BB199" i="10" a="1"/>
  <c r="BB199" i="10" s="1"/>
  <c r="BB170" i="10" a="1"/>
  <c r="BB170" i="10" s="1"/>
  <c r="BB163" i="10" a="1"/>
  <c r="BB163" i="10" s="1"/>
  <c r="BB160" i="10" a="1"/>
  <c r="BB160" i="10" s="1"/>
  <c r="BB171" i="10" a="1"/>
  <c r="BB171" i="10" s="1"/>
  <c r="BB120" i="10" a="1"/>
  <c r="BB120" i="10" s="1"/>
  <c r="BB134" i="10" a="1"/>
  <c r="BB134" i="10" s="1"/>
  <c r="BB130" i="10" a="1"/>
  <c r="BB130" i="10" s="1"/>
  <c r="BB131" i="10" a="1"/>
  <c r="BB131" i="10" s="1"/>
  <c r="AU180" i="10" a="1"/>
  <c r="AU180" i="10" s="1"/>
  <c r="AU176" i="10" a="1"/>
  <c r="AU176" i="10" s="1"/>
  <c r="AU198" i="10" a="1"/>
  <c r="AU198" i="10" s="1"/>
  <c r="AU156" i="10" a="1"/>
  <c r="AU156" i="10" s="1"/>
  <c r="AU175" i="10" a="1"/>
  <c r="AU175" i="10" s="1"/>
  <c r="AU165" i="10" a="1"/>
  <c r="AU165" i="10" s="1"/>
  <c r="AU122" i="10" a="1"/>
  <c r="AU122" i="10" s="1"/>
  <c r="AU158" i="10" a="1"/>
  <c r="AU158" i="10" s="1"/>
  <c r="AU110" i="10" a="1"/>
  <c r="AU110" i="10" s="1"/>
  <c r="AU146" i="10" a="1"/>
  <c r="AU146" i="10" s="1"/>
  <c r="AU135" i="10" a="1"/>
  <c r="AU135" i="10" s="1"/>
  <c r="AU105" i="10" a="1"/>
  <c r="AU105" i="10" s="1"/>
  <c r="AU106" i="10" s="1"/>
  <c r="AV198" i="10" a="1"/>
  <c r="AV198" i="10" s="1"/>
  <c r="AV191" i="10" a="1"/>
  <c r="AV191" i="10" s="1"/>
  <c r="AV195" i="10" a="1"/>
  <c r="AV195" i="10" s="1"/>
  <c r="AV182" i="10" a="1"/>
  <c r="AV182" i="10" s="1"/>
  <c r="AV176" i="10" a="1"/>
  <c r="AV176" i="10" s="1"/>
  <c r="AV164" i="10" a="1"/>
  <c r="AV164" i="10" s="1"/>
  <c r="AV177" i="10" a="1"/>
  <c r="AV177" i="10" s="1"/>
  <c r="AV135" i="10" a="1"/>
  <c r="AV135" i="10" s="1"/>
  <c r="AV154" i="10" a="1"/>
  <c r="AV154" i="10" s="1"/>
  <c r="AV150" i="10" a="1"/>
  <c r="AV150" i="10" s="1"/>
  <c r="AV155" i="10" a="1"/>
  <c r="AV155" i="10" s="1"/>
  <c r="AV132" i="10" a="1"/>
  <c r="AV132" i="10" s="1"/>
  <c r="BB179" i="10" a="1"/>
  <c r="BB179" i="10" s="1"/>
  <c r="BB168" i="10" a="1"/>
  <c r="BB168" i="10" s="1"/>
  <c r="BB147" i="10" a="1"/>
  <c r="BB147" i="10" s="1"/>
  <c r="BB169" i="10" a="1"/>
  <c r="BB169" i="10" s="1"/>
  <c r="BB143" i="10" a="1"/>
  <c r="BB143" i="10" s="1"/>
  <c r="BB132" i="10" a="1"/>
  <c r="BB132" i="10" s="1"/>
  <c r="BB119" i="10" a="1"/>
  <c r="BB119" i="10" s="1"/>
  <c r="BB122" i="10" a="1"/>
  <c r="BB122" i="10" s="1"/>
  <c r="AU197" i="10" a="1"/>
  <c r="AU197" i="10" s="1"/>
  <c r="AU183" i="10" a="1"/>
  <c r="AU183" i="10" s="1"/>
  <c r="AU173" i="10" a="1"/>
  <c r="AU173" i="10" s="1"/>
  <c r="AU174" i="10" a="1"/>
  <c r="AU174" i="10" s="1"/>
  <c r="AU164" i="10" a="1"/>
  <c r="AU164" i="10" s="1"/>
  <c r="AU167" i="10" a="1"/>
  <c r="AU167" i="10" s="1"/>
  <c r="AU161" i="10" a="1"/>
  <c r="AU161" i="10" s="1"/>
  <c r="AU145" i="10" a="1"/>
  <c r="AU145" i="10" s="1"/>
  <c r="AU121" i="10" a="1"/>
  <c r="AU121" i="10" s="1"/>
  <c r="AU141" i="10" a="1"/>
  <c r="AU141" i="10" s="1"/>
  <c r="AV190" i="10" a="1"/>
  <c r="AV190" i="10" s="1"/>
  <c r="AV178" i="10" a="1"/>
  <c r="AV178" i="10" s="1"/>
  <c r="AV193" i="10" a="1"/>
  <c r="AV193" i="10" s="1"/>
  <c r="AV161" i="10" a="1"/>
  <c r="AV161" i="10" s="1"/>
  <c r="AV149" i="10" a="1"/>
  <c r="AV149" i="10" s="1"/>
  <c r="AV127" i="10" a="1"/>
  <c r="AV127" i="10" s="1"/>
  <c r="AV124" i="10" a="1"/>
  <c r="AV124" i="10" s="1"/>
  <c r="AV146" i="10" a="1"/>
  <c r="AV146" i="10" s="1"/>
  <c r="AV119" i="10" a="1"/>
  <c r="AV119" i="10" s="1"/>
  <c r="AV142" i="10" a="1"/>
  <c r="AV142" i="10" s="1"/>
  <c r="AV128" i="10" a="1"/>
  <c r="AV128" i="10" s="1"/>
  <c r="AV115" i="10" a="1"/>
  <c r="AV115" i="10" s="1"/>
  <c r="BB177" i="10" a="1"/>
  <c r="BB177" i="10" s="1"/>
  <c r="BB164" i="10" a="1"/>
  <c r="BB164" i="10" s="1"/>
  <c r="BB157" i="10" a="1"/>
  <c r="BB157" i="10" s="1"/>
  <c r="BB139" i="10" a="1"/>
  <c r="BB139" i="10" s="1"/>
  <c r="BB126" i="10" a="1"/>
  <c r="BB126" i="10" s="1"/>
  <c r="BB113" i="10" a="1"/>
  <c r="BB113" i="10" s="1"/>
  <c r="BB149" i="10" a="1"/>
  <c r="BB149" i="10" s="1"/>
  <c r="BB144" i="10" a="1"/>
  <c r="BB144" i="10" s="1"/>
  <c r="AU151" i="10" a="1"/>
  <c r="AU151" i="10" s="1"/>
  <c r="AU171" i="10" a="1"/>
  <c r="AU171" i="10" s="1"/>
  <c r="AU199" i="10" a="1"/>
  <c r="AU199" i="10" s="1"/>
  <c r="AU170" i="10" a="1"/>
  <c r="AU170" i="10" s="1"/>
  <c r="AU149" i="10" a="1"/>
  <c r="AU149" i="10" s="1"/>
  <c r="AU166" i="10" a="1"/>
  <c r="AU166" i="10" s="1"/>
  <c r="AU155" i="10" a="1"/>
  <c r="AU155" i="10" s="1"/>
  <c r="AU126" i="10" a="1"/>
  <c r="AU126" i="10" s="1"/>
  <c r="AU119" i="10" a="1"/>
  <c r="AU119" i="10" s="1"/>
  <c r="AU133" i="10" a="1"/>
  <c r="AU133" i="10" s="1"/>
  <c r="AU118" i="10" a="1"/>
  <c r="AU118" i="10" s="1"/>
  <c r="AU169" i="10" a="1"/>
  <c r="AU169" i="10" s="1"/>
  <c r="AU194" i="10" a="1"/>
  <c r="AU194" i="10" s="1"/>
  <c r="AU191" i="10" a="1"/>
  <c r="AU191" i="10" s="1"/>
  <c r="AU148" i="10" a="1"/>
  <c r="AU148" i="10" s="1"/>
  <c r="AU137" i="10" a="1"/>
  <c r="AU137" i="10" s="1"/>
  <c r="AU150" i="10" a="1"/>
  <c r="AU150" i="10" s="1"/>
  <c r="AU114" i="10" a="1"/>
  <c r="AU114" i="10" s="1"/>
  <c r="AU113" i="10" a="1"/>
  <c r="AU113" i="10" s="1"/>
  <c r="AU124" i="10" a="1"/>
  <c r="AU124" i="10" s="1"/>
  <c r="AU134" i="10" a="1"/>
  <c r="AU134" i="10" s="1"/>
  <c r="AV163" i="10" a="1"/>
  <c r="AV163" i="10" s="1"/>
  <c r="AV171" i="10" a="1"/>
  <c r="AV171" i="10" s="1"/>
  <c r="AV144" i="10" a="1"/>
  <c r="AV144" i="10" s="1"/>
  <c r="AU196" i="10" a="1"/>
  <c r="AU196" i="10" s="1"/>
  <c r="AU181" i="10" a="1"/>
  <c r="AU181" i="10" s="1"/>
  <c r="AU153" i="10" a="1"/>
  <c r="AU153" i="10" s="1"/>
  <c r="AU179" i="10" a="1"/>
  <c r="AU179" i="10" s="1"/>
  <c r="AU192" i="10" a="1"/>
  <c r="AU192" i="10" s="1"/>
  <c r="AU143" i="10" a="1"/>
  <c r="AU143" i="10" s="1"/>
  <c r="AU127" i="10" a="1"/>
  <c r="AU127" i="10" s="1"/>
  <c r="AU160" i="10" a="1"/>
  <c r="AU160" i="10" s="1"/>
  <c r="AU111" i="10" a="1"/>
  <c r="AU111" i="10" s="1"/>
  <c r="AU117" i="10" a="1"/>
  <c r="AU117" i="10" s="1"/>
  <c r="AU128" i="10" a="1"/>
  <c r="AU128" i="10" s="1"/>
  <c r="AU195" i="10" a="1"/>
  <c r="AU195" i="10" s="1"/>
  <c r="AU163" i="10" a="1"/>
  <c r="AU163" i="10" s="1"/>
  <c r="AV173" i="10" a="1"/>
  <c r="AV173" i="10" s="1"/>
  <c r="AV166" i="10" a="1"/>
  <c r="AV166" i="10" s="1"/>
  <c r="AV126" i="10" a="1"/>
  <c r="AV126" i="10" s="1"/>
  <c r="AV136" i="10" a="1"/>
  <c r="AV136" i="10" s="1"/>
  <c r="AV112" i="10" a="1"/>
  <c r="AV112" i="10" s="1"/>
  <c r="BB197" i="10" a="1"/>
  <c r="BB197" i="10" s="1"/>
  <c r="BB192" i="10" a="1"/>
  <c r="BB192" i="10" s="1"/>
  <c r="BB166" i="10" a="1"/>
  <c r="BB166" i="10" s="1"/>
  <c r="BB158" i="10" a="1"/>
  <c r="BB158" i="10" s="1"/>
  <c r="BB150" i="10" a="1"/>
  <c r="BB150" i="10" s="1"/>
  <c r="BB117" i="10" a="1"/>
  <c r="BB117" i="10" s="1"/>
  <c r="AY179" i="10" a="1"/>
  <c r="AY179" i="10" s="1"/>
  <c r="AY160" i="10" a="1"/>
  <c r="AY160" i="10" s="1"/>
  <c r="AY191" i="10" a="1"/>
  <c r="AY191" i="10" s="1"/>
  <c r="AY135" i="10" a="1"/>
  <c r="AY135" i="10" s="1"/>
  <c r="AY123" i="10" a="1"/>
  <c r="AY123" i="10" s="1"/>
  <c r="AY125" i="10" a="1"/>
  <c r="AY125" i="10" s="1"/>
  <c r="AY105" i="10" a="1"/>
  <c r="AY105" i="10" s="1"/>
  <c r="AY106" i="10" s="1"/>
  <c r="AY122" i="10" a="1"/>
  <c r="AY122" i="10" s="1"/>
  <c r="AY121" i="10" a="1"/>
  <c r="AY121" i="10" s="1"/>
  <c r="AS194" i="10" a="1"/>
  <c r="AS194" i="10" s="1"/>
  <c r="AS190" i="10" a="1"/>
  <c r="AS190" i="10" s="1"/>
  <c r="AS197" i="10" a="1"/>
  <c r="AS197" i="10" s="1"/>
  <c r="AS180" i="10" a="1"/>
  <c r="AS180" i="10" s="1"/>
  <c r="AS176" i="10" a="1"/>
  <c r="AS176" i="10" s="1"/>
  <c r="AS146" i="10" a="1"/>
  <c r="AS146" i="10" s="1"/>
  <c r="AS139" i="10" a="1"/>
  <c r="AS139" i="10" s="1"/>
  <c r="AS174" i="10" a="1"/>
  <c r="AS174" i="10" s="1"/>
  <c r="AU142" i="10" a="1"/>
  <c r="AU142" i="10" s="1"/>
  <c r="AV169" i="10" a="1"/>
  <c r="AV169" i="10" s="1"/>
  <c r="AV160" i="10" a="1"/>
  <c r="AV160" i="10" s="1"/>
  <c r="AV137" i="10" a="1"/>
  <c r="AV137" i="10" s="1"/>
  <c r="AV113" i="10" a="1"/>
  <c r="AV113" i="10" s="1"/>
  <c r="AV133" i="10" a="1"/>
  <c r="AV133" i="10" s="1"/>
  <c r="AV110" i="10" a="1"/>
  <c r="AV110" i="10" s="1"/>
  <c r="BB175" i="10" a="1"/>
  <c r="BB175" i="10" s="1"/>
  <c r="BB155" i="10" a="1"/>
  <c r="BB155" i="10" s="1"/>
  <c r="BB136" i="10" a="1"/>
  <c r="BB136" i="10" s="1"/>
  <c r="BB125" i="10" a="1"/>
  <c r="BB125" i="10" s="1"/>
  <c r="BB114" i="10" a="1"/>
  <c r="BB114" i="10" s="1"/>
  <c r="AY178" i="10" a="1"/>
  <c r="AY178" i="10" s="1"/>
  <c r="AY198" i="10" a="1"/>
  <c r="AY198" i="10" s="1"/>
  <c r="AY157" i="10" a="1"/>
  <c r="AY157" i="10" s="1"/>
  <c r="AY172" i="10" a="1"/>
  <c r="AY172" i="10" s="1"/>
  <c r="AY134" i="10" a="1"/>
  <c r="AY134" i="10" s="1"/>
  <c r="AY173" i="10" a="1"/>
  <c r="AY173" i="10" s="1"/>
  <c r="AY174" i="10" a="1"/>
  <c r="AY174" i="10" s="1"/>
  <c r="AY143" i="10" a="1"/>
  <c r="AY143" i="10" s="1"/>
  <c r="AY119" i="10" a="1"/>
  <c r="AY119" i="10" s="1"/>
  <c r="AY117" i="10" a="1"/>
  <c r="AY117" i="10" s="1"/>
  <c r="AS193" i="10" a="1"/>
  <c r="AS193" i="10" s="1"/>
  <c r="AS191" i="10" a="1"/>
  <c r="AS191" i="10" s="1"/>
  <c r="AS196" i="10" a="1"/>
  <c r="AS196" i="10" s="1"/>
  <c r="AU123" i="10" a="1"/>
  <c r="AU123" i="10" s="1"/>
  <c r="AV168" i="10" a="1"/>
  <c r="AV168" i="10" s="1"/>
  <c r="AV121" i="10" a="1"/>
  <c r="AV121" i="10" s="1"/>
  <c r="AV111" i="10" a="1"/>
  <c r="AV111" i="10" s="1"/>
  <c r="AV117" i="10" a="1"/>
  <c r="AV117" i="10" s="1"/>
  <c r="BB196" i="10" a="1"/>
  <c r="BB196" i="10" s="1"/>
  <c r="BB172" i="10" a="1"/>
  <c r="BB172" i="10" s="1"/>
  <c r="BB190" i="10" a="1"/>
  <c r="BB190" i="10" s="1"/>
  <c r="BB121" i="10" a="1"/>
  <c r="BB121" i="10" s="1"/>
  <c r="BB135" i="10" a="1"/>
  <c r="BB135" i="10" s="1"/>
  <c r="BB145" i="10" a="1"/>
  <c r="BB145" i="10" s="1"/>
  <c r="BB112" i="10" a="1"/>
  <c r="BB112" i="10" s="1"/>
  <c r="AY196" i="10" a="1"/>
  <c r="AY196" i="10" s="1"/>
  <c r="AY193" i="10" a="1"/>
  <c r="AY193" i="10" s="1"/>
  <c r="AY168" i="10" a="1"/>
  <c r="AY168" i="10" s="1"/>
  <c r="AY155" i="10" a="1"/>
  <c r="AY155" i="10" s="1"/>
  <c r="AY171" i="10" a="1"/>
  <c r="AY171" i="10" s="1"/>
  <c r="AY151" i="10" a="1"/>
  <c r="AY151" i="10" s="1"/>
  <c r="AY139" i="10" a="1"/>
  <c r="AY139" i="10" s="1"/>
  <c r="AY137" i="10" a="1"/>
  <c r="AY137" i="10" s="1"/>
  <c r="AY118" i="10" a="1"/>
  <c r="AY118" i="10" s="1"/>
  <c r="AS172" i="10" a="1"/>
  <c r="AS172" i="10" s="1"/>
  <c r="AU154" i="10" a="1"/>
  <c r="AU154" i="10" s="1"/>
  <c r="AV172" i="10" a="1"/>
  <c r="AV172" i="10" s="1"/>
  <c r="AV123" i="10" a="1"/>
  <c r="AV123" i="10" s="1"/>
  <c r="BB195" i="10" a="1"/>
  <c r="BB195" i="10" s="1"/>
  <c r="BB191" i="10" a="1"/>
  <c r="BB191" i="10" s="1"/>
  <c r="BB167" i="10" a="1"/>
  <c r="BB167" i="10" s="1"/>
  <c r="BB182" i="10" a="1"/>
  <c r="BB182" i="10" s="1"/>
  <c r="BB162" i="10" a="1"/>
  <c r="BB162" i="10" s="1"/>
  <c r="BB123" i="10" a="1"/>
  <c r="BB123" i="10" s="1"/>
  <c r="BB115" i="10" a="1"/>
  <c r="BB115" i="10" s="1"/>
  <c r="BB116" i="10" a="1"/>
  <c r="BB116" i="10" s="1"/>
  <c r="BB111" i="10" a="1"/>
  <c r="BB111" i="10" s="1"/>
  <c r="AY199" i="10" a="1"/>
  <c r="AY199" i="10" s="1"/>
  <c r="AU139" i="10" a="1"/>
  <c r="AU139" i="10" s="1"/>
  <c r="AV199" i="10" a="1"/>
  <c r="AV199" i="10" s="1"/>
  <c r="AV148" i="10" a="1"/>
  <c r="AV148" i="10" s="1"/>
  <c r="AV170" i="10" a="1"/>
  <c r="AV170" i="10" s="1"/>
  <c r="AV158" i="10" a="1"/>
  <c r="AV158" i="10" s="1"/>
  <c r="AV116" i="10" a="1"/>
  <c r="AV116" i="10" s="1"/>
  <c r="BB194" i="10" a="1"/>
  <c r="BB194" i="10" s="1"/>
  <c r="BB156" i="10" a="1"/>
  <c r="BB156" i="10" s="1"/>
  <c r="BB176" i="10" a="1"/>
  <c r="BB176" i="10" s="1"/>
  <c r="BB198" i="10" a="1"/>
  <c r="BB198" i="10" s="1"/>
  <c r="BB161" i="10" a="1"/>
  <c r="BB161" i="10" s="1"/>
  <c r="BB118" i="10" a="1"/>
  <c r="BB118" i="10" s="1"/>
  <c r="BB109" i="10" a="1"/>
  <c r="BB109" i="10" s="1"/>
  <c r="BB110" i="10" a="1"/>
  <c r="BB110" i="10" s="1"/>
  <c r="AY190" i="10" a="1"/>
  <c r="AY190" i="10" s="1"/>
  <c r="AY177" i="10" a="1"/>
  <c r="AY177" i="10" s="1"/>
  <c r="AY158" i="10" a="1"/>
  <c r="AY158" i="10" s="1"/>
  <c r="AY195" i="10" a="1"/>
  <c r="AY195" i="10" s="1"/>
  <c r="AY141" i="10" a="1"/>
  <c r="AY141" i="10" s="1"/>
  <c r="AY169" i="10" a="1"/>
  <c r="AY169" i="10" s="1"/>
  <c r="AY128" i="10" a="1"/>
  <c r="AY128" i="10" s="1"/>
  <c r="AY116" i="10" a="1"/>
  <c r="AY116" i="10" s="1"/>
  <c r="AY124" i="10" a="1"/>
  <c r="AY124" i="10" s="1"/>
  <c r="AY110" i="10" a="1"/>
  <c r="AY110" i="10" s="1"/>
  <c r="AY114" i="10" a="1"/>
  <c r="AY114" i="10" s="1"/>
  <c r="AS192" i="10" a="1"/>
  <c r="AS192" i="10" s="1"/>
  <c r="AS161" i="10" a="1"/>
  <c r="AS161" i="10" s="1"/>
  <c r="AS155" i="10" a="1"/>
  <c r="AS155" i="10" s="1"/>
  <c r="AU168" i="10" a="1"/>
  <c r="AU168" i="10" s="1"/>
  <c r="AV181" i="10" a="1"/>
  <c r="AV181" i="10" s="1"/>
  <c r="AV194" i="10" a="1"/>
  <c r="AV194" i="10" s="1"/>
  <c r="AV143" i="10" a="1"/>
  <c r="AV143" i="10" s="1"/>
  <c r="AV175" i="10" a="1"/>
  <c r="AV175" i="10" s="1"/>
  <c r="AV130" i="10" a="1"/>
  <c r="AV130" i="10" s="1"/>
  <c r="AV105" i="10" a="1"/>
  <c r="AV105" i="10" s="1"/>
  <c r="AV106" i="10" s="1"/>
  <c r="BB142" i="10" a="1"/>
  <c r="BB142" i="10" s="1"/>
  <c r="BB124" i="10" a="1"/>
  <c r="BB124" i="10" s="1"/>
  <c r="BB141" i="10" a="1"/>
  <c r="BB141" i="10" s="1"/>
  <c r="BB105" i="10" a="1"/>
  <c r="BB105" i="10" s="1"/>
  <c r="BB106" i="10" s="1"/>
  <c r="AY183" i="10" a="1"/>
  <c r="AY183" i="10" s="1"/>
  <c r="AY176" i="10" a="1"/>
  <c r="AY176" i="10" s="1"/>
  <c r="AY149" i="10" a="1"/>
  <c r="AY149" i="10" s="1"/>
  <c r="AY166" i="10" a="1"/>
  <c r="AY166" i="10" s="1"/>
  <c r="AU120" i="10" a="1"/>
  <c r="AU120" i="10" s="1"/>
  <c r="AV162" i="10" a="1"/>
  <c r="AV162" i="10" s="1"/>
  <c r="AV180" i="10" a="1"/>
  <c r="AV180" i="10" s="1"/>
  <c r="AV139" i="10" a="1"/>
  <c r="AV139" i="10" s="1"/>
  <c r="AV174" i="10" a="1"/>
  <c r="AV174" i="10" s="1"/>
  <c r="AV118" i="10" a="1"/>
  <c r="AV118" i="10" s="1"/>
  <c r="AV120" i="10" a="1"/>
  <c r="AV120" i="10" s="1"/>
  <c r="BB180" i="10" a="1"/>
  <c r="BB180" i="10" s="1"/>
  <c r="BB138" i="10" a="1"/>
  <c r="BB138" i="10" s="1"/>
  <c r="BB153" i="10" a="1"/>
  <c r="BB153" i="10" s="1"/>
  <c r="BB133" i="10" a="1"/>
  <c r="BB133" i="10" s="1"/>
  <c r="AY182" i="10" a="1"/>
  <c r="AY182" i="10" s="1"/>
  <c r="AY175" i="10" a="1"/>
  <c r="AY175" i="10" s="1"/>
  <c r="AY161" i="10" a="1"/>
  <c r="AY161" i="10" s="1"/>
  <c r="AY197" i="10" a="1"/>
  <c r="AY197" i="10" s="1"/>
  <c r="AY167" i="10" a="1"/>
  <c r="AY167" i="10" s="1"/>
  <c r="AY132" i="10" a="1"/>
  <c r="AY132" i="10" s="1"/>
  <c r="AY144" i="10" a="1"/>
  <c r="AY144" i="10" s="1"/>
  <c r="AY164" i="10" a="1"/>
  <c r="AY164" i="10" s="1"/>
  <c r="AY142" i="10" a="1"/>
  <c r="AY142" i="10" s="1"/>
  <c r="AY162" i="10" a="1"/>
  <c r="AY162" i="10" s="1"/>
  <c r="AY146" i="10" a="1"/>
  <c r="AY146" i="10" s="1"/>
  <c r="AY111" i="10" a="1"/>
  <c r="AY111" i="10" s="1"/>
  <c r="AU109" i="10" a="1"/>
  <c r="AU109" i="10" s="1"/>
  <c r="AU116" i="10" a="1"/>
  <c r="AU116" i="10" s="1"/>
  <c r="AV156" i="10" a="1"/>
  <c r="AV156" i="10" s="1"/>
  <c r="AV167" i="10" a="1"/>
  <c r="AV167" i="10" s="1"/>
  <c r="AV145" i="10" a="1"/>
  <c r="AV145" i="10" s="1"/>
  <c r="AV141" i="10" a="1"/>
  <c r="AV141" i="10" s="1"/>
  <c r="AV114" i="10" a="1"/>
  <c r="AV114" i="10" s="1"/>
  <c r="BB181" i="10" a="1"/>
  <c r="BB181" i="10" s="1"/>
  <c r="BB193" i="10" a="1"/>
  <c r="BB193" i="10" s="1"/>
  <c r="BB183" i="10" a="1"/>
  <c r="BB183" i="10" s="1"/>
  <c r="BB128" i="10" a="1"/>
  <c r="BB128" i="10" s="1"/>
  <c r="BB148" i="10" a="1"/>
  <c r="BB148" i="10" s="1"/>
  <c r="BB127" i="10" a="1"/>
  <c r="BB127" i="10" s="1"/>
  <c r="AY180" i="10" a="1"/>
  <c r="AY180" i="10" s="1"/>
  <c r="AY194" i="10" a="1"/>
  <c r="AY194" i="10" s="1"/>
  <c r="AY154" i="10" a="1"/>
  <c r="AY154" i="10" s="1"/>
  <c r="AY150" i="10" a="1"/>
  <c r="AY150" i="10" s="1"/>
  <c r="AY130" i="10" a="1"/>
  <c r="AY130" i="10" s="1"/>
  <c r="AY131" i="10" a="1"/>
  <c r="AY131" i="10" s="1"/>
  <c r="AY153" i="10" a="1"/>
  <c r="AY153" i="10" s="1"/>
  <c r="AY115" i="10" a="1"/>
  <c r="AY115" i="10" s="1"/>
  <c r="AY147" i="10" a="1"/>
  <c r="AY147" i="10" s="1"/>
  <c r="AY113" i="10" a="1"/>
  <c r="AY113" i="10" s="1"/>
  <c r="AS170" i="10" a="1"/>
  <c r="AS170" i="10" s="1"/>
  <c r="AS156" i="10" a="1"/>
  <c r="AS156" i="10" s="1"/>
  <c r="AS177" i="10" a="1"/>
  <c r="AS177" i="10" s="1"/>
  <c r="AS169" i="10" a="1"/>
  <c r="AS169" i="10" s="1"/>
  <c r="AS120" i="10" a="1"/>
  <c r="AS120" i="10" s="1"/>
  <c r="AS110" i="10" a="1"/>
  <c r="AS110" i="10" s="1"/>
  <c r="AZ198" i="10" a="1"/>
  <c r="AZ198" i="10" s="1"/>
  <c r="AZ182" i="10" a="1"/>
  <c r="AZ182" i="10" s="1"/>
  <c r="AZ164" i="10" a="1"/>
  <c r="AZ164" i="10" s="1"/>
  <c r="AZ133" i="10" a="1"/>
  <c r="AZ133" i="10" s="1"/>
  <c r="AZ174" i="10" a="1"/>
  <c r="AZ174" i="10" s="1"/>
  <c r="AZ158" i="10" a="1"/>
  <c r="AZ158" i="10" s="1"/>
  <c r="AZ142" i="10" a="1"/>
  <c r="AZ142" i="10" s="1"/>
  <c r="AZ111" i="10" a="1"/>
  <c r="AZ111" i="10" s="1"/>
  <c r="AZ121" i="10" a="1"/>
  <c r="AZ121" i="10" s="1"/>
  <c r="AZ116" i="10" a="1"/>
  <c r="AZ116" i="10" s="1"/>
  <c r="AW197" i="10" a="1"/>
  <c r="AW197" i="10" s="1"/>
  <c r="AW153" i="10" a="1"/>
  <c r="AW153" i="10" s="1"/>
  <c r="AW199" i="10" a="1"/>
  <c r="AW199" i="10" s="1"/>
  <c r="AW121" i="10" a="1"/>
  <c r="AW121" i="10" s="1"/>
  <c r="AW145" i="10" a="1"/>
  <c r="AW145" i="10" s="1"/>
  <c r="AW161" i="10" a="1"/>
  <c r="AW161" i="10" s="1"/>
  <c r="AW125" i="10" a="1"/>
  <c r="AW125" i="10" s="1"/>
  <c r="AW130" i="10" a="1"/>
  <c r="AW130" i="10" s="1"/>
  <c r="AW109" i="10" a="1"/>
  <c r="AW109" i="10" s="1"/>
  <c r="AY148" i="10" a="1"/>
  <c r="AY148" i="10" s="1"/>
  <c r="AS167" i="10" a="1"/>
  <c r="AS167" i="10" s="1"/>
  <c r="AS178" i="10" a="1"/>
  <c r="AS178" i="10" s="1"/>
  <c r="AS163" i="10" a="1"/>
  <c r="AS163" i="10" s="1"/>
  <c r="AS150" i="10" a="1"/>
  <c r="AS150" i="10" s="1"/>
  <c r="AS164" i="10" a="1"/>
  <c r="AS164" i="10" s="1"/>
  <c r="AS158" i="10" a="1"/>
  <c r="AS158" i="10" s="1"/>
  <c r="AS121" i="10" a="1"/>
  <c r="AS121" i="10" s="1"/>
  <c r="AS113" i="10" a="1"/>
  <c r="AS113" i="10" s="1"/>
  <c r="AZ193" i="10" a="1"/>
  <c r="AZ193" i="10" s="1"/>
  <c r="AZ166" i="10" a="1"/>
  <c r="AZ166" i="10" s="1"/>
  <c r="AZ130" i="10" a="1"/>
  <c r="AZ130" i="10" s="1"/>
  <c r="AZ151" i="10" a="1"/>
  <c r="AZ151" i="10" s="1"/>
  <c r="AZ157" i="10" a="1"/>
  <c r="AZ157" i="10" s="1"/>
  <c r="AZ139" i="10" a="1"/>
  <c r="AZ139" i="10" s="1"/>
  <c r="AZ110" i="10" a="1"/>
  <c r="AZ110" i="10" s="1"/>
  <c r="AZ126" i="10" a="1"/>
  <c r="AZ126" i="10" s="1"/>
  <c r="AW192" i="10" a="1"/>
  <c r="AW192" i="10" s="1"/>
  <c r="AW190" i="10" a="1"/>
  <c r="AW190" i="10" s="1"/>
  <c r="AW180" i="10" a="1"/>
  <c r="AW180" i="10" s="1"/>
  <c r="AW196" i="10" a="1"/>
  <c r="AW196" i="10" s="1"/>
  <c r="AW120" i="10" a="1"/>
  <c r="AW120" i="10" s="1"/>
  <c r="AW141" i="10" a="1"/>
  <c r="AW141" i="10" s="1"/>
  <c r="AW160" i="10" a="1"/>
  <c r="AW160" i="10" s="1"/>
  <c r="AW117" i="10" a="1"/>
  <c r="AW117" i="10" s="1"/>
  <c r="AW128" i="10" a="1"/>
  <c r="AW128" i="10" s="1"/>
  <c r="AY192" i="10" a="1"/>
  <c r="AY192" i="10" s="1"/>
  <c r="AY156" i="10" a="1"/>
  <c r="AY156" i="10" s="1"/>
  <c r="AY126" i="10" a="1"/>
  <c r="AY126" i="10" s="1"/>
  <c r="AS166" i="10" a="1"/>
  <c r="AS166" i="10" s="1"/>
  <c r="AS168" i="10" a="1"/>
  <c r="AS168" i="10" s="1"/>
  <c r="AS138" i="10" a="1"/>
  <c r="AS138" i="10" s="1"/>
  <c r="AS128" i="10" a="1"/>
  <c r="AS128" i="10" s="1"/>
  <c r="AS149" i="10" a="1"/>
  <c r="AS149" i="10" s="1"/>
  <c r="AS175" i="10" a="1"/>
  <c r="AS175" i="10" s="1"/>
  <c r="AS119" i="10" a="1"/>
  <c r="AS119" i="10" s="1"/>
  <c r="AS141" i="10" a="1"/>
  <c r="AS141" i="10" s="1"/>
  <c r="AS109" i="10" a="1"/>
  <c r="AS109" i="10" s="1"/>
  <c r="AZ183" i="10" a="1"/>
  <c r="AZ183" i="10" s="1"/>
  <c r="AZ191" i="10" a="1"/>
  <c r="AZ191" i="10" s="1"/>
  <c r="AZ123" i="10" a="1"/>
  <c r="AZ123" i="10" s="1"/>
  <c r="AZ148" i="10" a="1"/>
  <c r="AZ148" i="10" s="1"/>
  <c r="AZ163" i="10" a="1"/>
  <c r="AZ163" i="10" s="1"/>
  <c r="AZ138" i="10" a="1"/>
  <c r="AZ138" i="10" s="1"/>
  <c r="AZ137" i="10" a="1"/>
  <c r="AZ137" i="10" s="1"/>
  <c r="AZ109" i="10" a="1"/>
  <c r="AZ109" i="10" s="1"/>
  <c r="AZ117" i="10" a="1"/>
  <c r="AZ117" i="10" s="1"/>
  <c r="AW191" i="10" a="1"/>
  <c r="AW191" i="10" s="1"/>
  <c r="AW194" i="10" a="1"/>
  <c r="AW194" i="10" s="1"/>
  <c r="AW178" i="10" a="1"/>
  <c r="AW178" i="10" s="1"/>
  <c r="AW195" i="10" a="1"/>
  <c r="AW195" i="10" s="1"/>
  <c r="AW179" i="10" a="1"/>
  <c r="AW179" i="10" s="1"/>
  <c r="AW182" i="10" a="1"/>
  <c r="AW182" i="10" s="1"/>
  <c r="AW155" i="10" a="1"/>
  <c r="AW155" i="10" s="1"/>
  <c r="AW136" i="10" a="1"/>
  <c r="AW136" i="10" s="1"/>
  <c r="AW151" i="10" a="1"/>
  <c r="AW151" i="10" s="1"/>
  <c r="AW147" i="10" a="1"/>
  <c r="AW147" i="10" s="1"/>
  <c r="AW123" i="10" a="1"/>
  <c r="AW123" i="10" s="1"/>
  <c r="AW127" i="10" a="1"/>
  <c r="AW127" i="10" s="1"/>
  <c r="AY181" i="10" a="1"/>
  <c r="AY181" i="10" s="1"/>
  <c r="AY163" i="10" a="1"/>
  <c r="AY163" i="10" s="1"/>
  <c r="AY138" i="10" a="1"/>
  <c r="AY138" i="10" s="1"/>
  <c r="AS160" i="10" a="1"/>
  <c r="AS160" i="10" s="1"/>
  <c r="AS131" i="10" a="1"/>
  <c r="AS131" i="10" s="1"/>
  <c r="AS126" i="10" a="1"/>
  <c r="AS126" i="10" s="1"/>
  <c r="AS143" i="10" a="1"/>
  <c r="AS143" i="10" s="1"/>
  <c r="AS153" i="10" a="1"/>
  <c r="AS153" i="10" s="1"/>
  <c r="AS127" i="10" a="1"/>
  <c r="AS127" i="10" s="1"/>
  <c r="AS137" i="10" a="1"/>
  <c r="AS137" i="10" s="1"/>
  <c r="AS133" i="10" a="1"/>
  <c r="AS133" i="10" s="1"/>
  <c r="AZ180" i="10" a="1"/>
  <c r="AZ180" i="10" s="1"/>
  <c r="AZ167" i="10" a="1"/>
  <c r="AZ167" i="10" s="1"/>
  <c r="AZ196" i="10" a="1"/>
  <c r="AZ196" i="10" s="1"/>
  <c r="AZ194" i="10" a="1"/>
  <c r="AZ194" i="10" s="1"/>
  <c r="AZ172" i="10" a="1"/>
  <c r="AZ172" i="10" s="1"/>
  <c r="AZ128" i="10" a="1"/>
  <c r="AZ128" i="10" s="1"/>
  <c r="AZ150" i="10" a="1"/>
  <c r="AZ150" i="10" s="1"/>
  <c r="AZ156" i="10" a="1"/>
  <c r="AZ156" i="10" s="1"/>
  <c r="AZ134" i="10" a="1"/>
  <c r="AZ134" i="10" s="1"/>
  <c r="AZ135" i="10" a="1"/>
  <c r="AZ135" i="10" s="1"/>
  <c r="AY112" i="10" a="1"/>
  <c r="AY112" i="10" s="1"/>
  <c r="AS199" i="10" a="1"/>
  <c r="AS199" i="10" s="1"/>
  <c r="AS195" i="10" a="1"/>
  <c r="AS195" i="10" s="1"/>
  <c r="AS124" i="10" a="1"/>
  <c r="AS124" i="10" s="1"/>
  <c r="AS165" i="10" a="1"/>
  <c r="AS165" i="10" s="1"/>
  <c r="AS132" i="10" a="1"/>
  <c r="AS132" i="10" s="1"/>
  <c r="AS130" i="10" a="1"/>
  <c r="AS130" i="10" s="1"/>
  <c r="AS116" i="10" a="1"/>
  <c r="AS116" i="10" s="1"/>
  <c r="AS125" i="10" a="1"/>
  <c r="AS125" i="10" s="1"/>
  <c r="AS118" i="10" a="1"/>
  <c r="AS118" i="10" s="1"/>
  <c r="AZ179" i="10" a="1"/>
  <c r="AZ179" i="10" s="1"/>
  <c r="AZ161" i="10" a="1"/>
  <c r="AZ161" i="10" s="1"/>
  <c r="AZ162" i="10" a="1"/>
  <c r="AZ162" i="10" s="1"/>
  <c r="AZ176" i="10" a="1"/>
  <c r="AZ176" i="10" s="1"/>
  <c r="AZ168" i="10" a="1"/>
  <c r="AZ168" i="10" s="1"/>
  <c r="AZ170" i="10" a="1"/>
  <c r="AZ170" i="10" s="1"/>
  <c r="AZ127" i="10" a="1"/>
  <c r="AZ127" i="10" s="1"/>
  <c r="AZ149" i="10" a="1"/>
  <c r="AZ149" i="10" s="1"/>
  <c r="AY145" i="10" a="1"/>
  <c r="AY145" i="10" s="1"/>
  <c r="AY136" i="10" a="1"/>
  <c r="AY136" i="10" s="1"/>
  <c r="AY109" i="10" a="1"/>
  <c r="AY109" i="10" s="1"/>
  <c r="AS183" i="10" a="1"/>
  <c r="AS183" i="10" s="1"/>
  <c r="AS182" i="10" a="1"/>
  <c r="AS182" i="10" s="1"/>
  <c r="AS179" i="10" a="1"/>
  <c r="AS179" i="10" s="1"/>
  <c r="AS142" i="10" a="1"/>
  <c r="AS142" i="10" s="1"/>
  <c r="AS123" i="10" a="1"/>
  <c r="AS123" i="10" s="1"/>
  <c r="AS122" i="10" a="1"/>
  <c r="AS122" i="10" s="1"/>
  <c r="AS112" i="10" a="1"/>
  <c r="AS112" i="10" s="1"/>
  <c r="AS148" i="10" a="1"/>
  <c r="AS148" i="10" s="1"/>
  <c r="AS115" i="10" a="1"/>
  <c r="AS115" i="10" s="1"/>
  <c r="AZ181" i="10" a="1"/>
  <c r="AZ181" i="10" s="1"/>
  <c r="AZ154" i="10" a="1"/>
  <c r="AZ154" i="10" s="1"/>
  <c r="AZ153" i="10" a="1"/>
  <c r="AZ153" i="10" s="1"/>
  <c r="AZ173" i="10" a="1"/>
  <c r="AZ173" i="10" s="1"/>
  <c r="AZ145" i="10" a="1"/>
  <c r="AZ145" i="10" s="1"/>
  <c r="AZ147" i="10" a="1"/>
  <c r="AZ147" i="10" s="1"/>
  <c r="AZ122" i="10" a="1"/>
  <c r="AZ122" i="10" s="1"/>
  <c r="AZ165" i="10" a="1"/>
  <c r="AZ165" i="10" s="1"/>
  <c r="AZ124" i="10" a="1"/>
  <c r="AZ124" i="10" s="1"/>
  <c r="AZ114" i="10" a="1"/>
  <c r="AZ114" i="10" s="1"/>
  <c r="AZ119" i="10" a="1"/>
  <c r="AZ119" i="10" s="1"/>
  <c r="AW171" i="10" a="1"/>
  <c r="AW171" i="10" s="1"/>
  <c r="AW165" i="10" a="1"/>
  <c r="AW165" i="10" s="1"/>
  <c r="AW167" i="10" a="1"/>
  <c r="AW167" i="10" s="1"/>
  <c r="AW166" i="10" a="1"/>
  <c r="AW166" i="10" s="1"/>
  <c r="AW135" i="10" a="1"/>
  <c r="AW135" i="10" s="1"/>
  <c r="AW126" i="10" a="1"/>
  <c r="AW126" i="10" s="1"/>
  <c r="AW163" i="10" a="1"/>
  <c r="AW163" i="10" s="1"/>
  <c r="AW139" i="10" a="1"/>
  <c r="AW139" i="10" s="1"/>
  <c r="AW114" i="10" a="1"/>
  <c r="AW114" i="10" s="1"/>
  <c r="AY133" i="10" a="1"/>
  <c r="AY133" i="10" s="1"/>
  <c r="AY120" i="10" a="1"/>
  <c r="AY120" i="10" s="1"/>
  <c r="AS154" i="10" a="1"/>
  <c r="AS154" i="10" s="1"/>
  <c r="AS162" i="10" a="1"/>
  <c r="AS162" i="10" s="1"/>
  <c r="AS136" i="10" a="1"/>
  <c r="AS136" i="10" s="1"/>
  <c r="AS173" i="10" a="1"/>
  <c r="AS173" i="10" s="1"/>
  <c r="AS117" i="10" a="1"/>
  <c r="AS117" i="10" s="1"/>
  <c r="AS147" i="10" a="1"/>
  <c r="AS147" i="10" s="1"/>
  <c r="AS144" i="10" a="1"/>
  <c r="AS144" i="10" s="1"/>
  <c r="AS114" i="10" a="1"/>
  <c r="AS114" i="10" s="1"/>
  <c r="AZ177" i="10" a="1"/>
  <c r="AZ177" i="10" s="1"/>
  <c r="AZ195" i="10" a="1"/>
  <c r="AZ195" i="10" s="1"/>
  <c r="AZ171" i="10" a="1"/>
  <c r="AZ171" i="10" s="1"/>
  <c r="AZ144" i="10" a="1"/>
  <c r="AZ144" i="10" s="1"/>
  <c r="AZ131" i="10" a="1"/>
  <c r="AZ131" i="10" s="1"/>
  <c r="AZ178" i="10" a="1"/>
  <c r="AZ178" i="10" s="1"/>
  <c r="AZ155" i="10" a="1"/>
  <c r="AZ155" i="10" s="1"/>
  <c r="AZ115" i="10" a="1"/>
  <c r="AZ115" i="10" s="1"/>
  <c r="AZ113" i="10" a="1"/>
  <c r="AZ113" i="10" s="1"/>
  <c r="AZ118" i="10" a="1"/>
  <c r="AZ118" i="10" s="1"/>
  <c r="AY165" i="10" a="1"/>
  <c r="AY165" i="10" s="1"/>
  <c r="AY170" i="10" a="1"/>
  <c r="AY170" i="10" s="1"/>
  <c r="AY127" i="10" a="1"/>
  <c r="AY127" i="10" s="1"/>
  <c r="AS181" i="10" a="1"/>
  <c r="AS181" i="10" s="1"/>
  <c r="AS198" i="10" a="1"/>
  <c r="AS198" i="10" s="1"/>
  <c r="AS151" i="10" a="1"/>
  <c r="AS151" i="10" s="1"/>
  <c r="AS157" i="10" a="1"/>
  <c r="AS157" i="10" s="1"/>
  <c r="AS134" i="10" a="1"/>
  <c r="AS134" i="10" s="1"/>
  <c r="AS171" i="10" a="1"/>
  <c r="AS171" i="10" s="1"/>
  <c r="AS105" i="10" a="1"/>
  <c r="AS105" i="10" s="1"/>
  <c r="AS106" i="10" s="1"/>
  <c r="AS145" i="10" a="1"/>
  <c r="AS145" i="10" s="1"/>
  <c r="AS135" i="10" a="1"/>
  <c r="AS135" i="10" s="1"/>
  <c r="AS111" i="10" a="1"/>
  <c r="AS111" i="10" s="1"/>
  <c r="AZ175" i="10" a="1"/>
  <c r="AZ175" i="10" s="1"/>
  <c r="AZ169" i="10" a="1"/>
  <c r="AZ169" i="10" s="1"/>
  <c r="AZ112" i="10" a="1"/>
  <c r="AZ112" i="10" s="1"/>
  <c r="AW138" i="10" a="1"/>
  <c r="AW138" i="10" s="1"/>
  <c r="AW183" i="10" a="1"/>
  <c r="AW183" i="10" s="1"/>
  <c r="AW111" i="10" a="1"/>
  <c r="AW111" i="10" s="1"/>
  <c r="AW112" i="10" a="1"/>
  <c r="AW112" i="10" s="1"/>
  <c r="AX179" i="10" a="1"/>
  <c r="AX179" i="10" s="1"/>
  <c r="AX146" i="10" a="1"/>
  <c r="AX146" i="10" s="1"/>
  <c r="AX193" i="10" a="1"/>
  <c r="AX193" i="10" s="1"/>
  <c r="AX135" i="10" a="1"/>
  <c r="AX135" i="10" s="1"/>
  <c r="AX132" i="10" a="1"/>
  <c r="AX132" i="10" s="1"/>
  <c r="AX130" i="10" a="1"/>
  <c r="AX130" i="10" s="1"/>
  <c r="AX149" i="10" a="1"/>
  <c r="AX149" i="10" s="1"/>
  <c r="AX121" i="10" a="1"/>
  <c r="AX121" i="10" s="1"/>
  <c r="AX120" i="10" a="1"/>
  <c r="AX120" i="10" s="1"/>
  <c r="AX151" i="10" a="1"/>
  <c r="AX151" i="10" s="1"/>
  <c r="AX114" i="10" a="1"/>
  <c r="AX114" i="10" s="1"/>
  <c r="BA175" i="10" a="1"/>
  <c r="BA175" i="10" s="1"/>
  <c r="BA156" i="10" a="1"/>
  <c r="BA156" i="10" s="1"/>
  <c r="BA131" i="10" a="1"/>
  <c r="BA131" i="10" s="1"/>
  <c r="BA178" i="10" a="1"/>
  <c r="BA178" i="10" s="1"/>
  <c r="BA164" i="10" a="1"/>
  <c r="BA164" i="10" s="1"/>
  <c r="BA136" i="10" a="1"/>
  <c r="BA136" i="10" s="1"/>
  <c r="BA109" i="10" a="1"/>
  <c r="BA109" i="10" s="1"/>
  <c r="BA135" i="10" a="1"/>
  <c r="BA135" i="10" s="1"/>
  <c r="BA118" i="10" a="1"/>
  <c r="BA118" i="10" s="1"/>
  <c r="AZ192" i="10" a="1"/>
  <c r="AZ192" i="10" s="1"/>
  <c r="AZ141" i="10" a="1"/>
  <c r="AZ141" i="10" s="1"/>
  <c r="AZ132" i="10" a="1"/>
  <c r="AZ132" i="10" s="1"/>
  <c r="AW137" i="10" a="1"/>
  <c r="AW137" i="10" s="1"/>
  <c r="AW175" i="10" a="1"/>
  <c r="AW175" i="10" s="1"/>
  <c r="AW144" i="10" a="1"/>
  <c r="AW144" i="10" s="1"/>
  <c r="AW110" i="10" a="1"/>
  <c r="AW110" i="10" s="1"/>
  <c r="AX191" i="10" a="1"/>
  <c r="AX191" i="10" s="1"/>
  <c r="AX165" i="10" a="1"/>
  <c r="AX165" i="10" s="1"/>
  <c r="AX177" i="10" a="1"/>
  <c r="AX177" i="10" s="1"/>
  <c r="AX190" i="10" a="1"/>
  <c r="AX190" i="10" s="1"/>
  <c r="AX126" i="10" a="1"/>
  <c r="AX126" i="10" s="1"/>
  <c r="AX173" i="10" a="1"/>
  <c r="AX173" i="10" s="1"/>
  <c r="AX123" i="10" a="1"/>
  <c r="AX123" i="10" s="1"/>
  <c r="AX157" i="10" a="1"/>
  <c r="AX157" i="10" s="1"/>
  <c r="AX161" i="10" a="1"/>
  <c r="AX161" i="10" s="1"/>
  <c r="AX118" i="10" a="1"/>
  <c r="AX118" i="10" s="1"/>
  <c r="AX111" i="10" a="1"/>
  <c r="AX111" i="10" s="1"/>
  <c r="BA161" i="10" a="1"/>
  <c r="BA161" i="10" s="1"/>
  <c r="BA167" i="10" a="1"/>
  <c r="BA167" i="10" s="1"/>
  <c r="BA151" i="10" a="1"/>
  <c r="BA151" i="10" s="1"/>
  <c r="BA158" i="10" a="1"/>
  <c r="BA158" i="10" s="1"/>
  <c r="BA127" i="10" a="1"/>
  <c r="BA127" i="10" s="1"/>
  <c r="BA160" i="10" a="1"/>
  <c r="BA160" i="10" s="1"/>
  <c r="BA163" i="10" a="1"/>
  <c r="BA163" i="10" s="1"/>
  <c r="BA134" i="10" a="1"/>
  <c r="BA134" i="10" s="1"/>
  <c r="BA105" i="10" a="1"/>
  <c r="BA105" i="10" s="1"/>
  <c r="BA106" i="10" s="1"/>
  <c r="BA130" i="10" a="1"/>
  <c r="BA130" i="10" s="1"/>
  <c r="BA117" i="10" a="1"/>
  <c r="BA117" i="10" s="1"/>
  <c r="AZ125" i="10" a="1"/>
  <c r="AZ125" i="10" s="1"/>
  <c r="AZ146" i="10" a="1"/>
  <c r="AZ146" i="10" s="1"/>
  <c r="AW176" i="10" a="1"/>
  <c r="AW176" i="10" s="1"/>
  <c r="AW174" i="10" a="1"/>
  <c r="AW174" i="10" s="1"/>
  <c r="AW146" i="10" a="1"/>
  <c r="AW146" i="10" s="1"/>
  <c r="AW154" i="10" a="1"/>
  <c r="AW154" i="10" s="1"/>
  <c r="AW119" i="10" a="1"/>
  <c r="AW119" i="10" s="1"/>
  <c r="AX158" i="10" a="1"/>
  <c r="AX158" i="10" s="1"/>
  <c r="AX175" i="10" a="1"/>
  <c r="AX175" i="10" s="1"/>
  <c r="AX166" i="10" a="1"/>
  <c r="AX166" i="10" s="1"/>
  <c r="AX124" i="10" a="1"/>
  <c r="AX124" i="10" s="1"/>
  <c r="AX172" i="10" a="1"/>
  <c r="AX172" i="10" s="1"/>
  <c r="AX178" i="10" a="1"/>
  <c r="AX178" i="10" s="1"/>
  <c r="AX144" i="10" a="1"/>
  <c r="AX144" i="10" s="1"/>
  <c r="AX127" i="10" a="1"/>
  <c r="AX127" i="10" s="1"/>
  <c r="AX115" i="10" a="1"/>
  <c r="AX115" i="10" s="1"/>
  <c r="BA154" i="10" a="1"/>
  <c r="BA154" i="10" s="1"/>
  <c r="BA162" i="10" a="1"/>
  <c r="BA162" i="10" s="1"/>
  <c r="BA146" i="10" a="1"/>
  <c r="BA146" i="10" s="1"/>
  <c r="BA157" i="10" a="1"/>
  <c r="BA157" i="10" s="1"/>
  <c r="BA122" i="10" a="1"/>
  <c r="BA122" i="10" s="1"/>
  <c r="BA142" i="10" a="1"/>
  <c r="BA142" i="10" s="1"/>
  <c r="BA155" i="10" a="1"/>
  <c r="BA155" i="10" s="1"/>
  <c r="BA124" i="10" a="1"/>
  <c r="BA124" i="10" s="1"/>
  <c r="BA126" i="10" a="1"/>
  <c r="BA126" i="10" s="1"/>
  <c r="AZ160" i="10" a="1"/>
  <c r="AZ160" i="10" s="1"/>
  <c r="AW173" i="10" a="1"/>
  <c r="AW173" i="10" s="1"/>
  <c r="AW170" i="10" a="1"/>
  <c r="AW170" i="10" s="1"/>
  <c r="AW198" i="10" a="1"/>
  <c r="AW198" i="10" s="1"/>
  <c r="AW142" i="10" a="1"/>
  <c r="AW142" i="10" s="1"/>
  <c r="AW148" i="10" a="1"/>
  <c r="AW148" i="10" s="1"/>
  <c r="AW143" i="10" a="1"/>
  <c r="AW143" i="10" s="1"/>
  <c r="AX194" i="10" a="1"/>
  <c r="AX194" i="10" s="1"/>
  <c r="AX155" i="10" a="1"/>
  <c r="AX155" i="10" s="1"/>
  <c r="AX142" i="10" a="1"/>
  <c r="AX142" i="10" s="1"/>
  <c r="AX150" i="10" a="1"/>
  <c r="AX150" i="10" s="1"/>
  <c r="AX171" i="10" a="1"/>
  <c r="AX171" i="10" s="1"/>
  <c r="AX154" i="10" a="1"/>
  <c r="AX154" i="10" s="1"/>
  <c r="AX125" i="10" a="1"/>
  <c r="AX125" i="10" s="1"/>
  <c r="AX143" i="10" a="1"/>
  <c r="AX143" i="10" s="1"/>
  <c r="AX122" i="10" a="1"/>
  <c r="AX122" i="10" s="1"/>
  <c r="AX112" i="10" a="1"/>
  <c r="AX112" i="10" s="1"/>
  <c r="AZ143" i="10" a="1"/>
  <c r="AZ143" i="10" s="1"/>
  <c r="AW169" i="10" a="1"/>
  <c r="AW169" i="10" s="1"/>
  <c r="AW158" i="10" a="1"/>
  <c r="AW158" i="10" s="1"/>
  <c r="AW157" i="10" a="1"/>
  <c r="AW157" i="10" s="1"/>
  <c r="AW124" i="10" a="1"/>
  <c r="AW124" i="10" s="1"/>
  <c r="AW162" i="10" a="1"/>
  <c r="AW162" i="10" s="1"/>
  <c r="AW132" i="10" a="1"/>
  <c r="AW132" i="10" s="1"/>
  <c r="AW116" i="10" a="1"/>
  <c r="AW116" i="10" s="1"/>
  <c r="AX199" i="10" a="1"/>
  <c r="AX199" i="10" s="1"/>
  <c r="AX195" i="10" a="1"/>
  <c r="AX195" i="10" s="1"/>
  <c r="AX198" i="10" a="1"/>
  <c r="AX198" i="10" s="1"/>
  <c r="AX197" i="10" a="1"/>
  <c r="AX197" i="10" s="1"/>
  <c r="AX137" i="10" a="1"/>
  <c r="AX137" i="10" s="1"/>
  <c r="AX145" i="10" a="1"/>
  <c r="AX145" i="10" s="1"/>
  <c r="AX169" i="10" a="1"/>
  <c r="AX169" i="10" s="1"/>
  <c r="AX181" i="10" a="1"/>
  <c r="AX181" i="10" s="1"/>
  <c r="AX117" i="10" a="1"/>
  <c r="AX117" i="10" s="1"/>
  <c r="AX139" i="10" a="1"/>
  <c r="AX139" i="10" s="1"/>
  <c r="AX160" i="10" a="1"/>
  <c r="AX160" i="10" s="1"/>
  <c r="AX110" i="10" a="1"/>
  <c r="AX110" i="10" s="1"/>
  <c r="AZ190" i="10" a="1"/>
  <c r="AZ190" i="10" s="1"/>
  <c r="AZ136" i="10" a="1"/>
  <c r="AZ136" i="10" s="1"/>
  <c r="AW168" i="10" a="1"/>
  <c r="AW168" i="10" s="1"/>
  <c r="AW149" i="10" a="1"/>
  <c r="AW149" i="10" s="1"/>
  <c r="AW150" i="10" a="1"/>
  <c r="AW150" i="10" s="1"/>
  <c r="AW156" i="10" a="1"/>
  <c r="AW156" i="10" s="1"/>
  <c r="AW131" i="10" a="1"/>
  <c r="AW131" i="10" s="1"/>
  <c r="AW105" i="10" a="1"/>
  <c r="AW105" i="10" s="1"/>
  <c r="AW106" i="10" s="1"/>
  <c r="AX196" i="10" a="1"/>
  <c r="AX196" i="10" s="1"/>
  <c r="AX180" i="10" a="1"/>
  <c r="AX180" i="10" s="1"/>
  <c r="AX192" i="10" a="1"/>
  <c r="AX192" i="10" s="1"/>
  <c r="AX167" i="10" a="1"/>
  <c r="AX167" i="10" s="1"/>
  <c r="AX141" i="10" a="1"/>
  <c r="AX141" i="10" s="1"/>
  <c r="AX168" i="10" a="1"/>
  <c r="AX168" i="10" s="1"/>
  <c r="AX163" i="10" a="1"/>
  <c r="AX163" i="10" s="1"/>
  <c r="AX138" i="10" a="1"/>
  <c r="AX138" i="10" s="1"/>
  <c r="AX119" i="10" a="1"/>
  <c r="AX119" i="10" s="1"/>
  <c r="AX116" i="10" a="1"/>
  <c r="AX116" i="10" s="1"/>
  <c r="AX109" i="10" a="1"/>
  <c r="AX109" i="10" s="1"/>
  <c r="AZ199" i="10" a="1"/>
  <c r="AZ199" i="10" s="1"/>
  <c r="AZ105" i="10" a="1"/>
  <c r="AZ105" i="10" s="1"/>
  <c r="AZ106" i="10" s="1"/>
  <c r="AW172" i="10" a="1"/>
  <c r="AW172" i="10" s="1"/>
  <c r="AW181" i="10" a="1"/>
  <c r="AW181" i="10" s="1"/>
  <c r="AW134" i="10" a="1"/>
  <c r="AW134" i="10" s="1"/>
  <c r="AW118" i="10" a="1"/>
  <c r="AW118" i="10" s="1"/>
  <c r="AW122" i="10" a="1"/>
  <c r="AW122" i="10" s="1"/>
  <c r="AW113" i="10" a="1"/>
  <c r="AW113" i="10" s="1"/>
  <c r="AX183" i="10" a="1"/>
  <c r="AX183" i="10" s="1"/>
  <c r="AX174" i="10" a="1"/>
  <c r="AX174" i="10" s="1"/>
  <c r="AX162" i="10" a="1"/>
  <c r="AX162" i="10" s="1"/>
  <c r="AX153" i="10" a="1"/>
  <c r="AX153" i="10" s="1"/>
  <c r="AX134" i="10" a="1"/>
  <c r="AX134" i="10" s="1"/>
  <c r="AX147" i="10" a="1"/>
  <c r="AX147" i="10" s="1"/>
  <c r="AX176" i="10" a="1"/>
  <c r="AX176" i="10" s="1"/>
  <c r="AX148" i="10" a="1"/>
  <c r="AX148" i="10" s="1"/>
  <c r="AX113" i="10" a="1"/>
  <c r="AX113" i="10" s="1"/>
  <c r="AX105" i="10" a="1"/>
  <c r="AX105" i="10" s="1"/>
  <c r="AX106" i="10" s="1"/>
  <c r="BA181" i="10" a="1"/>
  <c r="BA181" i="10" s="1"/>
  <c r="BA179" i="10" a="1"/>
  <c r="BA179" i="10" s="1"/>
  <c r="BA172" i="10" a="1"/>
  <c r="BA172" i="10" s="1"/>
  <c r="BA182" i="10" a="1"/>
  <c r="BA182" i="10" s="1"/>
  <c r="BA148" i="10" a="1"/>
  <c r="BA148" i="10" s="1"/>
  <c r="BA169" i="10" a="1"/>
  <c r="BA169" i="10" s="1"/>
  <c r="BA121" i="10" a="1"/>
  <c r="BA121" i="10" s="1"/>
  <c r="BA165" i="10" a="1"/>
  <c r="BA165" i="10" s="1"/>
  <c r="BA112" i="10" a="1"/>
  <c r="BA112" i="10" s="1"/>
  <c r="BA113" i="10" a="1"/>
  <c r="BA113" i="10" s="1"/>
  <c r="BA133" i="10" a="1"/>
  <c r="BA133" i="10" s="1"/>
  <c r="BA145" i="10" a="1"/>
  <c r="BA145" i="10" s="1"/>
  <c r="AZ197" i="10" a="1"/>
  <c r="AZ197" i="10" s="1"/>
  <c r="AZ120" i="10" a="1"/>
  <c r="AZ120" i="10" s="1"/>
  <c r="AW164" i="10" a="1"/>
  <c r="AW164" i="10" s="1"/>
  <c r="AW193" i="10" a="1"/>
  <c r="AW193" i="10" s="1"/>
  <c r="AW177" i="10" a="1"/>
  <c r="AW177" i="10" s="1"/>
  <c r="AW133" i="10" a="1"/>
  <c r="AW133" i="10" s="1"/>
  <c r="AW115" i="10" a="1"/>
  <c r="AW115" i="10" s="1"/>
  <c r="AX182" i="10" a="1"/>
  <c r="AX182" i="10" s="1"/>
  <c r="AX170" i="10" a="1"/>
  <c r="AX170" i="10" s="1"/>
  <c r="AX156" i="10" a="1"/>
  <c r="AX156" i="10" s="1"/>
  <c r="AX136" i="10" a="1"/>
  <c r="AX136" i="10" s="1"/>
  <c r="AT118" i="10" a="1"/>
  <c r="AT118" i="10" s="1"/>
  <c r="AT120" i="10" a="1"/>
  <c r="AT120" i="10" s="1"/>
  <c r="AT156" i="10" a="1"/>
  <c r="AT156" i="10" s="1"/>
  <c r="AT137" i="10" a="1"/>
  <c r="AT137" i="10" s="1"/>
  <c r="AT169" i="10" a="1"/>
  <c r="AT169" i="10" s="1"/>
  <c r="AT165" i="10" a="1"/>
  <c r="AT165" i="10" s="1"/>
  <c r="BL124" i="10" a="1"/>
  <c r="BL124" i="10" s="1"/>
  <c r="AT176" i="10" a="1"/>
  <c r="AT176" i="10" s="1"/>
  <c r="N32" i="4"/>
  <c r="O41" i="9" s="1"/>
  <c r="AC41" i="9" s="1"/>
  <c r="AB110" i="10" a="1"/>
  <c r="AB110" i="10" s="1"/>
  <c r="AB181" i="10" a="1"/>
  <c r="AB181" i="10" s="1"/>
  <c r="AB173" i="10" a="1"/>
  <c r="AB173" i="10" s="1"/>
  <c r="AB161" i="10" a="1"/>
  <c r="AB161" i="10" s="1"/>
  <c r="AT117" i="10" a="1"/>
  <c r="AT117" i="10" s="1"/>
  <c r="AT119" i="10" a="1"/>
  <c r="AT119" i="10" s="1"/>
  <c r="AT145" i="10" a="1"/>
  <c r="AT145" i="10" s="1"/>
  <c r="AT161" i="10" a="1"/>
  <c r="AT161" i="10" s="1"/>
  <c r="AT173" i="10" a="1"/>
  <c r="AT173" i="10" s="1"/>
  <c r="AT177" i="10" a="1"/>
  <c r="AT177" i="10" s="1"/>
  <c r="AT150" i="10" a="1"/>
  <c r="AT150" i="10" s="1"/>
  <c r="BL111" i="10" a="1"/>
  <c r="BL111" i="10" s="1"/>
  <c r="AT199" i="10" a="1"/>
  <c r="AT199" i="10" s="1"/>
  <c r="AT154" i="10" a="1"/>
  <c r="AT154" i="10" s="1"/>
  <c r="AT192" i="10" a="1"/>
  <c r="AT192" i="10" s="1"/>
  <c r="BL148" i="10" a="1"/>
  <c r="BL148" i="10" s="1"/>
  <c r="BL156" i="10" a="1"/>
  <c r="BL156" i="10" s="1"/>
  <c r="BL137" i="10" a="1"/>
  <c r="BL137" i="10" s="1"/>
  <c r="AT195" i="10" a="1"/>
  <c r="AT195" i="10" s="1"/>
  <c r="AT180" i="10" a="1"/>
  <c r="AT180" i="10" s="1"/>
  <c r="BL136" i="10" a="1"/>
  <c r="BL136" i="10" s="1"/>
  <c r="BL130" i="10" a="1"/>
  <c r="BL130" i="10" s="1"/>
  <c r="BL176" i="10" a="1"/>
  <c r="BL176" i="10" s="1"/>
  <c r="BL199" i="10" a="1"/>
  <c r="BL199" i="10" s="1"/>
  <c r="AI154" i="10" a="1"/>
  <c r="AI154" i="10" s="1"/>
  <c r="AI144" i="10" a="1"/>
  <c r="AI144" i="10" s="1"/>
  <c r="AI130" i="10" a="1"/>
  <c r="AI130" i="10" s="1"/>
  <c r="AI174" i="10" a="1"/>
  <c r="AI174" i="10" s="1"/>
  <c r="AI173" i="10" a="1"/>
  <c r="AI173" i="10" s="1"/>
  <c r="AI145" i="10" a="1"/>
  <c r="AI145" i="10" s="1"/>
  <c r="AI192" i="10" a="1"/>
  <c r="AI192" i="10" s="1"/>
  <c r="BA120" i="10" a="1"/>
  <c r="BA120" i="10" s="1"/>
  <c r="BA138" i="10" a="1"/>
  <c r="BA138" i="10" s="1"/>
  <c r="BS121" i="10" a="1"/>
  <c r="BS121" i="10" s="1"/>
  <c r="BA153" i="10" a="1"/>
  <c r="BA153" i="10" s="1"/>
  <c r="BA193" i="10" a="1"/>
  <c r="BA193" i="10" s="1"/>
  <c r="BS149" i="10" a="1"/>
  <c r="BS149" i="10" s="1"/>
  <c r="BA194" i="10" a="1"/>
  <c r="BA194" i="10" s="1"/>
  <c r="BS113" i="10" a="1"/>
  <c r="BS113" i="10" s="1"/>
  <c r="BS192" i="10" a="1"/>
  <c r="BS192" i="10" s="1"/>
  <c r="AF158" i="10" a="1"/>
  <c r="AF158" i="10" s="1"/>
  <c r="AF130" i="10" a="1"/>
  <c r="AF130" i="10" s="1"/>
  <c r="AT116" i="10" a="1"/>
  <c r="AT116" i="10" s="1"/>
  <c r="BM180" i="10" a="1"/>
  <c r="BM180" i="10" s="1"/>
  <c r="BM181" i="10" a="1"/>
  <c r="BM181" i="10" s="1"/>
  <c r="BM158" i="10" a="1"/>
  <c r="BM158" i="10" s="1"/>
  <c r="BM113" i="10" a="1"/>
  <c r="BM113" i="10" s="1"/>
  <c r="BM111" i="10" a="1"/>
  <c r="BM111" i="10" s="1"/>
  <c r="BM147" i="10" a="1"/>
  <c r="BM147" i="10" s="1"/>
  <c r="BM145" i="10" a="1"/>
  <c r="BM145" i="10" s="1"/>
  <c r="BM173" i="10" a="1"/>
  <c r="BM173" i="10" s="1"/>
  <c r="BM114" i="10" a="1"/>
  <c r="BM114" i="10" s="1"/>
  <c r="BM133" i="10" a="1"/>
  <c r="BM133" i="10" s="1"/>
  <c r="BM117" i="10" a="1"/>
  <c r="BM117" i="10" s="1"/>
  <c r="BN172" i="10" a="1"/>
  <c r="BN172" i="10" s="1"/>
  <c r="BN192" i="10" a="1"/>
  <c r="BN192" i="10" s="1"/>
  <c r="BN111" i="10" a="1"/>
  <c r="BN111" i="10" s="1"/>
  <c r="BN109" i="10" a="1"/>
  <c r="BN109" i="10" s="1"/>
  <c r="BN133" i="10" a="1"/>
  <c r="BN133" i="10" s="1"/>
  <c r="BN153" i="10" a="1"/>
  <c r="BN153" i="10" s="1"/>
  <c r="BN174" i="10" a="1"/>
  <c r="BN174" i="10" s="1"/>
  <c r="BN112" i="10" a="1"/>
  <c r="BN112" i="10" s="1"/>
  <c r="BN121" i="10" a="1"/>
  <c r="BN121" i="10" s="1"/>
  <c r="BN128" i="10" a="1"/>
  <c r="BN128" i="10" s="1"/>
  <c r="BT174" i="10" a="1"/>
  <c r="BT174" i="10" s="1"/>
  <c r="BT190" i="10" a="1"/>
  <c r="BT190" i="10" s="1"/>
  <c r="BT175" i="10" a="1"/>
  <c r="BT175" i="10" s="1"/>
  <c r="BT158" i="10" a="1"/>
  <c r="BT158" i="10" s="1"/>
  <c r="BT172" i="10" a="1"/>
  <c r="BT172" i="10" s="1"/>
  <c r="BT142" i="10" a="1"/>
  <c r="BT142" i="10" s="1"/>
  <c r="BT133" i="10" a="1"/>
  <c r="BT133" i="10" s="1"/>
  <c r="BT157" i="10" a="1"/>
  <c r="BT157" i="10" s="1"/>
  <c r="BT115" i="10" a="1"/>
  <c r="BT115" i="10" s="1"/>
  <c r="BM199" i="10" a="1"/>
  <c r="BM199" i="10" s="1"/>
  <c r="BM175" i="10" a="1"/>
  <c r="BM175" i="10" s="1"/>
  <c r="BM191" i="10" a="1"/>
  <c r="BM191" i="10" s="1"/>
  <c r="BM144" i="10" a="1"/>
  <c r="BM144" i="10" s="1"/>
  <c r="BM110" i="10" a="1"/>
  <c r="BM110" i="10" s="1"/>
  <c r="BM109" i="10" a="1"/>
  <c r="BM109" i="10" s="1"/>
  <c r="BM134" i="10" a="1"/>
  <c r="BM134" i="10" s="1"/>
  <c r="BM143" i="10" a="1"/>
  <c r="BM143" i="10" s="1"/>
  <c r="BM146" i="10" a="1"/>
  <c r="BM146" i="10" s="1"/>
  <c r="BM131" i="10" a="1"/>
  <c r="BM131" i="10" s="1"/>
  <c r="BN167" i="10" a="1"/>
  <c r="BN167" i="10" s="1"/>
  <c r="BN197" i="10" a="1"/>
  <c r="BN197" i="10" s="1"/>
  <c r="BN110" i="10" a="1"/>
  <c r="BN110" i="10" s="1"/>
  <c r="BN150" i="10" a="1"/>
  <c r="BN150" i="10" s="1"/>
  <c r="BN173" i="10" a="1"/>
  <c r="BN173" i="10" s="1"/>
  <c r="BN105" i="10" a="1"/>
  <c r="BN105" i="10" s="1"/>
  <c r="BN120" i="10" a="1"/>
  <c r="BN120" i="10" s="1"/>
  <c r="BN117" i="10" a="1"/>
  <c r="BN117" i="10" s="1"/>
  <c r="BN115" i="10" a="1"/>
  <c r="BN115" i="10" s="1"/>
  <c r="BT197" i="10" a="1"/>
  <c r="BT197" i="10" s="1"/>
  <c r="BT171" i="10" a="1"/>
  <c r="BT171" i="10" s="1"/>
  <c r="BT177" i="10" a="1"/>
  <c r="BT177" i="10" s="1"/>
  <c r="BT161" i="10" a="1"/>
  <c r="BT161" i="10" s="1"/>
  <c r="BT150" i="10" a="1"/>
  <c r="BT150" i="10" s="1"/>
  <c r="BT160" i="10" a="1"/>
  <c r="BT160" i="10" s="1"/>
  <c r="BT141" i="10" a="1"/>
  <c r="BT141" i="10" s="1"/>
  <c r="BT180" i="10" a="1"/>
  <c r="BT180" i="10" s="1"/>
  <c r="BT139" i="10" a="1"/>
  <c r="BT139" i="10" s="1"/>
  <c r="BT131" i="10" a="1"/>
  <c r="BT131" i="10" s="1"/>
  <c r="BM196" i="10" a="1"/>
  <c r="BM196" i="10" s="1"/>
  <c r="BM183" i="10" a="1"/>
  <c r="BM183" i="10" s="1"/>
  <c r="BM165" i="10" a="1"/>
  <c r="BM165" i="10" s="1"/>
  <c r="BM174" i="10" a="1"/>
  <c r="BM174" i="10" s="1"/>
  <c r="BM132" i="10" a="1"/>
  <c r="BM132" i="10" s="1"/>
  <c r="BM182" i="10" a="1"/>
  <c r="BM182" i="10" s="1"/>
  <c r="BM142" i="10" a="1"/>
  <c r="BM142" i="10" s="1"/>
  <c r="BM136" i="10" a="1"/>
  <c r="BM136" i="10" s="1"/>
  <c r="BM125" i="10" a="1"/>
  <c r="BM125" i="10" s="1"/>
  <c r="BM121" i="10" a="1"/>
  <c r="BM121" i="10" s="1"/>
  <c r="BN193" i="10" a="1"/>
  <c r="BN193" i="10" s="1"/>
  <c r="BN194" i="10" a="1"/>
  <c r="BN194" i="10" s="1"/>
  <c r="BN171" i="10" a="1"/>
  <c r="BN171" i="10" s="1"/>
  <c r="BN181" i="10" a="1"/>
  <c r="BN181" i="10" s="1"/>
  <c r="BN148" i="10" a="1"/>
  <c r="BN148" i="10" s="1"/>
  <c r="BN144" i="10" a="1"/>
  <c r="BN144" i="10" s="1"/>
  <c r="BN116" i="10" a="1"/>
  <c r="BN116" i="10" s="1"/>
  <c r="BN114" i="10" a="1"/>
  <c r="BN114" i="10" s="1"/>
  <c r="BT169" i="10" a="1"/>
  <c r="BT169" i="10" s="1"/>
  <c r="BT198" i="10" a="1"/>
  <c r="BT198" i="10" s="1"/>
  <c r="BT173" i="10" a="1"/>
  <c r="BT173" i="10" s="1"/>
  <c r="BT135" i="10" a="1"/>
  <c r="BT135" i="10" s="1"/>
  <c r="BT148" i="10" a="1"/>
  <c r="BT148" i="10" s="1"/>
  <c r="BT154" i="10" a="1"/>
  <c r="BT154" i="10" s="1"/>
  <c r="BT137" i="10" a="1"/>
  <c r="BT137" i="10" s="1"/>
  <c r="BT163" i="10" a="1"/>
  <c r="BT163" i="10" s="1"/>
  <c r="BT113" i="10" a="1"/>
  <c r="BT113" i="10" s="1"/>
  <c r="BT128" i="10" a="1"/>
  <c r="BT128" i="10" s="1"/>
  <c r="BT130" i="10" a="1"/>
  <c r="BT130" i="10" s="1"/>
  <c r="BM179" i="10" a="1"/>
  <c r="BM179" i="10" s="1"/>
  <c r="BM160" i="10" a="1"/>
  <c r="BM160" i="10" s="1"/>
  <c r="BM123" i="10" a="1"/>
  <c r="BM123" i="10" s="1"/>
  <c r="BM193" i="10" a="1"/>
  <c r="BM193" i="10" s="1"/>
  <c r="BM155" i="10" a="1"/>
  <c r="BM155" i="10" s="1"/>
  <c r="BM176" i="10" a="1"/>
  <c r="BM176" i="10" s="1"/>
  <c r="BM177" i="10" a="1"/>
  <c r="BM177" i="10" s="1"/>
  <c r="BM135" i="10" a="1"/>
  <c r="BM135" i="10" s="1"/>
  <c r="BM118" i="10" a="1"/>
  <c r="BM118" i="10" s="1"/>
  <c r="BN176" i="10" a="1"/>
  <c r="BN176" i="10" s="1"/>
  <c r="BN190" i="10" a="1"/>
  <c r="BN190" i="10" s="1"/>
  <c r="BN169" i="10" a="1"/>
  <c r="BN169" i="10" s="1"/>
  <c r="BN155" i="10" a="1"/>
  <c r="BN155" i="10" s="1"/>
  <c r="BN162" i="10" a="1"/>
  <c r="BN162" i="10" s="1"/>
  <c r="BN157" i="10" a="1"/>
  <c r="BN157" i="10" s="1"/>
  <c r="BN145" i="10" a="1"/>
  <c r="BN145" i="10" s="1"/>
  <c r="BN135" i="10" a="1"/>
  <c r="BN135" i="10" s="1"/>
  <c r="BN131" i="10" a="1"/>
  <c r="BN131" i="10" s="1"/>
  <c r="BT199" i="10" a="1"/>
  <c r="BT199" i="10" s="1"/>
  <c r="BT192" i="10" a="1"/>
  <c r="BT192" i="10" s="1"/>
  <c r="BT176" i="10" a="1"/>
  <c r="BT176" i="10" s="1"/>
  <c r="BT170" i="10" a="1"/>
  <c r="BT170" i="10" s="1"/>
  <c r="BT125" i="10" a="1"/>
  <c r="BT125" i="10" s="1"/>
  <c r="BT136" i="10" a="1"/>
  <c r="BT136" i="10" s="1"/>
  <c r="BT153" i="10" a="1"/>
  <c r="BT153" i="10" s="1"/>
  <c r="BT165" i="10" a="1"/>
  <c r="BT165" i="10" s="1"/>
  <c r="BT155" i="10" a="1"/>
  <c r="BT155" i="10" s="1"/>
  <c r="BT112" i="10" a="1"/>
  <c r="BT112" i="10" s="1"/>
  <c r="BT127" i="10" a="1"/>
  <c r="BT127" i="10" s="1"/>
  <c r="BT123" i="10" a="1"/>
  <c r="BT123" i="10" s="1"/>
  <c r="BT120" i="10" a="1"/>
  <c r="BT120" i="10" s="1"/>
  <c r="BM195" i="10" a="1"/>
  <c r="BM195" i="10" s="1"/>
  <c r="BM172" i="10" a="1"/>
  <c r="BM172" i="10" s="1"/>
  <c r="BM178" i="10" a="1"/>
  <c r="BM178" i="10" s="1"/>
  <c r="BM112" i="10" a="1"/>
  <c r="BM112" i="10" s="1"/>
  <c r="BM166" i="10" a="1"/>
  <c r="BM166" i="10" s="1"/>
  <c r="BM154" i="10" a="1"/>
  <c r="BM154" i="10" s="1"/>
  <c r="BM151" i="10" a="1"/>
  <c r="BM151" i="10" s="1"/>
  <c r="BM161" i="10" a="1"/>
  <c r="BM161" i="10" s="1"/>
  <c r="BM153" i="10" a="1"/>
  <c r="BM153" i="10" s="1"/>
  <c r="BM130" i="10" a="1"/>
  <c r="BM130" i="10" s="1"/>
  <c r="BN195" i="10" a="1"/>
  <c r="BN195" i="10" s="1"/>
  <c r="BN198" i="10" a="1"/>
  <c r="BN198" i="10" s="1"/>
  <c r="BM192" i="10" a="1"/>
  <c r="BM192" i="10" s="1"/>
  <c r="BM167" i="10" a="1"/>
  <c r="BM167" i="10" s="1"/>
  <c r="BM197" i="10" a="1"/>
  <c r="BM197" i="10" s="1"/>
  <c r="BM170" i="10" a="1"/>
  <c r="BM170" i="10" s="1"/>
  <c r="BM105" i="10" a="1"/>
  <c r="BM105" i="10" s="1"/>
  <c r="BM164" i="10" a="1"/>
  <c r="BM164" i="10" s="1"/>
  <c r="BM141" i="10" a="1"/>
  <c r="BM141" i="10" s="1"/>
  <c r="BM149" i="10" a="1"/>
  <c r="BM149" i="10" s="1"/>
  <c r="BM157" i="10" a="1"/>
  <c r="BM157" i="10" s="1"/>
  <c r="BM150" i="10" a="1"/>
  <c r="BM150" i="10" s="1"/>
  <c r="BM128" i="10" a="1"/>
  <c r="BM128" i="10" s="1"/>
  <c r="BM124" i="10" a="1"/>
  <c r="BM124" i="10" s="1"/>
  <c r="BN183" i="10" a="1"/>
  <c r="BN183" i="10" s="1"/>
  <c r="BN170" i="10" a="1"/>
  <c r="BN170" i="10" s="1"/>
  <c r="BN163" i="10" a="1"/>
  <c r="BN163" i="10" s="1"/>
  <c r="BN127" i="10" a="1"/>
  <c r="BN127" i="10" s="1"/>
  <c r="BN141" i="10" a="1"/>
  <c r="BN141" i="10" s="1"/>
  <c r="BN151" i="10" a="1"/>
  <c r="BN151" i="10" s="1"/>
  <c r="BN182" i="10" a="1"/>
  <c r="BN182" i="10" s="1"/>
  <c r="BN142" i="10" a="1"/>
  <c r="BN142" i="10" s="1"/>
  <c r="BN158" i="10" a="1"/>
  <c r="BN158" i="10" s="1"/>
  <c r="BN118" i="10" a="1"/>
  <c r="BN118" i="10" s="1"/>
  <c r="BN136" i="10" a="1"/>
  <c r="BN136" i="10" s="1"/>
  <c r="BN139" i="10" a="1"/>
  <c r="BN139" i="10" s="1"/>
  <c r="BM171" i="10" a="1"/>
  <c r="BM171" i="10" s="1"/>
  <c r="BM168" i="10" a="1"/>
  <c r="BM168" i="10" s="1"/>
  <c r="BM126" i="10" a="1"/>
  <c r="BM126" i="10" s="1"/>
  <c r="BM137" i="10" a="1"/>
  <c r="BM137" i="10" s="1"/>
  <c r="BM138" i="10" a="1"/>
  <c r="BM138" i="10" s="1"/>
  <c r="BM156" i="10" a="1"/>
  <c r="BM156" i="10" s="1"/>
  <c r="BM139" i="10" a="1"/>
  <c r="BM139" i="10" s="1"/>
  <c r="BM116" i="10" a="1"/>
  <c r="BM116" i="10" s="1"/>
  <c r="BM169" i="10" a="1"/>
  <c r="BM169" i="10" s="1"/>
  <c r="BM198" i="10" a="1"/>
  <c r="BM198" i="10" s="1"/>
  <c r="BM190" i="10" a="1"/>
  <c r="BM190" i="10" s="1"/>
  <c r="BM163" i="10" a="1"/>
  <c r="BM163" i="10" s="1"/>
  <c r="BM122" i="10" a="1"/>
  <c r="BM122" i="10" s="1"/>
  <c r="BM127" i="10" a="1"/>
  <c r="BM127" i="10" s="1"/>
  <c r="BM162" i="10" a="1"/>
  <c r="BM162" i="10" s="1"/>
  <c r="BM148" i="10" a="1"/>
  <c r="BM148" i="10" s="1"/>
  <c r="BM194" i="10" a="1"/>
  <c r="BM194" i="10" s="1"/>
  <c r="BM115" i="10" a="1"/>
  <c r="BM115" i="10" s="1"/>
  <c r="BN199" i="10" a="1"/>
  <c r="BN199" i="10" s="1"/>
  <c r="BN196" i="10" a="1"/>
  <c r="BN196" i="10" s="1"/>
  <c r="BN137" i="10" a="1"/>
  <c r="BN137" i="10" s="1"/>
  <c r="BN146" i="10" a="1"/>
  <c r="BN146" i="10" s="1"/>
  <c r="BN130" i="10" a="1"/>
  <c r="BN130" i="10" s="1"/>
  <c r="BT178" i="10" a="1"/>
  <c r="BT178" i="10" s="1"/>
  <c r="BT181" i="10" a="1"/>
  <c r="BT181" i="10" s="1"/>
  <c r="BT144" i="10" a="1"/>
  <c r="BT144" i="10" s="1"/>
  <c r="BT118" i="10" a="1"/>
  <c r="BT118" i="10" s="1"/>
  <c r="BQ177" i="10" a="1"/>
  <c r="BQ177" i="10" s="1"/>
  <c r="BQ179" i="10" a="1"/>
  <c r="BQ179" i="10" s="1"/>
  <c r="BQ163" i="10" a="1"/>
  <c r="BQ163" i="10" s="1"/>
  <c r="BQ118" i="10" a="1"/>
  <c r="BQ118" i="10" s="1"/>
  <c r="BQ124" i="10" a="1"/>
  <c r="BQ124" i="10" s="1"/>
  <c r="BQ114" i="10" a="1"/>
  <c r="BQ114" i="10" s="1"/>
  <c r="BQ158" i="10" a="1"/>
  <c r="BQ158" i="10" s="1"/>
  <c r="BQ169" i="10" a="1"/>
  <c r="BQ169" i="10" s="1"/>
  <c r="BQ148" i="10" a="1"/>
  <c r="BQ148" i="10" s="1"/>
  <c r="BQ136" i="10" a="1"/>
  <c r="BQ136" i="10" s="1"/>
  <c r="BQ126" i="10" a="1"/>
  <c r="BQ126" i="10" s="1"/>
  <c r="BK182" i="10" a="1"/>
  <c r="BK182" i="10" s="1"/>
  <c r="BK176" i="10" a="1"/>
  <c r="BK176" i="10" s="1"/>
  <c r="BK139" i="10" a="1"/>
  <c r="BK139" i="10" s="1"/>
  <c r="BK165" i="10" a="1"/>
  <c r="BK165" i="10" s="1"/>
  <c r="BK180" i="10" a="1"/>
  <c r="BK180" i="10" s="1"/>
  <c r="BK151" i="10" a="1"/>
  <c r="BK151" i="10" s="1"/>
  <c r="BK138" i="10" a="1"/>
  <c r="BK138" i="10" s="1"/>
  <c r="BK122" i="10" a="1"/>
  <c r="BK122" i="10" s="1"/>
  <c r="BK113" i="10" a="1"/>
  <c r="BK113" i="10" s="1"/>
  <c r="BM120" i="10" a="1"/>
  <c r="BM120" i="10" s="1"/>
  <c r="BN180" i="10" a="1"/>
  <c r="BN180" i="10" s="1"/>
  <c r="BN177" i="10" a="1"/>
  <c r="BN177" i="10" s="1"/>
  <c r="BN160" i="10" a="1"/>
  <c r="BN160" i="10" s="1"/>
  <c r="BN191" i="10" a="1"/>
  <c r="BN191" i="10" s="1"/>
  <c r="BT195" i="10" a="1"/>
  <c r="BT195" i="10" s="1"/>
  <c r="BT164" i="10" a="1"/>
  <c r="BT164" i="10" s="1"/>
  <c r="BT122" i="10" a="1"/>
  <c r="BT122" i="10" s="1"/>
  <c r="BT132" i="10" a="1"/>
  <c r="BT132" i="10" s="1"/>
  <c r="BT147" i="10" a="1"/>
  <c r="BT147" i="10" s="1"/>
  <c r="BT119" i="10" a="1"/>
  <c r="BT119" i="10" s="1"/>
  <c r="BQ192" i="10" a="1"/>
  <c r="BQ192" i="10" s="1"/>
  <c r="BQ173" i="10" a="1"/>
  <c r="BQ173" i="10" s="1"/>
  <c r="BQ162" i="10" a="1"/>
  <c r="BQ162" i="10" s="1"/>
  <c r="BQ117" i="10" a="1"/>
  <c r="BQ117" i="10" s="1"/>
  <c r="BQ123" i="10" a="1"/>
  <c r="BQ123" i="10" s="1"/>
  <c r="BQ155" i="10" a="1"/>
  <c r="BQ155" i="10" s="1"/>
  <c r="BQ168" i="10" a="1"/>
  <c r="BQ168" i="10" s="1"/>
  <c r="BQ141" i="10" a="1"/>
  <c r="BQ141" i="10" s="1"/>
  <c r="BQ133" i="10" a="1"/>
  <c r="BQ133" i="10" s="1"/>
  <c r="BQ111" i="10" a="1"/>
  <c r="BQ111" i="10" s="1"/>
  <c r="BK199" i="10" a="1"/>
  <c r="BK199" i="10" s="1"/>
  <c r="BK178" i="10" a="1"/>
  <c r="BK178" i="10" s="1"/>
  <c r="BK198" i="10" a="1"/>
  <c r="BK198" i="10" s="1"/>
  <c r="BK166" i="10" a="1"/>
  <c r="BK166" i="10" s="1"/>
  <c r="BK134" i="10" a="1"/>
  <c r="BK134" i="10" s="1"/>
  <c r="BK153" i="10" a="1"/>
  <c r="BK153" i="10" s="1"/>
  <c r="BK170" i="10" a="1"/>
  <c r="BK170" i="10" s="1"/>
  <c r="BK141" i="10" a="1"/>
  <c r="BK141" i="10" s="1"/>
  <c r="BK149" i="10" a="1"/>
  <c r="BK149" i="10" s="1"/>
  <c r="BK131" i="10" a="1"/>
  <c r="BK131" i="10" s="1"/>
  <c r="BM119" i="10" a="1"/>
  <c r="BM119" i="10" s="1"/>
  <c r="BN179" i="10" a="1"/>
  <c r="BN179" i="10" s="1"/>
  <c r="BN149" i="10" a="1"/>
  <c r="BN149" i="10" s="1"/>
  <c r="BN178" i="10" a="1"/>
  <c r="BN178" i="10" s="1"/>
  <c r="BN125" i="10" a="1"/>
  <c r="BN125" i="10" s="1"/>
  <c r="BT196" i="10" a="1"/>
  <c r="BT196" i="10" s="1"/>
  <c r="BT105" i="10" a="1"/>
  <c r="BT105" i="10" s="1"/>
  <c r="BT145" i="10" a="1"/>
  <c r="BT145" i="10" s="1"/>
  <c r="BT117" i="10" a="1"/>
  <c r="BT117" i="10" s="1"/>
  <c r="BQ199" i="10" a="1"/>
  <c r="BQ199" i="10" s="1"/>
  <c r="BQ172" i="10" a="1"/>
  <c r="BQ172" i="10" s="1"/>
  <c r="BQ156" i="10" a="1"/>
  <c r="BQ156" i="10" s="1"/>
  <c r="BQ115" i="10" a="1"/>
  <c r="BQ115" i="10" s="1"/>
  <c r="BQ182" i="10" a="1"/>
  <c r="BQ182" i="10" s="1"/>
  <c r="BQ138" i="10" a="1"/>
  <c r="BQ138" i="10" s="1"/>
  <c r="BQ157" i="10" a="1"/>
  <c r="BQ157" i="10" s="1"/>
  <c r="BQ137" i="10" a="1"/>
  <c r="BQ137" i="10" s="1"/>
  <c r="BQ120" i="10" a="1"/>
  <c r="BQ120" i="10" s="1"/>
  <c r="BQ127" i="10" a="1"/>
  <c r="BQ127" i="10" s="1"/>
  <c r="BQ110" i="10" a="1"/>
  <c r="BQ110" i="10" s="1"/>
  <c r="BK177" i="10" a="1"/>
  <c r="BK177" i="10" s="1"/>
  <c r="BK171" i="10" a="1"/>
  <c r="BK171" i="10" s="1"/>
  <c r="BK193" i="10" a="1"/>
  <c r="BK193" i="10" s="1"/>
  <c r="BK179" i="10" a="1"/>
  <c r="BK179" i="10" s="1"/>
  <c r="BK125" i="10" a="1"/>
  <c r="BK125" i="10" s="1"/>
  <c r="BK148" i="10" a="1"/>
  <c r="BK148" i="10" s="1"/>
  <c r="BK172" i="10" a="1"/>
  <c r="BK172" i="10" s="1"/>
  <c r="BK168" i="10" a="1"/>
  <c r="BK168" i="10" s="1"/>
  <c r="BK137" i="10" a="1"/>
  <c r="BK137" i="10" s="1"/>
  <c r="BK147" i="10" a="1"/>
  <c r="BK147" i="10" s="1"/>
  <c r="BK120" i="10" a="1"/>
  <c r="BK120" i="10" s="1"/>
  <c r="BN175" i="10" a="1"/>
  <c r="BN175" i="10" s="1"/>
  <c r="BN164" i="10" a="1"/>
  <c r="BN164" i="10" s="1"/>
  <c r="BN134" i="10" a="1"/>
  <c r="BN134" i="10" s="1"/>
  <c r="BN123" i="10" a="1"/>
  <c r="BN123" i="10" s="1"/>
  <c r="BN119" i="10" a="1"/>
  <c r="BN119" i="10" s="1"/>
  <c r="BN124" i="10" a="1"/>
  <c r="BN124" i="10" s="1"/>
  <c r="BT183" i="10" a="1"/>
  <c r="BT183" i="10" s="1"/>
  <c r="BT191" i="10" a="1"/>
  <c r="BT191" i="10" s="1"/>
  <c r="BT143" i="10" a="1"/>
  <c r="BT143" i="10" s="1"/>
  <c r="BT138" i="10" a="1"/>
  <c r="BT138" i="10" s="1"/>
  <c r="BQ195" i="10" a="1"/>
  <c r="BQ195" i="10" s="1"/>
  <c r="BQ198" i="10" a="1"/>
  <c r="BQ198" i="10" s="1"/>
  <c r="BQ147" i="10" a="1"/>
  <c r="BQ147" i="10" s="1"/>
  <c r="BQ145" i="10" a="1"/>
  <c r="BQ145" i="10" s="1"/>
  <c r="BQ176" i="10" a="1"/>
  <c r="BQ176" i="10" s="1"/>
  <c r="BN168" i="10" a="1"/>
  <c r="BN168" i="10" s="1"/>
  <c r="BN126" i="10" a="1"/>
  <c r="BN126" i="10" s="1"/>
  <c r="BN147" i="10" a="1"/>
  <c r="BN147" i="10" s="1"/>
  <c r="BN113" i="10" a="1"/>
  <c r="BN113" i="10" s="1"/>
  <c r="BT179" i="10" a="1"/>
  <c r="BT179" i="10" s="1"/>
  <c r="BT194" i="10" a="1"/>
  <c r="BT194" i="10" s="1"/>
  <c r="BT146" i="10" a="1"/>
  <c r="BT146" i="10" s="1"/>
  <c r="BT134" i="10" a="1"/>
  <c r="BT134" i="10" s="1"/>
  <c r="BQ197" i="10" a="1"/>
  <c r="BQ197" i="10" s="1"/>
  <c r="BQ193" i="10" a="1"/>
  <c r="BQ193" i="10" s="1"/>
  <c r="BQ146" i="10" a="1"/>
  <c r="BQ146" i="10" s="1"/>
  <c r="BQ144" i="10" a="1"/>
  <c r="BQ144" i="10" s="1"/>
  <c r="BQ161" i="10" a="1"/>
  <c r="BQ161" i="10" s="1"/>
  <c r="BQ134" i="10" a="1"/>
  <c r="BQ134" i="10" s="1"/>
  <c r="BQ167" i="10" a="1"/>
  <c r="BQ167" i="10" s="1"/>
  <c r="BQ153" i="10" a="1"/>
  <c r="BQ153" i="10" s="1"/>
  <c r="BQ112" i="10" a="1"/>
  <c r="BQ112" i="10" s="1"/>
  <c r="BQ105" i="10" a="1"/>
  <c r="BQ105" i="10" s="1"/>
  <c r="BK164" i="10" a="1"/>
  <c r="BK164" i="10" s="1"/>
  <c r="BK162" i="10" a="1"/>
  <c r="BK162" i="10" s="1"/>
  <c r="BK196" i="10" a="1"/>
  <c r="BK196" i="10" s="1"/>
  <c r="BK167" i="10" a="1"/>
  <c r="BK167" i="10" s="1"/>
  <c r="BK121" i="10" a="1"/>
  <c r="BK121" i="10" s="1"/>
  <c r="BK128" i="10" a="1"/>
  <c r="BK128" i="10" s="1"/>
  <c r="BK158" i="10" a="1"/>
  <c r="BK158" i="10" s="1"/>
  <c r="BK144" i="10" a="1"/>
  <c r="BK144" i="10" s="1"/>
  <c r="BK175" i="10" a="1"/>
  <c r="BK175" i="10" s="1"/>
  <c r="BK161" i="10" a="1"/>
  <c r="BK161" i="10" s="1"/>
  <c r="BK115" i="10" a="1"/>
  <c r="BK115" i="10" s="1"/>
  <c r="BN165" i="10" a="1"/>
  <c r="BN165" i="10" s="1"/>
  <c r="BN122" i="10" a="1"/>
  <c r="BN122" i="10" s="1"/>
  <c r="BN161" i="10" a="1"/>
  <c r="BN161" i="10" s="1"/>
  <c r="BT167" i="10" a="1"/>
  <c r="BT167" i="10" s="1"/>
  <c r="BT168" i="10" a="1"/>
  <c r="BT168" i="10" s="1"/>
  <c r="BT126" i="10" a="1"/>
  <c r="BT126" i="10" s="1"/>
  <c r="BT156" i="10" a="1"/>
  <c r="BT156" i="10" s="1"/>
  <c r="BT111" i="10" a="1"/>
  <c r="BT111" i="10" s="1"/>
  <c r="BT116" i="10" a="1"/>
  <c r="BT116" i="10" s="1"/>
  <c r="BT124" i="10" a="1"/>
  <c r="BT124" i="10" s="1"/>
  <c r="BQ181" i="10" a="1"/>
  <c r="BQ181" i="10" s="1"/>
  <c r="BQ194" i="10" a="1"/>
  <c r="BQ194" i="10" s="1"/>
  <c r="BQ142" i="10" a="1"/>
  <c r="BQ142" i="10" s="1"/>
  <c r="BQ143" i="10" a="1"/>
  <c r="BQ143" i="10" s="1"/>
  <c r="BQ139" i="10" a="1"/>
  <c r="BQ139" i="10" s="1"/>
  <c r="BQ178" i="10" a="1"/>
  <c r="BQ178" i="10" s="1"/>
  <c r="BQ166" i="10" a="1"/>
  <c r="BQ166" i="10" s="1"/>
  <c r="BQ151" i="10" a="1"/>
  <c r="BQ151" i="10" s="1"/>
  <c r="BN154" i="10" a="1"/>
  <c r="BN154" i="10" s="1"/>
  <c r="BN156" i="10" a="1"/>
  <c r="BN156" i="10" s="1"/>
  <c r="BT162" i="10" a="1"/>
  <c r="BT162" i="10" s="1"/>
  <c r="BT166" i="10" a="1"/>
  <c r="BT166" i="10" s="1"/>
  <c r="BT121" i="10" a="1"/>
  <c r="BT121" i="10" s="1"/>
  <c r="BT151" i="10" a="1"/>
  <c r="BT151" i="10" s="1"/>
  <c r="BT109" i="10" a="1"/>
  <c r="BT109" i="10" s="1"/>
  <c r="BT114" i="10" a="1"/>
  <c r="BT114" i="10" s="1"/>
  <c r="BQ191" i="10" a="1"/>
  <c r="BQ191" i="10" s="1"/>
  <c r="BQ190" i="10" a="1"/>
  <c r="BQ190" i="10" s="1"/>
  <c r="BQ132" i="10" a="1"/>
  <c r="BQ132" i="10" s="1"/>
  <c r="BQ131" i="10" a="1"/>
  <c r="BQ131" i="10" s="1"/>
  <c r="BQ128" i="10" a="1"/>
  <c r="BQ128" i="10" s="1"/>
  <c r="BQ171" i="10" a="1"/>
  <c r="BQ171" i="10" s="1"/>
  <c r="BQ164" i="10" a="1"/>
  <c r="BQ164" i="10" s="1"/>
  <c r="BQ150" i="10" a="1"/>
  <c r="BQ150" i="10" s="1"/>
  <c r="BQ121" i="10" a="1"/>
  <c r="BQ121" i="10" s="1"/>
  <c r="BN166" i="10" a="1"/>
  <c r="BN166" i="10" s="1"/>
  <c r="BN138" i="10" a="1"/>
  <c r="BN138" i="10" s="1"/>
  <c r="BN143" i="10" a="1"/>
  <c r="BN143" i="10" s="1"/>
  <c r="BN132" i="10" a="1"/>
  <c r="BN132" i="10" s="1"/>
  <c r="BT182" i="10" a="1"/>
  <c r="BT182" i="10" s="1"/>
  <c r="BT193" i="10" a="1"/>
  <c r="BT193" i="10" s="1"/>
  <c r="BT110" i="10" a="1"/>
  <c r="BT110" i="10" s="1"/>
  <c r="BT149" i="10" a="1"/>
  <c r="BT149" i="10" s="1"/>
  <c r="BQ196" i="10" a="1"/>
  <c r="BQ196" i="10" s="1"/>
  <c r="BQ180" i="10" a="1"/>
  <c r="BQ180" i="10" s="1"/>
  <c r="BQ183" i="10" a="1"/>
  <c r="BQ183" i="10" s="1"/>
  <c r="BQ174" i="10" a="1"/>
  <c r="BQ174" i="10" s="1"/>
  <c r="BQ119" i="10" a="1"/>
  <c r="BQ119" i="10" s="1"/>
  <c r="BQ130" i="10" a="1"/>
  <c r="BQ130" i="10" s="1"/>
  <c r="BQ116" i="10" a="1"/>
  <c r="BQ116" i="10" s="1"/>
  <c r="BQ175" i="10" a="1"/>
  <c r="BQ175" i="10" s="1"/>
  <c r="BQ170" i="10" a="1"/>
  <c r="BQ170" i="10" s="1"/>
  <c r="BQ160" i="10" a="1"/>
  <c r="BQ160" i="10" s="1"/>
  <c r="BQ149" i="10" a="1"/>
  <c r="BQ149" i="10" s="1"/>
  <c r="BQ125" i="10" a="1"/>
  <c r="BQ125" i="10" s="1"/>
  <c r="BQ113" i="10" a="1"/>
  <c r="BQ113" i="10" s="1"/>
  <c r="BK174" i="10" a="1"/>
  <c r="BK174" i="10" s="1"/>
  <c r="BK135" i="10" a="1"/>
  <c r="BK135" i="10" s="1"/>
  <c r="BK146" i="10" a="1"/>
  <c r="BK146" i="10" s="1"/>
  <c r="BK183" i="10" a="1"/>
  <c r="BK183" i="10" s="1"/>
  <c r="BK123" i="10" a="1"/>
  <c r="BK123" i="10" s="1"/>
  <c r="BK110" i="10" a="1"/>
  <c r="BK110" i="10" s="1"/>
  <c r="BR197" i="10" a="1"/>
  <c r="BR197" i="10" s="1"/>
  <c r="BR172" i="10" a="1"/>
  <c r="BR172" i="10" s="1"/>
  <c r="BR182" i="10" a="1"/>
  <c r="BR182" i="10" s="1"/>
  <c r="BR161" i="10" a="1"/>
  <c r="BR161" i="10" s="1"/>
  <c r="BR138" i="10" a="1"/>
  <c r="BR138" i="10" s="1"/>
  <c r="BR175" i="10" a="1"/>
  <c r="BR175" i="10" s="1"/>
  <c r="BR157" i="10" a="1"/>
  <c r="BR157" i="10" s="1"/>
  <c r="BR164" i="10" a="1"/>
  <c r="BR164" i="10" s="1"/>
  <c r="BR162" i="10" a="1"/>
  <c r="BR162" i="10" s="1"/>
  <c r="BR156" i="10" a="1"/>
  <c r="BR156" i="10" s="1"/>
  <c r="BR110" i="10" a="1"/>
  <c r="BR110" i="10" s="1"/>
  <c r="BR141" i="10" a="1"/>
  <c r="BR141" i="10" s="1"/>
  <c r="BO198" i="10" a="1"/>
  <c r="BO198" i="10" s="1"/>
  <c r="BO191" i="10" a="1"/>
  <c r="BO191" i="10" s="1"/>
  <c r="BO176" i="10" a="1"/>
  <c r="BO176" i="10" s="1"/>
  <c r="BO149" i="10" a="1"/>
  <c r="BO149" i="10" s="1"/>
  <c r="BO120" i="10" a="1"/>
  <c r="BO120" i="10" s="1"/>
  <c r="BO136" i="10" a="1"/>
  <c r="BO136" i="10" s="1"/>
  <c r="BO172" i="10" a="1"/>
  <c r="BO172" i="10" s="1"/>
  <c r="BO123" i="10" a="1"/>
  <c r="BO123" i="10" s="1"/>
  <c r="BO132" i="10" a="1"/>
  <c r="BO132" i="10" s="1"/>
  <c r="BO113" i="10" a="1"/>
  <c r="BO113" i="10" s="1"/>
  <c r="BO135" i="10" a="1"/>
  <c r="BO135" i="10" s="1"/>
  <c r="BQ109" i="10" a="1"/>
  <c r="BQ109" i="10" s="1"/>
  <c r="BK157" i="10" a="1"/>
  <c r="BK157" i="10" s="1"/>
  <c r="BK117" i="10" a="1"/>
  <c r="BK117" i="10" s="1"/>
  <c r="BK136" i="10" a="1"/>
  <c r="BK136" i="10" s="1"/>
  <c r="BK145" i="10" a="1"/>
  <c r="BK145" i="10" s="1"/>
  <c r="BR181" i="10" a="1"/>
  <c r="BR181" i="10" s="1"/>
  <c r="BR158" i="10" a="1"/>
  <c r="BR158" i="10" s="1"/>
  <c r="BR145" i="10" a="1"/>
  <c r="BR145" i="10" s="1"/>
  <c r="BR128" i="10" a="1"/>
  <c r="BR128" i="10" s="1"/>
  <c r="BR174" i="10" a="1"/>
  <c r="BR174" i="10" s="1"/>
  <c r="BR195" i="10" a="1"/>
  <c r="BR195" i="10" s="1"/>
  <c r="BR160" i="10" a="1"/>
  <c r="BR160" i="10" s="1"/>
  <c r="BR151" i="10" a="1"/>
  <c r="BR151" i="10" s="1"/>
  <c r="BR147" i="10" a="1"/>
  <c r="BR147" i="10" s="1"/>
  <c r="BR109" i="10" a="1"/>
  <c r="BR109" i="10" s="1"/>
  <c r="BR136" i="10" a="1"/>
  <c r="BR136" i="10" s="1"/>
  <c r="BR122" i="10" a="1"/>
  <c r="BR122" i="10" s="1"/>
  <c r="BO194" i="10" a="1"/>
  <c r="BO194" i="10" s="1"/>
  <c r="BO196" i="10" a="1"/>
  <c r="BO196" i="10" s="1"/>
  <c r="BO168" i="10" a="1"/>
  <c r="BO168" i="10" s="1"/>
  <c r="BO133" i="10" a="1"/>
  <c r="BO133" i="10" s="1"/>
  <c r="BO119" i="10" a="1"/>
  <c r="BO119" i="10" s="1"/>
  <c r="BO174" i="10" a="1"/>
  <c r="BO174" i="10" s="1"/>
  <c r="BO171" i="10" a="1"/>
  <c r="BO171" i="10" s="1"/>
  <c r="BO122" i="10" a="1"/>
  <c r="BO122" i="10" s="1"/>
  <c r="BO130" i="10" a="1"/>
  <c r="BO130" i="10" s="1"/>
  <c r="BO112" i="10" a="1"/>
  <c r="BO112" i="10" s="1"/>
  <c r="BK156" i="10" a="1"/>
  <c r="BK156" i="10" s="1"/>
  <c r="BK116" i="10" a="1"/>
  <c r="BK116" i="10" s="1"/>
  <c r="BK192" i="10" a="1"/>
  <c r="BK192" i="10" s="1"/>
  <c r="BK143" i="10" a="1"/>
  <c r="BK143" i="10" s="1"/>
  <c r="BR180" i="10" a="1"/>
  <c r="BR180" i="10" s="1"/>
  <c r="BR170" i="10" a="1"/>
  <c r="BR170" i="10" s="1"/>
  <c r="BR196" i="10" a="1"/>
  <c r="BR196" i="10" s="1"/>
  <c r="BR143" i="10" a="1"/>
  <c r="BR143" i="10" s="1"/>
  <c r="BR127" i="10" a="1"/>
  <c r="BR127" i="10" s="1"/>
  <c r="BR135" i="10" a="1"/>
  <c r="BR135" i="10" s="1"/>
  <c r="BR178" i="10" a="1"/>
  <c r="BR178" i="10" s="1"/>
  <c r="BR153" i="10" a="1"/>
  <c r="BR153" i="10" s="1"/>
  <c r="BR149" i="10" a="1"/>
  <c r="BR149" i="10" s="1"/>
  <c r="BR144" i="10" a="1"/>
  <c r="BR144" i="10" s="1"/>
  <c r="BR120" i="10" a="1"/>
  <c r="BR120" i="10" s="1"/>
  <c r="BR105" i="10" a="1"/>
  <c r="BR105" i="10" s="1"/>
  <c r="BR121" i="10" a="1"/>
  <c r="BR121" i="10" s="1"/>
  <c r="BO193" i="10" a="1"/>
  <c r="BO193" i="10" s="1"/>
  <c r="BO164" i="10" a="1"/>
  <c r="BO164" i="10" s="1"/>
  <c r="BO167" i="10" a="1"/>
  <c r="BO167" i="10" s="1"/>
  <c r="BO125" i="10" a="1"/>
  <c r="BO125" i="10" s="1"/>
  <c r="BO146" i="10" a="1"/>
  <c r="BO146" i="10" s="1"/>
  <c r="BO169" i="10" a="1"/>
  <c r="BO169" i="10" s="1"/>
  <c r="BO116" i="10" a="1"/>
  <c r="BO116" i="10" s="1"/>
  <c r="BO111" i="10" a="1"/>
  <c r="BO111" i="10" s="1"/>
  <c r="BK173" i="10" a="1"/>
  <c r="BK173" i="10" s="1"/>
  <c r="BK150" i="10" a="1"/>
  <c r="BK150" i="10" s="1"/>
  <c r="BK114" i="10" a="1"/>
  <c r="BK114" i="10" s="1"/>
  <c r="BK190" i="10" a="1"/>
  <c r="BK190" i="10" s="1"/>
  <c r="BK142" i="10" a="1"/>
  <c r="BK142" i="10" s="1"/>
  <c r="BK133" i="10" a="1"/>
  <c r="BK133" i="10" s="1"/>
  <c r="BR199" i="10" a="1"/>
  <c r="BR199" i="10" s="1"/>
  <c r="BR168" i="10" a="1"/>
  <c r="BR168" i="10" s="1"/>
  <c r="BR131" i="10" a="1"/>
  <c r="BR131" i="10" s="1"/>
  <c r="BR114" i="10" a="1"/>
  <c r="BR114" i="10" s="1"/>
  <c r="BR134" i="10" a="1"/>
  <c r="BR134" i="10" s="1"/>
  <c r="BR171" i="10" a="1"/>
  <c r="BR171" i="10" s="1"/>
  <c r="BR150" i="10" a="1"/>
  <c r="BR150" i="10" s="1"/>
  <c r="BR146" i="10" a="1"/>
  <c r="BR146" i="10" s="1"/>
  <c r="BR130" i="10" a="1"/>
  <c r="BR130" i="10" s="1"/>
  <c r="BR119" i="10" a="1"/>
  <c r="BR119" i="10" s="1"/>
  <c r="BQ135" i="10" a="1"/>
  <c r="BQ135" i="10" s="1"/>
  <c r="BQ122" i="10" a="1"/>
  <c r="BQ122" i="10" s="1"/>
  <c r="BK191" i="10" a="1"/>
  <c r="BK191" i="10" s="1"/>
  <c r="BK197" i="10" a="1"/>
  <c r="BK197" i="10" s="1"/>
  <c r="BK124" i="10" a="1"/>
  <c r="BK124" i="10" s="1"/>
  <c r="BK163" i="10" a="1"/>
  <c r="BK163" i="10" s="1"/>
  <c r="BK195" i="10" a="1"/>
  <c r="BK195" i="10" s="1"/>
  <c r="BK112" i="10" a="1"/>
  <c r="BK112" i="10" s="1"/>
  <c r="BR198" i="10" a="1"/>
  <c r="BR198" i="10" s="1"/>
  <c r="BR191" i="10" a="1"/>
  <c r="BR191" i="10" s="1"/>
  <c r="BR123" i="10" a="1"/>
  <c r="BR123" i="10" s="1"/>
  <c r="BR113" i="10" a="1"/>
  <c r="BR113" i="10" s="1"/>
  <c r="BR112" i="10" a="1"/>
  <c r="BR112" i="10" s="1"/>
  <c r="BR169" i="10" a="1"/>
  <c r="BR169" i="10" s="1"/>
  <c r="BR148" i="10" a="1"/>
  <c r="BR148" i="10" s="1"/>
  <c r="BR142" i="10" a="1"/>
  <c r="BR142" i="10" s="1"/>
  <c r="BR124" i="10" a="1"/>
  <c r="BR124" i="10" s="1"/>
  <c r="BQ154" i="10" a="1"/>
  <c r="BQ154" i="10" s="1"/>
  <c r="BK194" i="10" a="1"/>
  <c r="BK194" i="10" s="1"/>
  <c r="BK119" i="10" a="1"/>
  <c r="BK119" i="10" s="1"/>
  <c r="BK132" i="10" a="1"/>
  <c r="BK132" i="10" s="1"/>
  <c r="BK160" i="10" a="1"/>
  <c r="BK160" i="10" s="1"/>
  <c r="BK127" i="10" a="1"/>
  <c r="BK127" i="10" s="1"/>
  <c r="BR177" i="10" a="1"/>
  <c r="BR177" i="10" s="1"/>
  <c r="BR192" i="10" a="1"/>
  <c r="BR192" i="10" s="1"/>
  <c r="BR116" i="10" a="1"/>
  <c r="BR116" i="10" s="1"/>
  <c r="BR190" i="10" a="1"/>
  <c r="BR190" i="10" s="1"/>
  <c r="BR111" i="10" a="1"/>
  <c r="BR111" i="10" s="1"/>
  <c r="BR166" i="10" a="1"/>
  <c r="BR166" i="10" s="1"/>
  <c r="BR194" i="10" a="1"/>
  <c r="BR194" i="10" s="1"/>
  <c r="BR133" i="10" a="1"/>
  <c r="BR133" i="10" s="1"/>
  <c r="BR118" i="10" a="1"/>
  <c r="BR118" i="10" s="1"/>
  <c r="BO170" i="10" a="1"/>
  <c r="BO170" i="10" s="1"/>
  <c r="BO178" i="10" a="1"/>
  <c r="BO178" i="10" s="1"/>
  <c r="BO195" i="10" a="1"/>
  <c r="BO195" i="10" s="1"/>
  <c r="BO141" i="10" a="1"/>
  <c r="BO141" i="10" s="1"/>
  <c r="BO162" i="10" a="1"/>
  <c r="BO162" i="10" s="1"/>
  <c r="BO147" i="10" a="1"/>
  <c r="BO147" i="10" s="1"/>
  <c r="BO153" i="10" a="1"/>
  <c r="BO153" i="10" s="1"/>
  <c r="BO177" i="10" a="1"/>
  <c r="BO177" i="10" s="1"/>
  <c r="BO126" i="10" a="1"/>
  <c r="BO126" i="10" s="1"/>
  <c r="BO131" i="10" a="1"/>
  <c r="BO131" i="10" s="1"/>
  <c r="BO128" i="10" a="1"/>
  <c r="BO128" i="10" s="1"/>
  <c r="BQ165" i="10" a="1"/>
  <c r="BQ165" i="10" s="1"/>
  <c r="BK118" i="10" a="1"/>
  <c r="BK118" i="10" s="1"/>
  <c r="BK130" i="10" a="1"/>
  <c r="BK130" i="10" s="1"/>
  <c r="BK155" i="10" a="1"/>
  <c r="BK155" i="10" s="1"/>
  <c r="BK109" i="10" a="1"/>
  <c r="BK109" i="10" s="1"/>
  <c r="BK126" i="10" a="1"/>
  <c r="BK126" i="10" s="1"/>
  <c r="BR176" i="10" a="1"/>
  <c r="BR176" i="10" s="1"/>
  <c r="BR193" i="10" a="1"/>
  <c r="BR193" i="10" s="1"/>
  <c r="BR115" i="10" a="1"/>
  <c r="BR115" i="10" s="1"/>
  <c r="BR155" i="10" a="1"/>
  <c r="BR155" i="10" s="1"/>
  <c r="BR154" i="10" a="1"/>
  <c r="BR154" i="10" s="1"/>
  <c r="BR179" i="10" a="1"/>
  <c r="BR179" i="10" s="1"/>
  <c r="BR132" i="10" a="1"/>
  <c r="BR132" i="10" s="1"/>
  <c r="BR117" i="10" a="1"/>
  <c r="BR117" i="10" s="1"/>
  <c r="BR137" i="10" a="1"/>
  <c r="BR137" i="10" s="1"/>
  <c r="BR125" i="10" a="1"/>
  <c r="BR125" i="10" s="1"/>
  <c r="BK169" i="10" a="1"/>
  <c r="BK169" i="10" s="1"/>
  <c r="BK181" i="10" a="1"/>
  <c r="BK181" i="10" s="1"/>
  <c r="BK105" i="10" a="1"/>
  <c r="BK105" i="10" s="1"/>
  <c r="BK154" i="10" a="1"/>
  <c r="BK154" i="10" s="1"/>
  <c r="BK111" i="10" a="1"/>
  <c r="BK111" i="10" s="1"/>
  <c r="BR173" i="10" a="1"/>
  <c r="BR173" i="10" s="1"/>
  <c r="BR183" i="10" a="1"/>
  <c r="BR183" i="10" s="1"/>
  <c r="BO163" i="10" a="1"/>
  <c r="BO163" i="10" s="1"/>
  <c r="BO183" i="10" a="1"/>
  <c r="BO183" i="10" s="1"/>
  <c r="BO157" i="10" a="1"/>
  <c r="BO157" i="10" s="1"/>
  <c r="BO145" i="10" a="1"/>
  <c r="BO145" i="10" s="1"/>
  <c r="BO110" i="10" a="1"/>
  <c r="BO110" i="10" s="1"/>
  <c r="BO118" i="10" a="1"/>
  <c r="BO118" i="10" s="1"/>
  <c r="BO115" i="10" a="1"/>
  <c r="BO115" i="10" s="1"/>
  <c r="BP197" i="10" a="1"/>
  <c r="BP197" i="10" s="1"/>
  <c r="BP175" i="10" a="1"/>
  <c r="BP175" i="10" s="1"/>
  <c r="BP133" i="10" a="1"/>
  <c r="BP133" i="10" s="1"/>
  <c r="BP136" i="10" a="1"/>
  <c r="BP136" i="10" s="1"/>
  <c r="BP131" i="10" a="1"/>
  <c r="BP131" i="10" s="1"/>
  <c r="BP172" i="10" a="1"/>
  <c r="BP172" i="10" s="1"/>
  <c r="BP168" i="10" a="1"/>
  <c r="BP168" i="10" s="1"/>
  <c r="BP125" i="10" a="1"/>
  <c r="BP125" i="10" s="1"/>
  <c r="BP109" i="10" a="1"/>
  <c r="BP109" i="10" s="1"/>
  <c r="BP123" i="10" a="1"/>
  <c r="BP123" i="10" s="1"/>
  <c r="BS194" i="10" a="1"/>
  <c r="BS194" i="10" s="1"/>
  <c r="BS171" i="10" a="1"/>
  <c r="BS171" i="10" s="1"/>
  <c r="BS139" i="10" a="1"/>
  <c r="BS139" i="10" s="1"/>
  <c r="BS161" i="10" a="1"/>
  <c r="BS161" i="10" s="1"/>
  <c r="BS126" i="10" a="1"/>
  <c r="BS126" i="10" s="1"/>
  <c r="BS136" i="10" a="1"/>
  <c r="BS136" i="10" s="1"/>
  <c r="BS165" i="10" a="1"/>
  <c r="BS165" i="10" s="1"/>
  <c r="BS156" i="10" a="1"/>
  <c r="BS156" i="10" s="1"/>
  <c r="BS116" i="10" a="1"/>
  <c r="BS116" i="10" s="1"/>
  <c r="BS117" i="10" a="1"/>
  <c r="BS117" i="10" s="1"/>
  <c r="BS123" i="10" a="1"/>
  <c r="BS123" i="10" s="1"/>
  <c r="BO182" i="10" a="1"/>
  <c r="BO182" i="10" s="1"/>
  <c r="BO179" i="10" a="1"/>
  <c r="BO179" i="10" s="1"/>
  <c r="BO151" i="10" a="1"/>
  <c r="BO151" i="10" s="1"/>
  <c r="BO143" i="10" a="1"/>
  <c r="BO143" i="10" s="1"/>
  <c r="BO109" i="10" a="1"/>
  <c r="BO109" i="10" s="1"/>
  <c r="BO117" i="10" a="1"/>
  <c r="BO117" i="10" s="1"/>
  <c r="BO127" i="10" a="1"/>
  <c r="BO127" i="10" s="1"/>
  <c r="BP176" i="10" a="1"/>
  <c r="BP176" i="10" s="1"/>
  <c r="BP165" i="10" a="1"/>
  <c r="BP165" i="10" s="1"/>
  <c r="BP121" i="10" a="1"/>
  <c r="BP121" i="10" s="1"/>
  <c r="BP119" i="10" a="1"/>
  <c r="BP119" i="10" s="1"/>
  <c r="BP130" i="10" a="1"/>
  <c r="BP130" i="10" s="1"/>
  <c r="BP144" i="10" a="1"/>
  <c r="BP144" i="10" s="1"/>
  <c r="BP155" i="10" a="1"/>
  <c r="BP155" i="10" s="1"/>
  <c r="BP167" i="10" a="1"/>
  <c r="BP167" i="10" s="1"/>
  <c r="BP105" i="10" a="1"/>
  <c r="BP105" i="10" s="1"/>
  <c r="BS190" i="10" a="1"/>
  <c r="BS190" i="10" s="1"/>
  <c r="BS169" i="10" a="1"/>
  <c r="BS169" i="10" s="1"/>
  <c r="BS197" i="10" a="1"/>
  <c r="BS197" i="10" s="1"/>
  <c r="BS134" i="10" a="1"/>
  <c r="BS134" i="10" s="1"/>
  <c r="BS157" i="10" a="1"/>
  <c r="BS157" i="10" s="1"/>
  <c r="BS125" i="10" a="1"/>
  <c r="BS125" i="10" s="1"/>
  <c r="BS167" i="10" a="1"/>
  <c r="BS167" i="10" s="1"/>
  <c r="BS162" i="10" a="1"/>
  <c r="BS162" i="10" s="1"/>
  <c r="BS147" i="10" a="1"/>
  <c r="BS147" i="10" s="1"/>
  <c r="BS115" i="10" a="1"/>
  <c r="BS115" i="10" s="1"/>
  <c r="BR167" i="10" a="1"/>
  <c r="BR167" i="10" s="1"/>
  <c r="BO197" i="10" a="1"/>
  <c r="BO197" i="10" s="1"/>
  <c r="BO160" i="10" a="1"/>
  <c r="BO160" i="10" s="1"/>
  <c r="BO150" i="10" a="1"/>
  <c r="BO150" i="10" s="1"/>
  <c r="BO144" i="10" a="1"/>
  <c r="BO144" i="10" s="1"/>
  <c r="BO105" i="10" a="1"/>
  <c r="BO105" i="10" s="1"/>
  <c r="BP174" i="10" a="1"/>
  <c r="BP174" i="10" s="1"/>
  <c r="BP164" i="10" a="1"/>
  <c r="BP164" i="10" s="1"/>
  <c r="BP120" i="10" a="1"/>
  <c r="BP120" i="10" s="1"/>
  <c r="BP117" i="10" a="1"/>
  <c r="BP117" i="10" s="1"/>
  <c r="BP124" i="10" a="1"/>
  <c r="BP124" i="10" s="1"/>
  <c r="BP139" i="10" a="1"/>
  <c r="BP139" i="10" s="1"/>
  <c r="BP183" i="10" a="1"/>
  <c r="BP183" i="10" s="1"/>
  <c r="BP166" i="10" a="1"/>
  <c r="BP166" i="10" s="1"/>
  <c r="BP138" i="10" a="1"/>
  <c r="BP138" i="10" s="1"/>
  <c r="BP126" i="10" a="1"/>
  <c r="BP126" i="10" s="1"/>
  <c r="BS170" i="10" a="1"/>
  <c r="BS170" i="10" s="1"/>
  <c r="BS164" i="10" a="1"/>
  <c r="BS164" i="10" s="1"/>
  <c r="BS191" i="10" a="1"/>
  <c r="BS191" i="10" s="1"/>
  <c r="BS128" i="10" a="1"/>
  <c r="BS128" i="10" s="1"/>
  <c r="BS135" i="10" a="1"/>
  <c r="BS135" i="10" s="1"/>
  <c r="BS110" i="10" a="1"/>
  <c r="BS110" i="10" s="1"/>
  <c r="BS153" i="10" a="1"/>
  <c r="BS153" i="10" s="1"/>
  <c r="BS151" i="10" a="1"/>
  <c r="BS151" i="10" s="1"/>
  <c r="BS155" i="10" a="1"/>
  <c r="BS155" i="10" s="1"/>
  <c r="BS114" i="10" a="1"/>
  <c r="BS114" i="10" s="1"/>
  <c r="BR165" i="10" a="1"/>
  <c r="BR165" i="10" s="1"/>
  <c r="BO190" i="10" a="1"/>
  <c r="BO190" i="10" s="1"/>
  <c r="BO192" i="10" a="1"/>
  <c r="BO192" i="10" s="1"/>
  <c r="BO154" i="10" a="1"/>
  <c r="BO154" i="10" s="1"/>
  <c r="BO148" i="10" a="1"/>
  <c r="BO148" i="10" s="1"/>
  <c r="BO139" i="10" a="1"/>
  <c r="BO139" i="10" s="1"/>
  <c r="BP198" i="10" a="1"/>
  <c r="BP198" i="10" s="1"/>
  <c r="BP162" i="10" a="1"/>
  <c r="BP162" i="10" s="1"/>
  <c r="BP199" i="10" a="1"/>
  <c r="BP199" i="10" s="1"/>
  <c r="BP180" i="10" a="1"/>
  <c r="BP180" i="10" s="1"/>
  <c r="BP190" i="10" a="1"/>
  <c r="BP190" i="10" s="1"/>
  <c r="BP118" i="10" a="1"/>
  <c r="BP118" i="10" s="1"/>
  <c r="BP177" i="10" a="1"/>
  <c r="BP177" i="10" s="1"/>
  <c r="BP171" i="10" a="1"/>
  <c r="BP171" i="10" s="1"/>
  <c r="BP160" i="10" a="1"/>
  <c r="BP160" i="10" s="1"/>
  <c r="BP122" i="10" a="1"/>
  <c r="BP122" i="10" s="1"/>
  <c r="BP112" i="10" a="1"/>
  <c r="BP112" i="10" s="1"/>
  <c r="BP110" i="10" a="1"/>
  <c r="BP110" i="10" s="1"/>
  <c r="BR163" i="10" a="1"/>
  <c r="BR163" i="10" s="1"/>
  <c r="BO175" i="10" a="1"/>
  <c r="BO175" i="10" s="1"/>
  <c r="BO137" i="10" a="1"/>
  <c r="BO137" i="10" s="1"/>
  <c r="BO142" i="10" a="1"/>
  <c r="BO142" i="10" s="1"/>
  <c r="BO173" i="10" a="1"/>
  <c r="BO173" i="10" s="1"/>
  <c r="BP182" i="10" a="1"/>
  <c r="BP182" i="10" s="1"/>
  <c r="BP161" i="10" a="1"/>
  <c r="BP161" i="10" s="1"/>
  <c r="BP195" i="10" a="1"/>
  <c r="BP195" i="10" s="1"/>
  <c r="BP151" i="10" a="1"/>
  <c r="BP151" i="10" s="1"/>
  <c r="BP156" i="10" a="1"/>
  <c r="BP156" i="10" s="1"/>
  <c r="BP146" i="10" a="1"/>
  <c r="BP146" i="10" s="1"/>
  <c r="BP173" i="10" a="1"/>
  <c r="BP173" i="10" s="1"/>
  <c r="BP169" i="10" a="1"/>
  <c r="BP169" i="10" s="1"/>
  <c r="BP157" i="10" a="1"/>
  <c r="BP157" i="10" s="1"/>
  <c r="BP128" i="10" a="1"/>
  <c r="BP128" i="10" s="1"/>
  <c r="BO166" i="10" a="1"/>
  <c r="BO166" i="10" s="1"/>
  <c r="BO134" i="10" a="1"/>
  <c r="BO134" i="10" s="1"/>
  <c r="BO121" i="10" a="1"/>
  <c r="BO121" i="10" s="1"/>
  <c r="BO158" i="10" a="1"/>
  <c r="BO158" i="10" s="1"/>
  <c r="BO124" i="10" a="1"/>
  <c r="BO124" i="10" s="1"/>
  <c r="BP178" i="10" a="1"/>
  <c r="BP178" i="10" s="1"/>
  <c r="BP194" i="10" a="1"/>
  <c r="BP194" i="10" s="1"/>
  <c r="BP150" i="10" a="1"/>
  <c r="BP150" i="10" s="1"/>
  <c r="BP153" i="10" a="1"/>
  <c r="BP153" i="10" s="1"/>
  <c r="BP145" i="10" a="1"/>
  <c r="BP145" i="10" s="1"/>
  <c r="BP158" i="10" a="1"/>
  <c r="BP158" i="10" s="1"/>
  <c r="BP134" i="10" a="1"/>
  <c r="BP134" i="10" s="1"/>
  <c r="BP154" i="10" a="1"/>
  <c r="BP154" i="10" s="1"/>
  <c r="BP116" i="10" a="1"/>
  <c r="BP116" i="10" s="1"/>
  <c r="BP127" i="10" a="1"/>
  <c r="BP127" i="10" s="1"/>
  <c r="BR126" i="10" a="1"/>
  <c r="BR126" i="10" s="1"/>
  <c r="BO165" i="10" a="1"/>
  <c r="BO165" i="10" s="1"/>
  <c r="BO181" i="10" a="1"/>
  <c r="BO181" i="10" s="1"/>
  <c r="BO161" i="10" a="1"/>
  <c r="BO161" i="10" s="1"/>
  <c r="BO155" i="10" a="1"/>
  <c r="BO155" i="10" s="1"/>
  <c r="BO114" i="10" a="1"/>
  <c r="BO114" i="10" s="1"/>
  <c r="BP163" i="10" a="1"/>
  <c r="BP163" i="10" s="1"/>
  <c r="BP192" i="10" a="1"/>
  <c r="BP192" i="10" s="1"/>
  <c r="BP196" i="10" a="1"/>
  <c r="BP196" i="10" s="1"/>
  <c r="BP149" i="10" a="1"/>
  <c r="BP149" i="10" s="1"/>
  <c r="BP147" i="10" a="1"/>
  <c r="BP147" i="10" s="1"/>
  <c r="BP143" i="10" a="1"/>
  <c r="BP143" i="10" s="1"/>
  <c r="BP135" i="10" a="1"/>
  <c r="BP135" i="10" s="1"/>
  <c r="BP179" i="10" a="1"/>
  <c r="BP179" i="10" s="1"/>
  <c r="BP141" i="10" a="1"/>
  <c r="BP141" i="10" s="1"/>
  <c r="BP115" i="10" a="1"/>
  <c r="BP115" i="10" s="1"/>
  <c r="BP113" i="10" a="1"/>
  <c r="BP113" i="10" s="1"/>
  <c r="BS199" i="10" a="1"/>
  <c r="BS199" i="10" s="1"/>
  <c r="BS173" i="10" a="1"/>
  <c r="BS173" i="10" s="1"/>
  <c r="BS182" i="10" a="1"/>
  <c r="BS182" i="10" s="1"/>
  <c r="BS158" i="10" a="1"/>
  <c r="BS158" i="10" s="1"/>
  <c r="BS105" i="10" a="1"/>
  <c r="BS105" i="10" s="1"/>
  <c r="BS150" i="10" a="1"/>
  <c r="BS150" i="10" s="1"/>
  <c r="BS183" i="10" a="1"/>
  <c r="BS183" i="10" s="1"/>
  <c r="BS180" i="10" a="1"/>
  <c r="BS180" i="10" s="1"/>
  <c r="BS131" i="10" a="1"/>
  <c r="BS131" i="10" s="1"/>
  <c r="BS130" i="10" a="1"/>
  <c r="BS130" i="10" s="1"/>
  <c r="BR139" i="10" a="1"/>
  <c r="BR139" i="10" s="1"/>
  <c r="BO199" i="10" a="1"/>
  <c r="BO199" i="10" s="1"/>
  <c r="BO180" i="10" a="1"/>
  <c r="BO180" i="10" s="1"/>
  <c r="BO156" i="10" a="1"/>
  <c r="BO156" i="10" s="1"/>
  <c r="BO138" i="10" a="1"/>
  <c r="BO138" i="10" s="1"/>
  <c r="BP181" i="10" a="1"/>
  <c r="BP181" i="10" s="1"/>
  <c r="BP193" i="10" a="1"/>
  <c r="BP193" i="10" s="1"/>
  <c r="BP148" i="10" a="1"/>
  <c r="BP148" i="10" s="1"/>
  <c r="BP142" i="10" a="1"/>
  <c r="BP142" i="10" s="1"/>
  <c r="BP132" i="10" a="1"/>
  <c r="BP132" i="10" s="1"/>
  <c r="BP191" i="10" a="1"/>
  <c r="BP191" i="10" s="1"/>
  <c r="BP170" i="10" a="1"/>
  <c r="BP170" i="10" s="1"/>
  <c r="BP137" i="10" a="1"/>
  <c r="BP137" i="10" s="1"/>
  <c r="BP114" i="10" a="1"/>
  <c r="BP114" i="10" s="1"/>
  <c r="BP111" i="10" a="1"/>
  <c r="BP111" i="10" s="1"/>
  <c r="AT124" i="10" a="1"/>
  <c r="AT124" i="10" s="1"/>
  <c r="AT143" i="10" a="1"/>
  <c r="AT143" i="10" s="1"/>
  <c r="BL121" i="10" a="1"/>
  <c r="BL121" i="10" s="1"/>
  <c r="AT114" i="10" a="1"/>
  <c r="AT114" i="10" s="1"/>
  <c r="AT148" i="10" a="1"/>
  <c r="AT148" i="10" s="1"/>
  <c r="AT163" i="10" a="1"/>
  <c r="AT163" i="10" s="1"/>
  <c r="N33" i="4"/>
  <c r="O42" i="9" s="1"/>
  <c r="AC42" i="9" s="1"/>
  <c r="AT105" i="10" a="1"/>
  <c r="AT105" i="10" s="1"/>
  <c r="AT106" i="10" s="1"/>
  <c r="AB183" i="10" a="1"/>
  <c r="AB183" i="10" s="1"/>
  <c r="AB177" i="10" a="1"/>
  <c r="AB177" i="10" s="1"/>
  <c r="AB166" i="10" a="1"/>
  <c r="AB166" i="10" s="1"/>
  <c r="AT133" i="10" a="1"/>
  <c r="AT133" i="10" s="1"/>
  <c r="AT121" i="10" a="1"/>
  <c r="AT121" i="10" s="1"/>
  <c r="AB198" i="10" a="1"/>
  <c r="AB198" i="10" s="1"/>
  <c r="AT170" i="10" a="1"/>
  <c r="AT170" i="10" s="1"/>
  <c r="AT122" i="10" a="1"/>
  <c r="AT122" i="10" s="1"/>
  <c r="AT123" i="10" a="1"/>
  <c r="AT123" i="10" s="1"/>
  <c r="AT157" i="10" a="1"/>
  <c r="AT157" i="10" s="1"/>
  <c r="BL113" i="10" a="1"/>
  <c r="BL113" i="10" s="1"/>
  <c r="BL131" i="10" a="1"/>
  <c r="BL131" i="10" s="1"/>
  <c r="AT183" i="10" a="1"/>
  <c r="AT183" i="10" s="1"/>
  <c r="AT194" i="10" a="1"/>
  <c r="AT194" i="10" s="1"/>
  <c r="BL150" i="10" a="1"/>
  <c r="BL150" i="10" s="1"/>
  <c r="BL161" i="10" a="1"/>
  <c r="BL161" i="10" s="1"/>
  <c r="BL141" i="10" a="1"/>
  <c r="BL141" i="10" s="1"/>
  <c r="BL122" i="10" a="1"/>
  <c r="BL122" i="10" s="1"/>
  <c r="AT182" i="10" a="1"/>
  <c r="AT182" i="10" s="1"/>
  <c r="BL146" i="10" a="1"/>
  <c r="BL146" i="10" s="1"/>
  <c r="BL135" i="10" a="1"/>
  <c r="BL135" i="10" s="1"/>
  <c r="BL190" i="10" a="1"/>
  <c r="BL190" i="10" s="1"/>
  <c r="BL160" i="10" a="1"/>
  <c r="BL160" i="10" s="1"/>
  <c r="AI110" i="10" a="1"/>
  <c r="AI110" i="10" s="1"/>
  <c r="AI147" i="10" a="1"/>
  <c r="AI147" i="10" s="1"/>
  <c r="AI125" i="10" a="1"/>
  <c r="AI125" i="10" s="1"/>
  <c r="AI156" i="10" a="1"/>
  <c r="AI156" i="10" s="1"/>
  <c r="AI122" i="10" a="1"/>
  <c r="AI122" i="10" s="1"/>
  <c r="BA125" i="10" a="1"/>
  <c r="BA125" i="10" s="1"/>
  <c r="BA110" i="10" a="1"/>
  <c r="BA110" i="10" s="1"/>
  <c r="BA180" i="10" a="1"/>
  <c r="BA180" i="10" s="1"/>
  <c r="BA128" i="10" a="1"/>
  <c r="BA128" i="10" s="1"/>
  <c r="BS124" i="10" a="1"/>
  <c r="BS124" i="10" s="1"/>
  <c r="BA177" i="10" a="1"/>
  <c r="BA177" i="10" s="1"/>
  <c r="BS127" i="10" a="1"/>
  <c r="BS127" i="10" s="1"/>
  <c r="BS179" i="10" a="1"/>
  <c r="BS179" i="10" s="1"/>
  <c r="BA195" i="10" a="1"/>
  <c r="BA195" i="10" s="1"/>
  <c r="BS174" i="10" a="1"/>
  <c r="BS174" i="10" s="1"/>
  <c r="BS196" i="10" a="1"/>
  <c r="BS196" i="10" s="1"/>
  <c r="BS198" i="10" a="1"/>
  <c r="BS198" i="10" s="1"/>
  <c r="AF195" i="10" a="1"/>
  <c r="AF195" i="10" s="1"/>
  <c r="N48" i="4"/>
  <c r="O19" i="9" s="1"/>
  <c r="AC19" i="9" s="1"/>
  <c r="O6" i="9"/>
  <c r="AC6" i="9" s="1"/>
  <c r="P6" i="9"/>
  <c r="N152" i="10"/>
  <c r="R159" i="10"/>
  <c r="H184" i="10"/>
  <c r="I129" i="10"/>
  <c r="O159" i="10"/>
  <c r="AD112" i="9"/>
  <c r="F55" i="10" s="1"/>
  <c r="G154" i="10"/>
  <c r="F81" i="10"/>
  <c r="F180" i="10"/>
  <c r="S180" i="10" s="1"/>
  <c r="F73" i="10"/>
  <c r="F172" i="10"/>
  <c r="S172" i="10" s="1"/>
  <c r="F136" i="10"/>
  <c r="F37" i="10"/>
  <c r="G155" i="10"/>
  <c r="F65" i="10"/>
  <c r="F164" i="10"/>
  <c r="S164" i="10" s="1"/>
  <c r="F173" i="10"/>
  <c r="S173" i="10" s="1"/>
  <c r="F74" i="10"/>
  <c r="G112" i="10"/>
  <c r="F42" i="10"/>
  <c r="F141" i="10"/>
  <c r="F105" i="10"/>
  <c r="F106" i="10" s="1"/>
  <c r="F6" i="10"/>
  <c r="F7" i="10" s="1"/>
  <c r="F169" i="10"/>
  <c r="S169" i="10" s="1"/>
  <c r="F70" i="10"/>
  <c r="F112" i="10"/>
  <c r="F28" i="10"/>
  <c r="F127" i="10"/>
  <c r="F174" i="10"/>
  <c r="S174" i="10" s="1"/>
  <c r="F75" i="10"/>
  <c r="F62" i="10"/>
  <c r="F161" i="10"/>
  <c r="S161" i="10" s="1"/>
  <c r="F137" i="10"/>
  <c r="S137" i="10" s="1"/>
  <c r="F38" i="10"/>
  <c r="F21" i="10"/>
  <c r="F120" i="10"/>
  <c r="S120" i="10" s="1"/>
  <c r="AC144" i="9"/>
  <c r="AC129" i="9"/>
  <c r="J159" i="10"/>
  <c r="AC17" i="9"/>
  <c r="AC87" i="9"/>
  <c r="AC81" i="9"/>
  <c r="AC11" i="9"/>
  <c r="AC78" i="9"/>
  <c r="AC130" i="9"/>
  <c r="L159" i="10"/>
  <c r="L187" i="10" s="1"/>
  <c r="Q159" i="10"/>
  <c r="AC27" i="9"/>
  <c r="AC35" i="9"/>
  <c r="AC145" i="9"/>
  <c r="AC138" i="9"/>
  <c r="N159" i="10"/>
  <c r="P184" i="10"/>
  <c r="M159" i="10"/>
  <c r="Q129" i="10"/>
  <c r="H159" i="10"/>
  <c r="CK152" i="10"/>
  <c r="G106" i="10"/>
  <c r="J184" i="10"/>
  <c r="M129" i="10"/>
  <c r="P129" i="10"/>
  <c r="O129" i="10"/>
  <c r="AC150" i="9"/>
  <c r="I159" i="10"/>
  <c r="N184" i="10"/>
  <c r="R184" i="10"/>
  <c r="J140" i="10"/>
  <c r="K159" i="10"/>
  <c r="K187" i="10" s="1"/>
  <c r="P159" i="10"/>
  <c r="N129" i="10"/>
  <c r="CC200" i="10"/>
  <c r="O36" i="9"/>
  <c r="AC36" i="9" s="1"/>
  <c r="AC29" i="9"/>
  <c r="AC32" i="9"/>
  <c r="AC24" i="9"/>
  <c r="AC23" i="9"/>
  <c r="AC16" i="9"/>
  <c r="AC40" i="9"/>
  <c r="AC28" i="9"/>
  <c r="AC20" i="9"/>
  <c r="AC12" i="9"/>
  <c r="AC18" i="9"/>
  <c r="AC31" i="9"/>
  <c r="AC25" i="9"/>
  <c r="N31" i="6"/>
  <c r="O153" i="9" s="1"/>
  <c r="AC153" i="9" s="1"/>
  <c r="N33" i="6"/>
  <c r="O154" i="9" s="1"/>
  <c r="AC154" i="9" s="1"/>
  <c r="N16" i="6"/>
  <c r="O141" i="9" s="1"/>
  <c r="AC141" i="9" s="1"/>
  <c r="N25" i="6"/>
  <c r="O146" i="9" s="1"/>
  <c r="AC146" i="9" s="1"/>
  <c r="N30" i="6"/>
  <c r="O152" i="9" s="1"/>
  <c r="AC152" i="9" s="1"/>
  <c r="N6" i="6"/>
  <c r="O132" i="9" s="1"/>
  <c r="AC132" i="9" s="1"/>
  <c r="AE111" i="9"/>
  <c r="O147" i="9"/>
  <c r="AC147" i="9" s="1"/>
  <c r="O37" i="6"/>
  <c r="P157" i="9" s="1"/>
  <c r="N43" i="6"/>
  <c r="O131" i="9" s="1"/>
  <c r="AC131" i="9" s="1"/>
  <c r="N7" i="6"/>
  <c r="O133" i="9" s="1"/>
  <c r="AC133" i="9" s="1"/>
  <c r="N22" i="6"/>
  <c r="O143" i="9" s="1"/>
  <c r="AC143" i="9" s="1"/>
  <c r="N27" i="6"/>
  <c r="N14" i="6"/>
  <c r="O139" i="9" s="1"/>
  <c r="AC139" i="9" s="1"/>
  <c r="O38" i="6"/>
  <c r="P158" i="9" s="1"/>
  <c r="N9" i="6"/>
  <c r="O134" i="9" s="1"/>
  <c r="AC134" i="9" s="1"/>
  <c r="N15" i="6"/>
  <c r="O140" i="9" s="1"/>
  <c r="AC140" i="9" s="1"/>
  <c r="N20" i="6"/>
  <c r="O149" i="9" s="1"/>
  <c r="AC149" i="9" s="1"/>
  <c r="N40" i="6"/>
  <c r="O128" i="9" s="1"/>
  <c r="AC128" i="9" s="1"/>
  <c r="N10" i="6"/>
  <c r="O135" i="9" s="1"/>
  <c r="AC135" i="9" s="1"/>
  <c r="AE114" i="9"/>
  <c r="O35" i="6"/>
  <c r="P155" i="9" s="1"/>
  <c r="N11" i="6"/>
  <c r="O136" i="9" s="1"/>
  <c r="AC136" i="9" s="1"/>
  <c r="N12" i="6"/>
  <c r="O137" i="9" s="1"/>
  <c r="AC137" i="9" s="1"/>
  <c r="AE110" i="9"/>
  <c r="N17" i="6"/>
  <c r="O142" i="9" s="1"/>
  <c r="AC142" i="9" s="1"/>
  <c r="N29" i="6"/>
  <c r="O151" i="9" s="1"/>
  <c r="AC151" i="9" s="1"/>
  <c r="AC33" i="9"/>
  <c r="AC34" i="9"/>
  <c r="N17" i="5"/>
  <c r="O123" i="9" s="1"/>
  <c r="AC37" i="9"/>
  <c r="AC13" i="9"/>
  <c r="N6" i="5"/>
  <c r="O115" i="9" s="1"/>
  <c r="AC115" i="9" s="1"/>
  <c r="AC15" i="9"/>
  <c r="N7" i="5"/>
  <c r="O116" i="9" s="1"/>
  <c r="AC116" i="9" s="1"/>
  <c r="N15" i="5"/>
  <c r="O122" i="9" s="1"/>
  <c r="AC122" i="9" s="1"/>
  <c r="N26" i="5"/>
  <c r="O113" i="9" s="1"/>
  <c r="N29" i="5"/>
  <c r="O110" i="9" s="1"/>
  <c r="N20" i="5"/>
  <c r="O125" i="9" s="1"/>
  <c r="AC38" i="9"/>
  <c r="N24" i="5"/>
  <c r="O111" i="9" s="1"/>
  <c r="AE124" i="9"/>
  <c r="N25" i="5"/>
  <c r="O112" i="9" s="1"/>
  <c r="AE125" i="9"/>
  <c r="AC22" i="9"/>
  <c r="N8" i="5"/>
  <c r="O117" i="9" s="1"/>
  <c r="AE117" i="9"/>
  <c r="AD117" i="9" s="1"/>
  <c r="AC39" i="9"/>
  <c r="N14" i="5"/>
  <c r="O121" i="9" s="1"/>
  <c r="AC121" i="9" s="1"/>
  <c r="N9" i="5"/>
  <c r="O118" i="9" s="1"/>
  <c r="AE118" i="9"/>
  <c r="AD118" i="9" s="1"/>
  <c r="O22" i="5"/>
  <c r="AC26" i="9"/>
  <c r="AC14" i="9"/>
  <c r="AC30" i="9"/>
  <c r="N10" i="5"/>
  <c r="O119" i="9" s="1"/>
  <c r="AC119" i="9" s="1"/>
  <c r="N38" i="4"/>
  <c r="O7" i="9" s="1"/>
  <c r="AC7" i="9" s="1"/>
  <c r="N39" i="4"/>
  <c r="O8" i="9" s="1"/>
  <c r="AC8" i="9" s="1"/>
  <c r="N40" i="4"/>
  <c r="O9" i="9" s="1"/>
  <c r="AC9" i="9" s="1"/>
  <c r="N41" i="4"/>
  <c r="O10" i="9" s="1"/>
  <c r="AC10" i="9" s="1"/>
  <c r="O21" i="5"/>
  <c r="O148" i="9" l="1"/>
  <c r="AC148" i="9" s="1"/>
  <c r="AA36" i="6"/>
  <c r="G153" i="10"/>
  <c r="CJ159" i="10"/>
  <c r="G118" i="10"/>
  <c r="AD120" i="9"/>
  <c r="AD113" i="9"/>
  <c r="AC113" i="9" s="1"/>
  <c r="G156" i="10"/>
  <c r="G115" i="10"/>
  <c r="G192" i="10"/>
  <c r="AB152" i="10"/>
  <c r="AC140" i="10"/>
  <c r="AD184" i="10"/>
  <c r="AJ200" i="10"/>
  <c r="CE129" i="10"/>
  <c r="AA159" i="10"/>
  <c r="CD152" i="10"/>
  <c r="H185" i="10"/>
  <c r="CD200" i="10"/>
  <c r="U75" i="3"/>
  <c r="Y75" i="3"/>
  <c r="AA75" i="3"/>
  <c r="V75" i="3"/>
  <c r="X47" i="3"/>
  <c r="X20" i="3"/>
  <c r="Z20" i="3"/>
  <c r="W20" i="3"/>
  <c r="X75" i="3"/>
  <c r="Z75" i="3"/>
  <c r="Y47" i="3"/>
  <c r="W47" i="3"/>
  <c r="AA20" i="3"/>
  <c r="Y20" i="3"/>
  <c r="AC20" i="3"/>
  <c r="W75" i="3"/>
  <c r="AC75" i="3"/>
  <c r="T47" i="3"/>
  <c r="Z47" i="3"/>
  <c r="V47" i="3"/>
  <c r="AB47" i="3"/>
  <c r="AB75" i="3"/>
  <c r="AB20" i="3"/>
  <c r="V20" i="3"/>
  <c r="T75" i="3"/>
  <c r="AA47" i="3"/>
  <c r="AC47" i="3"/>
  <c r="U47" i="3"/>
  <c r="T20" i="3"/>
  <c r="U20" i="3"/>
  <c r="AC117" i="9"/>
  <c r="AD152" i="10"/>
  <c r="I185" i="10"/>
  <c r="BR106" i="10"/>
  <c r="AA80" i="3"/>
  <c r="AA107" i="3" s="1"/>
  <c r="BT106" i="10"/>
  <c r="AC80" i="3"/>
  <c r="AC107" i="3" s="1"/>
  <c r="BM106" i="10"/>
  <c r="V80" i="3"/>
  <c r="V107" i="3" s="1"/>
  <c r="M185" i="10"/>
  <c r="O185" i="10"/>
  <c r="BO106" i="10"/>
  <c r="X80" i="3"/>
  <c r="X107" i="3" s="1"/>
  <c r="BP106" i="10"/>
  <c r="Y80" i="3"/>
  <c r="Y107" i="3" s="1"/>
  <c r="BK106" i="10"/>
  <c r="T80" i="3"/>
  <c r="T107" i="3" s="1"/>
  <c r="BN106" i="10"/>
  <c r="W80" i="3"/>
  <c r="W107" i="3" s="1"/>
  <c r="BL106" i="10"/>
  <c r="U80" i="3"/>
  <c r="U107" i="3" s="1"/>
  <c r="AD159" i="10"/>
  <c r="BS106" i="10"/>
  <c r="AB80" i="3"/>
  <c r="AB107" i="3" s="1"/>
  <c r="BQ106" i="10"/>
  <c r="Z80" i="3"/>
  <c r="Z107" i="3" s="1"/>
  <c r="J185" i="10"/>
  <c r="N185" i="10"/>
  <c r="L185" i="10"/>
  <c r="K185" i="10"/>
  <c r="Q185" i="10"/>
  <c r="P185" i="10"/>
  <c r="CK159" i="10"/>
  <c r="CD159" i="10"/>
  <c r="AG106" i="10"/>
  <c r="AJ106" i="10"/>
  <c r="AH106" i="10"/>
  <c r="AI106" i="10"/>
  <c r="AC106" i="10"/>
  <c r="AE106" i="10"/>
  <c r="AF106" i="10"/>
  <c r="AA106" i="10"/>
  <c r="AD106" i="10"/>
  <c r="AB106" i="10"/>
  <c r="AC112" i="9"/>
  <c r="AB140" i="10"/>
  <c r="CK200" i="10"/>
  <c r="AJ184" i="10"/>
  <c r="CH200" i="10"/>
  <c r="AH159" i="10"/>
  <c r="AJ152" i="10"/>
  <c r="CJ140" i="10"/>
  <c r="CC159" i="10"/>
  <c r="CH159" i="10"/>
  <c r="AH200" i="10"/>
  <c r="AG129" i="10"/>
  <c r="AA152" i="10"/>
  <c r="AD140" i="10"/>
  <c r="AC152" i="10"/>
  <c r="AD129" i="10"/>
  <c r="AC159" i="10"/>
  <c r="AC200" i="10"/>
  <c r="AD200" i="10"/>
  <c r="AC129" i="10"/>
  <c r="AC184" i="10"/>
  <c r="AG159" i="10"/>
  <c r="AA200" i="10"/>
  <c r="AJ129" i="10"/>
  <c r="AY159" i="10"/>
  <c r="CI159" i="10"/>
  <c r="CI152" i="10"/>
  <c r="AE159" i="10"/>
  <c r="AG140" i="10"/>
  <c r="AG184" i="10"/>
  <c r="AA184" i="10"/>
  <c r="AH184" i="10"/>
  <c r="O187" i="10"/>
  <c r="AB159" i="10"/>
  <c r="AF152" i="10"/>
  <c r="BR129" i="10"/>
  <c r="CD140" i="10"/>
  <c r="CK129" i="10"/>
  <c r="CG152" i="10"/>
  <c r="BB159" i="10"/>
  <c r="BB140" i="10"/>
  <c r="AT159" i="10"/>
  <c r="CL184" i="10"/>
  <c r="CL159" i="10"/>
  <c r="CC184" i="10"/>
  <c r="CK184" i="10"/>
  <c r="CI200" i="10"/>
  <c r="CH140" i="10"/>
  <c r="AV200" i="10"/>
  <c r="CC140" i="10"/>
  <c r="CG200" i="10"/>
  <c r="CF159" i="10"/>
  <c r="CE140" i="10"/>
  <c r="CI129" i="10"/>
  <c r="CI184" i="10"/>
  <c r="CF140" i="10"/>
  <c r="CH184" i="10"/>
  <c r="CL140" i="10"/>
  <c r="CJ129" i="10"/>
  <c r="CE200" i="10"/>
  <c r="CG129" i="10"/>
  <c r="CI140" i="10"/>
  <c r="CH152" i="10"/>
  <c r="CL200" i="10"/>
  <c r="CC129" i="10"/>
  <c r="CD129" i="10"/>
  <c r="CL129" i="10"/>
  <c r="CF200" i="10"/>
  <c r="CG184" i="10"/>
  <c r="CF129" i="10"/>
  <c r="CG140" i="10"/>
  <c r="CJ200" i="10"/>
  <c r="CF152" i="10"/>
  <c r="CE184" i="10"/>
  <c r="CE152" i="10"/>
  <c r="CL152" i="10"/>
  <c r="CK140" i="10"/>
  <c r="CG159" i="10"/>
  <c r="CD184" i="10"/>
  <c r="CJ184" i="10"/>
  <c r="CE159" i="10"/>
  <c r="CJ152" i="10"/>
  <c r="CF184" i="10"/>
  <c r="CH129" i="10"/>
  <c r="CC152" i="10"/>
  <c r="BK152" i="10"/>
  <c r="BQ152" i="10"/>
  <c r="AZ129" i="10"/>
  <c r="AS129" i="10"/>
  <c r="AV152" i="10"/>
  <c r="AY200" i="10"/>
  <c r="BB200" i="10"/>
  <c r="AV140" i="10"/>
  <c r="AU184" i="10"/>
  <c r="AU200" i="10"/>
  <c r="BB184" i="10"/>
  <c r="AV129" i="10"/>
  <c r="AX140" i="10"/>
  <c r="BS140" i="10"/>
  <c r="AI184" i="10"/>
  <c r="AE140" i="10"/>
  <c r="AE152" i="10"/>
  <c r="AF184" i="10"/>
  <c r="AE184" i="10"/>
  <c r="AA129" i="10"/>
  <c r="AB184" i="10"/>
  <c r="BO129" i="10"/>
  <c r="AI200" i="10"/>
  <c r="AS152" i="10"/>
  <c r="AY152" i="10"/>
  <c r="BB129" i="10"/>
  <c r="AV184" i="10"/>
  <c r="AS200" i="10"/>
  <c r="AY140" i="10"/>
  <c r="AU152" i="10"/>
  <c r="AB200" i="10"/>
  <c r="BA200" i="10"/>
  <c r="AE129" i="10"/>
  <c r="AH152" i="10"/>
  <c r="AG152" i="10"/>
  <c r="AE200" i="10"/>
  <c r="BP140" i="10"/>
  <c r="BN200" i="10"/>
  <c r="AZ152" i="10"/>
  <c r="BB152" i="10"/>
  <c r="AU159" i="10"/>
  <c r="AU129" i="10"/>
  <c r="AU140" i="10"/>
  <c r="AV159" i="10"/>
  <c r="AF129" i="10"/>
  <c r="AI129" i="10"/>
  <c r="AF200" i="10"/>
  <c r="AH129" i="10"/>
  <c r="AH140" i="10"/>
  <c r="AA140" i="10"/>
  <c r="AG200" i="10"/>
  <c r="BS152" i="10"/>
  <c r="AW129" i="10"/>
  <c r="BK140" i="10"/>
  <c r="BN152" i="10"/>
  <c r="AS159" i="10"/>
  <c r="BT159" i="10"/>
  <c r="AZ200" i="10"/>
  <c r="BO159" i="10"/>
  <c r="I187" i="10"/>
  <c r="BL184" i="10"/>
  <c r="BL152" i="10"/>
  <c r="BR184" i="10"/>
  <c r="BS200" i="10"/>
  <c r="BO184" i="10"/>
  <c r="BP152" i="10"/>
  <c r="BR200" i="10"/>
  <c r="BK129" i="10"/>
  <c r="BR159" i="10"/>
  <c r="BQ200" i="10"/>
  <c r="BK159" i="10"/>
  <c r="BQ129" i="10"/>
  <c r="BM159" i="10"/>
  <c r="BT140" i="10"/>
  <c r="BT152" i="10"/>
  <c r="BN140" i="10"/>
  <c r="AT129" i="10"/>
  <c r="BA159" i="10"/>
  <c r="AI140" i="10"/>
  <c r="AT152" i="10"/>
  <c r="AT140" i="10"/>
  <c r="BA140" i="10"/>
  <c r="AX129" i="10"/>
  <c r="AW152" i="10"/>
  <c r="BA152" i="10"/>
  <c r="AX152" i="10"/>
  <c r="BA184" i="10"/>
  <c r="AX200" i="10"/>
  <c r="AZ140" i="10"/>
  <c r="AZ159" i="10"/>
  <c r="AW159" i="10"/>
  <c r="AZ184" i="10"/>
  <c r="BL200" i="10"/>
  <c r="BS184" i="10"/>
  <c r="BM184" i="10"/>
  <c r="BT200" i="10"/>
  <c r="BN129" i="10"/>
  <c r="AF140" i="10"/>
  <c r="AI152" i="10"/>
  <c r="AX159" i="10"/>
  <c r="AW184" i="10"/>
  <c r="AX184" i="10"/>
  <c r="AW200" i="10"/>
  <c r="BL129" i="10"/>
  <c r="BS159" i="10"/>
  <c r="BM129" i="10"/>
  <c r="BS129" i="10"/>
  <c r="AY129" i="10"/>
  <c r="AY184" i="10"/>
  <c r="BA129" i="10"/>
  <c r="AT200" i="10"/>
  <c r="AT184" i="10"/>
  <c r="BP200" i="10"/>
  <c r="BP129" i="10"/>
  <c r="BO140" i="10"/>
  <c r="BQ159" i="10"/>
  <c r="BT184" i="10"/>
  <c r="AC118" i="9"/>
  <c r="BL140" i="10"/>
  <c r="BP184" i="10"/>
  <c r="BR140" i="10"/>
  <c r="BR152" i="10"/>
  <c r="BT129" i="10"/>
  <c r="BQ140" i="10"/>
  <c r="BN184" i="10"/>
  <c r="BM200" i="10"/>
  <c r="BM152" i="10"/>
  <c r="AF159" i="10"/>
  <c r="AI159" i="10"/>
  <c r="BL159" i="10"/>
  <c r="AB129" i="10"/>
  <c r="AS140" i="10"/>
  <c r="AS184" i="10"/>
  <c r="AJ159" i="10"/>
  <c r="BK200" i="10"/>
  <c r="BM140" i="10"/>
  <c r="BO200" i="10"/>
  <c r="BP159" i="10"/>
  <c r="BO152" i="10"/>
  <c r="BN159" i="10"/>
  <c r="BK184" i="10"/>
  <c r="AW140" i="10"/>
  <c r="BQ184" i="10"/>
  <c r="AJ140" i="10"/>
  <c r="H187" i="10"/>
  <c r="S105" i="10"/>
  <c r="F154" i="10"/>
  <c r="S154" i="10" s="1"/>
  <c r="G150" i="10"/>
  <c r="F150" i="10"/>
  <c r="F152" i="10" s="1"/>
  <c r="F51" i="10"/>
  <c r="F53" i="10" s="1"/>
  <c r="S106" i="10"/>
  <c r="F140" i="10"/>
  <c r="S140" i="10" s="1"/>
  <c r="J187" i="10"/>
  <c r="Q187" i="10"/>
  <c r="S136" i="10"/>
  <c r="M187" i="10"/>
  <c r="AD125" i="9"/>
  <c r="AD114" i="9"/>
  <c r="F184" i="10"/>
  <c r="S184" i="10" s="1"/>
  <c r="AD111" i="9"/>
  <c r="N187" i="10"/>
  <c r="AD124" i="9"/>
  <c r="S141" i="10"/>
  <c r="AD110" i="9"/>
  <c r="S112" i="10"/>
  <c r="P187" i="10"/>
  <c r="F85" i="10"/>
  <c r="S127" i="10"/>
  <c r="N38" i="6"/>
  <c r="O158" i="9" s="1"/>
  <c r="AC158" i="9" s="1"/>
  <c r="N37" i="6"/>
  <c r="O157" i="9" s="1"/>
  <c r="AC157" i="9" s="1"/>
  <c r="N35" i="6"/>
  <c r="O155" i="9" s="1"/>
  <c r="AC155" i="9" s="1"/>
  <c r="N21" i="5"/>
  <c r="O126" i="9" s="1"/>
  <c r="AC126" i="9" s="1"/>
  <c r="AE123" i="9"/>
  <c r="BJ137" i="10" s="1" a="1"/>
  <c r="BJ137" i="10" s="1"/>
  <c r="N22" i="5"/>
  <c r="O127" i="9" s="1"/>
  <c r="AC127" i="9" s="1"/>
  <c r="Q116" i="3"/>
  <c r="L96" i="3"/>
  <c r="K96" i="3"/>
  <c r="J96" i="3"/>
  <c r="I96" i="3"/>
  <c r="H96" i="3"/>
  <c r="G96" i="3"/>
  <c r="F96" i="3"/>
  <c r="E96" i="3"/>
  <c r="D96" i="3"/>
  <c r="L94" i="3"/>
  <c r="K94" i="3"/>
  <c r="J94" i="3"/>
  <c r="I94" i="3"/>
  <c r="H94" i="3"/>
  <c r="G94" i="3"/>
  <c r="F94" i="3"/>
  <c r="E94" i="3"/>
  <c r="L82" i="3"/>
  <c r="K82" i="3"/>
  <c r="J82" i="3"/>
  <c r="I82" i="3"/>
  <c r="H82" i="3"/>
  <c r="G82" i="3"/>
  <c r="F82" i="3"/>
  <c r="E82" i="3"/>
  <c r="D82" i="3"/>
  <c r="M115" i="3"/>
  <c r="Q80" i="3"/>
  <c r="Q75" i="3"/>
  <c r="AF70" i="3"/>
  <c r="Q70" i="3"/>
  <c r="O69" i="3"/>
  <c r="O71" i="3" s="1"/>
  <c r="O72" i="3" s="1"/>
  <c r="N69" i="3"/>
  <c r="N71" i="3" s="1"/>
  <c r="M69" i="3"/>
  <c r="M71" i="3" s="1"/>
  <c r="L69" i="3"/>
  <c r="L71" i="3" s="1"/>
  <c r="L86" i="3" s="1"/>
  <c r="L87" i="3" s="1"/>
  <c r="K69" i="3"/>
  <c r="K71" i="3" s="1"/>
  <c r="J69" i="3"/>
  <c r="J71" i="3" s="1"/>
  <c r="J86" i="3" s="1"/>
  <c r="J87" i="3" s="1"/>
  <c r="I69" i="3"/>
  <c r="I71" i="3" s="1"/>
  <c r="H69" i="3"/>
  <c r="H71" i="3" s="1"/>
  <c r="G69" i="3"/>
  <c r="G71" i="3" s="1"/>
  <c r="G76" i="3" s="1"/>
  <c r="G77" i="3" s="1"/>
  <c r="F69" i="3"/>
  <c r="F71" i="3" s="1"/>
  <c r="E69" i="3"/>
  <c r="E71" i="3" s="1"/>
  <c r="D69" i="3"/>
  <c r="AD69" i="3"/>
  <c r="AC69" i="3"/>
  <c r="AB69" i="3"/>
  <c r="AA69" i="3"/>
  <c r="Z69" i="3"/>
  <c r="Y69" i="3"/>
  <c r="X69" i="3"/>
  <c r="W69" i="3"/>
  <c r="V69" i="3"/>
  <c r="U69" i="3"/>
  <c r="T69" i="3"/>
  <c r="S69" i="3"/>
  <c r="S96" i="3" s="1"/>
  <c r="Q68" i="3"/>
  <c r="AF67" i="3"/>
  <c r="Q67" i="3"/>
  <c r="L54" i="3"/>
  <c r="K54" i="3"/>
  <c r="J54" i="3"/>
  <c r="I54" i="3"/>
  <c r="H54" i="3"/>
  <c r="G54" i="3"/>
  <c r="F54" i="3"/>
  <c r="E54" i="3"/>
  <c r="D54" i="3"/>
  <c r="Q52" i="3"/>
  <c r="Q47" i="3"/>
  <c r="Q42" i="3"/>
  <c r="L41" i="3"/>
  <c r="K41" i="3"/>
  <c r="K95" i="3" s="1"/>
  <c r="J41" i="3"/>
  <c r="I41" i="3"/>
  <c r="H41" i="3"/>
  <c r="G41" i="3"/>
  <c r="F41" i="3"/>
  <c r="E41" i="3"/>
  <c r="D41" i="3"/>
  <c r="L27" i="3"/>
  <c r="K27" i="3"/>
  <c r="J27" i="3"/>
  <c r="I27" i="3"/>
  <c r="H27" i="3"/>
  <c r="G27" i="3"/>
  <c r="F27" i="3"/>
  <c r="E27" i="3"/>
  <c r="D27" i="3"/>
  <c r="N113" i="3"/>
  <c r="L16" i="3"/>
  <c r="K16" i="3"/>
  <c r="J16" i="3"/>
  <c r="J21" i="3" s="1"/>
  <c r="I16" i="3"/>
  <c r="H16" i="3"/>
  <c r="G16" i="3"/>
  <c r="F16" i="3"/>
  <c r="F17" i="3" s="1"/>
  <c r="E16" i="3"/>
  <c r="M94" i="3"/>
  <c r="D16" i="3"/>
  <c r="D17" i="3" s="1"/>
  <c r="Q13" i="3"/>
  <c r="K94" i="2"/>
  <c r="K92" i="2"/>
  <c r="L92" i="2" s="1"/>
  <c r="M92" i="2" s="1"/>
  <c r="K91" i="2"/>
  <c r="L91" i="2" s="1"/>
  <c r="J73" i="2"/>
  <c r="J75" i="2" s="1"/>
  <c r="J76" i="2" s="1"/>
  <c r="I73" i="2"/>
  <c r="I75" i="2" s="1"/>
  <c r="I76" i="2" s="1"/>
  <c r="H73" i="2"/>
  <c r="H75" i="2" s="1"/>
  <c r="H76" i="2" s="1"/>
  <c r="G73" i="2"/>
  <c r="G75" i="2" s="1"/>
  <c r="G76" i="2" s="1"/>
  <c r="F73" i="2"/>
  <c r="F75" i="2" s="1"/>
  <c r="F76" i="2" s="1"/>
  <c r="E73" i="2"/>
  <c r="E75" i="2" s="1"/>
  <c r="E76" i="2" s="1"/>
  <c r="D73" i="2"/>
  <c r="D75" i="2" s="1"/>
  <c r="D76" i="2" s="1"/>
  <c r="C73" i="2"/>
  <c r="K71" i="2"/>
  <c r="Y70" i="2"/>
  <c r="X70" i="2"/>
  <c r="W70" i="2"/>
  <c r="V70" i="2"/>
  <c r="U70" i="2"/>
  <c r="T70" i="2"/>
  <c r="S70" i="2"/>
  <c r="R70" i="2"/>
  <c r="Q70" i="2"/>
  <c r="X73" i="2"/>
  <c r="K45" i="2"/>
  <c r="J24" i="2"/>
  <c r="J26" i="2" s="1"/>
  <c r="J27" i="2" s="1"/>
  <c r="I24" i="2"/>
  <c r="I26" i="2" s="1"/>
  <c r="I27" i="2" s="1"/>
  <c r="H24" i="2"/>
  <c r="H26" i="2" s="1"/>
  <c r="H27" i="2" s="1"/>
  <c r="G24" i="2"/>
  <c r="G26" i="2" s="1"/>
  <c r="G27" i="2" s="1"/>
  <c r="F24" i="2"/>
  <c r="F26" i="2" s="1"/>
  <c r="F27" i="2" s="1"/>
  <c r="E24" i="2"/>
  <c r="E26" i="2" s="1"/>
  <c r="E27" i="2" s="1"/>
  <c r="D24" i="2"/>
  <c r="D26" i="2" s="1"/>
  <c r="D27" i="2" s="1"/>
  <c r="C24" i="2"/>
  <c r="C26" i="2" s="1"/>
  <c r="C27" i="2" s="1"/>
  <c r="B24" i="2"/>
  <c r="K22" i="2"/>
  <c r="Y21" i="2"/>
  <c r="X21" i="2"/>
  <c r="W21" i="2"/>
  <c r="V21" i="2"/>
  <c r="U21" i="2"/>
  <c r="U39" i="2" s="1"/>
  <c r="T21" i="2"/>
  <c r="S21" i="2"/>
  <c r="S39" i="2" s="1"/>
  <c r="R21" i="2"/>
  <c r="Q21" i="2"/>
  <c r="Q39" i="2" s="1"/>
  <c r="P21" i="2"/>
  <c r="O39" i="2"/>
  <c r="U24" i="2"/>
  <c r="G109" i="10" l="1"/>
  <c r="AC120" i="9"/>
  <c r="F56" i="10"/>
  <c r="F155" i="10"/>
  <c r="S155" i="10" s="1"/>
  <c r="Z112" i="10" a="1"/>
  <c r="Z112" i="10" s="1"/>
  <c r="CB109" i="10" a="1"/>
  <c r="CB109" i="10" s="1"/>
  <c r="Z105" i="10" a="1"/>
  <c r="Z105" i="10" s="1"/>
  <c r="AA103" i="3"/>
  <c r="Z103" i="3"/>
  <c r="V103" i="3"/>
  <c r="U103" i="3"/>
  <c r="Y103" i="3"/>
  <c r="AC103" i="3"/>
  <c r="AB103" i="3"/>
  <c r="T103" i="3"/>
  <c r="X103" i="3"/>
  <c r="W103" i="3"/>
  <c r="P39" i="2"/>
  <c r="T39" i="2"/>
  <c r="R39" i="2"/>
  <c r="V39" i="2"/>
  <c r="B26" i="2"/>
  <c r="B27" i="2" s="1"/>
  <c r="F33" i="2"/>
  <c r="F34" i="2"/>
  <c r="F36" i="2" s="1"/>
  <c r="J33" i="2"/>
  <c r="J34" i="2"/>
  <c r="J36" i="2" s="1"/>
  <c r="C75" i="2"/>
  <c r="C76" i="2" s="1"/>
  <c r="S88" i="2"/>
  <c r="G83" i="2"/>
  <c r="G85" i="2" s="1"/>
  <c r="G82" i="2"/>
  <c r="C34" i="2"/>
  <c r="C36" i="2" s="1"/>
  <c r="C33" i="2"/>
  <c r="G34" i="2"/>
  <c r="G36" i="2" s="1"/>
  <c r="G33" i="2"/>
  <c r="P88" i="2"/>
  <c r="D83" i="2"/>
  <c r="D85" i="2" s="1"/>
  <c r="D82" i="2"/>
  <c r="T88" i="2"/>
  <c r="H83" i="2"/>
  <c r="H85" i="2" s="1"/>
  <c r="H82" i="2"/>
  <c r="D34" i="2"/>
  <c r="D36" i="2" s="1"/>
  <c r="D33" i="2"/>
  <c r="H34" i="2"/>
  <c r="H36" i="2" s="1"/>
  <c r="H33" i="2"/>
  <c r="Q88" i="2"/>
  <c r="E83" i="2"/>
  <c r="E85" i="2" s="1"/>
  <c r="E82" i="2"/>
  <c r="E96" i="2" s="1"/>
  <c r="U88" i="2"/>
  <c r="I83" i="2"/>
  <c r="I85" i="2" s="1"/>
  <c r="I82" i="2"/>
  <c r="N39" i="2"/>
  <c r="E33" i="2"/>
  <c r="E34" i="2"/>
  <c r="E36" i="2" s="1"/>
  <c r="I33" i="2"/>
  <c r="I34" i="2"/>
  <c r="I36" i="2" s="1"/>
  <c r="R88" i="2"/>
  <c r="F83" i="2"/>
  <c r="F85" i="2" s="1"/>
  <c r="F82" i="2"/>
  <c r="V88" i="2"/>
  <c r="J83" i="2"/>
  <c r="J85" i="2" s="1"/>
  <c r="J82" i="2"/>
  <c r="X71" i="3"/>
  <c r="X72" i="3" s="1"/>
  <c r="X96" i="3"/>
  <c r="U71" i="3"/>
  <c r="U76" i="3" s="1"/>
  <c r="U96" i="3"/>
  <c r="M54" i="3"/>
  <c r="M114" i="3"/>
  <c r="M118" i="3" s="1"/>
  <c r="V71" i="3"/>
  <c r="V76" i="3" s="1"/>
  <c r="V96" i="3"/>
  <c r="Z71" i="3"/>
  <c r="Z72" i="3" s="1"/>
  <c r="Z96" i="3"/>
  <c r="AD71" i="3"/>
  <c r="AD72" i="3" s="1"/>
  <c r="AD96" i="3"/>
  <c r="T71" i="3"/>
  <c r="T86" i="3" s="1"/>
  <c r="T87" i="3" s="1"/>
  <c r="T96" i="3"/>
  <c r="AB71" i="3"/>
  <c r="AB86" i="3" s="1"/>
  <c r="AB87" i="3" s="1"/>
  <c r="AB96" i="3"/>
  <c r="Y71" i="3"/>
  <c r="Y86" i="3" s="1"/>
  <c r="Y87" i="3" s="1"/>
  <c r="Y96" i="3"/>
  <c r="AC71" i="3"/>
  <c r="AC76" i="3" s="1"/>
  <c r="AC77" i="3" s="1"/>
  <c r="AC96" i="3"/>
  <c r="W71" i="3"/>
  <c r="W86" i="3" s="1"/>
  <c r="W87" i="3" s="1"/>
  <c r="W96" i="3"/>
  <c r="AA71" i="3"/>
  <c r="AA86" i="3" s="1"/>
  <c r="AA87" i="3" s="1"/>
  <c r="AA96" i="3"/>
  <c r="AD185" i="10"/>
  <c r="W26" i="3" s="1"/>
  <c r="BO185" i="10"/>
  <c r="BT185" i="10"/>
  <c r="BR185" i="10"/>
  <c r="AH185" i="10"/>
  <c r="AA26" i="3" s="1"/>
  <c r="AB185" i="10"/>
  <c r="U26" i="3" s="1"/>
  <c r="BB185" i="10"/>
  <c r="AC53" i="3" s="1"/>
  <c r="BM185" i="10"/>
  <c r="AG185" i="10"/>
  <c r="Z26" i="3" s="1"/>
  <c r="AE185" i="10"/>
  <c r="X26" i="3" s="1"/>
  <c r="AW185" i="10"/>
  <c r="X53" i="3" s="1"/>
  <c r="AT185" i="10"/>
  <c r="U53" i="3" s="1"/>
  <c r="BS185" i="10"/>
  <c r="AA185" i="10"/>
  <c r="T26" i="3" s="1"/>
  <c r="AU185" i="10"/>
  <c r="V53" i="3" s="1"/>
  <c r="AI185" i="10"/>
  <c r="AB26" i="3" s="1"/>
  <c r="BN185" i="10"/>
  <c r="AZ185" i="10"/>
  <c r="AA53" i="3" s="1"/>
  <c r="AS185" i="10"/>
  <c r="T53" i="3" s="1"/>
  <c r="AX185" i="10"/>
  <c r="Y53" i="3" s="1"/>
  <c r="BP185" i="10"/>
  <c r="BL185" i="10"/>
  <c r="BQ185" i="10"/>
  <c r="AF185" i="10"/>
  <c r="Y26" i="3" s="1"/>
  <c r="AC185" i="10"/>
  <c r="V26" i="3" s="1"/>
  <c r="AJ185" i="10"/>
  <c r="AC26" i="3" s="1"/>
  <c r="BA185" i="10"/>
  <c r="AB53" i="3" s="1"/>
  <c r="AY185" i="10"/>
  <c r="Z53" i="3" s="1"/>
  <c r="AV185" i="10"/>
  <c r="W53" i="3" s="1"/>
  <c r="BK185" i="10"/>
  <c r="AD187" i="10"/>
  <c r="AR127" i="10" a="1"/>
  <c r="AR127" i="10" s="1"/>
  <c r="Z144" i="10" a="1"/>
  <c r="Z144" i="10" s="1"/>
  <c r="BJ169" i="10" a="1"/>
  <c r="BJ169" i="10" s="1"/>
  <c r="Z117" i="10" a="1"/>
  <c r="Z117" i="10" s="1"/>
  <c r="CB164" i="10" a="1"/>
  <c r="CB164" i="10" s="1"/>
  <c r="AA187" i="10"/>
  <c r="BT187" i="10"/>
  <c r="AY187" i="10"/>
  <c r="AC187" i="10"/>
  <c r="BR187" i="10"/>
  <c r="BK187" i="10"/>
  <c r="CL187" i="10"/>
  <c r="AU187" i="10"/>
  <c r="AV187" i="10"/>
  <c r="CD187" i="10"/>
  <c r="CI187" i="10"/>
  <c r="CK187" i="10"/>
  <c r="AG187" i="10"/>
  <c r="AH187" i="10"/>
  <c r="CG187" i="10"/>
  <c r="AI187" i="10"/>
  <c r="AJ187" i="10"/>
  <c r="AB187" i="10"/>
  <c r="CJ187" i="10"/>
  <c r="AZ187" i="10"/>
  <c r="CE187" i="10"/>
  <c r="CF187" i="10"/>
  <c r="CC187" i="10"/>
  <c r="CH187" i="10"/>
  <c r="AF187" i="10"/>
  <c r="BP187" i="10"/>
  <c r="AT187" i="10"/>
  <c r="BQ187" i="10"/>
  <c r="BB187" i="10"/>
  <c r="BM187" i="10"/>
  <c r="BA187" i="10"/>
  <c r="AX187" i="10"/>
  <c r="BS187" i="10"/>
  <c r="AS187" i="10"/>
  <c r="BN187" i="10"/>
  <c r="AW187" i="10"/>
  <c r="BL187" i="10"/>
  <c r="BO187" i="10"/>
  <c r="AE187" i="10"/>
  <c r="CB149" i="10" a="1"/>
  <c r="CB149" i="10" s="1"/>
  <c r="CB118" i="10" a="1"/>
  <c r="CB118" i="10" s="1"/>
  <c r="Z182" i="10" a="1"/>
  <c r="Z182" i="10" s="1"/>
  <c r="Z127" i="10" a="1"/>
  <c r="Z127" i="10" s="1"/>
  <c r="Z142" i="10" a="1"/>
  <c r="Z142" i="10" s="1"/>
  <c r="BJ125" i="10" a="1"/>
  <c r="BJ125" i="10" s="1"/>
  <c r="AR113" i="10" a="1"/>
  <c r="AR113" i="10" s="1"/>
  <c r="BJ183" i="10" a="1"/>
  <c r="BJ183" i="10" s="1"/>
  <c r="CB111" i="10" a="1"/>
  <c r="CB111" i="10" s="1"/>
  <c r="BJ143" i="10" a="1"/>
  <c r="BJ143" i="10" s="1"/>
  <c r="BJ116" i="10" a="1"/>
  <c r="BJ116" i="10" s="1"/>
  <c r="Z143" i="10" a="1"/>
  <c r="Z143" i="10" s="1"/>
  <c r="CB154" i="10" a="1"/>
  <c r="CB154" i="10" s="1"/>
  <c r="BJ133" i="10" a="1"/>
  <c r="BJ133" i="10" s="1"/>
  <c r="AR153" i="10" a="1"/>
  <c r="AR153" i="10" s="1"/>
  <c r="BJ117" i="10" a="1"/>
  <c r="BJ117" i="10" s="1"/>
  <c r="BJ146" i="10" a="1"/>
  <c r="BJ146" i="10" s="1"/>
  <c r="BJ150" i="10" a="1"/>
  <c r="BJ150" i="10" s="1"/>
  <c r="Z176" i="10" a="1"/>
  <c r="Z176" i="10" s="1"/>
  <c r="BJ141" i="10" a="1"/>
  <c r="BJ141" i="10" s="1"/>
  <c r="Z153" i="10" a="1"/>
  <c r="Z153" i="10" s="1"/>
  <c r="BJ139" i="10" a="1"/>
  <c r="BJ139" i="10" s="1"/>
  <c r="Z169" i="10" a="1"/>
  <c r="Z169" i="10" s="1"/>
  <c r="CB143" i="10" a="1"/>
  <c r="CB143" i="10" s="1"/>
  <c r="BJ199" i="10" a="1"/>
  <c r="BJ199" i="10" s="1"/>
  <c r="Z174" i="10" a="1"/>
  <c r="Z174" i="10" s="1"/>
  <c r="CB105" i="10" a="1"/>
  <c r="CB105" i="10" s="1"/>
  <c r="AR121" i="10" a="1"/>
  <c r="AR121" i="10" s="1"/>
  <c r="CB120" i="10" a="1"/>
  <c r="CB120" i="10" s="1"/>
  <c r="AR168" i="10" a="1"/>
  <c r="AR168" i="10" s="1"/>
  <c r="CB166" i="10" a="1"/>
  <c r="CB166" i="10" s="1"/>
  <c r="AR169" i="10" a="1"/>
  <c r="AR169" i="10" s="1"/>
  <c r="Z158" i="10" a="1"/>
  <c r="Z158" i="10" s="1"/>
  <c r="Z191" i="10" a="1"/>
  <c r="Z191" i="10" s="1"/>
  <c r="BJ155" i="10" a="1"/>
  <c r="BJ155" i="10" s="1"/>
  <c r="Z178" i="10" a="1"/>
  <c r="Z178" i="10" s="1"/>
  <c r="CB117" i="10" a="1"/>
  <c r="CB117" i="10" s="1"/>
  <c r="AR131" i="10" a="1"/>
  <c r="AR131" i="10" s="1"/>
  <c r="CB150" i="10" a="1"/>
  <c r="CB150" i="10" s="1"/>
  <c r="Z128" i="10" a="1"/>
  <c r="Z128" i="10" s="1"/>
  <c r="BJ110" i="10" a="1"/>
  <c r="BJ110" i="10" s="1"/>
  <c r="Z162" i="10" a="1"/>
  <c r="Z162" i="10" s="1"/>
  <c r="BJ135" i="10" a="1"/>
  <c r="BJ135" i="10" s="1"/>
  <c r="Z135" i="10" a="1"/>
  <c r="Z135" i="10" s="1"/>
  <c r="AR147" i="10" a="1"/>
  <c r="AR147" i="10" s="1"/>
  <c r="CB172" i="10" a="1"/>
  <c r="CB172" i="10" s="1"/>
  <c r="AR183" i="10" a="1"/>
  <c r="AR183" i="10" s="1"/>
  <c r="AR105" i="10" a="1"/>
  <c r="AR105" i="10" s="1"/>
  <c r="CB199" i="10" a="1"/>
  <c r="CB199" i="10" s="1"/>
  <c r="Z192" i="10" a="1"/>
  <c r="Z192" i="10" s="1"/>
  <c r="CB148" i="10" a="1"/>
  <c r="CB148" i="10" s="1"/>
  <c r="BJ122" i="10" a="1"/>
  <c r="BJ122" i="10" s="1"/>
  <c r="Z173" i="10" a="1"/>
  <c r="Z173" i="10" s="1"/>
  <c r="BJ160" i="10" a="1"/>
  <c r="BJ160" i="10" s="1"/>
  <c r="Z179" i="10" a="1"/>
  <c r="Z179" i="10" s="1"/>
  <c r="BJ142" i="10" a="1"/>
  <c r="BJ142" i="10" s="1"/>
  <c r="Z119" i="10" a="1"/>
  <c r="Z119" i="10" s="1"/>
  <c r="BJ166" i="10" a="1"/>
  <c r="BJ166" i="10" s="1"/>
  <c r="AR130" i="10" a="1"/>
  <c r="AR130" i="10" s="1"/>
  <c r="CB147" i="10" a="1"/>
  <c r="CB147" i="10" s="1"/>
  <c r="BJ158" i="10" a="1"/>
  <c r="BJ158" i="10" s="1"/>
  <c r="Z154" i="10" a="1"/>
  <c r="Z154" i="10" s="1"/>
  <c r="CB110" i="10" a="1"/>
  <c r="CB110" i="10" s="1"/>
  <c r="Z197" i="10" a="1"/>
  <c r="Z197" i="10" s="1"/>
  <c r="CB131" i="10" a="1"/>
  <c r="CB131" i="10" s="1"/>
  <c r="BJ124" i="10" a="1"/>
  <c r="BJ124" i="10" s="1"/>
  <c r="Z172" i="10" a="1"/>
  <c r="Z172" i="10" s="1"/>
  <c r="CB121" i="10" a="1"/>
  <c r="CB121" i="10" s="1"/>
  <c r="AR138" i="10" a="1"/>
  <c r="AR138" i="10" s="1"/>
  <c r="AR137" i="10" a="1"/>
  <c r="AR137" i="10" s="1"/>
  <c r="CB125" i="10" a="1"/>
  <c r="CB125" i="10" s="1"/>
  <c r="AR124" i="10" a="1"/>
  <c r="AR124" i="10" s="1"/>
  <c r="Z111" i="10" a="1"/>
  <c r="Z111" i="10" s="1"/>
  <c r="CB128" i="10" a="1"/>
  <c r="CB128" i="10" s="1"/>
  <c r="CB191" i="10" a="1"/>
  <c r="CB191" i="10" s="1"/>
  <c r="F156" i="10"/>
  <c r="S156" i="10" s="1"/>
  <c r="F57" i="10"/>
  <c r="CB145" i="10" a="1"/>
  <c r="CB145" i="10" s="1"/>
  <c r="AR166" i="10" a="1"/>
  <c r="AR166" i="10" s="1"/>
  <c r="CB171" i="10" a="1"/>
  <c r="CB171" i="10" s="1"/>
  <c r="BJ132" i="10" a="1"/>
  <c r="BJ132" i="10" s="1"/>
  <c r="AR115" i="10" a="1"/>
  <c r="AR115" i="10" s="1"/>
  <c r="CB124" i="10" a="1"/>
  <c r="CB124" i="10" s="1"/>
  <c r="AR144" i="10" a="1"/>
  <c r="AR144" i="10" s="1"/>
  <c r="CB192" i="10" a="1"/>
  <c r="CB192" i="10" s="1"/>
  <c r="AR198" i="10" a="1"/>
  <c r="AR198" i="10" s="1"/>
  <c r="BJ154" i="10" a="1"/>
  <c r="BJ154" i="10" s="1"/>
  <c r="BJ123" i="10" a="1"/>
  <c r="BJ123" i="10" s="1"/>
  <c r="AR182" i="10" a="1"/>
  <c r="AR182" i="10" s="1"/>
  <c r="CB194" i="10" a="1"/>
  <c r="CB194" i="10" s="1"/>
  <c r="BJ148" i="10" a="1"/>
  <c r="BJ148" i="10" s="1"/>
  <c r="Z180" i="10" a="1"/>
  <c r="Z180" i="10" s="1"/>
  <c r="Z123" i="10" a="1"/>
  <c r="Z123" i="10" s="1"/>
  <c r="CB144" i="10" a="1"/>
  <c r="CB144" i="10" s="1"/>
  <c r="BJ112" i="10" a="1"/>
  <c r="BJ112" i="10" s="1"/>
  <c r="Z114" i="10" a="1"/>
  <c r="Z114" i="10" s="1"/>
  <c r="AR197" i="10" a="1"/>
  <c r="AR197" i="10" s="1"/>
  <c r="CB151" i="10" a="1"/>
  <c r="CB151" i="10" s="1"/>
  <c r="AR167" i="10" a="1"/>
  <c r="AR167" i="10" s="1"/>
  <c r="BJ120" i="10" a="1"/>
  <c r="BJ120" i="10" s="1"/>
  <c r="AR148" i="10" a="1"/>
  <c r="AR148" i="10" s="1"/>
  <c r="BJ118" i="10" a="1"/>
  <c r="BJ118" i="10" s="1"/>
  <c r="Z171" i="10" a="1"/>
  <c r="Z171" i="10" s="1"/>
  <c r="BJ173" i="10" a="1"/>
  <c r="BJ173" i="10" s="1"/>
  <c r="Z194" i="10" a="1"/>
  <c r="Z194" i="10" s="1"/>
  <c r="CB133" i="10" a="1"/>
  <c r="CB133" i="10" s="1"/>
  <c r="AR194" i="10" a="1"/>
  <c r="AR194" i="10" s="1"/>
  <c r="CB182" i="10" a="1"/>
  <c r="CB182" i="10" s="1"/>
  <c r="AR170" i="10" a="1"/>
  <c r="AR170" i="10" s="1"/>
  <c r="Z151" i="10" a="1"/>
  <c r="Z151" i="10" s="1"/>
  <c r="CB132" i="10" a="1"/>
  <c r="CB132" i="10" s="1"/>
  <c r="AR133" i="10" a="1"/>
  <c r="AR133" i="10" s="1"/>
  <c r="CB135" i="10" a="1"/>
  <c r="CB135" i="10" s="1"/>
  <c r="AR174" i="10" a="1"/>
  <c r="AR174" i="10" s="1"/>
  <c r="CB193" i="10" a="1"/>
  <c r="CB193" i="10" s="1"/>
  <c r="AR180" i="10" a="1"/>
  <c r="AR180" i="10" s="1"/>
  <c r="BJ174" i="10" a="1"/>
  <c r="BJ174" i="10" s="1"/>
  <c r="Z195" i="10" a="1"/>
  <c r="Z195" i="10" s="1"/>
  <c r="BJ193" i="10" a="1"/>
  <c r="BJ193" i="10" s="1"/>
  <c r="BJ171" i="10" a="1"/>
  <c r="BJ171" i="10" s="1"/>
  <c r="Z157" i="10" a="1"/>
  <c r="Z157" i="10" s="1"/>
  <c r="CB168" i="10" a="1"/>
  <c r="CB168" i="10" s="1"/>
  <c r="AR191" i="10" a="1"/>
  <c r="AR191" i="10" s="1"/>
  <c r="Z196" i="10" a="1"/>
  <c r="Z196" i="10" s="1"/>
  <c r="CB190" i="10" a="1"/>
  <c r="CB190" i="10" s="1"/>
  <c r="AR172" i="10" a="1"/>
  <c r="AR172" i="10" s="1"/>
  <c r="Z170" i="10" a="1"/>
  <c r="Z170" i="10" s="1"/>
  <c r="AR181" i="10" a="1"/>
  <c r="AR181" i="10" s="1"/>
  <c r="AR160" i="10" a="1"/>
  <c r="AR160" i="10" s="1"/>
  <c r="Z198" i="10" a="1"/>
  <c r="Z198" i="10" s="1"/>
  <c r="BJ170" i="10" a="1"/>
  <c r="BJ170" i="10" s="1"/>
  <c r="AR139" i="10" a="1"/>
  <c r="AR139" i="10" s="1"/>
  <c r="CB183" i="10" a="1"/>
  <c r="CB183" i="10" s="1"/>
  <c r="Z193" i="10" a="1"/>
  <c r="Z193" i="10" s="1"/>
  <c r="BJ119" i="10" a="1"/>
  <c r="BJ119" i="10" s="1"/>
  <c r="Z155" i="10" a="1"/>
  <c r="Z155" i="10" s="1"/>
  <c r="BJ197" i="10" a="1"/>
  <c r="BJ197" i="10" s="1"/>
  <c r="Z160" i="10" a="1"/>
  <c r="Z160" i="10" s="1"/>
  <c r="AR177" i="10" a="1"/>
  <c r="AR177" i="10" s="1"/>
  <c r="BJ181" i="10" a="1"/>
  <c r="BJ181" i="10" s="1"/>
  <c r="AR142" i="10" a="1"/>
  <c r="AR142" i="10" s="1"/>
  <c r="CB177" i="10" a="1"/>
  <c r="CB177" i="10" s="1"/>
  <c r="Z136" i="10" a="1"/>
  <c r="Z136" i="10" s="1"/>
  <c r="CB197" i="10" a="1"/>
  <c r="CB197" i="10" s="1"/>
  <c r="BJ136" i="10" a="1"/>
  <c r="BJ136" i="10" s="1"/>
  <c r="Z137" i="10" a="1"/>
  <c r="Z137" i="10" s="1"/>
  <c r="CB122" i="10" a="1"/>
  <c r="CB122" i="10" s="1"/>
  <c r="BJ127" i="10" a="1"/>
  <c r="BJ127" i="10" s="1"/>
  <c r="Z147" i="10" a="1"/>
  <c r="Z147" i="10" s="1"/>
  <c r="BJ172" i="10" a="1"/>
  <c r="BJ172" i="10" s="1"/>
  <c r="AR126" i="10" a="1"/>
  <c r="AR126" i="10" s="1"/>
  <c r="BJ198" i="10" a="1"/>
  <c r="BJ198" i="10" s="1"/>
  <c r="AR156" i="10" a="1"/>
  <c r="AR156" i="10" s="1"/>
  <c r="CB175" i="10" a="1"/>
  <c r="CB175" i="10" s="1"/>
  <c r="AR190" i="10" a="1"/>
  <c r="AR190" i="10" s="1"/>
  <c r="Z131" i="10" a="1"/>
  <c r="Z131" i="10" s="1"/>
  <c r="AR150" i="10" a="1"/>
  <c r="AR150" i="10" s="1"/>
  <c r="CB139" i="10" a="1"/>
  <c r="CB139" i="10" s="1"/>
  <c r="AR136" i="10" a="1"/>
  <c r="AR136" i="10" s="1"/>
  <c r="CB160" i="10" a="1"/>
  <c r="CB160" i="10" s="1"/>
  <c r="AR146" i="10" a="1"/>
  <c r="AR146" i="10" s="1"/>
  <c r="F118" i="10"/>
  <c r="S118" i="10" s="1"/>
  <c r="F19" i="10"/>
  <c r="F192" i="10"/>
  <c r="F200" i="10" s="1"/>
  <c r="F91" i="10"/>
  <c r="Z168" i="10" a="1"/>
  <c r="Z168" i="10" s="1"/>
  <c r="BJ128" i="10" a="1"/>
  <c r="BJ128" i="10" s="1"/>
  <c r="CB176" i="10" a="1"/>
  <c r="CB176" i="10" s="1"/>
  <c r="AR192" i="10" a="1"/>
  <c r="AR192" i="10" s="1"/>
  <c r="AR128" i="10" a="1"/>
  <c r="AR128" i="10" s="1"/>
  <c r="Z121" i="10" a="1"/>
  <c r="Z121" i="10" s="1"/>
  <c r="Z149" i="10" a="1"/>
  <c r="Z149" i="10" s="1"/>
  <c r="CB126" i="10" a="1"/>
  <c r="CB126" i="10" s="1"/>
  <c r="Z132" i="10" a="1"/>
  <c r="Z132" i="10" s="1"/>
  <c r="BJ151" i="10" a="1"/>
  <c r="BJ151" i="10" s="1"/>
  <c r="AR163" i="10" a="1"/>
  <c r="AR163" i="10" s="1"/>
  <c r="CB116" i="10" a="1"/>
  <c r="CB116" i="10" s="1"/>
  <c r="Z109" i="10" a="1"/>
  <c r="Z109" i="10" s="1"/>
  <c r="CB198" i="10" a="1"/>
  <c r="CB198" i="10" s="1"/>
  <c r="BJ126" i="10" a="1"/>
  <c r="BJ126" i="10" s="1"/>
  <c r="Z199" i="10" a="1"/>
  <c r="Z199" i="10" s="1"/>
  <c r="AR158" i="10" a="1"/>
  <c r="AR158" i="10" s="1"/>
  <c r="BJ144" i="10" a="1"/>
  <c r="BJ144" i="10" s="1"/>
  <c r="CB173" i="10" a="1"/>
  <c r="CB173" i="10" s="1"/>
  <c r="AR171" i="10" a="1"/>
  <c r="AR171" i="10" s="1"/>
  <c r="AR112" i="10" a="1"/>
  <c r="AR112" i="10" s="1"/>
  <c r="BJ114" i="10" a="1"/>
  <c r="BJ114" i="10" s="1"/>
  <c r="Z110" i="10" a="1"/>
  <c r="Z110" i="10" s="1"/>
  <c r="BJ115" i="10" a="1"/>
  <c r="BJ115" i="10" s="1"/>
  <c r="Z156" i="10" a="1"/>
  <c r="Z156" i="10" s="1"/>
  <c r="BJ180" i="10" a="1"/>
  <c r="BJ180" i="10" s="1"/>
  <c r="AR193" i="10" a="1"/>
  <c r="AR193" i="10" s="1"/>
  <c r="BJ179" i="10" a="1"/>
  <c r="BJ179" i="10" s="1"/>
  <c r="AR132" i="10" a="1"/>
  <c r="AR132" i="10" s="1"/>
  <c r="AR161" i="10" a="1"/>
  <c r="AR161" i="10" s="1"/>
  <c r="Z118" i="10" a="1"/>
  <c r="Z118" i="10" s="1"/>
  <c r="BJ134" i="10" a="1"/>
  <c r="BJ134" i="10" s="1"/>
  <c r="Z126" i="10" a="1"/>
  <c r="Z126" i="10" s="1"/>
  <c r="AR114" i="10" a="1"/>
  <c r="AR114" i="10" s="1"/>
  <c r="BJ105" i="10" a="1"/>
  <c r="BJ105" i="10" s="1"/>
  <c r="Z166" i="10" a="1"/>
  <c r="Z166" i="10" s="1"/>
  <c r="BJ138" i="10" a="1"/>
  <c r="BJ138" i="10" s="1"/>
  <c r="Z115" i="10" a="1"/>
  <c r="Z115" i="10" s="1"/>
  <c r="CB134" i="10" a="1"/>
  <c r="CB134" i="10" s="1"/>
  <c r="BJ195" i="10" a="1"/>
  <c r="BJ195" i="10" s="1"/>
  <c r="AR120" i="10" a="1"/>
  <c r="AR120" i="10" s="1"/>
  <c r="CB181" i="10" a="1"/>
  <c r="CB181" i="10" s="1"/>
  <c r="BJ149" i="10" a="1"/>
  <c r="BJ149" i="10" s="1"/>
  <c r="BJ175" i="10" a="1"/>
  <c r="BJ175" i="10" s="1"/>
  <c r="Z190" i="10" a="1"/>
  <c r="Z190" i="10" s="1"/>
  <c r="BJ131" i="10" a="1"/>
  <c r="BJ131" i="10" s="1"/>
  <c r="AR135" i="10" a="1"/>
  <c r="AR135" i="10" s="1"/>
  <c r="BJ162" i="10" a="1"/>
  <c r="BJ162" i="10" s="1"/>
  <c r="CB174" i="10" a="1"/>
  <c r="CB174" i="10" s="1"/>
  <c r="BJ191" i="10" a="1"/>
  <c r="BJ191" i="10" s="1"/>
  <c r="Z116" i="10" a="1"/>
  <c r="Z116" i="10" s="1"/>
  <c r="G129" i="10"/>
  <c r="BJ192" i="10" a="1"/>
  <c r="BJ192" i="10" s="1"/>
  <c r="BJ111" i="10" a="1"/>
  <c r="BJ111" i="10" s="1"/>
  <c r="CB158" i="10" a="1"/>
  <c r="CB158" i="10" s="1"/>
  <c r="AR109" i="10" a="1"/>
  <c r="AR109" i="10" s="1"/>
  <c r="BJ164" i="10" a="1"/>
  <c r="BJ164" i="10" s="1"/>
  <c r="Z124" i="10" a="1"/>
  <c r="Z124" i="10" s="1"/>
  <c r="Z130" i="10" a="1"/>
  <c r="Z130" i="10" s="1"/>
  <c r="Z175" i="10" a="1"/>
  <c r="Z175" i="10" s="1"/>
  <c r="F153" i="10"/>
  <c r="S153" i="10" s="1"/>
  <c r="F54" i="10"/>
  <c r="CB138" i="10" a="1"/>
  <c r="CB138" i="10" s="1"/>
  <c r="Z177" i="10" a="1"/>
  <c r="Z177" i="10" s="1"/>
  <c r="AR157" i="10" a="1"/>
  <c r="AR157" i="10" s="1"/>
  <c r="CB142" i="10" a="1"/>
  <c r="CB142" i="10" s="1"/>
  <c r="Z113" i="10" a="1"/>
  <c r="Z113" i="10" s="1"/>
  <c r="AR122" i="10" a="1"/>
  <c r="AR122" i="10" s="1"/>
  <c r="CB178" i="10" a="1"/>
  <c r="CB178" i="10" s="1"/>
  <c r="Z133" i="10" a="1"/>
  <c r="Z133" i="10" s="1"/>
  <c r="AR179" i="10" a="1"/>
  <c r="AR179" i="10" s="1"/>
  <c r="AR111" i="10" a="1"/>
  <c r="AR111" i="10" s="1"/>
  <c r="CB112" i="10" a="1"/>
  <c r="CB112" i="10" s="1"/>
  <c r="AR117" i="10" a="1"/>
  <c r="AR117" i="10" s="1"/>
  <c r="BJ147" i="10" a="1"/>
  <c r="BJ147" i="10" s="1"/>
  <c r="BJ196" i="10" a="1"/>
  <c r="BJ196" i="10" s="1"/>
  <c r="Z161" i="10" a="1"/>
  <c r="Z161" i="10" s="1"/>
  <c r="BJ156" i="10" a="1"/>
  <c r="BJ156" i="10" s="1"/>
  <c r="CB179" i="10" a="1"/>
  <c r="CB179" i="10" s="1"/>
  <c r="BJ121" i="10" a="1"/>
  <c r="BJ121" i="10" s="1"/>
  <c r="Z163" i="10" a="1"/>
  <c r="Z163" i="10" s="1"/>
  <c r="BJ178" i="10" a="1"/>
  <c r="BJ178" i="10" s="1"/>
  <c r="AR143" i="10" a="1"/>
  <c r="AR143" i="10" s="1"/>
  <c r="CB161" i="10" a="1"/>
  <c r="CB161" i="10" s="1"/>
  <c r="CB146" i="10" a="1"/>
  <c r="CB146" i="10" s="1"/>
  <c r="Z138" i="10" a="1"/>
  <c r="Z138" i="10" s="1"/>
  <c r="BJ161" i="10" a="1"/>
  <c r="BJ161" i="10" s="1"/>
  <c r="Z165" i="10" a="1"/>
  <c r="Z165" i="10" s="1"/>
  <c r="CB130" i="10" a="1"/>
  <c r="CB130" i="10" s="1"/>
  <c r="AR154" i="10" a="1"/>
  <c r="AR154" i="10" s="1"/>
  <c r="AR155" i="10" a="1"/>
  <c r="AR155" i="10" s="1"/>
  <c r="Z164" i="10" a="1"/>
  <c r="Z164" i="10" s="1"/>
  <c r="AR118" i="10" a="1"/>
  <c r="AR118" i="10" s="1"/>
  <c r="CB127" i="10" a="1"/>
  <c r="CB127" i="10" s="1"/>
  <c r="BJ130" i="10" a="1"/>
  <c r="BJ130" i="10" s="1"/>
  <c r="Z120" i="10" a="1"/>
  <c r="Z120" i="10" s="1"/>
  <c r="CB136" i="10" a="1"/>
  <c r="CB136" i="10" s="1"/>
  <c r="AR196" i="10" a="1"/>
  <c r="AR196" i="10" s="1"/>
  <c r="Z141" i="10" a="1"/>
  <c r="Z141" i="10" s="1"/>
  <c r="BJ168" i="10" a="1"/>
  <c r="BJ168" i="10" s="1"/>
  <c r="Z183" i="10" a="1"/>
  <c r="Z183" i="10" s="1"/>
  <c r="BJ194" i="10" a="1"/>
  <c r="BJ194" i="10" s="1"/>
  <c r="AR134" i="10" a="1"/>
  <c r="AR134" i="10" s="1"/>
  <c r="CB170" i="10" a="1"/>
  <c r="CB170" i="10" s="1"/>
  <c r="AR173" i="10" a="1"/>
  <c r="AR173" i="10" s="1"/>
  <c r="BJ190" i="10" a="1"/>
  <c r="BJ190" i="10" s="1"/>
  <c r="Z181" i="10" a="1"/>
  <c r="Z181" i="10" s="1"/>
  <c r="BJ177" i="10" a="1"/>
  <c r="BJ177" i="10" s="1"/>
  <c r="AR110" i="10" a="1"/>
  <c r="AR110" i="10" s="1"/>
  <c r="BJ145" i="10" a="1"/>
  <c r="BJ145" i="10" s="1"/>
  <c r="BJ182" i="10" a="1"/>
  <c r="BJ182" i="10" s="1"/>
  <c r="Z148" i="10" a="1"/>
  <c r="Z148" i="10" s="1"/>
  <c r="Z146" i="10" a="1"/>
  <c r="Z146" i="10" s="1"/>
  <c r="CB115" i="10" a="1"/>
  <c r="CB115" i="10" s="1"/>
  <c r="BJ176" i="10" a="1"/>
  <c r="BJ176" i="10" s="1"/>
  <c r="CB113" i="10" a="1"/>
  <c r="CB113" i="10" s="1"/>
  <c r="BJ157" i="10" a="1"/>
  <c r="BJ157" i="10" s="1"/>
  <c r="AR125" i="10" a="1"/>
  <c r="AR125" i="10" s="1"/>
  <c r="CB163" i="10" a="1"/>
  <c r="CB163" i="10" s="1"/>
  <c r="CB162" i="10" a="1"/>
  <c r="CB162" i="10" s="1"/>
  <c r="AR145" i="10" a="1"/>
  <c r="AR145" i="10" s="1"/>
  <c r="Z145" i="10" a="1"/>
  <c r="Z145" i="10" s="1"/>
  <c r="BJ165" i="10" a="1"/>
  <c r="BJ165" i="10" s="1"/>
  <c r="AR176" i="10" a="1"/>
  <c r="AR176" i="10" s="1"/>
  <c r="CB155" i="10" a="1"/>
  <c r="CB155" i="10" s="1"/>
  <c r="BJ109" i="10" a="1"/>
  <c r="BJ109" i="10" s="1"/>
  <c r="CB114" i="10" a="1"/>
  <c r="CB114" i="10" s="1"/>
  <c r="CB141" i="10" a="1"/>
  <c r="CB141" i="10" s="1"/>
  <c r="Z139" i="10" a="1"/>
  <c r="Z139" i="10" s="1"/>
  <c r="CB169" i="10" a="1"/>
  <c r="CB169" i="10" s="1"/>
  <c r="AR165" i="10" a="1"/>
  <c r="AR165" i="10" s="1"/>
  <c r="CB137" i="10" a="1"/>
  <c r="CB137" i="10" s="1"/>
  <c r="CB123" i="10" a="1"/>
  <c r="CB123" i="10" s="1"/>
  <c r="AR141" i="10" a="1"/>
  <c r="AR141" i="10" s="1"/>
  <c r="CB119" i="10" a="1"/>
  <c r="CB119" i="10" s="1"/>
  <c r="AR195" i="10" a="1"/>
  <c r="AR195" i="10" s="1"/>
  <c r="CB157" i="10" a="1"/>
  <c r="CB157" i="10" s="1"/>
  <c r="AR119" i="10" a="1"/>
  <c r="AR119" i="10" s="1"/>
  <c r="CB156" i="10" a="1"/>
  <c r="CB156" i="10" s="1"/>
  <c r="AR162" i="10" a="1"/>
  <c r="AR162" i="10" s="1"/>
  <c r="CB180" i="10" a="1"/>
  <c r="CB180" i="10" s="1"/>
  <c r="BJ163" i="10" a="1"/>
  <c r="BJ163" i="10" s="1"/>
  <c r="BJ153" i="10" a="1"/>
  <c r="BJ153" i="10" s="1"/>
  <c r="Z134" i="10" a="1"/>
  <c r="Z134" i="10" s="1"/>
  <c r="Z167" i="10" a="1"/>
  <c r="Z167" i="10" s="1"/>
  <c r="AR164" i="10" a="1"/>
  <c r="AR164" i="10" s="1"/>
  <c r="Z150" i="10" a="1"/>
  <c r="Z150" i="10" s="1"/>
  <c r="AR175" i="10" a="1"/>
  <c r="AR175" i="10" s="1"/>
  <c r="AR149" i="10" a="1"/>
  <c r="AR149" i="10" s="1"/>
  <c r="Z122" i="10" a="1"/>
  <c r="Z122" i="10" s="1"/>
  <c r="AR199" i="10" a="1"/>
  <c r="AR199" i="10" s="1"/>
  <c r="AR116" i="10" a="1"/>
  <c r="AR116" i="10" s="1"/>
  <c r="CB195" i="10" a="1"/>
  <c r="CB195" i="10" s="1"/>
  <c r="AR178" i="10" a="1"/>
  <c r="AR178" i="10" s="1"/>
  <c r="CB167" i="10" a="1"/>
  <c r="CB167" i="10" s="1"/>
  <c r="BJ113" i="10" a="1"/>
  <c r="BJ113" i="10" s="1"/>
  <c r="Z125" i="10" a="1"/>
  <c r="Z125" i="10" s="1"/>
  <c r="BJ167" i="10" a="1"/>
  <c r="BJ167" i="10" s="1"/>
  <c r="CB165" i="10" a="1"/>
  <c r="CB165" i="10" s="1"/>
  <c r="AR123" i="10" a="1"/>
  <c r="AR123" i="10" s="1"/>
  <c r="CB196" i="10" a="1"/>
  <c r="CB196" i="10" s="1"/>
  <c r="AR151" i="10" a="1"/>
  <c r="AR151" i="10" s="1"/>
  <c r="CB153" i="10" a="1"/>
  <c r="CB153" i="10" s="1"/>
  <c r="AC124" i="9"/>
  <c r="O36" i="6"/>
  <c r="AB156" i="9"/>
  <c r="AP156" i="9" s="1"/>
  <c r="G159" i="10"/>
  <c r="AC111" i="9"/>
  <c r="AD123" i="9"/>
  <c r="F10" i="10" s="1"/>
  <c r="S150" i="10"/>
  <c r="G152" i="10"/>
  <c r="AC114" i="9"/>
  <c r="G200" i="10"/>
  <c r="AC110" i="9"/>
  <c r="AC125" i="9"/>
  <c r="P24" i="2"/>
  <c r="U73" i="2"/>
  <c r="U75" i="2" s="1"/>
  <c r="Q24" i="2"/>
  <c r="Y24" i="2"/>
  <c r="D30" i="2"/>
  <c r="D31" i="2" s="1"/>
  <c r="E30" i="2"/>
  <c r="E31" i="2" s="1"/>
  <c r="L45" i="2"/>
  <c r="M45" i="2" s="1"/>
  <c r="K73" i="2"/>
  <c r="K75" i="2" s="1"/>
  <c r="K76" i="2" s="1"/>
  <c r="L57" i="2"/>
  <c r="M57" i="2" s="1"/>
  <c r="L58" i="2"/>
  <c r="M58" i="2" s="1"/>
  <c r="Y73" i="2"/>
  <c r="Y75" i="2" s="1"/>
  <c r="L71" i="2"/>
  <c r="M71" i="2" s="1"/>
  <c r="E79" i="2"/>
  <c r="E80" i="2" s="1"/>
  <c r="I79" i="2"/>
  <c r="I80" i="2" s="1"/>
  <c r="L94" i="2"/>
  <c r="M94" i="2" s="1"/>
  <c r="Z39" i="3"/>
  <c r="G31" i="3"/>
  <c r="G32" i="3" s="1"/>
  <c r="G21" i="3"/>
  <c r="G17" i="3"/>
  <c r="H21" i="3"/>
  <c r="H22" i="3" s="1"/>
  <c r="H17" i="3"/>
  <c r="I21" i="3"/>
  <c r="I17" i="3"/>
  <c r="K31" i="3"/>
  <c r="K32" i="3" s="1"/>
  <c r="K21" i="3"/>
  <c r="K17" i="3"/>
  <c r="L17" i="3"/>
  <c r="L31" i="3"/>
  <c r="L32" i="3" s="1"/>
  <c r="L21" i="3"/>
  <c r="L28" i="3" s="1"/>
  <c r="M27" i="3"/>
  <c r="G95" i="3"/>
  <c r="G97" i="3" s="1"/>
  <c r="G99" i="3" s="1"/>
  <c r="G43" i="3"/>
  <c r="G44" i="3" s="1"/>
  <c r="H95" i="3"/>
  <c r="H97" i="3" s="1"/>
  <c r="H99" i="3" s="1"/>
  <c r="H43" i="3"/>
  <c r="H48" i="3" s="1"/>
  <c r="I95" i="3"/>
  <c r="I97" i="3" s="1"/>
  <c r="I99" i="3" s="1"/>
  <c r="I43" i="3"/>
  <c r="S71" i="3"/>
  <c r="AF69" i="3"/>
  <c r="H76" i="3"/>
  <c r="H77" i="3" s="1"/>
  <c r="H86" i="3"/>
  <c r="H87" i="3" s="1"/>
  <c r="H72" i="3"/>
  <c r="V73" i="2"/>
  <c r="V75" i="2" s="1"/>
  <c r="V24" i="2"/>
  <c r="R24" i="2"/>
  <c r="U26" i="2"/>
  <c r="O20" i="3"/>
  <c r="F79" i="2"/>
  <c r="F80" i="2" s="1"/>
  <c r="T24" i="2"/>
  <c r="W73" i="2"/>
  <c r="W75" i="2" s="1"/>
  <c r="B79" i="2"/>
  <c r="B80" i="2" s="1"/>
  <c r="G79" i="2"/>
  <c r="G80" i="2" s="1"/>
  <c r="O39" i="3"/>
  <c r="Q39" i="3" s="1"/>
  <c r="R73" i="2"/>
  <c r="R75" i="2" s="1"/>
  <c r="X75" i="2"/>
  <c r="F95" i="3"/>
  <c r="F97" i="3" s="1"/>
  <c r="F99" i="3" s="1"/>
  <c r="F43" i="3"/>
  <c r="L61" i="2"/>
  <c r="M61" i="2" s="1"/>
  <c r="Q73" i="2"/>
  <c r="Q75" i="2" s="1"/>
  <c r="N92" i="2"/>
  <c r="O92" i="2" s="1"/>
  <c r="P92" i="2" s="1"/>
  <c r="J28" i="3"/>
  <c r="J22" i="3"/>
  <c r="J79" i="2"/>
  <c r="J80" i="2" s="1"/>
  <c r="N86" i="3"/>
  <c r="N87" i="3" s="1"/>
  <c r="N76" i="3"/>
  <c r="N72" i="3"/>
  <c r="L60" i="2"/>
  <c r="M60" i="2" s="1"/>
  <c r="W24" i="2"/>
  <c r="S73" i="2"/>
  <c r="S75" i="2" s="1"/>
  <c r="M91" i="2"/>
  <c r="S24" i="2"/>
  <c r="X24" i="2"/>
  <c r="X157" i="2" s="1"/>
  <c r="X156" i="2" s="1"/>
  <c r="N82" i="2"/>
  <c r="J17" i="3"/>
  <c r="J31" i="3"/>
  <c r="J32" i="3" s="1"/>
  <c r="D79" i="2"/>
  <c r="D80" i="2" s="1"/>
  <c r="H79" i="2"/>
  <c r="H80" i="2" s="1"/>
  <c r="K24" i="2"/>
  <c r="K26" i="2" s="1"/>
  <c r="K27" i="2" s="1"/>
  <c r="T73" i="2"/>
  <c r="T75" i="2" s="1"/>
  <c r="M16" i="3"/>
  <c r="H31" i="3"/>
  <c r="H32" i="3" s="1"/>
  <c r="D71" i="3"/>
  <c r="Q69" i="3"/>
  <c r="L72" i="3"/>
  <c r="L76" i="3"/>
  <c r="M96" i="3"/>
  <c r="M41" i="3"/>
  <c r="AF40" i="3"/>
  <c r="M82" i="3"/>
  <c r="J43" i="3"/>
  <c r="J95" i="3"/>
  <c r="J97" i="3" s="1"/>
  <c r="J99" i="3" s="1"/>
  <c r="E86" i="3"/>
  <c r="E87" i="3" s="1"/>
  <c r="E76" i="3"/>
  <c r="E72" i="3"/>
  <c r="M86" i="3"/>
  <c r="M87" i="3" s="1"/>
  <c r="M72" i="3"/>
  <c r="M76" i="3"/>
  <c r="D94" i="3"/>
  <c r="E17" i="3"/>
  <c r="E31" i="3"/>
  <c r="E32" i="3" s="1"/>
  <c r="D21" i="3"/>
  <c r="O26" i="3"/>
  <c r="F31" i="3"/>
  <c r="F32" i="3" s="1"/>
  <c r="F21" i="3"/>
  <c r="E21" i="3"/>
  <c r="D31" i="3"/>
  <c r="D95" i="3"/>
  <c r="D43" i="3"/>
  <c r="L95" i="3"/>
  <c r="L97" i="3" s="1"/>
  <c r="L99" i="3" s="1"/>
  <c r="L43" i="3"/>
  <c r="K43" i="3"/>
  <c r="I31" i="3"/>
  <c r="I32" i="3" s="1"/>
  <c r="E95" i="3"/>
  <c r="E97" i="3" s="1"/>
  <c r="E99" i="3" s="1"/>
  <c r="E43" i="3"/>
  <c r="O76" i="3"/>
  <c r="O86" i="3"/>
  <c r="O87" i="3" s="1"/>
  <c r="I86" i="3"/>
  <c r="I87" i="3" s="1"/>
  <c r="I72" i="3"/>
  <c r="I76" i="3"/>
  <c r="K72" i="3"/>
  <c r="K86" i="3"/>
  <c r="K87" i="3" s="1"/>
  <c r="K76" i="3"/>
  <c r="F86" i="3"/>
  <c r="F87" i="3" s="1"/>
  <c r="F76" i="3"/>
  <c r="F72" i="3"/>
  <c r="G72" i="3"/>
  <c r="Q103" i="3"/>
  <c r="J72" i="3"/>
  <c r="J76" i="3"/>
  <c r="G83" i="3"/>
  <c r="AF68" i="3"/>
  <c r="G86" i="3"/>
  <c r="G87" i="3" s="1"/>
  <c r="K97" i="3"/>
  <c r="K99" i="3" s="1"/>
  <c r="Q98" i="3"/>
  <c r="G185" i="10" l="1"/>
  <c r="X76" i="3"/>
  <c r="X77" i="3" s="1"/>
  <c r="Z76" i="3"/>
  <c r="Z77" i="3" s="1"/>
  <c r="X86" i="3"/>
  <c r="X87" i="3" s="1"/>
  <c r="Y72" i="3"/>
  <c r="W116" i="3"/>
  <c r="U116" i="3"/>
  <c r="T81" i="3"/>
  <c r="T115" i="3" s="1"/>
  <c r="U81" i="3"/>
  <c r="U115" i="3" s="1"/>
  <c r="X81" i="3"/>
  <c r="X82" i="3" s="1"/>
  <c r="X83" i="3" s="1"/>
  <c r="S20" i="3"/>
  <c r="S80" i="3"/>
  <c r="S107" i="3" s="1"/>
  <c r="V116" i="3"/>
  <c r="Y81" i="3"/>
  <c r="Y82" i="3" s="1"/>
  <c r="W81" i="3"/>
  <c r="W82" i="3" s="1"/>
  <c r="AB81" i="3"/>
  <c r="AB82" i="3" s="1"/>
  <c r="S47" i="3"/>
  <c r="S75" i="3"/>
  <c r="S76" i="3" s="1"/>
  <c r="Y116" i="3"/>
  <c r="AB116" i="3"/>
  <c r="V81" i="3"/>
  <c r="V115" i="3" s="1"/>
  <c r="AA81" i="3"/>
  <c r="AA82" i="3" s="1"/>
  <c r="T116" i="3"/>
  <c r="AA116" i="3"/>
  <c r="X116" i="3"/>
  <c r="Z116" i="3"/>
  <c r="AC116" i="3"/>
  <c r="Z81" i="3"/>
  <c r="Z82" i="3" s="1"/>
  <c r="AC81" i="3"/>
  <c r="AC115" i="3" s="1"/>
  <c r="W157" i="2"/>
  <c r="W156" i="2" s="1"/>
  <c r="W76" i="3"/>
  <c r="W77" i="3" s="1"/>
  <c r="T76" i="3"/>
  <c r="T77" i="3" s="1"/>
  <c r="W72" i="3"/>
  <c r="Y76" i="3"/>
  <c r="Y77" i="3" s="1"/>
  <c r="Z86" i="3"/>
  <c r="Z87" i="3" s="1"/>
  <c r="T72" i="3"/>
  <c r="U86" i="3"/>
  <c r="U87" i="3" s="1"/>
  <c r="Q79" i="2"/>
  <c r="Q80" i="2" s="1"/>
  <c r="Q84" i="2"/>
  <c r="Q83" i="2"/>
  <c r="Q26" i="2"/>
  <c r="Q33" i="2" s="1"/>
  <c r="Q157" i="2"/>
  <c r="Q156" i="2" s="1"/>
  <c r="S79" i="2"/>
  <c r="S80" i="2" s="1"/>
  <c r="S84" i="2"/>
  <c r="S83" i="2"/>
  <c r="X83" i="2"/>
  <c r="X84" i="2"/>
  <c r="R79" i="2"/>
  <c r="R80" i="2" s="1"/>
  <c r="R84" i="2"/>
  <c r="R83" i="2"/>
  <c r="W84" i="2"/>
  <c r="W83" i="2"/>
  <c r="R157" i="2"/>
  <c r="R156" i="2" s="1"/>
  <c r="U30" i="2"/>
  <c r="U31" i="2" s="1"/>
  <c r="U35" i="2"/>
  <c r="U34" i="2"/>
  <c r="U192" i="2"/>
  <c r="U200" i="2" s="1"/>
  <c r="U159" i="2"/>
  <c r="U165" i="2" s="1"/>
  <c r="U190" i="2"/>
  <c r="U191" i="2"/>
  <c r="U199" i="2" s="1"/>
  <c r="T79" i="2"/>
  <c r="T80" i="2" s="1"/>
  <c r="T83" i="2"/>
  <c r="T84" i="2"/>
  <c r="S157" i="2"/>
  <c r="S156" i="2" s="1"/>
  <c r="T157" i="2"/>
  <c r="T156" i="2" s="1"/>
  <c r="V157" i="2"/>
  <c r="V156" i="2" s="1"/>
  <c r="U79" i="2"/>
  <c r="U80" i="2" s="1"/>
  <c r="U84" i="2"/>
  <c r="U83" i="2"/>
  <c r="V84" i="2"/>
  <c r="V83" i="2"/>
  <c r="Y82" i="2"/>
  <c r="Y83" i="2"/>
  <c r="Y84" i="2"/>
  <c r="Y26" i="2"/>
  <c r="Y33" i="2" s="1"/>
  <c r="Y157" i="2"/>
  <c r="Y156" i="2" s="1"/>
  <c r="U157" i="2"/>
  <c r="U156" i="2" s="1"/>
  <c r="O157" i="2"/>
  <c r="O156" i="2" s="1"/>
  <c r="O84" i="2"/>
  <c r="O83" i="2"/>
  <c r="P82" i="2"/>
  <c r="P84" i="2"/>
  <c r="P83" i="2"/>
  <c r="P26" i="2"/>
  <c r="P33" i="2" s="1"/>
  <c r="P157" i="2"/>
  <c r="P156" i="2" s="1"/>
  <c r="N34" i="2"/>
  <c r="N157" i="2"/>
  <c r="N156" i="2" s="1"/>
  <c r="C79" i="2"/>
  <c r="C80" i="2" s="1"/>
  <c r="W88" i="2"/>
  <c r="K83" i="2"/>
  <c r="K85" i="2" s="1"/>
  <c r="K82" i="2"/>
  <c r="B33" i="2"/>
  <c r="B34" i="2"/>
  <c r="B36" i="2" s="1"/>
  <c r="K34" i="2"/>
  <c r="K36" i="2" s="1"/>
  <c r="K33" i="2"/>
  <c r="N91" i="2"/>
  <c r="N87" i="2"/>
  <c r="O88" i="2"/>
  <c r="C83" i="2"/>
  <c r="C85" i="2" s="1"/>
  <c r="C82" i="2"/>
  <c r="W39" i="2"/>
  <c r="I30" i="2"/>
  <c r="I31" i="2" s="1"/>
  <c r="E97" i="2"/>
  <c r="E98" i="2" s="1"/>
  <c r="E100" i="2" s="1"/>
  <c r="AA76" i="3"/>
  <c r="AA77" i="3" s="1"/>
  <c r="U72" i="3"/>
  <c r="N82" i="3"/>
  <c r="N83" i="3" s="1"/>
  <c r="N115" i="3"/>
  <c r="AC72" i="3"/>
  <c r="AB72" i="3"/>
  <c r="AC86" i="3"/>
  <c r="AC87" i="3" s="1"/>
  <c r="V72" i="3"/>
  <c r="AB76" i="3"/>
  <c r="AB77" i="3" s="1"/>
  <c r="N27" i="3"/>
  <c r="N54" i="3"/>
  <c r="N114" i="3"/>
  <c r="V86" i="3"/>
  <c r="V87" i="3" s="1"/>
  <c r="AA72" i="3"/>
  <c r="Q26" i="3"/>
  <c r="H28" i="3"/>
  <c r="H34" i="3" s="1"/>
  <c r="H35" i="3" s="1"/>
  <c r="L70" i="2"/>
  <c r="M73" i="2"/>
  <c r="M75" i="2" s="1"/>
  <c r="M76" i="2" s="1"/>
  <c r="L157" i="2"/>
  <c r="L73" i="2"/>
  <c r="I47" i="2"/>
  <c r="U113" i="3"/>
  <c r="AA113" i="3"/>
  <c r="W113" i="3"/>
  <c r="AB114" i="3"/>
  <c r="AB54" i="3"/>
  <c r="T114" i="3"/>
  <c r="T54" i="3"/>
  <c r="V114" i="3"/>
  <c r="V54" i="3"/>
  <c r="X114" i="3"/>
  <c r="X54" i="3"/>
  <c r="AC54" i="3"/>
  <c r="AC114" i="3"/>
  <c r="Y113" i="3"/>
  <c r="AC113" i="3"/>
  <c r="Z113" i="3"/>
  <c r="AA54" i="3"/>
  <c r="AA114" i="3"/>
  <c r="S72" i="3"/>
  <c r="AB113" i="3"/>
  <c r="V113" i="3"/>
  <c r="T113" i="3"/>
  <c r="W54" i="3"/>
  <c r="W114" i="3"/>
  <c r="X113" i="3"/>
  <c r="Z54" i="3"/>
  <c r="Z114" i="3"/>
  <c r="Y54" i="3"/>
  <c r="Y114" i="3"/>
  <c r="U54" i="3"/>
  <c r="U114" i="3"/>
  <c r="W39" i="3"/>
  <c r="S152" i="10"/>
  <c r="L22" i="3"/>
  <c r="G48" i="3"/>
  <c r="G49" i="3" s="1"/>
  <c r="G58" i="3"/>
  <c r="G59" i="3" s="1"/>
  <c r="H83" i="3"/>
  <c r="H84" i="3" s="1"/>
  <c r="O53" i="3"/>
  <c r="BJ140" i="10"/>
  <c r="CM183" i="10" a="1"/>
  <c r="CM183" i="10" s="1"/>
  <c r="CA183" i="10" s="1"/>
  <c r="CM192" i="10" a="1"/>
  <c r="CM192" i="10" s="1"/>
  <c r="CA192" i="10" s="1"/>
  <c r="CM190" i="10" a="1"/>
  <c r="CM190" i="10" s="1"/>
  <c r="CA190" i="10" s="1"/>
  <c r="CM157" i="10" a="1"/>
  <c r="CM157" i="10" s="1"/>
  <c r="CA157" i="10" s="1"/>
  <c r="CM141" i="10" a="1"/>
  <c r="CM141" i="10" s="1"/>
  <c r="CA141" i="10" s="1"/>
  <c r="CM176" i="10" a="1"/>
  <c r="CM176" i="10" s="1"/>
  <c r="CA176" i="10" s="1"/>
  <c r="CM144" i="10" a="1"/>
  <c r="CM144" i="10" s="1"/>
  <c r="CA144" i="10" s="1"/>
  <c r="CM137" i="10" a="1"/>
  <c r="CM137" i="10" s="1"/>
  <c r="CA137" i="10" s="1"/>
  <c r="CM119" i="10" a="1"/>
  <c r="CM119" i="10" s="1"/>
  <c r="CA119" i="10" s="1"/>
  <c r="CM125" i="10" a="1"/>
  <c r="CM125" i="10" s="1"/>
  <c r="CA125" i="10" s="1"/>
  <c r="BU183" i="10" a="1"/>
  <c r="BU183" i="10" s="1"/>
  <c r="BI183" i="10" s="1"/>
  <c r="BU180" i="10" a="1"/>
  <c r="BU180" i="10" s="1"/>
  <c r="BI180" i="10" s="1"/>
  <c r="BU199" i="10" a="1"/>
  <c r="BU199" i="10" s="1"/>
  <c r="BI199" i="10" s="1"/>
  <c r="BU158" i="10" a="1"/>
  <c r="BU158" i="10" s="1"/>
  <c r="BI158" i="10" s="1"/>
  <c r="BC191" i="10" a="1"/>
  <c r="BC191" i="10" s="1"/>
  <c r="AQ191" i="10" s="1"/>
  <c r="BU137" i="10" a="1"/>
  <c r="BU137" i="10" s="1"/>
  <c r="BI137" i="10" s="1"/>
  <c r="BC180" i="10" a="1"/>
  <c r="BC180" i="10" s="1"/>
  <c r="AQ180" i="10" s="1"/>
  <c r="BU151" i="10" a="1"/>
  <c r="BU151" i="10" s="1"/>
  <c r="BI151" i="10" s="1"/>
  <c r="BU145" i="10" a="1"/>
  <c r="BU145" i="10" s="1"/>
  <c r="BI145" i="10" s="1"/>
  <c r="BU126" i="10" a="1"/>
  <c r="BU126" i="10" s="1"/>
  <c r="BI126" i="10" s="1"/>
  <c r="BU116" i="10" a="1"/>
  <c r="BU116" i="10" s="1"/>
  <c r="BI116" i="10" s="1"/>
  <c r="BU111" i="10" a="1"/>
  <c r="BU111" i="10" s="1"/>
  <c r="BI111" i="10" s="1"/>
  <c r="BU124" i="10" a="1"/>
  <c r="BU124" i="10" s="1"/>
  <c r="BI124" i="10" s="1"/>
  <c r="BU127" i="10" a="1"/>
  <c r="BU127" i="10" s="1"/>
  <c r="BI127" i="10" s="1"/>
  <c r="BC154" i="10" a="1"/>
  <c r="BC154" i="10" s="1"/>
  <c r="AQ154" i="10" s="1"/>
  <c r="BC150" i="10" a="1"/>
  <c r="BC150" i="10" s="1"/>
  <c r="AQ150" i="10" s="1"/>
  <c r="BC137" i="10" a="1"/>
  <c r="BC137" i="10" s="1"/>
  <c r="AQ137" i="10" s="1"/>
  <c r="BC168" i="10" a="1"/>
  <c r="BC168" i="10" s="1"/>
  <c r="AQ168" i="10" s="1"/>
  <c r="BC117" i="10" a="1"/>
  <c r="BC117" i="10" s="1"/>
  <c r="AQ117" i="10" s="1"/>
  <c r="BC128" i="10" a="1"/>
  <c r="BC128" i="10" s="1"/>
  <c r="AQ128" i="10" s="1"/>
  <c r="BC112" i="10" a="1"/>
  <c r="BC112" i="10" s="1"/>
  <c r="AQ112" i="10" s="1"/>
  <c r="BC116" i="10" a="1"/>
  <c r="BC116" i="10" s="1"/>
  <c r="AQ116" i="10" s="1"/>
  <c r="AK137" i="10" a="1"/>
  <c r="AK137" i="10" s="1"/>
  <c r="Y137" i="10" s="1"/>
  <c r="AK164" i="10" a="1"/>
  <c r="AK164" i="10" s="1"/>
  <c r="Y164" i="10" s="1"/>
  <c r="AK120" i="10" a="1"/>
  <c r="AK120" i="10" s="1"/>
  <c r="Y120" i="10" s="1"/>
  <c r="AK192" i="10" a="1"/>
  <c r="AK192" i="10" s="1"/>
  <c r="Y192" i="10" s="1"/>
  <c r="AK154" i="10" a="1"/>
  <c r="AK154" i="10" s="1"/>
  <c r="Y154" i="10" s="1"/>
  <c r="AK170" i="10" a="1"/>
  <c r="AK170" i="10" s="1"/>
  <c r="Y170" i="10" s="1"/>
  <c r="AK142" i="10" a="1"/>
  <c r="AK142" i="10" s="1"/>
  <c r="Y142" i="10" s="1"/>
  <c r="AK151" i="10" a="1"/>
  <c r="AK151" i="10" s="1"/>
  <c r="Y151" i="10" s="1"/>
  <c r="AK134" i="10" a="1"/>
  <c r="AK134" i="10" s="1"/>
  <c r="Y134" i="10" s="1"/>
  <c r="CM175" i="10" a="1"/>
  <c r="CM175" i="10" s="1"/>
  <c r="CA175" i="10" s="1"/>
  <c r="CM142" i="10" a="1"/>
  <c r="CM142" i="10" s="1"/>
  <c r="CA142" i="10" s="1"/>
  <c r="CM126" i="10" a="1"/>
  <c r="CM126" i="10" s="1"/>
  <c r="CA126" i="10" s="1"/>
  <c r="BU160" i="10" a="1"/>
  <c r="BU160" i="10" s="1"/>
  <c r="BI160" i="10" s="1"/>
  <c r="BU150" i="10" a="1"/>
  <c r="BU150" i="10" s="1"/>
  <c r="BI150" i="10" s="1"/>
  <c r="BU133" i="10" a="1"/>
  <c r="BU133" i="10" s="1"/>
  <c r="BI133" i="10" s="1"/>
  <c r="BC193" i="10" a="1"/>
  <c r="BC193" i="10" s="1"/>
  <c r="AQ193" i="10" s="1"/>
  <c r="BC179" i="10" a="1"/>
  <c r="BC179" i="10" s="1"/>
  <c r="AQ179" i="10" s="1"/>
  <c r="BC135" i="10" a="1"/>
  <c r="BC135" i="10" s="1"/>
  <c r="AQ135" i="10" s="1"/>
  <c r="BC105" i="10" a="1"/>
  <c r="BC105" i="10" s="1"/>
  <c r="AQ105" i="10" s="1"/>
  <c r="AK150" i="10" a="1"/>
  <c r="AK150" i="10" s="1"/>
  <c r="Y150" i="10" s="1"/>
  <c r="AK127" i="10" a="1"/>
  <c r="AK127" i="10" s="1"/>
  <c r="Y127" i="10" s="1"/>
  <c r="AK119" i="10" a="1"/>
  <c r="AK119" i="10" s="1"/>
  <c r="Y119" i="10" s="1"/>
  <c r="CM181" i="10" a="1"/>
  <c r="CM181" i="10" s="1"/>
  <c r="CA181" i="10" s="1"/>
  <c r="CM179" i="10" a="1"/>
  <c r="CM179" i="10" s="1"/>
  <c r="CA179" i="10" s="1"/>
  <c r="CM182" i="10" a="1"/>
  <c r="CM182" i="10" s="1"/>
  <c r="CA182" i="10" s="1"/>
  <c r="CM145" i="10" a="1"/>
  <c r="CM145" i="10" s="1"/>
  <c r="CA145" i="10" s="1"/>
  <c r="CM132" i="10" a="1"/>
  <c r="CM132" i="10" s="1"/>
  <c r="CA132" i="10" s="1"/>
  <c r="CM177" i="10" a="1"/>
  <c r="CM177" i="10" s="1"/>
  <c r="CA177" i="10" s="1"/>
  <c r="CM131" i="10" a="1"/>
  <c r="CM131" i="10" s="1"/>
  <c r="CA131" i="10" s="1"/>
  <c r="CM136" i="10" a="1"/>
  <c r="CM136" i="10" s="1"/>
  <c r="CA136" i="10" s="1"/>
  <c r="CM135" i="10" a="1"/>
  <c r="CM135" i="10" s="1"/>
  <c r="CA135" i="10" s="1"/>
  <c r="CM138" i="10" a="1"/>
  <c r="CM138" i="10" s="1"/>
  <c r="CA138" i="10" s="1"/>
  <c r="BU179" i="10" a="1"/>
  <c r="BU179" i="10" s="1"/>
  <c r="BI179" i="10" s="1"/>
  <c r="BU175" i="10" a="1"/>
  <c r="BU175" i="10" s="1"/>
  <c r="BI175" i="10" s="1"/>
  <c r="BU191" i="10" a="1"/>
  <c r="BU191" i="10" s="1"/>
  <c r="BI191" i="10" s="1"/>
  <c r="BU154" i="10" a="1"/>
  <c r="BU154" i="10" s="1"/>
  <c r="BI154" i="10" s="1"/>
  <c r="BC190" i="10" a="1"/>
  <c r="BC190" i="10" s="1"/>
  <c r="AQ190" i="10" s="1"/>
  <c r="BU130" i="10" a="1"/>
  <c r="BU130" i="10" s="1"/>
  <c r="BI130" i="10" s="1"/>
  <c r="BC178" i="10" a="1"/>
  <c r="BC178" i="10" s="1"/>
  <c r="AQ178" i="10" s="1"/>
  <c r="BU149" i="10" a="1"/>
  <c r="BU149" i="10" s="1"/>
  <c r="BI149" i="10" s="1"/>
  <c r="BU143" i="10" a="1"/>
  <c r="BU143" i="10" s="1"/>
  <c r="BI143" i="10" s="1"/>
  <c r="BU125" i="10" a="1"/>
  <c r="BU125" i="10" s="1"/>
  <c r="BI125" i="10" s="1"/>
  <c r="BU114" i="10" a="1"/>
  <c r="BU114" i="10" s="1"/>
  <c r="BI114" i="10" s="1"/>
  <c r="BU109" i="10" a="1"/>
  <c r="BU109" i="10" s="1"/>
  <c r="BI109" i="10" s="1"/>
  <c r="BC183" i="10" a="1"/>
  <c r="BC183" i="10" s="1"/>
  <c r="AQ183" i="10" s="1"/>
  <c r="BC199" i="10" a="1"/>
  <c r="BC199" i="10" s="1"/>
  <c r="AQ199" i="10" s="1"/>
  <c r="BC146" i="10" a="1"/>
  <c r="BC146" i="10" s="1"/>
  <c r="AQ146" i="10" s="1"/>
  <c r="BC144" i="10" a="1"/>
  <c r="BC144" i="10" s="1"/>
  <c r="AQ144" i="10" s="1"/>
  <c r="BC125" i="10" a="1"/>
  <c r="BC125" i="10" s="1"/>
  <c r="AQ125" i="10" s="1"/>
  <c r="BC167" i="10" a="1"/>
  <c r="BC167" i="10" s="1"/>
  <c r="AQ167" i="10" s="1"/>
  <c r="AK195" i="10" a="1"/>
  <c r="AK195" i="10" s="1"/>
  <c r="Y195" i="10" s="1"/>
  <c r="BC121" i="10" a="1"/>
  <c r="BC121" i="10" s="1"/>
  <c r="AQ121" i="10" s="1"/>
  <c r="BC111" i="10" a="1"/>
  <c r="BC111" i="10" s="1"/>
  <c r="AQ111" i="10" s="1"/>
  <c r="AK196" i="10" a="1"/>
  <c r="AK196" i="10" s="1"/>
  <c r="Y196" i="10" s="1"/>
  <c r="AK136" i="10" a="1"/>
  <c r="AK136" i="10" s="1"/>
  <c r="Y136" i="10" s="1"/>
  <c r="AK156" i="10" a="1"/>
  <c r="AK156" i="10" s="1"/>
  <c r="Y156" i="10" s="1"/>
  <c r="AK118" i="10" a="1"/>
  <c r="AK118" i="10" s="1"/>
  <c r="Y118" i="10" s="1"/>
  <c r="AK181" i="10" a="1"/>
  <c r="AK181" i="10" s="1"/>
  <c r="AK183" i="10" a="1"/>
  <c r="AK183" i="10" s="1"/>
  <c r="Y183" i="10" s="1"/>
  <c r="AK161" i="10" a="1"/>
  <c r="AK161" i="10" s="1"/>
  <c r="Y161" i="10" s="1"/>
  <c r="AK139" i="10" a="1"/>
  <c r="AK139" i="10" s="1"/>
  <c r="Y139" i="10" s="1"/>
  <c r="AK121" i="10" a="1"/>
  <c r="AK121" i="10" s="1"/>
  <c r="Y121" i="10" s="1"/>
  <c r="AK109" i="10" a="1"/>
  <c r="AK109" i="10" s="1"/>
  <c r="Y109" i="10" s="1"/>
  <c r="CM168" i="10" a="1"/>
  <c r="CM168" i="10" s="1"/>
  <c r="CA168" i="10" s="1"/>
  <c r="CM162" i="10" a="1"/>
  <c r="CM162" i="10" s="1"/>
  <c r="CA162" i="10" s="1"/>
  <c r="BU192" i="10" a="1"/>
  <c r="BU192" i="10" s="1"/>
  <c r="BI192" i="10" s="1"/>
  <c r="BU181" i="10" a="1"/>
  <c r="BU181" i="10" s="1"/>
  <c r="BI181" i="10" s="1"/>
  <c r="BU120" i="10" a="1"/>
  <c r="BU120" i="10" s="1"/>
  <c r="BI120" i="10" s="1"/>
  <c r="BU121" i="10" a="1"/>
  <c r="BU121" i="10" s="1"/>
  <c r="BI121" i="10" s="1"/>
  <c r="BC194" i="10" a="1"/>
  <c r="BC194" i="10" s="1"/>
  <c r="AQ194" i="10" s="1"/>
  <c r="BC130" i="10" a="1"/>
  <c r="BC130" i="10" s="1"/>
  <c r="AQ130" i="10" s="1"/>
  <c r="BC142" i="10" a="1"/>
  <c r="BC142" i="10" s="1"/>
  <c r="AQ142" i="10" s="1"/>
  <c r="AK123" i="10" a="1"/>
  <c r="AK123" i="10" s="1"/>
  <c r="Y123" i="10" s="1"/>
  <c r="AK191" i="10" a="1"/>
  <c r="AK191" i="10" s="1"/>
  <c r="Y191" i="10" s="1"/>
  <c r="AK112" i="10" a="1"/>
  <c r="AK112" i="10" s="1"/>
  <c r="Y112" i="10" s="1"/>
  <c r="CM180" i="10" a="1"/>
  <c r="CM180" i="10" s="1"/>
  <c r="CA180" i="10" s="1"/>
  <c r="CM173" i="10" a="1"/>
  <c r="CM173" i="10" s="1"/>
  <c r="CA173" i="10" s="1"/>
  <c r="CM169" i="10" a="1"/>
  <c r="CM169" i="10" s="1"/>
  <c r="CA169" i="10" s="1"/>
  <c r="CM143" i="10" a="1"/>
  <c r="CM143" i="10" s="1"/>
  <c r="CA143" i="10" s="1"/>
  <c r="CM160" i="10" a="1"/>
  <c r="CM160" i="10" s="1"/>
  <c r="CA160" i="10" s="1"/>
  <c r="CM163" i="10" a="1"/>
  <c r="CM163" i="10" s="1"/>
  <c r="CA163" i="10" s="1"/>
  <c r="CM114" i="10" a="1"/>
  <c r="CM114" i="10" s="1"/>
  <c r="CA114" i="10" s="1"/>
  <c r="CM127" i="10" a="1"/>
  <c r="CM127" i="10" s="1"/>
  <c r="CA127" i="10" s="1"/>
  <c r="CM148" i="10" a="1"/>
  <c r="CM148" i="10" s="1"/>
  <c r="CA148" i="10" s="1"/>
  <c r="CM117" i="10" a="1"/>
  <c r="CM117" i="10" s="1"/>
  <c r="CA117" i="10" s="1"/>
  <c r="BU167" i="10" a="1"/>
  <c r="BU167" i="10" s="1"/>
  <c r="BI167" i="10" s="1"/>
  <c r="BU165" i="10" a="1"/>
  <c r="BU165" i="10" s="1"/>
  <c r="BI165" i="10" s="1"/>
  <c r="BU190" i="10" a="1"/>
  <c r="BU190" i="10" s="1"/>
  <c r="BI190" i="10" s="1"/>
  <c r="BU153" i="10" a="1"/>
  <c r="BU153" i="10" s="1"/>
  <c r="BI153" i="10" s="1"/>
  <c r="BU178" i="10" a="1"/>
  <c r="BU178" i="10" s="1"/>
  <c r="BI178" i="10" s="1"/>
  <c r="BU123" i="10" a="1"/>
  <c r="BU123" i="10" s="1"/>
  <c r="BI123" i="10" s="1"/>
  <c r="BU177" i="10" a="1"/>
  <c r="BU177" i="10" s="1"/>
  <c r="BI177" i="10" s="1"/>
  <c r="BU138" i="10" a="1"/>
  <c r="BU138" i="10" s="1"/>
  <c r="BI138" i="10" s="1"/>
  <c r="BU139" i="10" a="1"/>
  <c r="BU139" i="10" s="1"/>
  <c r="BI139" i="10" s="1"/>
  <c r="BU122" i="10" a="1"/>
  <c r="BU122" i="10" s="1"/>
  <c r="BI122" i="10" s="1"/>
  <c r="BU113" i="10" a="1"/>
  <c r="BU113" i="10" s="1"/>
  <c r="BI113" i="10" s="1"/>
  <c r="BC174" i="10" a="1"/>
  <c r="BC174" i="10" s="1"/>
  <c r="AQ174" i="10" s="1"/>
  <c r="BC195" i="10" a="1"/>
  <c r="BC195" i="10" s="1"/>
  <c r="AQ195" i="10" s="1"/>
  <c r="BC192" i="10" a="1"/>
  <c r="BC192" i="10" s="1"/>
  <c r="AQ192" i="10" s="1"/>
  <c r="BC143" i="10" a="1"/>
  <c r="BC143" i="10" s="1"/>
  <c r="AQ143" i="10" s="1"/>
  <c r="BC132" i="10" a="1"/>
  <c r="BC132" i="10" s="1"/>
  <c r="AQ132" i="10" s="1"/>
  <c r="BC123" i="10" a="1"/>
  <c r="BC123" i="10" s="1"/>
  <c r="AQ123" i="10" s="1"/>
  <c r="BC147" i="10" a="1"/>
  <c r="BC147" i="10" s="1"/>
  <c r="AQ147" i="10" s="1"/>
  <c r="AK182" i="10" a="1"/>
  <c r="AK182" i="10" s="1"/>
  <c r="Y182" i="10" s="1"/>
  <c r="BC145" i="10" a="1"/>
  <c r="BC145" i="10" s="1"/>
  <c r="AQ145" i="10" s="1"/>
  <c r="BC110" i="10" a="1"/>
  <c r="BC110" i="10" s="1"/>
  <c r="AQ110" i="10" s="1"/>
  <c r="AK177" i="10" a="1"/>
  <c r="AK177" i="10" s="1"/>
  <c r="Y177" i="10" s="1"/>
  <c r="AK132" i="10" a="1"/>
  <c r="AK132" i="10" s="1"/>
  <c r="Y132" i="10" s="1"/>
  <c r="AK155" i="10" a="1"/>
  <c r="AK155" i="10" s="1"/>
  <c r="Y155" i="10" s="1"/>
  <c r="AK116" i="10" a="1"/>
  <c r="AK116" i="10" s="1"/>
  <c r="Y116" i="10" s="1"/>
  <c r="AK169" i="10" a="1"/>
  <c r="AK169" i="10" s="1"/>
  <c r="Y169" i="10" s="1"/>
  <c r="AK176" i="10" a="1"/>
  <c r="AK176" i="10" s="1"/>
  <c r="Y176" i="10" s="1"/>
  <c r="AK143" i="10" a="1"/>
  <c r="AK143" i="10" s="1"/>
  <c r="Y143" i="10" s="1"/>
  <c r="AK117" i="10" a="1"/>
  <c r="AK117" i="10" s="1"/>
  <c r="Y117" i="10" s="1"/>
  <c r="AK114" i="10" a="1"/>
  <c r="AK114" i="10" s="1"/>
  <c r="Y114" i="10" s="1"/>
  <c r="R115" i="10"/>
  <c r="CM172" i="10" a="1"/>
  <c r="CM172" i="10" s="1"/>
  <c r="CA172" i="10" s="1"/>
  <c r="CM154" i="10" a="1"/>
  <c r="CM154" i="10" s="1"/>
  <c r="CA154" i="10" s="1"/>
  <c r="CM134" i="10" a="1"/>
  <c r="CM134" i="10" s="1"/>
  <c r="CA134" i="10" s="1"/>
  <c r="CM121" i="10" a="1"/>
  <c r="CM121" i="10" s="1"/>
  <c r="CA121" i="10" s="1"/>
  <c r="BU170" i="10" a="1"/>
  <c r="BU170" i="10" s="1"/>
  <c r="BI170" i="10" s="1"/>
  <c r="BU176" i="10" a="1"/>
  <c r="BU176" i="10" s="1"/>
  <c r="BI176" i="10" s="1"/>
  <c r="BC163" i="10" a="1"/>
  <c r="BC163" i="10" s="1"/>
  <c r="AQ163" i="10" s="1"/>
  <c r="BC139" i="10" a="1"/>
  <c r="BC139" i="10" s="1"/>
  <c r="AQ139" i="10" s="1"/>
  <c r="BC155" i="10" a="1"/>
  <c r="BC155" i="10" s="1"/>
  <c r="AQ155" i="10" s="1"/>
  <c r="AK173" i="10" a="1"/>
  <c r="AK173" i="10" s="1"/>
  <c r="Y173" i="10" s="1"/>
  <c r="BC109" i="10" a="1"/>
  <c r="BC109" i="10" s="1"/>
  <c r="AQ109" i="10" s="1"/>
  <c r="AK145" i="10" a="1"/>
  <c r="AK145" i="10" s="1"/>
  <c r="Y145" i="10" s="1"/>
  <c r="CM123" i="10" a="1"/>
  <c r="CM123" i="10" s="1"/>
  <c r="CA123" i="10" s="1"/>
  <c r="BU173" i="10" a="1"/>
  <c r="BU173" i="10" s="1"/>
  <c r="BI173" i="10" s="1"/>
  <c r="BC166" i="10" a="1"/>
  <c r="BC166" i="10" s="1"/>
  <c r="AQ166" i="10" s="1"/>
  <c r="AK172" i="10" a="1"/>
  <c r="AK172" i="10" s="1"/>
  <c r="Y172" i="10" s="1"/>
  <c r="CM174" i="10" a="1"/>
  <c r="CM174" i="10" s="1"/>
  <c r="CA174" i="10" s="1"/>
  <c r="CM156" i="10" a="1"/>
  <c r="CM156" i="10" s="1"/>
  <c r="CA156" i="10" s="1"/>
  <c r="CM167" i="10" a="1"/>
  <c r="CM167" i="10" s="1"/>
  <c r="CA167" i="10" s="1"/>
  <c r="CM139" i="10" a="1"/>
  <c r="CM139" i="10" s="1"/>
  <c r="CA139" i="10" s="1"/>
  <c r="CM153" i="10" a="1"/>
  <c r="CM153" i="10" s="1"/>
  <c r="CA153" i="10" s="1"/>
  <c r="CM158" i="10" a="1"/>
  <c r="CM158" i="10" s="1"/>
  <c r="CA158" i="10" s="1"/>
  <c r="CM122" i="10" a="1"/>
  <c r="CM122" i="10" s="1"/>
  <c r="CA122" i="10" s="1"/>
  <c r="CM118" i="10" a="1"/>
  <c r="CM118" i="10" s="1"/>
  <c r="CA118" i="10" s="1"/>
  <c r="CM133" i="10" a="1"/>
  <c r="CM133" i="10" s="1"/>
  <c r="CA133" i="10" s="1"/>
  <c r="BU171" i="10" a="1"/>
  <c r="BU171" i="10" s="1"/>
  <c r="BI171" i="10" s="1"/>
  <c r="CM120" i="10" a="1"/>
  <c r="CM120" i="10" s="1"/>
  <c r="CA120" i="10" s="1"/>
  <c r="CM113" i="10" a="1"/>
  <c r="CM113" i="10" s="1"/>
  <c r="CA113" i="10" s="1"/>
  <c r="BU194" i="10" a="1"/>
  <c r="BU194" i="10" s="1"/>
  <c r="BI194" i="10" s="1"/>
  <c r="BU132" i="10" a="1"/>
  <c r="BU132" i="10" s="1"/>
  <c r="BI132" i="10" s="1"/>
  <c r="BU168" i="10" a="1"/>
  <c r="BU168" i="10" s="1"/>
  <c r="BI168" i="10" s="1"/>
  <c r="BU119" i="10" a="1"/>
  <c r="BU119" i="10" s="1"/>
  <c r="BI119" i="10" s="1"/>
  <c r="BU166" i="10" a="1"/>
  <c r="BU166" i="10" s="1"/>
  <c r="BI166" i="10" s="1"/>
  <c r="BU163" i="10" a="1"/>
  <c r="BU163" i="10" s="1"/>
  <c r="BI163" i="10" s="1"/>
  <c r="BU161" i="10" a="1"/>
  <c r="BU161" i="10" s="1"/>
  <c r="BI161" i="10" s="1"/>
  <c r="BU110" i="10" a="1"/>
  <c r="BU110" i="10" s="1"/>
  <c r="BI110" i="10" s="1"/>
  <c r="BC176" i="10" a="1"/>
  <c r="BC176" i="10" s="1"/>
  <c r="AQ176" i="10" s="1"/>
  <c r="BC157" i="10" a="1"/>
  <c r="BC157" i="10" s="1"/>
  <c r="AQ157" i="10" s="1"/>
  <c r="BC181" i="10" a="1"/>
  <c r="BC181" i="10" s="1"/>
  <c r="AQ181" i="10" s="1"/>
  <c r="BC177" i="10" a="1"/>
  <c r="BC177" i="10" s="1"/>
  <c r="AQ177" i="10" s="1"/>
  <c r="BC134" i="10" a="1"/>
  <c r="BC134" i="10" s="1"/>
  <c r="AQ134" i="10" s="1"/>
  <c r="BC175" i="10" a="1"/>
  <c r="BC175" i="10" s="1"/>
  <c r="AQ175" i="10" s="1"/>
  <c r="BC165" i="10" a="1"/>
  <c r="BC165" i="10" s="1"/>
  <c r="AQ165" i="10" s="1"/>
  <c r="BC127" i="10" a="1"/>
  <c r="BC127" i="10" s="1"/>
  <c r="AQ127" i="10" s="1"/>
  <c r="BC131" i="10" a="1"/>
  <c r="BC131" i="10" s="1"/>
  <c r="AQ131" i="10" s="1"/>
  <c r="BC138" i="10" a="1"/>
  <c r="BC138" i="10" s="1"/>
  <c r="AQ138" i="10" s="1"/>
  <c r="AK197" i="10" a="1"/>
  <c r="AK197" i="10" s="1"/>
  <c r="Y197" i="10" s="1"/>
  <c r="AK168" i="10" a="1"/>
  <c r="AK168" i="10" s="1"/>
  <c r="Y168" i="10" s="1"/>
  <c r="BC115" i="10" a="1"/>
  <c r="BC115" i="10" s="1"/>
  <c r="AQ115" i="10" s="1"/>
  <c r="AK146" i="10" a="1"/>
  <c r="AK146" i="10" s="1"/>
  <c r="Y146" i="10" s="1"/>
  <c r="AK171" i="10" a="1"/>
  <c r="AK171" i="10" s="1"/>
  <c r="Y171" i="10" s="1"/>
  <c r="AK179" i="10" a="1"/>
  <c r="AK179" i="10" s="1"/>
  <c r="Y179" i="10" s="1"/>
  <c r="AK165" i="10" a="1"/>
  <c r="AK165" i="10" s="1"/>
  <c r="Y165" i="10" s="1"/>
  <c r="AK122" i="10" a="1"/>
  <c r="AK122" i="10" s="1"/>
  <c r="Y122" i="10" s="1"/>
  <c r="AK126" i="10" a="1"/>
  <c r="AK126" i="10" s="1"/>
  <c r="Y126" i="10" s="1"/>
  <c r="AK110" i="10" a="1"/>
  <c r="AK110" i="10" s="1"/>
  <c r="Y110" i="10" s="1"/>
  <c r="AK115" i="10" a="1"/>
  <c r="AK115" i="10" s="1"/>
  <c r="Y115" i="10" s="1"/>
  <c r="CM178" i="10" a="1"/>
  <c r="CM178" i="10" s="1"/>
  <c r="CA178" i="10" s="1"/>
  <c r="CM155" i="10" a="1"/>
  <c r="CM155" i="10" s="1"/>
  <c r="CA155" i="10" s="1"/>
  <c r="CM166" i="10" a="1"/>
  <c r="CM166" i="10" s="1"/>
  <c r="CA166" i="10" s="1"/>
  <c r="CM195" i="10" a="1"/>
  <c r="CM195" i="10" s="1"/>
  <c r="CA195" i="10" s="1"/>
  <c r="CM146" i="10" a="1"/>
  <c r="CM146" i="10" s="1"/>
  <c r="CA146" i="10" s="1"/>
  <c r="CM149" i="10" a="1"/>
  <c r="CM149" i="10" s="1"/>
  <c r="CA149" i="10" s="1"/>
  <c r="CM112" i="10" a="1"/>
  <c r="CM112" i="10" s="1"/>
  <c r="CA112" i="10" s="1"/>
  <c r="CM110" i="10" a="1"/>
  <c r="CM110" i="10" s="1"/>
  <c r="CA110" i="10" s="1"/>
  <c r="CM128" i="10" a="1"/>
  <c r="CM128" i="10" s="1"/>
  <c r="CA128" i="10" s="1"/>
  <c r="BU169" i="10" a="1"/>
  <c r="BU169" i="10" s="1"/>
  <c r="BI169" i="10" s="1"/>
  <c r="CM115" i="10" a="1"/>
  <c r="CM115" i="10" s="1"/>
  <c r="CA115" i="10" s="1"/>
  <c r="CM116" i="10" a="1"/>
  <c r="CM116" i="10" s="1"/>
  <c r="CA116" i="10" s="1"/>
  <c r="BU174" i="10" a="1"/>
  <c r="BU174" i="10" s="1"/>
  <c r="BI174" i="10" s="1"/>
  <c r="BC197" i="10" a="1"/>
  <c r="BC197" i="10" s="1"/>
  <c r="AQ197" i="10" s="1"/>
  <c r="BU144" i="10" a="1"/>
  <c r="BU144" i="10" s="1"/>
  <c r="BI144" i="10" s="1"/>
  <c r="BU117" i="10" a="1"/>
  <c r="BU117" i="10" s="1"/>
  <c r="BI117" i="10" s="1"/>
  <c r="BU164" i="10" a="1"/>
  <c r="BU164" i="10" s="1"/>
  <c r="BI164" i="10" s="1"/>
  <c r="BU147" i="10" a="1"/>
  <c r="BU147" i="10" s="1"/>
  <c r="BI147" i="10" s="1"/>
  <c r="BU148" i="10" a="1"/>
  <c r="BU148" i="10" s="1"/>
  <c r="BI148" i="10" s="1"/>
  <c r="BU105" i="10" a="1"/>
  <c r="BU105" i="10" s="1"/>
  <c r="BC164" i="10" a="1"/>
  <c r="BC164" i="10" s="1"/>
  <c r="AQ164" i="10" s="1"/>
  <c r="BC173" i="10" a="1"/>
  <c r="BC173" i="10" s="1"/>
  <c r="AQ173" i="10" s="1"/>
  <c r="BC162" i="10" a="1"/>
  <c r="BC162" i="10" s="1"/>
  <c r="AQ162" i="10" s="1"/>
  <c r="BC160" i="10" a="1"/>
  <c r="BC160" i="10" s="1"/>
  <c r="AQ160" i="10" s="1"/>
  <c r="BC126" i="10" a="1"/>
  <c r="BC126" i="10" s="1"/>
  <c r="AQ126" i="10" s="1"/>
  <c r="BC156" i="10" a="1"/>
  <c r="BC156" i="10" s="1"/>
  <c r="AQ156" i="10" s="1"/>
  <c r="BC148" i="10" a="1"/>
  <c r="BC148" i="10" s="1"/>
  <c r="AQ148" i="10" s="1"/>
  <c r="AK190" i="10" a="1"/>
  <c r="AK190" i="10" s="1"/>
  <c r="Y190" i="10" s="1"/>
  <c r="BC122" i="10" a="1"/>
  <c r="BC122" i="10" s="1"/>
  <c r="AQ122" i="10" s="1"/>
  <c r="BC120" i="10" a="1"/>
  <c r="BC120" i="10" s="1"/>
  <c r="AQ120" i="10" s="1"/>
  <c r="AK194" i="10" a="1"/>
  <c r="AK194" i="10" s="1"/>
  <c r="Y194" i="10" s="1"/>
  <c r="AK158" i="10" a="1"/>
  <c r="AK158" i="10" s="1"/>
  <c r="Y158" i="10" s="1"/>
  <c r="AK178" i="10" a="1"/>
  <c r="AK178" i="10" s="1"/>
  <c r="Y178" i="10" s="1"/>
  <c r="AK133" i="10" a="1"/>
  <c r="AK133" i="10" s="1"/>
  <c r="Y133" i="10" s="1"/>
  <c r="AK153" i="10" a="1"/>
  <c r="AK153" i="10" s="1"/>
  <c r="Y153" i="10" s="1"/>
  <c r="AK175" i="10" a="1"/>
  <c r="AK175" i="10" s="1"/>
  <c r="Y175" i="10" s="1"/>
  <c r="AK180" i="10" a="1"/>
  <c r="AK180" i="10" s="1"/>
  <c r="Y180" i="10" s="1"/>
  <c r="AK144" i="10" a="1"/>
  <c r="AK144" i="10" s="1"/>
  <c r="Y144" i="10" s="1"/>
  <c r="AK162" i="10" a="1"/>
  <c r="AK162" i="10" s="1"/>
  <c r="Y162" i="10" s="1"/>
  <c r="AK105" i="10" a="1"/>
  <c r="AK105" i="10" s="1"/>
  <c r="AK113" i="10" a="1"/>
  <c r="AK113" i="10" s="1"/>
  <c r="Y113" i="10" s="1"/>
  <c r="CM199" i="10" a="1"/>
  <c r="CM199" i="10" s="1"/>
  <c r="CA199" i="10" s="1"/>
  <c r="CM165" i="10" a="1"/>
  <c r="CM165" i="10" s="1"/>
  <c r="CA165" i="10" s="1"/>
  <c r="CM194" i="10" a="1"/>
  <c r="CM194" i="10" s="1"/>
  <c r="CA194" i="10" s="1"/>
  <c r="CM170" i="10" a="1"/>
  <c r="CM170" i="10" s="1"/>
  <c r="CA170" i="10" s="1"/>
  <c r="BU197" i="10" a="1"/>
  <c r="BU197" i="10" s="1"/>
  <c r="BI197" i="10" s="1"/>
  <c r="CM124" i="10" a="1"/>
  <c r="CM124" i="10" s="1"/>
  <c r="CA124" i="10" s="1"/>
  <c r="BU162" i="10" a="1"/>
  <c r="BU162" i="10" s="1"/>
  <c r="BI162" i="10" s="1"/>
  <c r="CM111" i="10" a="1"/>
  <c r="CM111" i="10" s="1"/>
  <c r="CA111" i="10" s="1"/>
  <c r="BU182" i="10" a="1"/>
  <c r="BU182" i="10" s="1"/>
  <c r="BI182" i="10" s="1"/>
  <c r="BC196" i="10" a="1"/>
  <c r="BC196" i="10" s="1"/>
  <c r="AQ196" i="10" s="1"/>
  <c r="BC198" i="10" a="1"/>
  <c r="BC198" i="10" s="1"/>
  <c r="AQ198" i="10" s="1"/>
  <c r="BU156" i="10" a="1"/>
  <c r="BU156" i="10" s="1"/>
  <c r="BI156" i="10" s="1"/>
  <c r="BU134" i="10" a="1"/>
  <c r="BU134" i="10" s="1"/>
  <c r="BI134" i="10" s="1"/>
  <c r="BU131" i="10" a="1"/>
  <c r="BU131" i="10" s="1"/>
  <c r="BI131" i="10" s="1"/>
  <c r="BC151" i="10" a="1"/>
  <c r="BC151" i="10" s="1"/>
  <c r="AQ151" i="10" s="1"/>
  <c r="BU118" i="10" a="1"/>
  <c r="BU118" i="10" s="1"/>
  <c r="BI118" i="10" s="1"/>
  <c r="BC158" i="10" a="1"/>
  <c r="BC158" i="10" s="1"/>
  <c r="AQ158" i="10" s="1"/>
  <c r="BC124" i="10" a="1"/>
  <c r="BC124" i="10" s="1"/>
  <c r="AQ124" i="10" s="1"/>
  <c r="BC172" i="10" a="1"/>
  <c r="BC172" i="10" s="1"/>
  <c r="AQ172" i="10" s="1"/>
  <c r="BC141" i="10" a="1"/>
  <c r="BC141" i="10" s="1"/>
  <c r="AK199" i="10" a="1"/>
  <c r="AK199" i="10" s="1"/>
  <c r="Y199" i="10" s="1"/>
  <c r="BC119" i="10" a="1"/>
  <c r="BC119" i="10" s="1"/>
  <c r="AQ119" i="10" s="1"/>
  <c r="AK149" i="10" a="1"/>
  <c r="AK149" i="10" s="1"/>
  <c r="Y149" i="10" s="1"/>
  <c r="AK131" i="10" a="1"/>
  <c r="AK131" i="10" s="1"/>
  <c r="Y131" i="10" s="1"/>
  <c r="AK138" i="10" a="1"/>
  <c r="AK138" i="10" s="1"/>
  <c r="Y138" i="10" s="1"/>
  <c r="AK167" i="10" a="1"/>
  <c r="AK167" i="10" s="1"/>
  <c r="Y167" i="10" s="1"/>
  <c r="AK125" i="10" a="1"/>
  <c r="AK125" i="10" s="1"/>
  <c r="Y125" i="10" s="1"/>
  <c r="AK157" i="10" a="1"/>
  <c r="AK157" i="10" s="1"/>
  <c r="Y157" i="10" s="1"/>
  <c r="AK111" i="10" a="1"/>
  <c r="AK111" i="10" s="1"/>
  <c r="Y111" i="10" s="1"/>
  <c r="CM197" i="10" a="1"/>
  <c r="CM197" i="10" s="1"/>
  <c r="CA197" i="10" s="1"/>
  <c r="CM193" i="10" a="1"/>
  <c r="CM193" i="10" s="1"/>
  <c r="CA193" i="10" s="1"/>
  <c r="CM171" i="10" a="1"/>
  <c r="CM171" i="10" s="1"/>
  <c r="CA171" i="10" s="1"/>
  <c r="CM105" i="10" a="1"/>
  <c r="CM105" i="10" s="1"/>
  <c r="CM106" i="10" s="1"/>
  <c r="BU198" i="10" a="1"/>
  <c r="BU198" i="10" s="1"/>
  <c r="BI198" i="10" s="1"/>
  <c r="BU142" i="10" a="1"/>
  <c r="BU142" i="10" s="1"/>
  <c r="BI142" i="10" s="1"/>
  <c r="BU136" i="10" a="1"/>
  <c r="BU136" i="10" s="1"/>
  <c r="BI136" i="10" s="1"/>
  <c r="BC171" i="10" a="1"/>
  <c r="BC171" i="10" s="1"/>
  <c r="AQ171" i="10" s="1"/>
  <c r="BC153" i="10" a="1"/>
  <c r="BC153" i="10" s="1"/>
  <c r="AQ153" i="10" s="1"/>
  <c r="BC114" i="10" a="1"/>
  <c r="BC114" i="10" s="1"/>
  <c r="AQ114" i="10" s="1"/>
  <c r="AK174" i="10" a="1"/>
  <c r="AK174" i="10" s="1"/>
  <c r="Y174" i="10" s="1"/>
  <c r="AK163" i="10" a="1"/>
  <c r="AK163" i="10" s="1"/>
  <c r="Y163" i="10" s="1"/>
  <c r="AK148" i="10" a="1"/>
  <c r="AK148" i="10" s="1"/>
  <c r="Y148" i="10" s="1"/>
  <c r="CM196" i="10" a="1"/>
  <c r="CM196" i="10" s="1"/>
  <c r="CA196" i="10" s="1"/>
  <c r="CM198" i="10" a="1"/>
  <c r="CM198" i="10" s="1"/>
  <c r="CA198" i="10" s="1"/>
  <c r="CM191" i="10" a="1"/>
  <c r="CM191" i="10" s="1"/>
  <c r="CA191" i="10" s="1"/>
  <c r="CM161" i="10" a="1"/>
  <c r="CM161" i="10" s="1"/>
  <c r="CA161" i="10" s="1"/>
  <c r="CM164" i="10" a="1"/>
  <c r="CM164" i="10" s="1"/>
  <c r="CA164" i="10" s="1"/>
  <c r="CM147" i="10" a="1"/>
  <c r="CM147" i="10" s="1"/>
  <c r="CA147" i="10" s="1"/>
  <c r="CM151" i="10" a="1"/>
  <c r="CM151" i="10" s="1"/>
  <c r="CA151" i="10" s="1"/>
  <c r="BU196" i="10" a="1"/>
  <c r="BU196" i="10" s="1"/>
  <c r="BI196" i="10" s="1"/>
  <c r="CM150" i="10" a="1"/>
  <c r="CM150" i="10" s="1"/>
  <c r="CA150" i="10" s="1"/>
  <c r="CM130" i="10" a="1"/>
  <c r="CM130" i="10" s="1"/>
  <c r="BU195" i="10" a="1"/>
  <c r="BU195" i="10" s="1"/>
  <c r="BI195" i="10" s="1"/>
  <c r="BU193" i="10" a="1"/>
  <c r="BU193" i="10" s="1"/>
  <c r="BI193" i="10" s="1"/>
  <c r="CM109" i="10" a="1"/>
  <c r="CM109" i="10" s="1"/>
  <c r="CA109" i="10" s="1"/>
  <c r="BU172" i="10" a="1"/>
  <c r="BU172" i="10" s="1"/>
  <c r="BI172" i="10" s="1"/>
  <c r="BU146" i="10" a="1"/>
  <c r="BU146" i="10" s="1"/>
  <c r="BI146" i="10" s="1"/>
  <c r="BU141" i="10" a="1"/>
  <c r="BU141" i="10" s="1"/>
  <c r="BC182" i="10" a="1"/>
  <c r="BC182" i="10" s="1"/>
  <c r="AQ182" i="10" s="1"/>
  <c r="BU155" i="10" a="1"/>
  <c r="BU155" i="10" s="1"/>
  <c r="BI155" i="10" s="1"/>
  <c r="BU157" i="10" a="1"/>
  <c r="BU157" i="10" s="1"/>
  <c r="BI157" i="10" s="1"/>
  <c r="BU135" i="10" a="1"/>
  <c r="BU135" i="10" s="1"/>
  <c r="BI135" i="10" s="1"/>
  <c r="BU128" i="10" a="1"/>
  <c r="BU128" i="10" s="1"/>
  <c r="BI128" i="10" s="1"/>
  <c r="BU112" i="10" a="1"/>
  <c r="BU112" i="10" s="1"/>
  <c r="BI112" i="10" s="1"/>
  <c r="BC169" i="10" a="1"/>
  <c r="BC169" i="10" s="1"/>
  <c r="AQ169" i="10" s="1"/>
  <c r="BU115" i="10" a="1"/>
  <c r="BU115" i="10" s="1"/>
  <c r="BI115" i="10" s="1"/>
  <c r="BC136" i="10" a="1"/>
  <c r="BC136" i="10" s="1"/>
  <c r="AQ136" i="10" s="1"/>
  <c r="BC161" i="10" a="1"/>
  <c r="BC161" i="10" s="1"/>
  <c r="AQ161" i="10" s="1"/>
  <c r="BC149" i="10" a="1"/>
  <c r="BC149" i="10" s="1"/>
  <c r="AQ149" i="10" s="1"/>
  <c r="BC170" i="10" a="1"/>
  <c r="BC170" i="10" s="1"/>
  <c r="AQ170" i="10" s="1"/>
  <c r="BC133" i="10" a="1"/>
  <c r="BC133" i="10" s="1"/>
  <c r="AQ133" i="10" s="1"/>
  <c r="AK193" i="10" a="1"/>
  <c r="AK193" i="10" s="1"/>
  <c r="Y193" i="10" s="1"/>
  <c r="BC113" i="10" a="1"/>
  <c r="BC113" i="10" s="1"/>
  <c r="AQ113" i="10" s="1"/>
  <c r="BC118" i="10" a="1"/>
  <c r="BC118" i="10" s="1"/>
  <c r="AQ118" i="10" s="1"/>
  <c r="AK141" i="10" a="1"/>
  <c r="AK141" i="10" s="1"/>
  <c r="AK166" i="10" a="1"/>
  <c r="AK166" i="10" s="1"/>
  <c r="Y166" i="10" s="1"/>
  <c r="AK130" i="10" a="1"/>
  <c r="AK130" i="10" s="1"/>
  <c r="Y130" i="10" s="1"/>
  <c r="AK128" i="10" a="1"/>
  <c r="AK128" i="10" s="1"/>
  <c r="Y128" i="10" s="1"/>
  <c r="AK160" i="10" a="1"/>
  <c r="AK160" i="10" s="1"/>
  <c r="Y160" i="10" s="1"/>
  <c r="AK198" i="10" a="1"/>
  <c r="AK198" i="10" s="1"/>
  <c r="Y198" i="10" s="1"/>
  <c r="AK147" i="10" a="1"/>
  <c r="AK147" i="10" s="1"/>
  <c r="Y147" i="10" s="1"/>
  <c r="AK124" i="10" a="1"/>
  <c r="AK124" i="10" s="1"/>
  <c r="Y124" i="10" s="1"/>
  <c r="AK135" i="10" a="1"/>
  <c r="AK135" i="10" s="1"/>
  <c r="Y135" i="10" s="1"/>
  <c r="Y181" i="10"/>
  <c r="AR140" i="10"/>
  <c r="CB140" i="10"/>
  <c r="F109" i="10"/>
  <c r="S109" i="10" s="1"/>
  <c r="U82" i="2"/>
  <c r="AR200" i="10"/>
  <c r="Z106" i="10"/>
  <c r="AR106" i="10"/>
  <c r="Z140" i="10"/>
  <c r="AD156" i="9"/>
  <c r="BJ152" i="10"/>
  <c r="AR184" i="10"/>
  <c r="CB129" i="10"/>
  <c r="P156" i="9"/>
  <c r="N36" i="6"/>
  <c r="O156" i="9" s="1"/>
  <c r="BJ106" i="10"/>
  <c r="BJ200" i="10"/>
  <c r="CB184" i="10"/>
  <c r="Z184" i="10"/>
  <c r="BJ129" i="10"/>
  <c r="CB106" i="10"/>
  <c r="S200" i="10"/>
  <c r="Z129" i="10"/>
  <c r="S192" i="10"/>
  <c r="BJ184" i="10"/>
  <c r="CB200" i="10"/>
  <c r="CB159" i="10"/>
  <c r="BJ159" i="10"/>
  <c r="CB152" i="10"/>
  <c r="Z159" i="10"/>
  <c r="AR152" i="10"/>
  <c r="AC123" i="9"/>
  <c r="F60" i="10"/>
  <c r="Z200" i="10"/>
  <c r="AR159" i="10"/>
  <c r="F159" i="10"/>
  <c r="Z152" i="10"/>
  <c r="AR129" i="10"/>
  <c r="I100" i="3"/>
  <c r="I104" i="3"/>
  <c r="AF71" i="3"/>
  <c r="Y79" i="2"/>
  <c r="Y80" i="2" s="1"/>
  <c r="O41" i="3"/>
  <c r="Q20" i="3"/>
  <c r="I58" i="3"/>
  <c r="I59" i="3" s="1"/>
  <c r="I48" i="3"/>
  <c r="I44" i="3"/>
  <c r="H58" i="3"/>
  <c r="H59" i="3" s="1"/>
  <c r="H44" i="3"/>
  <c r="K22" i="3"/>
  <c r="K28" i="3"/>
  <c r="I28" i="3"/>
  <c r="I22" i="3"/>
  <c r="G28" i="3"/>
  <c r="G22" i="3"/>
  <c r="J100" i="3"/>
  <c r="J104" i="3"/>
  <c r="H104" i="3"/>
  <c r="H100" i="3"/>
  <c r="L104" i="3"/>
  <c r="L100" i="3"/>
  <c r="AF96" i="3"/>
  <c r="C30" i="2"/>
  <c r="C31" i="2" s="1"/>
  <c r="L34" i="3"/>
  <c r="L35" i="3" s="1"/>
  <c r="L29" i="3"/>
  <c r="AB39" i="3"/>
  <c r="W26" i="2"/>
  <c r="AB27" i="3"/>
  <c r="V27" i="3"/>
  <c r="U39" i="3"/>
  <c r="T27" i="3"/>
  <c r="W82" i="2"/>
  <c r="R26" i="2"/>
  <c r="V26" i="2"/>
  <c r="M17" i="3"/>
  <c r="M31" i="3"/>
  <c r="M32" i="3" s="1"/>
  <c r="M21" i="3"/>
  <c r="G84" i="3"/>
  <c r="G89" i="3"/>
  <c r="G90" i="3" s="1"/>
  <c r="O77" i="3"/>
  <c r="N16" i="3"/>
  <c r="H49" i="3"/>
  <c r="H55" i="3"/>
  <c r="J58" i="3"/>
  <c r="J59" i="3" s="1"/>
  <c r="J44" i="3"/>
  <c r="J48" i="3"/>
  <c r="L77" i="3"/>
  <c r="L83" i="3"/>
  <c r="AD39" i="3"/>
  <c r="H30" i="2"/>
  <c r="H31" i="2" s="1"/>
  <c r="Q82" i="2"/>
  <c r="R82" i="2"/>
  <c r="N41" i="3"/>
  <c r="W79" i="2"/>
  <c r="W80" i="2" s="1"/>
  <c r="J83" i="3"/>
  <c r="J77" i="3"/>
  <c r="D58" i="3"/>
  <c r="D44" i="3"/>
  <c r="D48" i="3"/>
  <c r="M77" i="3"/>
  <c r="M83" i="3"/>
  <c r="X39" i="3"/>
  <c r="AC39" i="3"/>
  <c r="D96" i="2"/>
  <c r="S26" i="2"/>
  <c r="AA39" i="3"/>
  <c r="N77" i="3"/>
  <c r="Y39" i="3"/>
  <c r="F30" i="2"/>
  <c r="F31" i="2" s="1"/>
  <c r="F58" i="3"/>
  <c r="F59" i="3" s="1"/>
  <c r="F48" i="3"/>
  <c r="F44" i="3"/>
  <c r="K79" i="2"/>
  <c r="K80" i="2" s="1"/>
  <c r="E48" i="2"/>
  <c r="W27" i="3"/>
  <c r="I48" i="2"/>
  <c r="Y27" i="3"/>
  <c r="AC27" i="3"/>
  <c r="K83" i="3"/>
  <c r="K77" i="3"/>
  <c r="Z27" i="3"/>
  <c r="F100" i="3"/>
  <c r="F104" i="3"/>
  <c r="C96" i="2"/>
  <c r="V82" i="2"/>
  <c r="T26" i="2"/>
  <c r="K104" i="3"/>
  <c r="K100" i="3"/>
  <c r="E58" i="3"/>
  <c r="E59" i="3" s="1"/>
  <c r="E48" i="3"/>
  <c r="E44" i="3"/>
  <c r="M43" i="3"/>
  <c r="M95" i="3"/>
  <c r="M97" i="3" s="1"/>
  <c r="D72" i="3"/>
  <c r="D86" i="3"/>
  <c r="D76" i="3"/>
  <c r="Q71" i="3"/>
  <c r="Q72" i="3" s="1"/>
  <c r="T82" i="2"/>
  <c r="V39" i="3"/>
  <c r="X27" i="3"/>
  <c r="G30" i="2"/>
  <c r="G31" i="2" s="1"/>
  <c r="AA27" i="3"/>
  <c r="G96" i="2"/>
  <c r="V79" i="2"/>
  <c r="V80" i="2" s="1"/>
  <c r="E104" i="3"/>
  <c r="E100" i="3"/>
  <c r="D32" i="3"/>
  <c r="H96" i="2"/>
  <c r="J30" i="2"/>
  <c r="J31" i="2" s="1"/>
  <c r="S82" i="2"/>
  <c r="J34" i="3"/>
  <c r="J35" i="3" s="1"/>
  <c r="J29" i="3"/>
  <c r="Q92" i="2"/>
  <c r="B96" i="2"/>
  <c r="U33" i="2"/>
  <c r="G100" i="3"/>
  <c r="G104" i="3"/>
  <c r="F77" i="3"/>
  <c r="F83" i="3"/>
  <c r="K48" i="3"/>
  <c r="K44" i="3"/>
  <c r="K58" i="3"/>
  <c r="K59" i="3" s="1"/>
  <c r="E28" i="3"/>
  <c r="E22" i="3"/>
  <c r="U77" i="3"/>
  <c r="E77" i="3"/>
  <c r="E83" i="3"/>
  <c r="O81" i="3"/>
  <c r="B30" i="2"/>
  <c r="B31" i="2" s="1"/>
  <c r="X26" i="2"/>
  <c r="U27" i="3"/>
  <c r="O82" i="2"/>
  <c r="D48" i="2"/>
  <c r="D47" i="2"/>
  <c r="D22" i="3"/>
  <c r="D28" i="3"/>
  <c r="I83" i="3"/>
  <c r="I77" i="3"/>
  <c r="V77" i="3"/>
  <c r="L48" i="3"/>
  <c r="L58" i="3"/>
  <c r="L59" i="3" s="1"/>
  <c r="L44" i="3"/>
  <c r="F28" i="3"/>
  <c r="F22" i="3"/>
  <c r="D97" i="3"/>
  <c r="O91" i="2"/>
  <c r="J96" i="2"/>
  <c r="I96" i="2"/>
  <c r="X79" i="2"/>
  <c r="X80" i="2" s="1"/>
  <c r="X82" i="2"/>
  <c r="F96" i="2"/>
  <c r="N118" i="3" l="1"/>
  <c r="F16" i="10"/>
  <c r="F30" i="10" s="1"/>
  <c r="H16" i="10" a="1"/>
  <c r="H16" i="10" s="1"/>
  <c r="G16" i="10" a="1"/>
  <c r="G16" i="10" s="1"/>
  <c r="I25" i="10" a="1"/>
  <c r="I25" i="10" s="1"/>
  <c r="CN109" i="10"/>
  <c r="CN118" i="10"/>
  <c r="G41" i="10" a="1"/>
  <c r="G41" i="10" s="1"/>
  <c r="CO109" i="10"/>
  <c r="X115" i="3"/>
  <c r="X118" i="3" s="1"/>
  <c r="S86" i="3"/>
  <c r="S87" i="3" s="1"/>
  <c r="BC106" i="10"/>
  <c r="AC82" i="3"/>
  <c r="AC83" i="3" s="1"/>
  <c r="AC84" i="3" s="1"/>
  <c r="T82" i="3"/>
  <c r="T83" i="3" s="1"/>
  <c r="T84" i="3" s="1"/>
  <c r="T118" i="3"/>
  <c r="AA115" i="3"/>
  <c r="AA118" i="3" s="1"/>
  <c r="Z83" i="3"/>
  <c r="Z84" i="3" s="1"/>
  <c r="AB115" i="3"/>
  <c r="AB118" i="3" s="1"/>
  <c r="U82" i="3"/>
  <c r="U83" i="3" s="1"/>
  <c r="U89" i="3" s="1"/>
  <c r="U90" i="3" s="1"/>
  <c r="M99" i="3"/>
  <c r="M157" i="2"/>
  <c r="L156" i="2"/>
  <c r="Y115" i="3"/>
  <c r="Y118" i="3" s="1"/>
  <c r="Z115" i="3"/>
  <c r="Z118" i="3" s="1"/>
  <c r="S103" i="3"/>
  <c r="V82" i="3"/>
  <c r="V83" i="3" s="1"/>
  <c r="V84" i="3" s="1"/>
  <c r="W115" i="3"/>
  <c r="W118" i="3" s="1"/>
  <c r="BU106" i="10"/>
  <c r="U118" i="3"/>
  <c r="L119" i="3"/>
  <c r="L109" i="3"/>
  <c r="L110" i="3" s="1"/>
  <c r="V118" i="3"/>
  <c r="E119" i="3"/>
  <c r="E109" i="3"/>
  <c r="E110" i="3" s="1"/>
  <c r="AC118" i="3"/>
  <c r="H119" i="3"/>
  <c r="H109" i="3"/>
  <c r="H110" i="3" s="1"/>
  <c r="W83" i="3"/>
  <c r="W84" i="3" s="1"/>
  <c r="Q113" i="3"/>
  <c r="G119" i="3"/>
  <c r="G109" i="3"/>
  <c r="G110" i="3" s="1"/>
  <c r="K119" i="3"/>
  <c r="K109" i="3"/>
  <c r="K110" i="3" s="1"/>
  <c r="F119" i="3"/>
  <c r="F109" i="3"/>
  <c r="F110" i="3" s="1"/>
  <c r="J119" i="3"/>
  <c r="J109" i="3"/>
  <c r="J110" i="3" s="1"/>
  <c r="I105" i="3"/>
  <c r="I119" i="3"/>
  <c r="I120" i="3" s="1"/>
  <c r="I109" i="3"/>
  <c r="I110" i="3" s="1"/>
  <c r="F122" i="3"/>
  <c r="Y83" i="3"/>
  <c r="Y84" i="3" s="1"/>
  <c r="P161" i="2"/>
  <c r="AB83" i="3"/>
  <c r="AB89" i="3" s="1"/>
  <c r="AB90" i="3" s="1"/>
  <c r="AA83" i="3"/>
  <c r="AA84" i="3" s="1"/>
  <c r="Q161" i="2"/>
  <c r="N161" i="2"/>
  <c r="U195" i="2"/>
  <c r="U203" i="2" s="1"/>
  <c r="W34" i="2"/>
  <c r="W35" i="2"/>
  <c r="W192" i="2"/>
  <c r="W200" i="2" s="1"/>
  <c r="W191" i="2"/>
  <c r="W195" i="2" s="1"/>
  <c r="W159" i="2"/>
  <c r="W190" i="2"/>
  <c r="U161" i="2"/>
  <c r="U167" i="2" s="1"/>
  <c r="Q30" i="2"/>
  <c r="Q31" i="2" s="1"/>
  <c r="Q35" i="2"/>
  <c r="Q34" i="2"/>
  <c r="Q190" i="2"/>
  <c r="Q191" i="2"/>
  <c r="Q199" i="2" s="1"/>
  <c r="Q192" i="2"/>
  <c r="Q200" i="2" s="1"/>
  <c r="Q159" i="2"/>
  <c r="Q165" i="2" s="1"/>
  <c r="X34" i="2"/>
  <c r="X35" i="2"/>
  <c r="X159" i="2"/>
  <c r="X191" i="2"/>
  <c r="X199" i="2" s="1"/>
  <c r="X192" i="2"/>
  <c r="X200" i="2" s="1"/>
  <c r="X190" i="2"/>
  <c r="V35" i="2"/>
  <c r="V34" i="2"/>
  <c r="V191" i="2"/>
  <c r="V199" i="2" s="1"/>
  <c r="V192" i="2"/>
  <c r="V200" i="2" s="1"/>
  <c r="V159" i="2"/>
  <c r="V190" i="2"/>
  <c r="R35" i="2"/>
  <c r="R34" i="2"/>
  <c r="R192" i="2"/>
  <c r="R200" i="2" s="1"/>
  <c r="R190" i="2"/>
  <c r="R191" i="2"/>
  <c r="R199" i="2" s="1"/>
  <c r="R159" i="2"/>
  <c r="R165" i="2" s="1"/>
  <c r="Y161" i="2"/>
  <c r="T35" i="2"/>
  <c r="T34" i="2"/>
  <c r="T191" i="2"/>
  <c r="T195" i="2" s="1"/>
  <c r="T192" i="2"/>
  <c r="T200" i="2" s="1"/>
  <c r="T159" i="2"/>
  <c r="T165" i="2" s="1"/>
  <c r="T190" i="2"/>
  <c r="S34" i="2"/>
  <c r="S35" i="2"/>
  <c r="S192" i="2"/>
  <c r="S200" i="2" s="1"/>
  <c r="S190" i="2"/>
  <c r="S191" i="2"/>
  <c r="S195" i="2" s="1"/>
  <c r="S159" i="2"/>
  <c r="Y30" i="2"/>
  <c r="Y31" i="2" s="1"/>
  <c r="Y35" i="2"/>
  <c r="Y34" i="2"/>
  <c r="Y159" i="2"/>
  <c r="Y190" i="2"/>
  <c r="Y191" i="2"/>
  <c r="Y195" i="2" s="1"/>
  <c r="Y192" i="2"/>
  <c r="Y200" i="2" s="1"/>
  <c r="U196" i="2"/>
  <c r="U204" i="2" s="1"/>
  <c r="U158" i="2"/>
  <c r="U160" i="2"/>
  <c r="O35" i="2"/>
  <c r="O34" i="2"/>
  <c r="O190" i="2"/>
  <c r="O191" i="2"/>
  <c r="O199" i="2" s="1"/>
  <c r="O159" i="2"/>
  <c r="O165" i="2" s="1"/>
  <c r="O192" i="2"/>
  <c r="O200" i="2" s="1"/>
  <c r="N35" i="2"/>
  <c r="N190" i="2"/>
  <c r="N191" i="2"/>
  <c r="N195" i="2" s="1"/>
  <c r="N192" i="2"/>
  <c r="N200" i="2" s="1"/>
  <c r="N159" i="2"/>
  <c r="N165" i="2" s="1"/>
  <c r="P30" i="2"/>
  <c r="P31" i="2" s="1"/>
  <c r="P35" i="2"/>
  <c r="P34" i="2"/>
  <c r="P190" i="2"/>
  <c r="P159" i="2"/>
  <c r="P191" i="2"/>
  <c r="P199" i="2" s="1"/>
  <c r="P192" i="2"/>
  <c r="P200" i="2" s="1"/>
  <c r="L75" i="2"/>
  <c r="L76" i="2" s="1"/>
  <c r="Y88" i="2"/>
  <c r="M83" i="2"/>
  <c r="M85" i="2" s="1"/>
  <c r="M82" i="2"/>
  <c r="AF72" i="3"/>
  <c r="S13" i="3"/>
  <c r="O54" i="3"/>
  <c r="Q54" i="3" s="1"/>
  <c r="Q114" i="3"/>
  <c r="H29" i="3"/>
  <c r="Q25" i="3"/>
  <c r="Q107" i="3"/>
  <c r="Q115" i="3"/>
  <c r="Z187" i="10"/>
  <c r="M70" i="2"/>
  <c r="E47" i="2"/>
  <c r="D49" i="2"/>
  <c r="D51" i="2" s="1"/>
  <c r="J97" i="2"/>
  <c r="J98" i="2" s="1"/>
  <c r="J100" i="2" s="1"/>
  <c r="D97" i="2"/>
  <c r="D98" i="2" s="1"/>
  <c r="D100" i="2" s="1"/>
  <c r="C97" i="2"/>
  <c r="C98" i="2" s="1"/>
  <c r="C100" i="2" s="1"/>
  <c r="F97" i="2"/>
  <c r="F98" i="2" s="1"/>
  <c r="F100" i="2" s="1"/>
  <c r="G97" i="2"/>
  <c r="G98" i="2" s="1"/>
  <c r="G100" i="2" s="1"/>
  <c r="I97" i="2"/>
  <c r="I98" i="2" s="1"/>
  <c r="I100" i="2" s="1"/>
  <c r="B97" i="2"/>
  <c r="B98" i="2" s="1"/>
  <c r="B100" i="2" s="1"/>
  <c r="H97" i="2"/>
  <c r="H98" i="2" s="1"/>
  <c r="H100" i="2" s="1"/>
  <c r="S42" i="3"/>
  <c r="H51" i="10" a="1"/>
  <c r="H51" i="10" s="1"/>
  <c r="G66" i="10" a="1"/>
  <c r="G66" i="10" s="1"/>
  <c r="T39" i="3"/>
  <c r="BJ185" i="10"/>
  <c r="AQ141" i="10"/>
  <c r="AQ152" i="10" s="1"/>
  <c r="AD47" i="3"/>
  <c r="AF52" i="3"/>
  <c r="BI105" i="10"/>
  <c r="BI106" i="10" s="1"/>
  <c r="AD80" i="3"/>
  <c r="AD107" i="3" s="1"/>
  <c r="BI141" i="10"/>
  <c r="AD75" i="3"/>
  <c r="G55" i="3"/>
  <c r="G62" i="3" s="1"/>
  <c r="G63" i="3" s="1"/>
  <c r="AR185" i="10"/>
  <c r="S53" i="3" s="1"/>
  <c r="Z185" i="10"/>
  <c r="AK106" i="10"/>
  <c r="Y141" i="10"/>
  <c r="Y152" i="10" s="1"/>
  <c r="AD20" i="3"/>
  <c r="G45" i="10" a="1"/>
  <c r="G45" i="10" s="1"/>
  <c r="H61" i="10" a="1"/>
  <c r="H61" i="10" s="1"/>
  <c r="G10" i="10" a="1"/>
  <c r="G10" i="10" s="1"/>
  <c r="J84" i="10" a="1"/>
  <c r="J84" i="10" s="1"/>
  <c r="G29" i="10" a="1"/>
  <c r="G29" i="10" s="1"/>
  <c r="J41" i="10" a="1"/>
  <c r="J41" i="10" s="1"/>
  <c r="J94" i="10" a="1"/>
  <c r="J94" i="10" s="1"/>
  <c r="J33" i="10" a="1"/>
  <c r="J33" i="10" s="1"/>
  <c r="J20" i="10" a="1"/>
  <c r="J20" i="10" s="1"/>
  <c r="G24" i="10" a="1"/>
  <c r="G24" i="10" s="1"/>
  <c r="J44" i="10" a="1"/>
  <c r="J44" i="10" s="1"/>
  <c r="H63" i="10" a="1"/>
  <c r="H63" i="10" s="1"/>
  <c r="I52" i="10" a="1"/>
  <c r="I52" i="10" s="1"/>
  <c r="O27" i="3"/>
  <c r="Q27" i="3" s="1"/>
  <c r="H89" i="3"/>
  <c r="H90" i="3" s="1"/>
  <c r="Q53" i="3"/>
  <c r="G40" i="10" a="1"/>
  <c r="G40" i="10" s="1"/>
  <c r="G91" i="10" a="1"/>
  <c r="G91" i="10" s="1"/>
  <c r="I51" i="10" a="1"/>
  <c r="I51" i="10" s="1"/>
  <c r="H46" i="10" a="1"/>
  <c r="H46" i="10" s="1"/>
  <c r="H98" i="10" a="1"/>
  <c r="H98" i="10" s="1"/>
  <c r="G57" i="10" a="1"/>
  <c r="G57" i="10" s="1"/>
  <c r="I26" i="10" a="1"/>
  <c r="I26" i="10" s="1"/>
  <c r="I35" i="10" a="1"/>
  <c r="I35" i="10" s="1"/>
  <c r="J89" i="10" a="1"/>
  <c r="J89" i="10" s="1"/>
  <c r="G95" i="10" a="1"/>
  <c r="G95" i="10" s="1"/>
  <c r="J13" i="10" a="1"/>
  <c r="J13" i="10" s="1"/>
  <c r="I64" i="10" a="1"/>
  <c r="I64" i="10" s="1"/>
  <c r="G68" i="10" a="1"/>
  <c r="G68" i="10" s="1"/>
  <c r="CA105" i="10"/>
  <c r="CA106" i="10" s="1"/>
  <c r="CM140" i="10"/>
  <c r="AK200" i="10"/>
  <c r="CN174" i="10"/>
  <c r="CN182" i="10"/>
  <c r="I68" i="10" a="1"/>
  <c r="I68" i="10" s="1"/>
  <c r="J39" i="10" a="1"/>
  <c r="J39" i="10" s="1"/>
  <c r="G43" i="10" a="1"/>
  <c r="G43" i="10" s="1"/>
  <c r="H81" i="10" a="1"/>
  <c r="H81" i="10" s="1"/>
  <c r="I77" i="10" a="1"/>
  <c r="I77" i="10" s="1"/>
  <c r="H11" i="10" a="1"/>
  <c r="H11" i="10" s="1"/>
  <c r="G26" i="10" a="1"/>
  <c r="G26" i="10" s="1"/>
  <c r="H24" i="10" a="1"/>
  <c r="H24" i="10" s="1"/>
  <c r="J28" i="10" a="1"/>
  <c r="J28" i="10" s="1"/>
  <c r="I67" i="10" a="1"/>
  <c r="I67" i="10" s="1"/>
  <c r="I61" i="10" a="1"/>
  <c r="I61" i="10" s="1"/>
  <c r="I24" i="10" a="1"/>
  <c r="I24" i="10" s="1"/>
  <c r="J51" i="10" a="1"/>
  <c r="J51" i="10" s="1"/>
  <c r="J54" i="10" a="1"/>
  <c r="J54" i="10" s="1"/>
  <c r="J58" i="10" a="1"/>
  <c r="J58" i="10" s="1"/>
  <c r="G6" i="10" a="1"/>
  <c r="G6" i="10" s="1"/>
  <c r="G7" i="10" s="1"/>
  <c r="H90" i="10" a="1"/>
  <c r="H90" i="10" s="1"/>
  <c r="H72" i="10" a="1"/>
  <c r="H72" i="10" s="1"/>
  <c r="I29" i="10" a="1"/>
  <c r="I29" i="10" s="1"/>
  <c r="H29" i="10" a="1"/>
  <c r="H29" i="10" s="1"/>
  <c r="J57" i="10" a="1"/>
  <c r="J57" i="10" s="1"/>
  <c r="I18" i="10" a="1"/>
  <c r="I18" i="10" s="1"/>
  <c r="G21" i="10" a="1"/>
  <c r="G21" i="10" s="1"/>
  <c r="H68" i="10" a="1"/>
  <c r="H68" i="10" s="1"/>
  <c r="H96" i="10" a="1"/>
  <c r="H96" i="10" s="1"/>
  <c r="H58" i="10" a="1"/>
  <c r="H58" i="10" s="1"/>
  <c r="I65" i="10" a="1"/>
  <c r="I65" i="10" s="1"/>
  <c r="G79" i="10" a="1"/>
  <c r="G79" i="10" s="1"/>
  <c r="AQ140" i="10"/>
  <c r="G33" i="10" a="1"/>
  <c r="G33" i="10" s="1"/>
  <c r="G83" i="10" a="1"/>
  <c r="G83" i="10" s="1"/>
  <c r="G36" i="10" a="1"/>
  <c r="G36" i="10" s="1"/>
  <c r="I74" i="10" a="1"/>
  <c r="I74" i="10" s="1"/>
  <c r="H76" i="10" a="1"/>
  <c r="H76" i="10" s="1"/>
  <c r="I63" i="10" a="1"/>
  <c r="I63" i="10" s="1"/>
  <c r="J98" i="10" a="1"/>
  <c r="J98" i="10" s="1"/>
  <c r="J72" i="10" a="1"/>
  <c r="J72" i="10" s="1"/>
  <c r="I70" i="10" a="1"/>
  <c r="I70" i="10" s="1"/>
  <c r="G65" i="10" a="1"/>
  <c r="G65" i="10" s="1"/>
  <c r="H36" i="10" a="1"/>
  <c r="H36" i="10" s="1"/>
  <c r="G94" i="10" a="1"/>
  <c r="G94" i="10" s="1"/>
  <c r="I32" i="10" a="1"/>
  <c r="I32" i="10" s="1"/>
  <c r="I28" i="10" a="1"/>
  <c r="I28" i="10" s="1"/>
  <c r="H34" i="10" a="1"/>
  <c r="H34" i="10" s="1"/>
  <c r="J73" i="10" a="1"/>
  <c r="J73" i="10" s="1"/>
  <c r="G13" i="10" a="1"/>
  <c r="G13" i="10" s="1"/>
  <c r="H59" i="10" a="1"/>
  <c r="H59" i="10" s="1"/>
  <c r="J65" i="10" a="1"/>
  <c r="J65" i="10" s="1"/>
  <c r="J19" i="10" a="1"/>
  <c r="J19" i="10" s="1"/>
  <c r="H69" i="10" a="1"/>
  <c r="H69" i="10" s="1"/>
  <c r="J56" i="10" a="1"/>
  <c r="J56" i="10" s="1"/>
  <c r="H40" i="10" a="1"/>
  <c r="H40" i="10" s="1"/>
  <c r="G76" i="10" a="1"/>
  <c r="G76" i="10" s="1"/>
  <c r="J63" i="10" a="1"/>
  <c r="J63" i="10" s="1"/>
  <c r="H54" i="10" a="1"/>
  <c r="H54" i="10" s="1"/>
  <c r="G22" i="10" a="1"/>
  <c r="G22" i="10" s="1"/>
  <c r="I89" i="10" a="1"/>
  <c r="I89" i="10" s="1"/>
  <c r="G47" i="10" a="1"/>
  <c r="G47" i="10" s="1"/>
  <c r="G50" i="10" a="1"/>
  <c r="G50" i="10" s="1"/>
  <c r="I54" i="10" a="1"/>
  <c r="I54" i="10" s="1"/>
  <c r="I58" i="10" a="1"/>
  <c r="I58" i="10" s="1"/>
  <c r="I11" i="10" a="1"/>
  <c r="I11" i="10" s="1"/>
  <c r="H32" i="10" a="1"/>
  <c r="H32" i="10" s="1"/>
  <c r="J15" i="10" a="1"/>
  <c r="J15" i="10" s="1"/>
  <c r="H78" i="10" a="1"/>
  <c r="H78" i="10" s="1"/>
  <c r="I62" i="10" a="1"/>
  <c r="I62" i="10" s="1"/>
  <c r="G15" i="10" a="1"/>
  <c r="G15" i="10" s="1"/>
  <c r="J52" i="10" a="1"/>
  <c r="J52" i="10" s="1"/>
  <c r="G93" i="10" a="1"/>
  <c r="G93" i="10" s="1"/>
  <c r="J62" i="10" a="1"/>
  <c r="J62" i="10" s="1"/>
  <c r="G69" i="10" a="1"/>
  <c r="G69" i="10" s="1"/>
  <c r="G97" i="10" a="1"/>
  <c r="G97" i="10" s="1"/>
  <c r="H37" i="10" a="1"/>
  <c r="H37" i="10" s="1"/>
  <c r="I69" i="10" a="1"/>
  <c r="I69" i="10" s="1"/>
  <c r="I38" i="10" a="1"/>
  <c r="I38" i="10" s="1"/>
  <c r="I75" i="10" a="1"/>
  <c r="I75" i="10" s="1"/>
  <c r="H89" i="10" a="1"/>
  <c r="H89" i="10" s="1"/>
  <c r="I33" i="10" a="1"/>
  <c r="I33" i="10" s="1"/>
  <c r="H41" i="10" a="1"/>
  <c r="H41" i="10" s="1"/>
  <c r="G72" i="10" a="1"/>
  <c r="G72" i="10" s="1"/>
  <c r="J91" i="10" a="1"/>
  <c r="J91" i="10" s="1"/>
  <c r="G64" i="10" a="1"/>
  <c r="G64" i="10" s="1"/>
  <c r="G12" i="10" a="1"/>
  <c r="G12" i="10" s="1"/>
  <c r="I20" i="10" a="1"/>
  <c r="I20" i="10" s="1"/>
  <c r="I76" i="10" a="1"/>
  <c r="I76" i="10" s="1"/>
  <c r="I6" i="10" a="1"/>
  <c r="I6" i="10" s="1"/>
  <c r="I7" i="10" s="1"/>
  <c r="G96" i="10" a="1"/>
  <c r="G96" i="10" s="1"/>
  <c r="G25" i="10" a="1"/>
  <c r="G25" i="10" s="1"/>
  <c r="I82" i="10" a="1"/>
  <c r="I82" i="10" s="1"/>
  <c r="J81" i="10" a="1"/>
  <c r="J81" i="10" s="1"/>
  <c r="H77" i="10" a="1"/>
  <c r="H77" i="10" s="1"/>
  <c r="G46" i="10" a="1"/>
  <c r="G46" i="10" s="1"/>
  <c r="H50" i="10" a="1"/>
  <c r="H50" i="10" s="1"/>
  <c r="J16" i="10" a="1"/>
  <c r="J16" i="10" s="1"/>
  <c r="J67" i="10" a="1"/>
  <c r="J67" i="10" s="1"/>
  <c r="H92" i="10" a="1"/>
  <c r="H92" i="10" s="1"/>
  <c r="I99" i="10" a="1"/>
  <c r="I99" i="10" s="1"/>
  <c r="I81" i="10" a="1"/>
  <c r="I81" i="10" s="1"/>
  <c r="H25" i="10" a="1"/>
  <c r="H25" i="10" s="1"/>
  <c r="G56" i="10" a="1"/>
  <c r="G56" i="10" s="1"/>
  <c r="J17" i="10" a="1"/>
  <c r="J17" i="10" s="1"/>
  <c r="H67" i="10" a="1"/>
  <c r="H67" i="10" s="1"/>
  <c r="G18" i="10" a="1"/>
  <c r="G18" i="10" s="1"/>
  <c r="H35" i="10" a="1"/>
  <c r="H35" i="10" s="1"/>
  <c r="J10" i="10" a="1"/>
  <c r="J10" i="10" s="1"/>
  <c r="H19" i="10" a="1"/>
  <c r="H19" i="10" s="1"/>
  <c r="I14" i="10" a="1"/>
  <c r="I14" i="10" s="1"/>
  <c r="J38" i="10" a="1"/>
  <c r="J38" i="10" s="1"/>
  <c r="H75" i="10" a="1"/>
  <c r="H75" i="10" s="1"/>
  <c r="H42" i="10" a="1"/>
  <c r="H42" i="10" s="1"/>
  <c r="G48" i="10" a="1"/>
  <c r="G48" i="10" s="1"/>
  <c r="H13" i="10" a="1"/>
  <c r="H13" i="10" s="1"/>
  <c r="J43" i="10" a="1"/>
  <c r="J43" i="10" s="1"/>
  <c r="J70" i="10" a="1"/>
  <c r="J70" i="10" s="1"/>
  <c r="G49" i="10" a="1"/>
  <c r="G49" i="10" s="1"/>
  <c r="J14" i="10" a="1"/>
  <c r="J14" i="10" s="1"/>
  <c r="G39" i="10" a="1"/>
  <c r="G39" i="10" s="1"/>
  <c r="J66" i="10" a="1"/>
  <c r="J66" i="10" s="1"/>
  <c r="H22" i="10" a="1"/>
  <c r="H22" i="10" s="1"/>
  <c r="I10" i="10" a="1"/>
  <c r="I10" i="10" s="1"/>
  <c r="I49" i="10" a="1"/>
  <c r="I49" i="10" s="1"/>
  <c r="G17" i="10" a="1"/>
  <c r="G17" i="10" s="1"/>
  <c r="G59" i="10" a="1"/>
  <c r="G59" i="10" s="1"/>
  <c r="G52" i="10" a="1"/>
  <c r="G52" i="10" s="1"/>
  <c r="J22" i="10" a="1"/>
  <c r="J22" i="10" s="1"/>
  <c r="I16" i="10" a="1"/>
  <c r="I16" i="10" s="1"/>
  <c r="H45" i="10" a="1"/>
  <c r="H45" i="10" s="1"/>
  <c r="J45" i="10" a="1"/>
  <c r="J45" i="10" s="1"/>
  <c r="H80" i="10" a="1"/>
  <c r="H80" i="10" s="1"/>
  <c r="H27" i="10" a="1"/>
  <c r="H27" i="10" s="1"/>
  <c r="H28" i="10" a="1"/>
  <c r="H28" i="10" s="1"/>
  <c r="G14" i="10" a="1"/>
  <c r="G14" i="10" s="1"/>
  <c r="G51" i="10" a="1"/>
  <c r="G51" i="10" s="1"/>
  <c r="J97" i="10" a="1"/>
  <c r="J97" i="10" s="1"/>
  <c r="J32" i="10" a="1"/>
  <c r="J32" i="10" s="1"/>
  <c r="J92" i="10" a="1"/>
  <c r="J92" i="10" s="1"/>
  <c r="H47" i="10" a="1"/>
  <c r="H47" i="10" s="1"/>
  <c r="G73" i="10" a="1"/>
  <c r="G73" i="10" s="1"/>
  <c r="J6" i="10" a="1"/>
  <c r="J6" i="10" s="1"/>
  <c r="J7" i="10" s="1"/>
  <c r="H73" i="10" a="1"/>
  <c r="H73" i="10" s="1"/>
  <c r="I66" i="10" a="1"/>
  <c r="I66" i="10" s="1"/>
  <c r="BU159" i="10"/>
  <c r="H91" i="10" a="1"/>
  <c r="H91" i="10" s="1"/>
  <c r="J74" i="10" a="1"/>
  <c r="J74" i="10" s="1"/>
  <c r="H82" i="10" a="1"/>
  <c r="H82" i="10" s="1"/>
  <c r="I40" i="10" a="1"/>
  <c r="I40" i="10" s="1"/>
  <c r="G75" i="10" a="1"/>
  <c r="G75" i="10" s="1"/>
  <c r="I31" i="10" a="1"/>
  <c r="I31" i="10" s="1"/>
  <c r="G90" i="10" a="1"/>
  <c r="G90" i="10" s="1"/>
  <c r="G71" i="10" a="1"/>
  <c r="G71" i="10" s="1"/>
  <c r="I48" i="10" a="1"/>
  <c r="I48" i="10" s="1"/>
  <c r="I27" i="10" a="1"/>
  <c r="I27" i="10" s="1"/>
  <c r="H74" i="10" a="1"/>
  <c r="H74" i="10" s="1"/>
  <c r="G23" i="10" a="1"/>
  <c r="G23" i="10" s="1"/>
  <c r="G11" i="10" a="1"/>
  <c r="G11" i="10" s="1"/>
  <c r="J71" i="10" a="1"/>
  <c r="J71" i="10" s="1"/>
  <c r="G77" i="10" a="1"/>
  <c r="G77" i="10" s="1"/>
  <c r="G98" i="10" a="1"/>
  <c r="G98" i="10" s="1"/>
  <c r="I37" i="10" a="1"/>
  <c r="I37" i="10" s="1"/>
  <c r="J50" i="10" a="1"/>
  <c r="J50" i="10" s="1"/>
  <c r="I71" i="10" a="1"/>
  <c r="I71" i="10" s="1"/>
  <c r="I12" i="10" a="1"/>
  <c r="I12" i="10" s="1"/>
  <c r="J36" i="10" a="1"/>
  <c r="J36" i="10" s="1"/>
  <c r="H49" i="10" a="1"/>
  <c r="H49" i="10" s="1"/>
  <c r="H62" i="10" a="1"/>
  <c r="H62" i="10" s="1"/>
  <c r="H57" i="10" a="1"/>
  <c r="H57" i="10" s="1"/>
  <c r="J82" i="10" a="1"/>
  <c r="J82" i="10" s="1"/>
  <c r="H10" i="10" a="1"/>
  <c r="H10" i="10" s="1"/>
  <c r="G80" i="10" a="1"/>
  <c r="G80" i="10" s="1"/>
  <c r="G54" i="10" a="1"/>
  <c r="G54" i="10" s="1"/>
  <c r="J49" i="10" a="1"/>
  <c r="J49" i="10" s="1"/>
  <c r="H15" i="10" a="1"/>
  <c r="H15" i="10" s="1"/>
  <c r="I94" i="10" a="1"/>
  <c r="I94" i="10" s="1"/>
  <c r="G82" i="10" a="1"/>
  <c r="G82" i="10" s="1"/>
  <c r="J90" i="10" a="1"/>
  <c r="J90" i="10" s="1"/>
  <c r="I41" i="10" a="1"/>
  <c r="I41" i="10" s="1"/>
  <c r="H93" i="10" a="1"/>
  <c r="H93" i="10" s="1"/>
  <c r="G84" i="10" a="1"/>
  <c r="G84" i="10" s="1"/>
  <c r="J34" i="10" a="1"/>
  <c r="J34" i="10" s="1"/>
  <c r="G67" i="10" a="1"/>
  <c r="G67" i="10" s="1"/>
  <c r="I56" i="10" a="1"/>
  <c r="I56" i="10" s="1"/>
  <c r="I96" i="10" a="1"/>
  <c r="I96" i="10" s="1"/>
  <c r="I98" i="10" a="1"/>
  <c r="I98" i="10" s="1"/>
  <c r="F115" i="10"/>
  <c r="S115" i="10" s="1"/>
  <c r="I39" i="10" a="1"/>
  <c r="I39" i="10" s="1"/>
  <c r="J21" i="10" a="1"/>
  <c r="J21" i="10" s="1"/>
  <c r="I34" i="10" a="1"/>
  <c r="I34" i="10" s="1"/>
  <c r="J77" i="10" a="1"/>
  <c r="J77" i="10" s="1"/>
  <c r="J75" i="10" a="1"/>
  <c r="J75" i="10" s="1"/>
  <c r="J27" i="10" a="1"/>
  <c r="J27" i="10" s="1"/>
  <c r="G78" i="10" a="1"/>
  <c r="G78" i="10" s="1"/>
  <c r="I83" i="10" a="1"/>
  <c r="I83" i="10" s="1"/>
  <c r="J69" i="10" a="1"/>
  <c r="J69" i="10" s="1"/>
  <c r="J79" i="10" a="1"/>
  <c r="J79" i="10" s="1"/>
  <c r="H44" i="10" a="1"/>
  <c r="H44" i="10" s="1"/>
  <c r="G37" i="10" a="1"/>
  <c r="G37" i="10" s="1"/>
  <c r="J96" i="10" a="1"/>
  <c r="J96" i="10" s="1"/>
  <c r="H97" i="10" a="1"/>
  <c r="H97" i="10" s="1"/>
  <c r="I59" i="10" a="1"/>
  <c r="I59" i="10" s="1"/>
  <c r="G81" i="10" a="1"/>
  <c r="G81" i="10" s="1"/>
  <c r="I15" i="10" a="1"/>
  <c r="I15" i="10" s="1"/>
  <c r="G19" i="10" a="1"/>
  <c r="G19" i="10" s="1"/>
  <c r="I43" i="10" a="1"/>
  <c r="I43" i="10" s="1"/>
  <c r="G38" i="10" a="1"/>
  <c r="G38" i="10" s="1"/>
  <c r="H83" i="10" a="1"/>
  <c r="H83" i="10" s="1"/>
  <c r="H52" i="10" a="1"/>
  <c r="H52" i="10" s="1"/>
  <c r="J55" i="10" a="1"/>
  <c r="J55" i="10" s="1"/>
  <c r="J25" i="10" a="1"/>
  <c r="J25" i="10" s="1"/>
  <c r="H94" i="10" a="1"/>
  <c r="H94" i="10" s="1"/>
  <c r="J48" i="10" a="1"/>
  <c r="J48" i="10" s="1"/>
  <c r="J80" i="10" a="1"/>
  <c r="J80" i="10" s="1"/>
  <c r="I47" i="10" a="1"/>
  <c r="I47" i="10" s="1"/>
  <c r="I22" i="10" a="1"/>
  <c r="I22" i="10" s="1"/>
  <c r="J31" i="10" a="1"/>
  <c r="J31" i="10" s="1"/>
  <c r="I91" i="10" a="1"/>
  <c r="I91" i="10" s="1"/>
  <c r="G27" i="10" a="1"/>
  <c r="G27" i="10" s="1"/>
  <c r="J40" i="10" a="1"/>
  <c r="J40" i="10" s="1"/>
  <c r="I72" i="10" a="1"/>
  <c r="I72" i="10" s="1"/>
  <c r="G61" i="10" a="1"/>
  <c r="G61" i="10" s="1"/>
  <c r="G92" i="10" a="1"/>
  <c r="G92" i="10" s="1"/>
  <c r="I95" i="10" a="1"/>
  <c r="I95" i="10" s="1"/>
  <c r="J68" i="10" a="1"/>
  <c r="J68" i="10" s="1"/>
  <c r="H39" i="10" a="1"/>
  <c r="H39" i="10" s="1"/>
  <c r="I45" i="10" a="1"/>
  <c r="I45" i="10" s="1"/>
  <c r="G63" i="10" a="1"/>
  <c r="G63" i="10" s="1"/>
  <c r="J24" i="10" a="1"/>
  <c r="J24" i="10" s="1"/>
  <c r="I44" i="10" a="1"/>
  <c r="I44" i="10" s="1"/>
  <c r="G20" i="10" a="1"/>
  <c r="G20" i="10" s="1"/>
  <c r="H55" i="10" a="1"/>
  <c r="H55" i="10" s="1"/>
  <c r="I55" i="10" a="1"/>
  <c r="I55" i="10" s="1"/>
  <c r="G55" i="10" a="1"/>
  <c r="G55" i="10" s="1"/>
  <c r="J83" i="10" a="1"/>
  <c r="J83" i="10" s="1"/>
  <c r="H14" i="10" a="1"/>
  <c r="H14" i="10" s="1"/>
  <c r="J93" i="10" a="1"/>
  <c r="J93" i="10" s="1"/>
  <c r="I21" i="10" a="1"/>
  <c r="I21" i="10" s="1"/>
  <c r="H6" i="10" a="1"/>
  <c r="H6" i="10" s="1"/>
  <c r="H7" i="10" s="1"/>
  <c r="G42" i="10" a="1"/>
  <c r="G42" i="10" s="1"/>
  <c r="J23" i="10" a="1"/>
  <c r="J23" i="10" s="1"/>
  <c r="J46" i="10" a="1"/>
  <c r="J46" i="10" s="1"/>
  <c r="H70" i="10" a="1"/>
  <c r="H70" i="10" s="1"/>
  <c r="J64" i="10" a="1"/>
  <c r="J64" i="10" s="1"/>
  <c r="G35" i="10" a="1"/>
  <c r="G35" i="10" s="1"/>
  <c r="J18" i="10" a="1"/>
  <c r="J18" i="10" s="1"/>
  <c r="J35" i="10" a="1"/>
  <c r="J35" i="10" s="1"/>
  <c r="J26" i="10" a="1"/>
  <c r="J26" i="10" s="1"/>
  <c r="I23" i="10" a="1"/>
  <c r="I23" i="10" s="1"/>
  <c r="G99" i="10" a="1"/>
  <c r="G99" i="10" s="1"/>
  <c r="J42" i="10" a="1"/>
  <c r="J42" i="10" s="1"/>
  <c r="H17" i="10" a="1"/>
  <c r="H17" i="10" s="1"/>
  <c r="H21" i="10" a="1"/>
  <c r="H21" i="10" s="1"/>
  <c r="H12" i="10" a="1"/>
  <c r="H12" i="10" s="1"/>
  <c r="I57" i="10" a="1"/>
  <c r="I57" i="10" s="1"/>
  <c r="I79" i="10" a="1"/>
  <c r="I79" i="10" s="1"/>
  <c r="I97" i="10" a="1"/>
  <c r="I97" i="10" s="1"/>
  <c r="BC140" i="10"/>
  <c r="J76" i="10" a="1"/>
  <c r="J76" i="10" s="1"/>
  <c r="I19" i="10" a="1"/>
  <c r="I19" i="10" s="1"/>
  <c r="H18" i="10" a="1"/>
  <c r="H18" i="10" s="1"/>
  <c r="J59" i="10" a="1"/>
  <c r="J59" i="10" s="1"/>
  <c r="G44" i="10" a="1"/>
  <c r="G44" i="10" s="1"/>
  <c r="I78" i="10" a="1"/>
  <c r="I78" i="10" s="1"/>
  <c r="I93" i="10" a="1"/>
  <c r="I93" i="10" s="1"/>
  <c r="H79" i="10" a="1"/>
  <c r="H79" i="10" s="1"/>
  <c r="J78" i="10" a="1"/>
  <c r="J78" i="10" s="1"/>
  <c r="G28" i="10" a="1"/>
  <c r="G28" i="10" s="1"/>
  <c r="H99" i="10" a="1"/>
  <c r="H99" i="10" s="1"/>
  <c r="BC159" i="10"/>
  <c r="J11" i="10" a="1"/>
  <c r="J11" i="10" s="1"/>
  <c r="G31" i="10" a="1"/>
  <c r="G31" i="10" s="1"/>
  <c r="H66" i="10" a="1"/>
  <c r="H66" i="10" s="1"/>
  <c r="H64" i="10" a="1"/>
  <c r="H64" i="10" s="1"/>
  <c r="H84" i="10" a="1"/>
  <c r="H84" i="10" s="1"/>
  <c r="H65" i="10" a="1"/>
  <c r="H65" i="10" s="1"/>
  <c r="I36" i="10" a="1"/>
  <c r="I36" i="10" s="1"/>
  <c r="G58" i="10" a="1"/>
  <c r="G58" i="10" s="1"/>
  <c r="J29" i="10" a="1"/>
  <c r="J29" i="10" s="1"/>
  <c r="H38" i="10" a="1"/>
  <c r="H38" i="10" s="1"/>
  <c r="I80" i="10" a="1"/>
  <c r="I80" i="10" s="1"/>
  <c r="J12" i="10" a="1"/>
  <c r="J12" i="10" s="1"/>
  <c r="I50" i="10" a="1"/>
  <c r="I50" i="10" s="1"/>
  <c r="H56" i="10" a="1"/>
  <c r="H56" i="10" s="1"/>
  <c r="I84" i="10" a="1"/>
  <c r="I84" i="10" s="1"/>
  <c r="I92" i="10" a="1"/>
  <c r="I92" i="10" s="1"/>
  <c r="J61" i="10" a="1"/>
  <c r="J61" i="10" s="1"/>
  <c r="I42" i="10" a="1"/>
  <c r="I42" i="10" s="1"/>
  <c r="G34" i="10" a="1"/>
  <c r="G34" i="10" s="1"/>
  <c r="G89" i="10" a="1"/>
  <c r="G89" i="10" s="1"/>
  <c r="H23" i="10" a="1"/>
  <c r="H23" i="10" s="1"/>
  <c r="H33" i="10" a="1"/>
  <c r="H33" i="10" s="1"/>
  <c r="I13" i="10" a="1"/>
  <c r="I13" i="10" s="1"/>
  <c r="H48" i="10" a="1"/>
  <c r="H48" i="10" s="1"/>
  <c r="I90" i="10" a="1"/>
  <c r="I90" i="10" s="1"/>
  <c r="G70" i="10" a="1"/>
  <c r="G70" i="10" s="1"/>
  <c r="J95" i="10" a="1"/>
  <c r="J95" i="10" s="1"/>
  <c r="H31" i="10" a="1"/>
  <c r="H31" i="10" s="1"/>
  <c r="I46" i="10" a="1"/>
  <c r="I46" i="10" s="1"/>
  <c r="H95" i="10" a="1"/>
  <c r="H95" i="10" s="1"/>
  <c r="J37" i="10" a="1"/>
  <c r="J37" i="10" s="1"/>
  <c r="J47" i="10" a="1"/>
  <c r="J47" i="10" s="1"/>
  <c r="G74" i="10" a="1"/>
  <c r="G74" i="10" s="1"/>
  <c r="H26" i="10" a="1"/>
  <c r="H26" i="10" s="1"/>
  <c r="J99" i="10" a="1"/>
  <c r="J99" i="10" s="1"/>
  <c r="H43" i="10" a="1"/>
  <c r="H43" i="10" s="1"/>
  <c r="G62" i="10" a="1"/>
  <c r="G62" i="10" s="1"/>
  <c r="I17" i="10" a="1"/>
  <c r="I17" i="10" s="1"/>
  <c r="I73" i="10" a="1"/>
  <c r="I73" i="10" s="1"/>
  <c r="H20" i="10" a="1"/>
  <c r="H20" i="10" s="1"/>
  <c r="G32" i="10" a="1"/>
  <c r="G32" i="10" s="1"/>
  <c r="H71" i="10" a="1"/>
  <c r="H71" i="10" s="1"/>
  <c r="CA130" i="10"/>
  <c r="CA140" i="10" s="1"/>
  <c r="BU140" i="10"/>
  <c r="S77" i="3"/>
  <c r="CN164" i="10"/>
  <c r="AQ159" i="10"/>
  <c r="CN146" i="10"/>
  <c r="CN131" i="10"/>
  <c r="CN195" i="10"/>
  <c r="CN123" i="10"/>
  <c r="CN197" i="10"/>
  <c r="CN132" i="10"/>
  <c r="CN183" i="10"/>
  <c r="CN127" i="10"/>
  <c r="CN155" i="10"/>
  <c r="CN170" i="10"/>
  <c r="CN171" i="10"/>
  <c r="AK140" i="10"/>
  <c r="CN134" i="10"/>
  <c r="CN116" i="10"/>
  <c r="BI159" i="10"/>
  <c r="CN113" i="10"/>
  <c r="CN198" i="10"/>
  <c r="Y184" i="10"/>
  <c r="CN154" i="10"/>
  <c r="CA184" i="10"/>
  <c r="CN160" i="10"/>
  <c r="CN121" i="10"/>
  <c r="CN161" i="10"/>
  <c r="CN162" i="10"/>
  <c r="CM184" i="10"/>
  <c r="AQ129" i="10"/>
  <c r="CN191" i="10"/>
  <c r="CN111" i="10"/>
  <c r="CA200" i="10"/>
  <c r="CN166" i="10"/>
  <c r="CN124" i="10"/>
  <c r="CN135" i="10"/>
  <c r="S159" i="10"/>
  <c r="CN176" i="10"/>
  <c r="CB187" i="10"/>
  <c r="CN112" i="10"/>
  <c r="CN126" i="10"/>
  <c r="CN117" i="10"/>
  <c r="CN167" i="10"/>
  <c r="CN148" i="10"/>
  <c r="CN120" i="10"/>
  <c r="BU129" i="10"/>
  <c r="AK159" i="10"/>
  <c r="BC129" i="10"/>
  <c r="CN180" i="10"/>
  <c r="CN168" i="10"/>
  <c r="CN178" i="10"/>
  <c r="CN175" i="10"/>
  <c r="Y159" i="10"/>
  <c r="CN136" i="10"/>
  <c r="CN165" i="10"/>
  <c r="BI200" i="10"/>
  <c r="CN143" i="10"/>
  <c r="CN138" i="10"/>
  <c r="CN151" i="10"/>
  <c r="CM152" i="10"/>
  <c r="CM159" i="10"/>
  <c r="BC152" i="10"/>
  <c r="BC200" i="10"/>
  <c r="AQ106" i="10"/>
  <c r="CN173" i="10"/>
  <c r="CN169" i="10"/>
  <c r="Y200" i="10"/>
  <c r="CN125" i="10"/>
  <c r="CN147" i="10"/>
  <c r="CN199" i="10"/>
  <c r="CN150" i="10"/>
  <c r="CN110" i="10"/>
  <c r="CN181" i="10"/>
  <c r="AQ184" i="10"/>
  <c r="BU200" i="10"/>
  <c r="AK129" i="10"/>
  <c r="BC184" i="10"/>
  <c r="AC156" i="9"/>
  <c r="CA152" i="10"/>
  <c r="BI184" i="10"/>
  <c r="Y129" i="10"/>
  <c r="CN196" i="10"/>
  <c r="CN128" i="10"/>
  <c r="CN158" i="10"/>
  <c r="AR187" i="10"/>
  <c r="CM200" i="10"/>
  <c r="CN157" i="10"/>
  <c r="AK152" i="10"/>
  <c r="AQ200" i="10"/>
  <c r="CN149" i="10"/>
  <c r="CN153" i="10"/>
  <c r="CA159" i="10"/>
  <c r="CN156" i="10"/>
  <c r="G187" i="10"/>
  <c r="BJ187" i="10"/>
  <c r="CN139" i="10"/>
  <c r="CN145" i="10"/>
  <c r="CN177" i="10"/>
  <c r="CN137" i="10"/>
  <c r="CA129" i="10"/>
  <c r="R129" i="10"/>
  <c r="CN122" i="10"/>
  <c r="CN144" i="10"/>
  <c r="BI129" i="10"/>
  <c r="CN133" i="10"/>
  <c r="AK184" i="10"/>
  <c r="CM129" i="10"/>
  <c r="Y140" i="10"/>
  <c r="Y105" i="10"/>
  <c r="Y106" i="10" s="1"/>
  <c r="CN119" i="10"/>
  <c r="CN179" i="10"/>
  <c r="CN114" i="10"/>
  <c r="CN172" i="10"/>
  <c r="CN163" i="10"/>
  <c r="CN142" i="10"/>
  <c r="CN192" i="10"/>
  <c r="CN194" i="10"/>
  <c r="BU152" i="10"/>
  <c r="CN193" i="10"/>
  <c r="BU184" i="10"/>
  <c r="BI140" i="10"/>
  <c r="O82" i="3"/>
  <c r="O83" i="3" s="1"/>
  <c r="O84" i="3" s="1"/>
  <c r="Q81" i="3"/>
  <c r="G29" i="3"/>
  <c r="G34" i="3"/>
  <c r="G35" i="3" s="1"/>
  <c r="I34" i="3"/>
  <c r="I35" i="3" s="1"/>
  <c r="I29" i="3"/>
  <c r="K34" i="3"/>
  <c r="K35" i="3" s="1"/>
  <c r="K29" i="3"/>
  <c r="I49" i="3"/>
  <c r="I55" i="3"/>
  <c r="Q96" i="3"/>
  <c r="Q40" i="3"/>
  <c r="D99" i="3"/>
  <c r="X33" i="2"/>
  <c r="X161" i="2" s="1"/>
  <c r="X30" i="2"/>
  <c r="X31" i="2" s="1"/>
  <c r="I49" i="2"/>
  <c r="I51" i="2" s="1"/>
  <c r="O43" i="3"/>
  <c r="S33" i="2"/>
  <c r="S161" i="2" s="1"/>
  <c r="S30" i="2"/>
  <c r="S31" i="2" s="1"/>
  <c r="H47" i="2"/>
  <c r="H48" i="2"/>
  <c r="H62" i="3"/>
  <c r="H63" i="3" s="1"/>
  <c r="H56" i="3"/>
  <c r="V33" i="2"/>
  <c r="V161" i="2" s="1"/>
  <c r="V30" i="2"/>
  <c r="V31" i="2" s="1"/>
  <c r="B47" i="2"/>
  <c r="J48" i="2"/>
  <c r="J47" i="2"/>
  <c r="J89" i="3"/>
  <c r="J90" i="3" s="1"/>
  <c r="J84" i="3"/>
  <c r="L84" i="3"/>
  <c r="L89" i="3"/>
  <c r="L90" i="3" s="1"/>
  <c r="C47" i="2"/>
  <c r="C48" i="2"/>
  <c r="L105" i="3"/>
  <c r="I89" i="3"/>
  <c r="I90" i="3" s="1"/>
  <c r="I84" i="3"/>
  <c r="M79" i="2"/>
  <c r="M80" i="2" s="1"/>
  <c r="D49" i="3"/>
  <c r="D55" i="3"/>
  <c r="F29" i="3"/>
  <c r="F34" i="3"/>
  <c r="F35" i="3" s="1"/>
  <c r="P91" i="2"/>
  <c r="Q91" i="2" s="1"/>
  <c r="R92" i="2"/>
  <c r="E105" i="3"/>
  <c r="M100" i="3"/>
  <c r="M104" i="3"/>
  <c r="E49" i="3"/>
  <c r="E55" i="3"/>
  <c r="K105" i="3"/>
  <c r="K96" i="2"/>
  <c r="R33" i="2"/>
  <c r="R161" i="2" s="1"/>
  <c r="R30" i="2"/>
  <c r="R31" i="2" s="1"/>
  <c r="T33" i="2"/>
  <c r="T161" i="2" s="1"/>
  <c r="T30" i="2"/>
  <c r="T31" i="2" s="1"/>
  <c r="L55" i="3"/>
  <c r="L49" i="3"/>
  <c r="D29" i="3"/>
  <c r="D34" i="3"/>
  <c r="E29" i="3"/>
  <c r="E34" i="3"/>
  <c r="E35" i="3" s="1"/>
  <c r="G105" i="3"/>
  <c r="O161" i="2"/>
  <c r="G48" i="2"/>
  <c r="G47" i="2"/>
  <c r="M48" i="3"/>
  <c r="M44" i="3"/>
  <c r="M58" i="3"/>
  <c r="M59" i="3" s="1"/>
  <c r="K89" i="3"/>
  <c r="K90" i="3" s="1"/>
  <c r="K84" i="3"/>
  <c r="N84" i="3"/>
  <c r="N89" i="3"/>
  <c r="N90" i="3" s="1"/>
  <c r="D59" i="3"/>
  <c r="N31" i="3"/>
  <c r="N21" i="3"/>
  <c r="N28" i="3" s="1"/>
  <c r="N17" i="3"/>
  <c r="H105" i="3"/>
  <c r="F47" i="2"/>
  <c r="F48" i="2"/>
  <c r="K30" i="2"/>
  <c r="K31" i="2" s="1"/>
  <c r="J55" i="3"/>
  <c r="J49" i="3"/>
  <c r="M22" i="3"/>
  <c r="M28" i="3"/>
  <c r="E84" i="3"/>
  <c r="E89" i="3"/>
  <c r="E90" i="3" s="1"/>
  <c r="K55" i="3"/>
  <c r="K49" i="3"/>
  <c r="W33" i="2"/>
  <c r="W161" i="2" s="1"/>
  <c r="W30" i="2"/>
  <c r="W31" i="2" s="1"/>
  <c r="D77" i="3"/>
  <c r="Q76" i="3"/>
  <c r="Q77" i="3" s="1"/>
  <c r="D83" i="3"/>
  <c r="F55" i="3"/>
  <c r="F49" i="3"/>
  <c r="M89" i="3"/>
  <c r="M90" i="3" s="1"/>
  <c r="M84" i="3"/>
  <c r="N43" i="3"/>
  <c r="Q41" i="3"/>
  <c r="N41" i="2"/>
  <c r="F89" i="3"/>
  <c r="F90" i="3" s="1"/>
  <c r="F84" i="3"/>
  <c r="D87" i="3"/>
  <c r="Q86" i="3"/>
  <c r="Q87" i="3" s="1"/>
  <c r="F105" i="3"/>
  <c r="E49" i="2"/>
  <c r="E51" i="2" s="1"/>
  <c r="X89" i="3"/>
  <c r="X90" i="3" s="1"/>
  <c r="X84" i="3"/>
  <c r="J105" i="3"/>
  <c r="S26" i="3" l="1"/>
  <c r="S113" i="3" s="1"/>
  <c r="K16" i="10"/>
  <c r="I30" i="10"/>
  <c r="H30" i="10"/>
  <c r="J30" i="10"/>
  <c r="G30" i="10"/>
  <c r="F86" i="10"/>
  <c r="AK98" i="3"/>
  <c r="Z89" i="3"/>
  <c r="Z90" i="3" s="1"/>
  <c r="AC89" i="3"/>
  <c r="AC90" i="3" s="1"/>
  <c r="CN141" i="10"/>
  <c r="BI152" i="10"/>
  <c r="BI185" i="10" s="1"/>
  <c r="V89" i="3"/>
  <c r="V90" i="3" s="1"/>
  <c r="U84" i="3"/>
  <c r="R196" i="2"/>
  <c r="R204" i="2" s="1"/>
  <c r="L159" i="2"/>
  <c r="L190" i="2"/>
  <c r="M190" i="2"/>
  <c r="M159" i="2"/>
  <c r="M158" i="2" s="1"/>
  <c r="M156" i="2"/>
  <c r="S81" i="3"/>
  <c r="S115" i="3" s="1"/>
  <c r="S116" i="3"/>
  <c r="W89" i="3"/>
  <c r="W90" i="3" s="1"/>
  <c r="K28" i="10"/>
  <c r="L28" i="10" s="1"/>
  <c r="AF47" i="3"/>
  <c r="Q118" i="3"/>
  <c r="M119" i="3"/>
  <c r="M109" i="3"/>
  <c r="P167" i="2"/>
  <c r="V167" i="2"/>
  <c r="S196" i="2"/>
  <c r="S204" i="2" s="1"/>
  <c r="Y89" i="3"/>
  <c r="Y90" i="3" s="1"/>
  <c r="AA89" i="3"/>
  <c r="AA90" i="3" s="1"/>
  <c r="G56" i="3"/>
  <c r="T89" i="3"/>
  <c r="T90" i="3" s="1"/>
  <c r="AB84" i="3"/>
  <c r="U206" i="2"/>
  <c r="U207" i="2" s="1"/>
  <c r="V195" i="2"/>
  <c r="V203" i="2" s="1"/>
  <c r="T167" i="2"/>
  <c r="X167" i="2"/>
  <c r="Q167" i="2"/>
  <c r="W199" i="2"/>
  <c r="W203" i="2" s="1"/>
  <c r="W167" i="2"/>
  <c r="Y199" i="2"/>
  <c r="Y203" i="2" s="1"/>
  <c r="Q196" i="2"/>
  <c r="Q204" i="2" s="1"/>
  <c r="U168" i="2"/>
  <c r="S167" i="2"/>
  <c r="R167" i="2"/>
  <c r="T196" i="2"/>
  <c r="T204" i="2" s="1"/>
  <c r="X158" i="2"/>
  <c r="X160" i="2"/>
  <c r="X165" i="2"/>
  <c r="X195" i="2"/>
  <c r="X203" i="2" s="1"/>
  <c r="Q160" i="2"/>
  <c r="Q158" i="2"/>
  <c r="W165" i="2"/>
  <c r="W158" i="2"/>
  <c r="W160" i="2"/>
  <c r="Y158" i="2"/>
  <c r="Y160" i="2"/>
  <c r="Y165" i="2"/>
  <c r="S165" i="2"/>
  <c r="S158" i="2"/>
  <c r="S160" i="2"/>
  <c r="Y167" i="2"/>
  <c r="R160" i="2"/>
  <c r="R158" i="2"/>
  <c r="V160" i="2"/>
  <c r="V158" i="2"/>
  <c r="X196" i="2"/>
  <c r="X204" i="2" s="1"/>
  <c r="Y196" i="2"/>
  <c r="Y204" i="2" s="1"/>
  <c r="S199" i="2"/>
  <c r="S203" i="2" s="1"/>
  <c r="T199" i="2"/>
  <c r="T203" i="2" s="1"/>
  <c r="T158" i="2"/>
  <c r="T160" i="2"/>
  <c r="R195" i="2"/>
  <c r="R203" i="2" s="1"/>
  <c r="V196" i="2"/>
  <c r="V204" i="2" s="1"/>
  <c r="V165" i="2"/>
  <c r="Q195" i="2"/>
  <c r="Q203" i="2" s="1"/>
  <c r="W196" i="2"/>
  <c r="W204" i="2" s="1"/>
  <c r="P165" i="2"/>
  <c r="N167" i="2"/>
  <c r="P195" i="2"/>
  <c r="P203" i="2" s="1"/>
  <c r="O196" i="2"/>
  <c r="O204" i="2" s="1"/>
  <c r="O167" i="2"/>
  <c r="P196" i="2"/>
  <c r="P204" i="2" s="1"/>
  <c r="N199" i="2"/>
  <c r="N203" i="2" s="1"/>
  <c r="N36" i="2"/>
  <c r="O195" i="2"/>
  <c r="O203" i="2" s="1"/>
  <c r="P158" i="2"/>
  <c r="P160" i="2"/>
  <c r="N196" i="2"/>
  <c r="N204" i="2" s="1"/>
  <c r="N158" i="2"/>
  <c r="N160" i="2"/>
  <c r="O158" i="2"/>
  <c r="O160" i="2"/>
  <c r="X39" i="2"/>
  <c r="X88" i="2"/>
  <c r="L82" i="2"/>
  <c r="L83" i="2"/>
  <c r="L85" i="2" s="1"/>
  <c r="L79" i="2"/>
  <c r="L80" i="2" s="1"/>
  <c r="N45" i="2"/>
  <c r="O38" i="2"/>
  <c r="O41" i="2" s="1"/>
  <c r="N90" i="2"/>
  <c r="N162" i="2" s="1"/>
  <c r="L97" i="2"/>
  <c r="D104" i="3"/>
  <c r="L16" i="10"/>
  <c r="K89" i="10"/>
  <c r="L89" i="10" s="1"/>
  <c r="B48" i="2"/>
  <c r="B49" i="2" s="1"/>
  <c r="B51" i="2" s="1"/>
  <c r="T42" i="3"/>
  <c r="K97" i="2"/>
  <c r="K98" i="2" s="1"/>
  <c r="K100" i="2" s="1"/>
  <c r="I122" i="3"/>
  <c r="I123" i="3" s="1"/>
  <c r="BC185" i="10"/>
  <c r="AF107" i="3"/>
  <c r="S114" i="3"/>
  <c r="AD76" i="3"/>
  <c r="AF75" i="3"/>
  <c r="AD86" i="3"/>
  <c r="AF80" i="3"/>
  <c r="S54" i="3"/>
  <c r="R187" i="10"/>
  <c r="R185" i="10"/>
  <c r="AK185" i="10"/>
  <c r="BU185" i="10"/>
  <c r="AQ185" i="10"/>
  <c r="Y185" i="10"/>
  <c r="AF25" i="3"/>
  <c r="Y187" i="10"/>
  <c r="AD103" i="3"/>
  <c r="AF103" i="3" s="1"/>
  <c r="AF20" i="3"/>
  <c r="K70" i="10"/>
  <c r="L70" i="10" s="1"/>
  <c r="K73" i="10"/>
  <c r="L73" i="10" s="1"/>
  <c r="K74" i="10"/>
  <c r="L74" i="10" s="1"/>
  <c r="K17" i="10"/>
  <c r="L17" i="10" s="1"/>
  <c r="K11" i="10"/>
  <c r="L11" i="10" s="1"/>
  <c r="K61" i="10"/>
  <c r="L61" i="10" s="1"/>
  <c r="K29" i="10"/>
  <c r="L29" i="10" s="1"/>
  <c r="K58" i="10"/>
  <c r="L58" i="10" s="1"/>
  <c r="K76" i="10"/>
  <c r="L76" i="10" s="1"/>
  <c r="K82" i="10"/>
  <c r="L82" i="10" s="1"/>
  <c r="K81" i="10"/>
  <c r="L81" i="10" s="1"/>
  <c r="K92" i="10"/>
  <c r="L92" i="10" s="1"/>
  <c r="K40" i="10"/>
  <c r="L40" i="10" s="1"/>
  <c r="K71" i="10"/>
  <c r="L71" i="10" s="1"/>
  <c r="K44" i="10"/>
  <c r="L44" i="10" s="1"/>
  <c r="K51" i="10"/>
  <c r="L51" i="10" s="1"/>
  <c r="K14" i="10"/>
  <c r="L14" i="10" s="1"/>
  <c r="K19" i="10"/>
  <c r="L19" i="10" s="1"/>
  <c r="K65" i="10"/>
  <c r="L65" i="10" s="1"/>
  <c r="K24" i="10"/>
  <c r="L24" i="10" s="1"/>
  <c r="K36" i="10"/>
  <c r="L36" i="10" s="1"/>
  <c r="H60" i="10"/>
  <c r="K69" i="10"/>
  <c r="L69" i="10" s="1"/>
  <c r="K54" i="10"/>
  <c r="L54" i="10" s="1"/>
  <c r="K68" i="10"/>
  <c r="L68" i="10" s="1"/>
  <c r="K15" i="10"/>
  <c r="L15" i="10" s="1"/>
  <c r="K75" i="10"/>
  <c r="L75" i="10" s="1"/>
  <c r="K47" i="10"/>
  <c r="L47" i="10" s="1"/>
  <c r="K94" i="10"/>
  <c r="L94" i="10" s="1"/>
  <c r="I53" i="10"/>
  <c r="K84" i="10"/>
  <c r="L84" i="10" s="1"/>
  <c r="K25" i="10"/>
  <c r="L25" i="10" s="1"/>
  <c r="K33" i="10"/>
  <c r="L33" i="10" s="1"/>
  <c r="K21" i="10"/>
  <c r="L21" i="10" s="1"/>
  <c r="K38" i="10"/>
  <c r="L38" i="10" s="1"/>
  <c r="K37" i="10"/>
  <c r="L37" i="10" s="1"/>
  <c r="K56" i="10"/>
  <c r="L56" i="10" s="1"/>
  <c r="K77" i="10"/>
  <c r="L77" i="10" s="1"/>
  <c r="K48" i="10"/>
  <c r="L48" i="10" s="1"/>
  <c r="K18" i="10"/>
  <c r="L18" i="10" s="1"/>
  <c r="K49" i="10"/>
  <c r="L49" i="10" s="1"/>
  <c r="K39" i="10"/>
  <c r="L39" i="10" s="1"/>
  <c r="K34" i="10"/>
  <c r="L34" i="10" s="1"/>
  <c r="K66" i="10"/>
  <c r="L66" i="10" s="1"/>
  <c r="K93" i="10"/>
  <c r="L93" i="10" s="1"/>
  <c r="K23" i="10"/>
  <c r="L23" i="10" s="1"/>
  <c r="J53" i="10"/>
  <c r="G60" i="10"/>
  <c r="J60" i="10"/>
  <c r="K59" i="10"/>
  <c r="L59" i="10" s="1"/>
  <c r="K10" i="10"/>
  <c r="L10" i="10" s="1"/>
  <c r="K27" i="10"/>
  <c r="L27" i="10" s="1"/>
  <c r="K26" i="10"/>
  <c r="L26" i="10" s="1"/>
  <c r="K20" i="10"/>
  <c r="L20" i="10" s="1"/>
  <c r="K63" i="10"/>
  <c r="L63" i="10" s="1"/>
  <c r="G85" i="10"/>
  <c r="K78" i="10"/>
  <c r="L78" i="10" s="1"/>
  <c r="K50" i="10"/>
  <c r="L50" i="10" s="1"/>
  <c r="K80" i="10"/>
  <c r="L80" i="10" s="1"/>
  <c r="I60" i="10"/>
  <c r="K91" i="10"/>
  <c r="L91" i="10" s="1"/>
  <c r="K13" i="10"/>
  <c r="L13" i="10" s="1"/>
  <c r="K72" i="10"/>
  <c r="L72" i="10" s="1"/>
  <c r="I85" i="10"/>
  <c r="G53" i="10"/>
  <c r="K95" i="10"/>
  <c r="L95" i="10" s="1"/>
  <c r="K96" i="10"/>
  <c r="L96" i="10" s="1"/>
  <c r="K57" i="10"/>
  <c r="L57" i="10" s="1"/>
  <c r="K98" i="10"/>
  <c r="L98" i="10" s="1"/>
  <c r="K45" i="10"/>
  <c r="L45" i="10" s="1"/>
  <c r="K22" i="10"/>
  <c r="L22" i="10" s="1"/>
  <c r="H53" i="10"/>
  <c r="K31" i="10"/>
  <c r="L31" i="10" s="1"/>
  <c r="H85" i="10"/>
  <c r="CN140" i="10"/>
  <c r="K7" i="10"/>
  <c r="L7" i="10" s="1"/>
  <c r="K55" i="10"/>
  <c r="L55" i="10" s="1"/>
  <c r="K90" i="10"/>
  <c r="L90" i="10" s="1"/>
  <c r="K6" i="10"/>
  <c r="L6" i="10" s="1"/>
  <c r="K12" i="10"/>
  <c r="L12" i="10" s="1"/>
  <c r="K64" i="10"/>
  <c r="L64" i="10" s="1"/>
  <c r="K43" i="10"/>
  <c r="L43" i="10" s="1"/>
  <c r="K97" i="10"/>
  <c r="L97" i="10" s="1"/>
  <c r="K83" i="10"/>
  <c r="L83" i="10" s="1"/>
  <c r="K42" i="10"/>
  <c r="L42" i="10" s="1"/>
  <c r="J85" i="10"/>
  <c r="K67" i="10"/>
  <c r="L67" i="10" s="1"/>
  <c r="K32" i="10"/>
  <c r="L32" i="10" s="1"/>
  <c r="K62" i="10"/>
  <c r="L62" i="10" s="1"/>
  <c r="K35" i="10"/>
  <c r="L35" i="10" s="1"/>
  <c r="K52" i="10"/>
  <c r="L52" i="10" s="1"/>
  <c r="K46" i="10"/>
  <c r="L46" i="10" s="1"/>
  <c r="K79" i="10"/>
  <c r="L79" i="10" s="1"/>
  <c r="BU187" i="10"/>
  <c r="CN105" i="10"/>
  <c r="AQ187" i="10"/>
  <c r="CN115" i="10"/>
  <c r="F129" i="10"/>
  <c r="S129" i="10" s="1"/>
  <c r="CN200" i="10"/>
  <c r="K41" i="10"/>
  <c r="L41" i="10" s="1"/>
  <c r="CN130" i="10"/>
  <c r="CM187" i="10"/>
  <c r="AK187" i="10"/>
  <c r="BC187" i="10"/>
  <c r="K99" i="10"/>
  <c r="L99" i="10" s="1"/>
  <c r="CN106" i="10"/>
  <c r="CN159" i="10"/>
  <c r="CN190" i="10"/>
  <c r="CN184" i="10"/>
  <c r="CA187" i="10"/>
  <c r="O89" i="3"/>
  <c r="O90" i="3" s="1"/>
  <c r="Q82" i="3"/>
  <c r="Q95" i="3"/>
  <c r="N97" i="3"/>
  <c r="C49" i="2"/>
  <c r="C51" i="2" s="1"/>
  <c r="I62" i="3"/>
  <c r="I63" i="3" s="1"/>
  <c r="I56" i="3"/>
  <c r="D35" i="3"/>
  <c r="K122" i="3"/>
  <c r="K123" i="3" s="1"/>
  <c r="K120" i="3"/>
  <c r="O48" i="3"/>
  <c r="O58" i="3"/>
  <c r="O59" i="3" s="1"/>
  <c r="O44" i="3"/>
  <c r="J120" i="3"/>
  <c r="J122" i="3"/>
  <c r="J123" i="3" s="1"/>
  <c r="H120" i="3"/>
  <c r="H122" i="3"/>
  <c r="H123" i="3" s="1"/>
  <c r="N85" i="2"/>
  <c r="E62" i="3"/>
  <c r="E63" i="3" s="1"/>
  <c r="E56" i="3"/>
  <c r="G122" i="3"/>
  <c r="G123" i="3" s="1"/>
  <c r="G120" i="3"/>
  <c r="L56" i="3"/>
  <c r="L62" i="3"/>
  <c r="L63" i="3" s="1"/>
  <c r="M96" i="2"/>
  <c r="D84" i="3"/>
  <c r="D89" i="3"/>
  <c r="Q83" i="3"/>
  <c r="Q84" i="3" s="1"/>
  <c r="K56" i="3"/>
  <c r="K62" i="3"/>
  <c r="K63" i="3" s="1"/>
  <c r="F49" i="2"/>
  <c r="F51" i="2" s="1"/>
  <c r="M34" i="3"/>
  <c r="M35" i="3" s="1"/>
  <c r="M29" i="3"/>
  <c r="D100" i="3"/>
  <c r="G49" i="2"/>
  <c r="G51" i="2" s="1"/>
  <c r="M105" i="3"/>
  <c r="D56" i="3"/>
  <c r="D62" i="3"/>
  <c r="L120" i="3"/>
  <c r="L122" i="3"/>
  <c r="L123" i="3" s="1"/>
  <c r="H49" i="2"/>
  <c r="H51" i="2" s="1"/>
  <c r="N22" i="3"/>
  <c r="N48" i="3"/>
  <c r="N44" i="3"/>
  <c r="N58" i="3"/>
  <c r="N32" i="3"/>
  <c r="F123" i="3"/>
  <c r="F120" i="3"/>
  <c r="K47" i="2"/>
  <c r="K48" i="2"/>
  <c r="R91" i="2"/>
  <c r="S91" i="2" s="1"/>
  <c r="Q43" i="3"/>
  <c r="Q44" i="3" s="1"/>
  <c r="F62" i="3"/>
  <c r="F63" i="3" s="1"/>
  <c r="F56" i="3"/>
  <c r="J56" i="3"/>
  <c r="J62" i="3"/>
  <c r="J63" i="3" s="1"/>
  <c r="M55" i="3"/>
  <c r="M49" i="3"/>
  <c r="E120" i="3"/>
  <c r="E122" i="3"/>
  <c r="E123" i="3" s="1"/>
  <c r="J49" i="2"/>
  <c r="J51" i="2" s="1"/>
  <c r="S92" i="2"/>
  <c r="S118" i="3" l="1"/>
  <c r="S27" i="3"/>
  <c r="N47" i="2"/>
  <c r="CN152" i="10"/>
  <c r="BI187" i="10"/>
  <c r="S82" i="3"/>
  <c r="S83" i="3" s="1"/>
  <c r="V206" i="2"/>
  <c r="V207" i="2" s="1"/>
  <c r="N99" i="3"/>
  <c r="N100" i="3" s="1"/>
  <c r="M110" i="3"/>
  <c r="L192" i="2"/>
  <c r="L200" i="2" s="1"/>
  <c r="L34" i="2"/>
  <c r="M192" i="2"/>
  <c r="M200" i="2" s="1"/>
  <c r="M34" i="2"/>
  <c r="Y39" i="2"/>
  <c r="L161" i="2"/>
  <c r="M160" i="2"/>
  <c r="L160" i="2"/>
  <c r="L158" i="2"/>
  <c r="R206" i="2"/>
  <c r="R169" i="2" s="1"/>
  <c r="AD26" i="3"/>
  <c r="AD113" i="3" s="1"/>
  <c r="AD81" i="3"/>
  <c r="AD115" i="3" s="1"/>
  <c r="AF115" i="3" s="1"/>
  <c r="AD116" i="3"/>
  <c r="AF116" i="3" s="1"/>
  <c r="AD53" i="3"/>
  <c r="AD114" i="3" s="1"/>
  <c r="AF114" i="3" s="1"/>
  <c r="T168" i="2"/>
  <c r="V168" i="2"/>
  <c r="D109" i="3"/>
  <c r="D119" i="3"/>
  <c r="D122" i="3" s="1"/>
  <c r="Q168" i="2"/>
  <c r="T12" i="3"/>
  <c r="U166" i="2"/>
  <c r="U169" i="2"/>
  <c r="S206" i="2"/>
  <c r="S166" i="2" s="1"/>
  <c r="X168" i="2"/>
  <c r="N168" i="2"/>
  <c r="W168" i="2"/>
  <c r="Q206" i="2"/>
  <c r="Q166" i="2" s="1"/>
  <c r="R168" i="2"/>
  <c r="T206" i="2"/>
  <c r="T207" i="2" s="1"/>
  <c r="Y168" i="2"/>
  <c r="S168" i="2"/>
  <c r="W206" i="2"/>
  <c r="Y206" i="2"/>
  <c r="Y169" i="2" s="1"/>
  <c r="X206" i="2"/>
  <c r="O206" i="2"/>
  <c r="O169" i="2" s="1"/>
  <c r="O168" i="2"/>
  <c r="N206" i="2"/>
  <c r="N166" i="2" s="1"/>
  <c r="P206" i="2"/>
  <c r="P169" i="2" s="1"/>
  <c r="P38" i="2"/>
  <c r="P41" i="2" s="1"/>
  <c r="P168" i="2"/>
  <c r="L96" i="2"/>
  <c r="L98" i="2" s="1"/>
  <c r="L100" i="2" s="1"/>
  <c r="L48" i="2"/>
  <c r="O15" i="3" s="1"/>
  <c r="Q15" i="3" s="1"/>
  <c r="L47" i="2"/>
  <c r="N94" i="2"/>
  <c r="Y185" i="2" s="1"/>
  <c r="O87" i="2"/>
  <c r="O90" i="2" s="1"/>
  <c r="O162" i="2" s="1"/>
  <c r="N48" i="2"/>
  <c r="M97" i="2"/>
  <c r="M98" i="2" s="1"/>
  <c r="M100" i="2" s="1"/>
  <c r="AD77" i="3"/>
  <c r="AF76" i="3"/>
  <c r="AF77" i="3" s="1"/>
  <c r="AD87" i="3"/>
  <c r="AF86" i="3"/>
  <c r="AF87" i="3" s="1"/>
  <c r="F185" i="10"/>
  <c r="S185" i="10" s="1"/>
  <c r="F187" i="10"/>
  <c r="Q48" i="3"/>
  <c r="Q49" i="3" s="1"/>
  <c r="K53" i="10"/>
  <c r="L53" i="10" s="1"/>
  <c r="J86" i="10"/>
  <c r="G86" i="10"/>
  <c r="K60" i="10"/>
  <c r="L60" i="10" s="1"/>
  <c r="K85" i="10"/>
  <c r="L85" i="10" s="1"/>
  <c r="K30" i="10"/>
  <c r="L30" i="10" s="1"/>
  <c r="I86" i="10"/>
  <c r="H86" i="10"/>
  <c r="CN129" i="10"/>
  <c r="K49" i="2"/>
  <c r="K51" i="2" s="1"/>
  <c r="N59" i="3"/>
  <c r="Q58" i="3"/>
  <c r="Q59" i="3" s="1"/>
  <c r="D105" i="3"/>
  <c r="T41" i="3"/>
  <c r="T95" i="3" s="1"/>
  <c r="U42" i="3"/>
  <c r="N55" i="3"/>
  <c r="N49" i="3"/>
  <c r="D63" i="3"/>
  <c r="O36" i="2"/>
  <c r="T92" i="2"/>
  <c r="U92" i="2" s="1"/>
  <c r="M56" i="3"/>
  <c r="M62" i="3"/>
  <c r="M63" i="3" s="1"/>
  <c r="N29" i="3"/>
  <c r="N34" i="3"/>
  <c r="N35" i="3" s="1"/>
  <c r="O49" i="3"/>
  <c r="O55" i="3"/>
  <c r="O45" i="2"/>
  <c r="T91" i="2"/>
  <c r="M120" i="3"/>
  <c r="M122" i="3"/>
  <c r="M123" i="3" s="1"/>
  <c r="Q89" i="3"/>
  <c r="Q90" i="3" s="1"/>
  <c r="D90" i="3"/>
  <c r="N174" i="2" l="1"/>
  <c r="U181" i="2"/>
  <c r="T180" i="2"/>
  <c r="O175" i="2"/>
  <c r="P176" i="2"/>
  <c r="V182" i="2"/>
  <c r="R178" i="2"/>
  <c r="Q177" i="2"/>
  <c r="N163" i="2"/>
  <c r="N164" i="2" s="1"/>
  <c r="N172" i="2"/>
  <c r="X184" i="2"/>
  <c r="W183" i="2"/>
  <c r="S179" i="2"/>
  <c r="O14" i="3"/>
  <c r="Q12" i="3"/>
  <c r="N104" i="3"/>
  <c r="V169" i="2"/>
  <c r="CN187" i="10"/>
  <c r="AF53" i="3"/>
  <c r="AD54" i="3"/>
  <c r="AF54" i="3" s="1"/>
  <c r="V166" i="2"/>
  <c r="R166" i="2"/>
  <c r="R207" i="2"/>
  <c r="M36" i="2"/>
  <c r="M165" i="2" s="1"/>
  <c r="L36" i="2"/>
  <c r="L165" i="2" s="1"/>
  <c r="L164" i="2"/>
  <c r="L167" i="2"/>
  <c r="L168" i="2" s="1"/>
  <c r="M196" i="2"/>
  <c r="M204" i="2" s="1"/>
  <c r="M206" i="2" s="1"/>
  <c r="L196" i="2"/>
  <c r="L204" i="2" s="1"/>
  <c r="L206" i="2" s="1"/>
  <c r="M161" i="2"/>
  <c r="S14" i="3"/>
  <c r="S94" i="3" s="1"/>
  <c r="M48" i="2"/>
  <c r="AD82" i="3"/>
  <c r="AF82" i="3" s="1"/>
  <c r="AF81" i="3"/>
  <c r="AD118" i="3"/>
  <c r="D110" i="3"/>
  <c r="N49" i="2"/>
  <c r="N51" i="2" s="1"/>
  <c r="S169" i="2"/>
  <c r="S207" i="2"/>
  <c r="Q169" i="2"/>
  <c r="Q207" i="2"/>
  <c r="N97" i="2"/>
  <c r="T15" i="3" s="1"/>
  <c r="N96" i="2"/>
  <c r="T166" i="2"/>
  <c r="T169" i="2"/>
  <c r="O166" i="2"/>
  <c r="N169" i="2"/>
  <c r="N207" i="2"/>
  <c r="X207" i="2"/>
  <c r="X166" i="2"/>
  <c r="W207" i="2"/>
  <c r="W166" i="2"/>
  <c r="O207" i="2"/>
  <c r="X169" i="2"/>
  <c r="W169" i="2"/>
  <c r="Y207" i="2"/>
  <c r="Y166" i="2"/>
  <c r="P207" i="2"/>
  <c r="P166" i="2"/>
  <c r="Q38" i="2"/>
  <c r="Q41" i="2" s="1"/>
  <c r="L49" i="2"/>
  <c r="L51" i="2" s="1"/>
  <c r="P87" i="2"/>
  <c r="P90" i="2" s="1"/>
  <c r="P162" i="2" s="1"/>
  <c r="O94" i="2"/>
  <c r="V181" i="2" s="1"/>
  <c r="Q85" i="2"/>
  <c r="P85" i="2"/>
  <c r="O85" i="2"/>
  <c r="AF26" i="3"/>
  <c r="AD27" i="3"/>
  <c r="AF27" i="3" s="1"/>
  <c r="AF113" i="3"/>
  <c r="S89" i="3"/>
  <c r="S84" i="3"/>
  <c r="K86" i="10"/>
  <c r="L86" i="10" s="1"/>
  <c r="S187" i="10"/>
  <c r="V92" i="2"/>
  <c r="W92" i="2" s="1"/>
  <c r="P36" i="2"/>
  <c r="S85" i="2"/>
  <c r="P45" i="2"/>
  <c r="U91" i="2"/>
  <c r="V91" i="2" s="1"/>
  <c r="O56" i="3"/>
  <c r="O62" i="3"/>
  <c r="O63" i="3" s="1"/>
  <c r="T43" i="3"/>
  <c r="T48" i="3" s="1"/>
  <c r="S41" i="3"/>
  <c r="S95" i="3" s="1"/>
  <c r="O47" i="2"/>
  <c r="O48" i="2"/>
  <c r="U41" i="3"/>
  <c r="U95" i="3" s="1"/>
  <c r="V42" i="3"/>
  <c r="N62" i="3"/>
  <c r="N56" i="3"/>
  <c r="Q55" i="3"/>
  <c r="Q56" i="3" s="1"/>
  <c r="X183" i="2" l="1"/>
  <c r="R177" i="2"/>
  <c r="W182" i="2"/>
  <c r="T179" i="2"/>
  <c r="Q176" i="2"/>
  <c r="O174" i="2"/>
  <c r="S178" i="2"/>
  <c r="P175" i="2"/>
  <c r="U180" i="2"/>
  <c r="O172" i="2"/>
  <c r="Y184" i="2"/>
  <c r="Q175" i="2"/>
  <c r="Y183" i="2"/>
  <c r="N105" i="3"/>
  <c r="N119" i="3"/>
  <c r="N122" i="3" s="1"/>
  <c r="N123" i="3" s="1"/>
  <c r="O16" i="3"/>
  <c r="Q14" i="3"/>
  <c r="N109" i="3"/>
  <c r="N110" i="3" s="1"/>
  <c r="AD83" i="3"/>
  <c r="AF83" i="3" s="1"/>
  <c r="AF84" i="3" s="1"/>
  <c r="S15" i="3"/>
  <c r="S98" i="3" s="1"/>
  <c r="M49" i="2"/>
  <c r="M51" i="2" s="1"/>
  <c r="S97" i="3"/>
  <c r="N186" i="2"/>
  <c r="N188" i="2" s="1"/>
  <c r="L166" i="2"/>
  <c r="L207" i="2"/>
  <c r="M207" i="2"/>
  <c r="M166" i="2"/>
  <c r="M164" i="2"/>
  <c r="M167" i="2"/>
  <c r="M168" i="2" s="1"/>
  <c r="L169" i="2"/>
  <c r="M169" i="2"/>
  <c r="T13" i="3"/>
  <c r="T14" i="3" s="1"/>
  <c r="T94" i="3" s="1"/>
  <c r="U12" i="3"/>
  <c r="D120" i="3"/>
  <c r="N98" i="2"/>
  <c r="N100" i="2" s="1"/>
  <c r="O186" i="2"/>
  <c r="O163" i="2"/>
  <c r="O164" i="2" s="1"/>
  <c r="R38" i="2"/>
  <c r="R41" i="2" s="1"/>
  <c r="Q87" i="2"/>
  <c r="Q90" i="2" s="1"/>
  <c r="Q162" i="2" s="1"/>
  <c r="O97" i="2"/>
  <c r="U15" i="3" s="1"/>
  <c r="O96" i="2"/>
  <c r="P94" i="2"/>
  <c r="P97" i="2" s="1"/>
  <c r="R85" i="2"/>
  <c r="S90" i="3"/>
  <c r="R36" i="2"/>
  <c r="Q36" i="2"/>
  <c r="U43" i="3"/>
  <c r="O49" i="2"/>
  <c r="O51" i="2" s="1"/>
  <c r="W41" i="3"/>
  <c r="W95" i="3" s="1"/>
  <c r="X42" i="3"/>
  <c r="X41" i="3"/>
  <c r="X95" i="3" s="1"/>
  <c r="Y42" i="3"/>
  <c r="V41" i="3"/>
  <c r="V95" i="3" s="1"/>
  <c r="W42" i="3"/>
  <c r="X92" i="2"/>
  <c r="Y92" i="2" s="1"/>
  <c r="N63" i="3"/>
  <c r="Q62" i="3"/>
  <c r="Q63" i="3" s="1"/>
  <c r="Q45" i="2"/>
  <c r="P48" i="2"/>
  <c r="P47" i="2"/>
  <c r="D123" i="3"/>
  <c r="T85" i="2"/>
  <c r="W91" i="2"/>
  <c r="S43" i="3"/>
  <c r="T58" i="3"/>
  <c r="T59" i="3" s="1"/>
  <c r="T44" i="3"/>
  <c r="T178" i="2" l="1"/>
  <c r="U179" i="2"/>
  <c r="S177" i="2"/>
  <c r="P174" i="2"/>
  <c r="V180" i="2"/>
  <c r="X182" i="2"/>
  <c r="P172" i="2"/>
  <c r="W181" i="2"/>
  <c r="U178" i="2"/>
  <c r="W180" i="2"/>
  <c r="Q172" i="2"/>
  <c r="R176" i="2"/>
  <c r="N120" i="3"/>
  <c r="Q16" i="3"/>
  <c r="Q17" i="3" s="1"/>
  <c r="O17" i="3"/>
  <c r="O31" i="3"/>
  <c r="O21" i="3"/>
  <c r="Q94" i="3"/>
  <c r="O97" i="3"/>
  <c r="AD89" i="3"/>
  <c r="AD90" i="3" s="1"/>
  <c r="AD84" i="3"/>
  <c r="S16" i="3"/>
  <c r="V12" i="3"/>
  <c r="U13" i="3"/>
  <c r="U14" i="3" s="1"/>
  <c r="U94" i="3" s="1"/>
  <c r="P163" i="2"/>
  <c r="P164" i="2" s="1"/>
  <c r="O98" i="2"/>
  <c r="O100" i="2" s="1"/>
  <c r="P186" i="2"/>
  <c r="O188" i="2"/>
  <c r="S38" i="2"/>
  <c r="S41" i="2" s="1"/>
  <c r="V15" i="3"/>
  <c r="Q94" i="2"/>
  <c r="R175" i="2" s="1"/>
  <c r="R87" i="2"/>
  <c r="R90" i="2" s="1"/>
  <c r="R162" i="2" s="1"/>
  <c r="P96" i="2"/>
  <c r="S99" i="3"/>
  <c r="S21" i="3"/>
  <c r="S31" i="3"/>
  <c r="U98" i="3"/>
  <c r="T36" i="2"/>
  <c r="S36" i="2"/>
  <c r="V85" i="2"/>
  <c r="Z42" i="3"/>
  <c r="V43" i="3"/>
  <c r="S17" i="3"/>
  <c r="W43" i="3"/>
  <c r="X91" i="2"/>
  <c r="Y91" i="2" s="1"/>
  <c r="U85" i="2"/>
  <c r="S58" i="3"/>
  <c r="S44" i="3"/>
  <c r="S48" i="3"/>
  <c r="S55" i="3" s="1"/>
  <c r="S62" i="3" s="1"/>
  <c r="R45" i="2"/>
  <c r="T49" i="3"/>
  <c r="T55" i="3"/>
  <c r="Q47" i="2"/>
  <c r="Q48" i="2"/>
  <c r="T98" i="3"/>
  <c r="P49" i="2"/>
  <c r="P51" i="2" s="1"/>
  <c r="X43" i="3"/>
  <c r="U48" i="3"/>
  <c r="U58" i="3"/>
  <c r="U59" i="3" s="1"/>
  <c r="U44" i="3"/>
  <c r="X181" i="2" l="1"/>
  <c r="Q174" i="2"/>
  <c r="Q186" i="2" s="1"/>
  <c r="S176" i="2"/>
  <c r="Y182" i="2"/>
  <c r="T177" i="2"/>
  <c r="V179" i="2"/>
  <c r="Q21" i="3"/>
  <c r="Q22" i="3" s="1"/>
  <c r="O22" i="3"/>
  <c r="O28" i="3"/>
  <c r="O32" i="3"/>
  <c r="Q31" i="3"/>
  <c r="Q32" i="3" s="1"/>
  <c r="O99" i="3"/>
  <c r="Q97" i="3"/>
  <c r="S104" i="3"/>
  <c r="S119" i="3" s="1"/>
  <c r="AF89" i="3"/>
  <c r="AF90" i="3" s="1"/>
  <c r="P98" i="2"/>
  <c r="P100" i="2" s="1"/>
  <c r="W12" i="3"/>
  <c r="P188" i="2"/>
  <c r="Q163" i="2"/>
  <c r="Q164" i="2" s="1"/>
  <c r="T38" i="2"/>
  <c r="T41" i="2" s="1"/>
  <c r="V13" i="3"/>
  <c r="V14" i="3" s="1"/>
  <c r="V94" i="3" s="1"/>
  <c r="R94" i="2"/>
  <c r="W179" i="2" s="1"/>
  <c r="S87" i="2"/>
  <c r="S90" i="2" s="1"/>
  <c r="S94" i="2" s="1"/>
  <c r="Q97" i="2"/>
  <c r="W15" i="3" s="1"/>
  <c r="Q96" i="2"/>
  <c r="S22" i="3"/>
  <c r="S28" i="3"/>
  <c r="S29" i="3" s="1"/>
  <c r="V98" i="3"/>
  <c r="V36" i="2"/>
  <c r="U36" i="2"/>
  <c r="Y41" i="3"/>
  <c r="Y95" i="3" s="1"/>
  <c r="W85" i="2"/>
  <c r="X58" i="3"/>
  <c r="X59" i="3" s="1"/>
  <c r="X44" i="3"/>
  <c r="X48" i="3"/>
  <c r="S49" i="3"/>
  <c r="S32" i="3"/>
  <c r="S45" i="2"/>
  <c r="T16" i="3"/>
  <c r="T56" i="3"/>
  <c r="T62" i="3"/>
  <c r="T63" i="3" s="1"/>
  <c r="S59" i="3"/>
  <c r="S100" i="3"/>
  <c r="U55" i="3"/>
  <c r="U49" i="3"/>
  <c r="R48" i="2"/>
  <c r="R47" i="2"/>
  <c r="Q49" i="2"/>
  <c r="Q51" i="2" s="1"/>
  <c r="Z41" i="3"/>
  <c r="Z95" i="3" s="1"/>
  <c r="AA42" i="3"/>
  <c r="W58" i="3"/>
  <c r="W59" i="3" s="1"/>
  <c r="W44" i="3"/>
  <c r="W48" i="3"/>
  <c r="V58" i="3"/>
  <c r="V59" i="3" s="1"/>
  <c r="V44" i="3"/>
  <c r="V48" i="3"/>
  <c r="R172" i="2" l="1"/>
  <c r="V178" i="2"/>
  <c r="X180" i="2"/>
  <c r="T176" i="2"/>
  <c r="U177" i="2"/>
  <c r="Y181" i="2"/>
  <c r="U176" i="2"/>
  <c r="V177" i="2"/>
  <c r="S174" i="2"/>
  <c r="X179" i="2"/>
  <c r="W178" i="2"/>
  <c r="T175" i="2"/>
  <c r="S172" i="2"/>
  <c r="Y180" i="2"/>
  <c r="S175" i="2"/>
  <c r="R174" i="2"/>
  <c r="O104" i="3"/>
  <c r="O100" i="3"/>
  <c r="Q99" i="3"/>
  <c r="Q100" i="3" s="1"/>
  <c r="O29" i="3"/>
  <c r="O34" i="3"/>
  <c r="Q28" i="3"/>
  <c r="Q29" i="3" s="1"/>
  <c r="S122" i="3"/>
  <c r="S109" i="3"/>
  <c r="X12" i="3"/>
  <c r="Q188" i="2"/>
  <c r="S162" i="2"/>
  <c r="R186" i="2"/>
  <c r="R163" i="2"/>
  <c r="R164" i="2" s="1"/>
  <c r="U38" i="2"/>
  <c r="U41" i="2" s="1"/>
  <c r="S163" i="2"/>
  <c r="S164" i="2" s="1"/>
  <c r="S97" i="2"/>
  <c r="S96" i="2"/>
  <c r="R97" i="2"/>
  <c r="X15" i="3" s="1"/>
  <c r="R96" i="2"/>
  <c r="W13" i="3"/>
  <c r="W14" i="3" s="1"/>
  <c r="W94" i="3" s="1"/>
  <c r="Q98" i="2"/>
  <c r="Q100" i="2" s="1"/>
  <c r="T87" i="2"/>
  <c r="T90" i="2" s="1"/>
  <c r="T162" i="2" s="1"/>
  <c r="S34" i="3"/>
  <c r="W36" i="2"/>
  <c r="X36" i="2"/>
  <c r="Y36" i="2"/>
  <c r="Z43" i="3"/>
  <c r="U62" i="3"/>
  <c r="U63" i="3" s="1"/>
  <c r="U56" i="3"/>
  <c r="X85" i="2"/>
  <c r="T21" i="3"/>
  <c r="T31" i="3"/>
  <c r="T17" i="3"/>
  <c r="S48" i="2"/>
  <c r="S47" i="2"/>
  <c r="S56" i="3"/>
  <c r="R49" i="2"/>
  <c r="R51" i="2" s="1"/>
  <c r="S105" i="3"/>
  <c r="Y43" i="3"/>
  <c r="AA41" i="3"/>
  <c r="AA95" i="3" s="1"/>
  <c r="AB42" i="3"/>
  <c r="T97" i="3"/>
  <c r="W55" i="3"/>
  <c r="W49" i="3"/>
  <c r="U97" i="3"/>
  <c r="U99" i="3" s="1"/>
  <c r="U16" i="3"/>
  <c r="T45" i="2"/>
  <c r="W98" i="3"/>
  <c r="Y85" i="2"/>
  <c r="V55" i="3"/>
  <c r="V49" i="3"/>
  <c r="X55" i="3"/>
  <c r="X49" i="3"/>
  <c r="W177" i="2" l="1"/>
  <c r="U175" i="2"/>
  <c r="T174" i="2"/>
  <c r="S126" i="3"/>
  <c r="S127" i="3" s="1"/>
  <c r="Q34" i="3"/>
  <c r="Q35" i="3" s="1"/>
  <c r="O35" i="3"/>
  <c r="O119" i="3"/>
  <c r="O109" i="3"/>
  <c r="Q104" i="3"/>
  <c r="Q105" i="3" s="1"/>
  <c r="O105" i="3"/>
  <c r="AI96" i="3"/>
  <c r="S110" i="3"/>
  <c r="T99" i="3"/>
  <c r="T100" i="3" s="1"/>
  <c r="Y13" i="3"/>
  <c r="Y12" i="3"/>
  <c r="S186" i="2"/>
  <c r="S188" i="2" s="1"/>
  <c r="R188" i="2"/>
  <c r="V38" i="2"/>
  <c r="V41" i="2" s="1"/>
  <c r="S98" i="2"/>
  <c r="S100" i="2" s="1"/>
  <c r="U87" i="2"/>
  <c r="U90" i="2" s="1"/>
  <c r="U162" i="2" s="1"/>
  <c r="T94" i="2"/>
  <c r="T163" i="2" s="1"/>
  <c r="T164" i="2" s="1"/>
  <c r="X13" i="3"/>
  <c r="X14" i="3" s="1"/>
  <c r="X94" i="3" s="1"/>
  <c r="R98" i="2"/>
  <c r="R100" i="2" s="1"/>
  <c r="X98" i="3"/>
  <c r="Y15" i="3"/>
  <c r="AA43" i="3"/>
  <c r="S63" i="3"/>
  <c r="T28" i="3"/>
  <c r="T22" i="3"/>
  <c r="Y48" i="3"/>
  <c r="Y58" i="3"/>
  <c r="Y44" i="3"/>
  <c r="S49" i="2"/>
  <c r="S51" i="2" s="1"/>
  <c r="AB41" i="3"/>
  <c r="AB95" i="3" s="1"/>
  <c r="AC42" i="3"/>
  <c r="Z58" i="3"/>
  <c r="Z59" i="3" s="1"/>
  <c r="Z48" i="3"/>
  <c r="Z44" i="3"/>
  <c r="S35" i="3"/>
  <c r="W56" i="3"/>
  <c r="W62" i="3"/>
  <c r="W63" i="3" s="1"/>
  <c r="V56" i="3"/>
  <c r="V62" i="3"/>
  <c r="V63" i="3" s="1"/>
  <c r="V16" i="3"/>
  <c r="W97" i="3"/>
  <c r="W99" i="3" s="1"/>
  <c r="W16" i="3"/>
  <c r="U45" i="2"/>
  <c r="X62" i="3"/>
  <c r="X63" i="3" s="1"/>
  <c r="X56" i="3"/>
  <c r="T48" i="2"/>
  <c r="T47" i="2"/>
  <c r="U31" i="3"/>
  <c r="U32" i="3" s="1"/>
  <c r="U17" i="3"/>
  <c r="U21" i="3"/>
  <c r="U104" i="3"/>
  <c r="U100" i="3"/>
  <c r="T32" i="3"/>
  <c r="Y179" i="2" l="1"/>
  <c r="X178" i="2"/>
  <c r="U172" i="2"/>
  <c r="X177" i="2"/>
  <c r="V175" i="2"/>
  <c r="W176" i="2"/>
  <c r="U174" i="2"/>
  <c r="V176" i="2"/>
  <c r="T172" i="2"/>
  <c r="O110" i="3"/>
  <c r="Q109" i="3"/>
  <c r="Q110" i="3" s="1"/>
  <c r="Q119" i="3"/>
  <c r="Q120" i="3" s="1"/>
  <c r="O122" i="3"/>
  <c r="O120" i="3"/>
  <c r="T104" i="3"/>
  <c r="T119" i="3" s="1"/>
  <c r="S123" i="3"/>
  <c r="Y14" i="3"/>
  <c r="Y94" i="3" s="1"/>
  <c r="Z12" i="3"/>
  <c r="U119" i="3"/>
  <c r="U109" i="3"/>
  <c r="U110" i="3" s="1"/>
  <c r="S120" i="3"/>
  <c r="T186" i="2"/>
  <c r="T97" i="2"/>
  <c r="Z15" i="3" s="1"/>
  <c r="T96" i="2"/>
  <c r="V87" i="2"/>
  <c r="V90" i="2" s="1"/>
  <c r="V162" i="2" s="1"/>
  <c r="U94" i="2"/>
  <c r="U163" i="2" s="1"/>
  <c r="U164" i="2" s="1"/>
  <c r="W38" i="2"/>
  <c r="W41" i="2" s="1"/>
  <c r="Y98" i="3"/>
  <c r="W104" i="3"/>
  <c r="W100" i="3"/>
  <c r="U105" i="3"/>
  <c r="AC41" i="3"/>
  <c r="AC95" i="3" s="1"/>
  <c r="AD42" i="3"/>
  <c r="AF42" i="3" s="1"/>
  <c r="AB43" i="3"/>
  <c r="V45" i="2"/>
  <c r="U47" i="2"/>
  <c r="U48" i="2"/>
  <c r="Z49" i="3"/>
  <c r="Z55" i="3"/>
  <c r="U22" i="3"/>
  <c r="U28" i="3"/>
  <c r="T34" i="3"/>
  <c r="T29" i="3"/>
  <c r="V31" i="3"/>
  <c r="V21" i="3"/>
  <c r="V17" i="3"/>
  <c r="V97" i="3"/>
  <c r="T49" i="2"/>
  <c r="T51" i="2" s="1"/>
  <c r="AA48" i="3"/>
  <c r="AA44" i="3"/>
  <c r="AA58" i="3"/>
  <c r="AA59" i="3" s="1"/>
  <c r="Y59" i="3"/>
  <c r="Y55" i="3"/>
  <c r="Y49" i="3"/>
  <c r="W17" i="3"/>
  <c r="W31" i="3"/>
  <c r="W32" i="3" s="1"/>
  <c r="W21" i="3"/>
  <c r="Y178" i="2" l="1"/>
  <c r="O123" i="3"/>
  <c r="Q122" i="3"/>
  <c r="Q123" i="3" s="1"/>
  <c r="AI98" i="3"/>
  <c r="AI100" i="3" s="1"/>
  <c r="T105" i="3"/>
  <c r="T109" i="3"/>
  <c r="AI97" i="3" s="1"/>
  <c r="AI99" i="3" s="1"/>
  <c r="V99" i="3"/>
  <c r="W119" i="3"/>
  <c r="W109" i="3"/>
  <c r="W110" i="3" s="1"/>
  <c r="AA12" i="3"/>
  <c r="T120" i="3"/>
  <c r="T188" i="2"/>
  <c r="U186" i="2"/>
  <c r="X38" i="2"/>
  <c r="X41" i="2" s="1"/>
  <c r="Z13" i="3"/>
  <c r="Z14" i="3" s="1"/>
  <c r="Z94" i="3" s="1"/>
  <c r="T98" i="2"/>
  <c r="T100" i="2" s="1"/>
  <c r="U97" i="2"/>
  <c r="AA15" i="3" s="1"/>
  <c r="U96" i="2"/>
  <c r="W87" i="2"/>
  <c r="W90" i="2" s="1"/>
  <c r="W162" i="2" s="1"/>
  <c r="V94" i="2"/>
  <c r="W175" i="2" s="1"/>
  <c r="Z98" i="3"/>
  <c r="W45" i="2"/>
  <c r="X16" i="3"/>
  <c r="AD41" i="3"/>
  <c r="AD95" i="3" s="1"/>
  <c r="AF39" i="3"/>
  <c r="V22" i="3"/>
  <c r="V28" i="3"/>
  <c r="V48" i="2"/>
  <c r="V47" i="2"/>
  <c r="W28" i="3"/>
  <c r="W22" i="3"/>
  <c r="W105" i="3"/>
  <c r="AA49" i="3"/>
  <c r="AA55" i="3"/>
  <c r="AB58" i="3"/>
  <c r="AB44" i="3"/>
  <c r="AB48" i="3"/>
  <c r="Z62" i="3"/>
  <c r="Z63" i="3" s="1"/>
  <c r="Z56" i="3"/>
  <c r="AC43" i="3"/>
  <c r="T35" i="3"/>
  <c r="V32" i="3"/>
  <c r="U29" i="3"/>
  <c r="U34" i="3"/>
  <c r="U35" i="3" s="1"/>
  <c r="U49" i="2"/>
  <c r="U51" i="2" s="1"/>
  <c r="U122" i="3"/>
  <c r="U120" i="3"/>
  <c r="Y56" i="3"/>
  <c r="Y62" i="3"/>
  <c r="Y97" i="3"/>
  <c r="Y16" i="3"/>
  <c r="U123" i="3" l="1"/>
  <c r="V172" i="2"/>
  <c r="Y177" i="2"/>
  <c r="V174" i="2"/>
  <c r="X175" i="2"/>
  <c r="X176" i="2"/>
  <c r="T110" i="3"/>
  <c r="V100" i="3"/>
  <c r="V104" i="3"/>
  <c r="V119" i="3" s="1"/>
  <c r="Y99" i="3"/>
  <c r="AB12" i="3"/>
  <c r="T122" i="3"/>
  <c r="T126" i="3" s="1"/>
  <c r="T127" i="3" s="1"/>
  <c r="U188" i="2"/>
  <c r="V163" i="2"/>
  <c r="V164" i="2" s="1"/>
  <c r="V186" i="2"/>
  <c r="V97" i="2"/>
  <c r="AB15" i="3" s="1"/>
  <c r="V96" i="2"/>
  <c r="X87" i="2"/>
  <c r="X90" i="2" s="1"/>
  <c r="X162" i="2" s="1"/>
  <c r="W94" i="2"/>
  <c r="Y176" i="2" s="1"/>
  <c r="AA13" i="3"/>
  <c r="AA14" i="3" s="1"/>
  <c r="AA94" i="3" s="1"/>
  <c r="U98" i="2"/>
  <c r="U100" i="2" s="1"/>
  <c r="Y38" i="2"/>
  <c r="Y41" i="2" s="1"/>
  <c r="AA98" i="3"/>
  <c r="AB49" i="3"/>
  <c r="AB55" i="3"/>
  <c r="AF95" i="3"/>
  <c r="AD43" i="3"/>
  <c r="AF41" i="3"/>
  <c r="X31" i="3"/>
  <c r="X21" i="3"/>
  <c r="X17" i="3"/>
  <c r="AC48" i="3"/>
  <c r="AC44" i="3"/>
  <c r="AC58" i="3"/>
  <c r="AC59" i="3" s="1"/>
  <c r="Y100" i="3"/>
  <c r="Y63" i="3"/>
  <c r="AB59" i="3"/>
  <c r="V49" i="2"/>
  <c r="V51" i="2" s="1"/>
  <c r="X97" i="3"/>
  <c r="AJ96" i="3" s="1"/>
  <c r="Z97" i="3"/>
  <c r="Z99" i="3" s="1"/>
  <c r="Z16" i="3"/>
  <c r="AA62" i="3"/>
  <c r="AA63" i="3" s="1"/>
  <c r="AA56" i="3"/>
  <c r="X45" i="2"/>
  <c r="W34" i="3"/>
  <c r="W35" i="3" s="1"/>
  <c r="W29" i="3"/>
  <c r="W48" i="2"/>
  <c r="W47" i="2"/>
  <c r="Y31" i="3"/>
  <c r="Y32" i="3" s="1"/>
  <c r="Y17" i="3"/>
  <c r="Y21" i="3"/>
  <c r="W120" i="3"/>
  <c r="W122" i="3"/>
  <c r="W123" i="3" s="1"/>
  <c r="V29" i="3"/>
  <c r="V34" i="3"/>
  <c r="U124" i="3" l="1"/>
  <c r="W172" i="2"/>
  <c r="W174" i="2"/>
  <c r="U126" i="3"/>
  <c r="U127" i="3" s="1"/>
  <c r="Y104" i="3"/>
  <c r="Y119" i="3" s="1"/>
  <c r="V105" i="3"/>
  <c r="V109" i="3"/>
  <c r="X99" i="3"/>
  <c r="X104" i="3" s="1"/>
  <c r="T123" i="3"/>
  <c r="AC12" i="3"/>
  <c r="V122" i="3"/>
  <c r="V188" i="2"/>
  <c r="W186" i="2"/>
  <c r="W163" i="2"/>
  <c r="W164" i="2" s="1"/>
  <c r="Y45" i="2"/>
  <c r="AB13" i="3"/>
  <c r="AB14" i="3" s="1"/>
  <c r="AB94" i="3" s="1"/>
  <c r="V98" i="2"/>
  <c r="V100" i="2" s="1"/>
  <c r="W97" i="2"/>
  <c r="AC15" i="3" s="1"/>
  <c r="W96" i="2"/>
  <c r="Y87" i="2"/>
  <c r="Y90" i="2" s="1"/>
  <c r="Y94" i="2" s="1"/>
  <c r="Y97" i="2" s="1"/>
  <c r="X94" i="2"/>
  <c r="X163" i="2" s="1"/>
  <c r="X164" i="2" s="1"/>
  <c r="AB98" i="3"/>
  <c r="Y28" i="3"/>
  <c r="Y22" i="3"/>
  <c r="W49" i="2"/>
  <c r="W51" i="2" s="1"/>
  <c r="Z17" i="3"/>
  <c r="Z31" i="3"/>
  <c r="Z32" i="3" s="1"/>
  <c r="Z21" i="3"/>
  <c r="AD58" i="3"/>
  <c r="AD48" i="3"/>
  <c r="AD44" i="3"/>
  <c r="AF44" i="3" s="1"/>
  <c r="AF43" i="3"/>
  <c r="Z104" i="3"/>
  <c r="Z100" i="3"/>
  <c r="AC49" i="3"/>
  <c r="AC55" i="3"/>
  <c r="X28" i="3"/>
  <c r="X22" i="3"/>
  <c r="AB56" i="3"/>
  <c r="AB62" i="3"/>
  <c r="X47" i="2"/>
  <c r="X48" i="2"/>
  <c r="AA97" i="3"/>
  <c r="AK96" i="3" s="1"/>
  <c r="AK100" i="3" s="1"/>
  <c r="AA16" i="3"/>
  <c r="X32" i="3"/>
  <c r="V35" i="3"/>
  <c r="X174" i="2" l="1"/>
  <c r="X172" i="2"/>
  <c r="Y47" i="2"/>
  <c r="Y172" i="2"/>
  <c r="Y174" i="2"/>
  <c r="Y175" i="2"/>
  <c r="V126" i="3"/>
  <c r="V127" i="3" s="1"/>
  <c r="Y105" i="3"/>
  <c r="Y109" i="3"/>
  <c r="Y110" i="3" s="1"/>
  <c r="V110" i="3"/>
  <c r="X100" i="3"/>
  <c r="AA99" i="3"/>
  <c r="AD12" i="3"/>
  <c r="Z119" i="3"/>
  <c r="Z109" i="3"/>
  <c r="Z110" i="3" s="1"/>
  <c r="X109" i="3"/>
  <c r="AJ97" i="3" s="1"/>
  <c r="AJ99" i="3" s="1"/>
  <c r="X119" i="3"/>
  <c r="AJ98" i="3" s="1"/>
  <c r="AJ100" i="3" s="1"/>
  <c r="V120" i="3"/>
  <c r="Y48" i="2"/>
  <c r="Y49" i="2" s="1"/>
  <c r="Y51" i="2" s="1"/>
  <c r="W188" i="2"/>
  <c r="Y162" i="2"/>
  <c r="X186" i="2"/>
  <c r="Y163" i="2"/>
  <c r="Y164" i="2" s="1"/>
  <c r="Y96" i="2"/>
  <c r="Y98" i="2" s="1"/>
  <c r="Y100" i="2" s="1"/>
  <c r="X97" i="2"/>
  <c r="AD15" i="3" s="1"/>
  <c r="AD98" i="3" s="1"/>
  <c r="X96" i="2"/>
  <c r="AC13" i="3"/>
  <c r="AC14" i="3" s="1"/>
  <c r="AC94" i="3" s="1"/>
  <c r="W98" i="2"/>
  <c r="W100" i="2" s="1"/>
  <c r="AC98" i="3"/>
  <c r="X105" i="3"/>
  <c r="X49" i="2"/>
  <c r="X51" i="2" s="1"/>
  <c r="Z22" i="3"/>
  <c r="Z28" i="3"/>
  <c r="AA21" i="3"/>
  <c r="AA17" i="3"/>
  <c r="AA31" i="3"/>
  <c r="AA32" i="3" s="1"/>
  <c r="AB63" i="3"/>
  <c r="Z105" i="3"/>
  <c r="Y122" i="3"/>
  <c r="Y123" i="3" s="1"/>
  <c r="Y120" i="3"/>
  <c r="AC62" i="3"/>
  <c r="AC63" i="3" s="1"/>
  <c r="AC56" i="3"/>
  <c r="AD55" i="3"/>
  <c r="AD49" i="3"/>
  <c r="AF48" i="3"/>
  <c r="AF49" i="3" s="1"/>
  <c r="AD59" i="3"/>
  <c r="AF58" i="3"/>
  <c r="AF59" i="3" s="1"/>
  <c r="AB97" i="3"/>
  <c r="AB16" i="3"/>
  <c r="X34" i="3"/>
  <c r="X29" i="3"/>
  <c r="V123" i="3"/>
  <c r="Y34" i="3"/>
  <c r="Y35" i="3" s="1"/>
  <c r="Y29" i="3"/>
  <c r="W126" i="3" l="1"/>
  <c r="W127" i="3" s="1"/>
  <c r="AA100" i="3"/>
  <c r="AA104" i="3"/>
  <c r="AA105" i="3" s="1"/>
  <c r="AB99" i="3"/>
  <c r="X110" i="3"/>
  <c r="X120" i="3"/>
  <c r="X188" i="2"/>
  <c r="Y186" i="2"/>
  <c r="Y188" i="2" s="1"/>
  <c r="AD13" i="3"/>
  <c r="X98" i="2"/>
  <c r="X100" i="2" s="1"/>
  <c r="AF98" i="3"/>
  <c r="AF15" i="3"/>
  <c r="X35" i="3"/>
  <c r="Z29" i="3"/>
  <c r="Z34" i="3"/>
  <c r="Z35" i="3" s="1"/>
  <c r="AF12" i="3"/>
  <c r="AD56" i="3"/>
  <c r="AD62" i="3"/>
  <c r="AF55" i="3"/>
  <c r="AF56" i="3" s="1"/>
  <c r="AB17" i="3"/>
  <c r="AB21" i="3"/>
  <c r="AB31" i="3"/>
  <c r="AB32" i="3" s="1"/>
  <c r="AA28" i="3"/>
  <c r="AA22" i="3"/>
  <c r="AC97" i="3"/>
  <c r="AC99" i="3" s="1"/>
  <c r="AC16" i="3"/>
  <c r="Z120" i="3"/>
  <c r="Z122" i="3"/>
  <c r="Z123" i="3" s="1"/>
  <c r="AB100" i="3" l="1"/>
  <c r="AA109" i="3"/>
  <c r="AA119" i="3"/>
  <c r="AA122" i="3" s="1"/>
  <c r="AA123" i="3" s="1"/>
  <c r="AB104" i="3"/>
  <c r="AB119" i="3" s="1"/>
  <c r="X122" i="3"/>
  <c r="AF13" i="3"/>
  <c r="AD14" i="3"/>
  <c r="AD94" i="3" s="1"/>
  <c r="AD97" i="3" s="1"/>
  <c r="AL96" i="3" s="1"/>
  <c r="AD63" i="3"/>
  <c r="AF62" i="3"/>
  <c r="AF63" i="3" s="1"/>
  <c r="AA34" i="3"/>
  <c r="AA35" i="3" s="1"/>
  <c r="AA29" i="3"/>
  <c r="AC21" i="3"/>
  <c r="AC17" i="3"/>
  <c r="AC31" i="3"/>
  <c r="AC32" i="3" s="1"/>
  <c r="AC104" i="3"/>
  <c r="AC100" i="3"/>
  <c r="AB28" i="3"/>
  <c r="AB22" i="3"/>
  <c r="AA110" i="3" l="1"/>
  <c r="AK97" i="3"/>
  <c r="AK99" i="3" s="1"/>
  <c r="AA120" i="3"/>
  <c r="AB105" i="3"/>
  <c r="AB109" i="3"/>
  <c r="X123" i="3"/>
  <c r="X126" i="3"/>
  <c r="X127" i="3" s="1"/>
  <c r="AC119" i="3"/>
  <c r="AC109" i="3"/>
  <c r="AC110" i="3" s="1"/>
  <c r="AF14" i="3"/>
  <c r="AD16" i="3"/>
  <c r="AD17" i="3" s="1"/>
  <c r="AF17" i="3" s="1"/>
  <c r="AC22" i="3"/>
  <c r="AC28" i="3"/>
  <c r="AB34" i="3"/>
  <c r="AB35" i="3" s="1"/>
  <c r="AB29" i="3"/>
  <c r="AB120" i="3"/>
  <c r="AB122" i="3"/>
  <c r="AC105" i="3"/>
  <c r="AD99" i="3"/>
  <c r="AF94" i="3"/>
  <c r="AF97" i="3" s="1"/>
  <c r="Y126" i="3" l="1"/>
  <c r="Y127" i="3" s="1"/>
  <c r="AB110" i="3"/>
  <c r="AD21" i="3"/>
  <c r="AF21" i="3" s="1"/>
  <c r="AF22" i="3" s="1"/>
  <c r="AF16" i="3"/>
  <c r="AD31" i="3"/>
  <c r="AD32" i="3" s="1"/>
  <c r="AD104" i="3"/>
  <c r="AD100" i="3"/>
  <c r="AF99" i="3"/>
  <c r="AF100" i="3" s="1"/>
  <c r="AC122" i="3"/>
  <c r="AC123" i="3" s="1"/>
  <c r="AC120" i="3"/>
  <c r="AB123" i="3"/>
  <c r="AC29" i="3"/>
  <c r="AC34" i="3"/>
  <c r="AC35" i="3" s="1"/>
  <c r="Z126" i="3" l="1"/>
  <c r="Z127" i="3" s="1"/>
  <c r="AD119" i="3"/>
  <c r="AL98" i="3" s="1"/>
  <c r="AD109" i="3"/>
  <c r="AD28" i="3"/>
  <c r="AD34" i="3" s="1"/>
  <c r="AD22" i="3"/>
  <c r="AF31" i="3"/>
  <c r="AF32" i="3" s="1"/>
  <c r="AD105" i="3"/>
  <c r="AF104" i="3"/>
  <c r="AF105" i="3" s="1"/>
  <c r="AA126" i="3" l="1"/>
  <c r="AA127" i="3" s="1"/>
  <c r="AL97" i="3"/>
  <c r="AL99" i="3" s="1"/>
  <c r="AF119" i="3"/>
  <c r="AL100" i="3"/>
  <c r="AD110" i="3"/>
  <c r="AF109" i="3"/>
  <c r="AF110" i="3" s="1"/>
  <c r="AD29" i="3"/>
  <c r="AF118" i="3"/>
  <c r="AF28" i="3"/>
  <c r="AF29" i="3" s="1"/>
  <c r="AD35" i="3"/>
  <c r="AF34" i="3"/>
  <c r="AF35" i="3" s="1"/>
  <c r="AB126" i="3" l="1"/>
  <c r="AB127" i="3" s="1"/>
  <c r="AF120" i="3"/>
  <c r="AD122" i="3"/>
  <c r="AD120" i="3"/>
  <c r="AC126" i="3" l="1"/>
  <c r="AC127" i="3" s="1"/>
  <c r="AF122" i="3"/>
  <c r="AF123" i="3" s="1"/>
  <c r="AD123" i="3"/>
  <c r="AD126" i="3" l="1"/>
  <c r="AD127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<sst xmlns="http://schemas.openxmlformats.org/spreadsheetml/2006/main" count="3928" uniqueCount="756">
  <si>
    <t>Q1</t>
  </si>
  <si>
    <t>Q2</t>
  </si>
  <si>
    <t>Q3</t>
  </si>
  <si>
    <t>Q4</t>
  </si>
  <si>
    <t>Other considerations</t>
  </si>
  <si>
    <t>MKT Spend iOS</t>
  </si>
  <si>
    <t>MKT Spend aOS</t>
  </si>
  <si>
    <t>CPNU iOS</t>
  </si>
  <si>
    <t>CPNU aOS</t>
  </si>
  <si>
    <t>CPNU WEB</t>
  </si>
  <si>
    <t>ARPU RENEWALS</t>
  </si>
  <si>
    <t>Conversion iOS</t>
  </si>
  <si>
    <t>Yearly iOS</t>
  </si>
  <si>
    <t>Conversion aOS</t>
  </si>
  <si>
    <t>Monthly  iOS</t>
  </si>
  <si>
    <t>Conversion WEB</t>
  </si>
  <si>
    <t>Yearly aOS</t>
  </si>
  <si>
    <t>New User ARPU iOS</t>
  </si>
  <si>
    <t>Monthly aOS</t>
  </si>
  <si>
    <t>New User ARPU aOS</t>
  </si>
  <si>
    <t>Yearly WEB</t>
  </si>
  <si>
    <t>New User ARPU WEB</t>
  </si>
  <si>
    <t>Monthly WEB</t>
  </si>
  <si>
    <t>Churn iOS</t>
  </si>
  <si>
    <t>Churn aOS</t>
  </si>
  <si>
    <t xml:space="preserve">USD </t>
  </si>
  <si>
    <t>Churn WEB</t>
  </si>
  <si>
    <t>BRL</t>
  </si>
  <si>
    <t>Other Rev Partnerships Goal</t>
  </si>
  <si>
    <t>Other Rev Off App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</si>
  <si>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</si>
  <si>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</si>
  <si>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</si>
  <si>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</si>
  <si>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</si>
  <si>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</si>
  <si>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</si>
  <si>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</si>
  <si>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</si>
  <si>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</si>
  <si>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</si>
  <si>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</si>
  <si>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 xml:space="preserve">IOS </t>
  </si>
  <si>
    <t>Market Spend</t>
  </si>
  <si>
    <t>Total Spend</t>
  </si>
  <si>
    <t>CPNU</t>
  </si>
  <si>
    <t>Average Calendar Conversion</t>
  </si>
  <si>
    <t>New User ARPU</t>
  </si>
  <si>
    <t>Commisions</t>
  </si>
  <si>
    <t xml:space="preserve">         New</t>
  </si>
  <si>
    <t xml:space="preserve">         Renewals (&gt;1year)</t>
  </si>
  <si>
    <t>Weighted Monthly Churn</t>
  </si>
  <si>
    <t>Implied Annual Churn</t>
  </si>
  <si>
    <t>Real Monthly Churn 40% primer mes</t>
  </si>
  <si>
    <t>New Users</t>
  </si>
  <si>
    <t>New Subscribers</t>
  </si>
  <si>
    <t>Yearly</t>
  </si>
  <si>
    <t>Monthly</t>
  </si>
  <si>
    <t>CAC</t>
  </si>
  <si>
    <t>ARPU VS CAC</t>
  </si>
  <si>
    <t>New Subscriber Sales</t>
  </si>
  <si>
    <t>New MRR</t>
  </si>
  <si>
    <t>Available for Renewal Monthly -</t>
  </si>
  <si>
    <t>Available for Renewal Yearly</t>
  </si>
  <si>
    <t>Renewal Subscribers</t>
  </si>
  <si>
    <t>Renwal split &lt;1 year</t>
  </si>
  <si>
    <t>Renwal split &gt;1 year</t>
  </si>
  <si>
    <t>Renewal Gross Sales</t>
  </si>
  <si>
    <t>Gross Sales</t>
  </si>
  <si>
    <t>Comissions + Tax and Adjustments</t>
  </si>
  <si>
    <t>Net Sales</t>
  </si>
  <si>
    <t xml:space="preserve">ANDORID </t>
  </si>
  <si>
    <t>WEB</t>
  </si>
  <si>
    <t>COMPANY KPI SUMMARY</t>
  </si>
  <si>
    <t>Signups</t>
  </si>
  <si>
    <t>Conversion Rate</t>
  </si>
  <si>
    <t>Average CAC</t>
  </si>
  <si>
    <t>Total New Subscriber Sales</t>
  </si>
  <si>
    <t>Total Renewals</t>
  </si>
  <si>
    <t>Total Renewals Sales</t>
  </si>
  <si>
    <t>Total Sales</t>
  </si>
  <si>
    <t>ARPU (monthly lvl)</t>
  </si>
  <si>
    <t>LTR / CAC</t>
  </si>
  <si>
    <t>TICKET VS CAC</t>
  </si>
  <si>
    <t>Sum Yearly MRR</t>
  </si>
  <si>
    <t>Escenario</t>
  </si>
  <si>
    <t>Total 2024</t>
  </si>
  <si>
    <t>Total 2025</t>
  </si>
  <si>
    <t>APP</t>
  </si>
  <si>
    <t>REVENUE</t>
  </si>
  <si>
    <t>IOS + AOS</t>
  </si>
  <si>
    <t>Kinedu Subscriptions IOS</t>
  </si>
  <si>
    <t>Kinedu Subscriptions aOS</t>
  </si>
  <si>
    <t>Gross Revenue</t>
  </si>
  <si>
    <t>Net Revenue</t>
  </si>
  <si>
    <t>NR %</t>
  </si>
  <si>
    <t>COST OF GOODS SOLD</t>
  </si>
  <si>
    <t>Servers/Infrastructure</t>
  </si>
  <si>
    <t>Gross Margin</t>
  </si>
  <si>
    <t>GM%</t>
  </si>
  <si>
    <t>OPERATING EXPENSES</t>
  </si>
  <si>
    <t>Administrative Costs</t>
  </si>
  <si>
    <t>Total Operating Expenses</t>
  </si>
  <si>
    <t>Operating Profit</t>
  </si>
  <si>
    <t>OP%</t>
  </si>
  <si>
    <t>Contribution Margin</t>
  </si>
  <si>
    <t>Contribution Margin%</t>
  </si>
  <si>
    <t>NET INCOME</t>
  </si>
  <si>
    <t>NI%</t>
  </si>
  <si>
    <t>OFF-APP</t>
  </si>
  <si>
    <t>Kinedu Web</t>
  </si>
  <si>
    <t xml:space="preserve">Masterclasses (other revenue) </t>
  </si>
  <si>
    <t>Partnerships</t>
  </si>
  <si>
    <t>Kinedu Play+Learn</t>
  </si>
  <si>
    <t>Other Revenue</t>
  </si>
  <si>
    <t>Overall</t>
  </si>
  <si>
    <t>Company</t>
  </si>
  <si>
    <t>Kinedu Subscriptions App</t>
  </si>
  <si>
    <t>Kinedu Subscriptions Off App</t>
  </si>
  <si>
    <t>Other Revenue Partnerships</t>
  </si>
  <si>
    <t>Costs App</t>
  </si>
  <si>
    <t>Costs Off App</t>
  </si>
  <si>
    <t>Costs Partnerships</t>
  </si>
  <si>
    <t>Costs ADM</t>
  </si>
  <si>
    <t>L1= APP</t>
  </si>
  <si>
    <t>L3= PARTNERSHIPS</t>
  </si>
  <si>
    <t>L2 = OFF APP</t>
  </si>
  <si>
    <t>L4= CORP</t>
  </si>
  <si>
    <t>USD</t>
  </si>
  <si>
    <t>MXN</t>
  </si>
  <si>
    <t>Function</t>
  </si>
  <si>
    <t>Team Leader</t>
  </si>
  <si>
    <t>L1</t>
  </si>
  <si>
    <t>L2</t>
  </si>
  <si>
    <t>L3</t>
  </si>
  <si>
    <t>L4</t>
  </si>
  <si>
    <t>Project</t>
  </si>
  <si>
    <t>Supplier</t>
  </si>
  <si>
    <t>Project Description</t>
  </si>
  <si>
    <t>Account</t>
  </si>
  <si>
    <t>Account Description</t>
  </si>
  <si>
    <t>P&amp;L Casification</t>
  </si>
  <si>
    <t>Currency</t>
  </si>
  <si>
    <t>Total Cost</t>
  </si>
  <si>
    <t>January</t>
  </si>
  <si>
    <t>February</t>
  </si>
  <si>
    <t>March</t>
  </si>
  <si>
    <t>April</t>
  </si>
  <si>
    <t>June</t>
  </si>
  <si>
    <t>July</t>
  </si>
  <si>
    <t>August</t>
  </si>
  <si>
    <t>September</t>
  </si>
  <si>
    <t>October</t>
  </si>
  <si>
    <t>November</t>
  </si>
  <si>
    <t>December</t>
  </si>
  <si>
    <t>SERVICIOS</t>
  </si>
  <si>
    <t>%</t>
  </si>
  <si>
    <t>ADM</t>
  </si>
  <si>
    <t>Maria Josefa Avalos</t>
  </si>
  <si>
    <t>Google G Suite</t>
  </si>
  <si>
    <t>Google</t>
  </si>
  <si>
    <t>Google G Suite - 53 usuarios</t>
  </si>
  <si>
    <t>603.64.001</t>
  </si>
  <si>
    <t>Servicios de Informatica</t>
  </si>
  <si>
    <t>Servicios</t>
  </si>
  <si>
    <t>Communication</t>
  </si>
  <si>
    <t>Zoom</t>
  </si>
  <si>
    <t>Zoom services - INBOUND licence</t>
  </si>
  <si>
    <t>Slack - 39 users</t>
  </si>
  <si>
    <t>Communication tool</t>
  </si>
  <si>
    <t>Human Resources</t>
  </si>
  <si>
    <t>BambooHR</t>
  </si>
  <si>
    <t>RH tool - 38 employees</t>
  </si>
  <si>
    <t>Payroll Platform</t>
  </si>
  <si>
    <t>DEEL</t>
  </si>
  <si>
    <t>Payroll, filing and handling (Concierge) - 2 employees</t>
  </si>
  <si>
    <t>Investment Platform</t>
  </si>
  <si>
    <t>Carta</t>
  </si>
  <si>
    <t>Amazon Market place MX</t>
  </si>
  <si>
    <t>Amazon Marketplace Mx</t>
  </si>
  <si>
    <t>Calendly Luis</t>
  </si>
  <si>
    <t xml:space="preserve">Calendly </t>
  </si>
  <si>
    <t>SERVICIOS EXTERNOS</t>
  </si>
  <si>
    <t>Financial Services</t>
  </si>
  <si>
    <t>ISS/QS Payroll</t>
  </si>
  <si>
    <t>Monthly Accounting, Payroll, Reporting, Taxes</t>
  </si>
  <si>
    <t>603.38.001</t>
  </si>
  <si>
    <t>Honorarios A Personas Morales Nacionales</t>
  </si>
  <si>
    <t>Servicios Externos</t>
  </si>
  <si>
    <t>Legal Services</t>
  </si>
  <si>
    <t>Garza Duran Abogados</t>
  </si>
  <si>
    <t>Servicios legales</t>
  </si>
  <si>
    <t>603.38.002</t>
  </si>
  <si>
    <t>Honorarios Legales PM</t>
  </si>
  <si>
    <t>Legal</t>
  </si>
  <si>
    <t>Acceleron Law Group</t>
  </si>
  <si>
    <t>Legal services</t>
  </si>
  <si>
    <t>Accounting &amp; Tax</t>
  </si>
  <si>
    <t>Nichols, Dominguez &amp; Velazquez</t>
  </si>
  <si>
    <t>Accounting and tax services</t>
  </si>
  <si>
    <t>Arrowpoint</t>
  </si>
  <si>
    <t>Treasury as a service</t>
  </si>
  <si>
    <t>OPERAM</t>
  </si>
  <si>
    <t>Accounting and tresury services</t>
  </si>
  <si>
    <t>Topaz</t>
  </si>
  <si>
    <t>Talisis.com</t>
  </si>
  <si>
    <t>UERRE</t>
  </si>
  <si>
    <t>SUELDOS Y SALARIOS</t>
  </si>
  <si>
    <t>ASIMILADOS</t>
  </si>
  <si>
    <t>Payroll</t>
  </si>
  <si>
    <t>Luis Garza</t>
  </si>
  <si>
    <t>Asimilados</t>
  </si>
  <si>
    <t>603.31.001</t>
  </si>
  <si>
    <t>Asimilados a salarios</t>
  </si>
  <si>
    <t>Sueldos y Salarios</t>
  </si>
  <si>
    <t>GUSTO</t>
  </si>
  <si>
    <t>Dir Strategic Projects and Excellence</t>
  </si>
  <si>
    <t>603.01.001</t>
  </si>
  <si>
    <t>Sueldos y salarios</t>
  </si>
  <si>
    <t>Mariana Villarreal</t>
  </si>
  <si>
    <t>People Opps</t>
  </si>
  <si>
    <t>Regina Elizondo</t>
  </si>
  <si>
    <t>Strategy Specialist</t>
  </si>
  <si>
    <t>BENEFITS</t>
  </si>
  <si>
    <t>Benefits</t>
  </si>
  <si>
    <t>SiVale</t>
  </si>
  <si>
    <t>1 empleado</t>
  </si>
  <si>
    <t>603.15.001</t>
  </si>
  <si>
    <t>Despensa</t>
  </si>
  <si>
    <t>Aguinaldo</t>
  </si>
  <si>
    <t>Aguinaldo 4 empleados</t>
  </si>
  <si>
    <t>603.12.001</t>
  </si>
  <si>
    <t>Bono Anual</t>
  </si>
  <si>
    <t>603.22.001</t>
  </si>
  <si>
    <t>Estimulo al personal</t>
  </si>
  <si>
    <t>Seguro Gastos Medicos Mayores</t>
  </si>
  <si>
    <t>Todos los empleados - 38 empleados</t>
  </si>
  <si>
    <t>603.57.001</t>
  </si>
  <si>
    <t>Seguros y Fianzas</t>
  </si>
  <si>
    <t>Otros</t>
  </si>
  <si>
    <t>Seguro Gastos Medicos Menores</t>
  </si>
  <si>
    <t>Seguro de Vida</t>
  </si>
  <si>
    <t>VIATICOS</t>
  </si>
  <si>
    <t>Hotel</t>
  </si>
  <si>
    <t>Multiple</t>
  </si>
  <si>
    <t>2MX - 2 noches</t>
  </si>
  <si>
    <t>603.49.001</t>
  </si>
  <si>
    <t>Viaticos Hotel</t>
  </si>
  <si>
    <t>Gastos de Viaje</t>
  </si>
  <si>
    <t>Taxi</t>
  </si>
  <si>
    <t>603.49.002</t>
  </si>
  <si>
    <t>Vaticos Taxi</t>
  </si>
  <si>
    <t>Plane</t>
  </si>
  <si>
    <t>603.49.003</t>
  </si>
  <si>
    <t>Viaticos Avion</t>
  </si>
  <si>
    <t>Food</t>
  </si>
  <si>
    <t>603.49.004</t>
  </si>
  <si>
    <t>Viaticos Comidas</t>
  </si>
  <si>
    <t>OTROS</t>
  </si>
  <si>
    <t>Papeleria y Articulos De Oficina</t>
  </si>
  <si>
    <t>Papeleria / Articulos De Oficina / DHL</t>
  </si>
  <si>
    <t>603.55.001</t>
  </si>
  <si>
    <t>Recuitement</t>
  </si>
  <si>
    <t>OCC Bolsa de trabajo</t>
  </si>
  <si>
    <t>Linkedin Talent Solutions</t>
  </si>
  <si>
    <t>603.60.001</t>
  </si>
  <si>
    <t>Cuotas y Suscripciones</t>
  </si>
  <si>
    <t>Varios cultura de trabajo HR</t>
  </si>
  <si>
    <t>Bday Cakes, Despensa, After Office, Comidas, Otros</t>
  </si>
  <si>
    <t>603.82.003</t>
  </si>
  <si>
    <t>Organizacion de eventos</t>
  </si>
  <si>
    <t>Christmas Party</t>
  </si>
  <si>
    <t>Trainings</t>
  </si>
  <si>
    <t>Pleroma GMP</t>
  </si>
  <si>
    <t>Gian Marco (one on ones)</t>
  </si>
  <si>
    <t>603.62.001</t>
  </si>
  <si>
    <t>Capacitacion al Personal</t>
  </si>
  <si>
    <t>Rent Offices</t>
  </si>
  <si>
    <t>Universidad Regiomontana</t>
  </si>
  <si>
    <t>Renta de Oficinas Monterrey</t>
  </si>
  <si>
    <t>603.46.001</t>
  </si>
  <si>
    <t>Arrendamiento a Personas Morales</t>
  </si>
  <si>
    <t>Renta de Inmuebles</t>
  </si>
  <si>
    <t>Descripcion aumentos</t>
  </si>
  <si>
    <t>PRO</t>
  </si>
  <si>
    <t>Mariana Kalifa</t>
  </si>
  <si>
    <t xml:space="preserve">Designers Service </t>
  </si>
  <si>
    <t xml:space="preserve">Adobe </t>
  </si>
  <si>
    <t>1249 mxn per month per user 1 + tax = 1388.89</t>
  </si>
  <si>
    <t xml:space="preserve">Figma </t>
  </si>
  <si>
    <t>15 per user per month (4 users) + taxes = 70</t>
  </si>
  <si>
    <t xml:space="preserve">Devs Service </t>
  </si>
  <si>
    <t xml:space="preserve">Clickup </t>
  </si>
  <si>
    <t>$45 USD por usuario (17 users) por año (julio)</t>
  </si>
  <si>
    <t xml:space="preserve">DS Service </t>
  </si>
  <si>
    <t>Tableau</t>
  </si>
  <si>
    <t>Anual ($1,680dls)  - Enero</t>
  </si>
  <si>
    <t xml:space="preserve">Mixpanel </t>
  </si>
  <si>
    <t>Anual febrero 28,994 (before tax), en nov defino si subimos por MTUs</t>
  </si>
  <si>
    <t>Director of Product and Engineering</t>
  </si>
  <si>
    <t>Sujeto a BE (aumento sept 24)</t>
  </si>
  <si>
    <t>Maria Jose Reyes</t>
  </si>
  <si>
    <t>Mid Product Manager</t>
  </si>
  <si>
    <t>Promocion a mid-PM +50%</t>
  </si>
  <si>
    <t>Paola Villarreal</t>
  </si>
  <si>
    <t>Junior Product Owner</t>
  </si>
  <si>
    <t>Sujeto a BE (mayo cumple 1 año)</t>
  </si>
  <si>
    <t>NOMINA</t>
  </si>
  <si>
    <t>Maria Fernanda Alvarez</t>
  </si>
  <si>
    <t>Mid UX/UI Designer</t>
  </si>
  <si>
    <t>Promoción a mid designer + 26% (aumento enero 2023)</t>
  </si>
  <si>
    <t>BENEFITS // OTHER</t>
  </si>
  <si>
    <t>Prima Vacacional (prom. 8 días de vacaciones)</t>
  </si>
  <si>
    <t>603.07.001</t>
  </si>
  <si>
    <t>Prima vacacional</t>
  </si>
  <si>
    <t>Impuestos</t>
  </si>
  <si>
    <t>ISN, SAR, IMSS, INFONAVIT (avg. 24%)</t>
  </si>
  <si>
    <t>Sujeto a BE</t>
  </si>
  <si>
    <t>Computers</t>
  </si>
  <si>
    <t xml:space="preserve">Equipo de computo </t>
  </si>
  <si>
    <t>Computadora Thinkpad RAM 32/40, procesador AMD Rysen 5, disco estado solido 512 (android developer) - aprox 20k mxn</t>
  </si>
  <si>
    <t>156.01.001</t>
  </si>
  <si>
    <t>EQUIPO DE COMPUTO</t>
  </si>
  <si>
    <t>Si necesito pero sujeto a BE</t>
  </si>
  <si>
    <t>CAPEX</t>
  </si>
  <si>
    <t>Arrendadora Laptops</t>
  </si>
  <si>
    <t>SERVERS</t>
  </si>
  <si>
    <t>TEC</t>
  </si>
  <si>
    <t>Kinedu</t>
  </si>
  <si>
    <t>Amazon Web Services</t>
  </si>
  <si>
    <t>Cloud Computing</t>
  </si>
  <si>
    <t>603.60.002</t>
  </si>
  <si>
    <t>Almacenamiento de datos</t>
  </si>
  <si>
    <t>Google Cloud</t>
  </si>
  <si>
    <t>All</t>
  </si>
  <si>
    <t>Atlassian (Bitbucket)</t>
  </si>
  <si>
    <t>Project Repositories 9 usuarios $3.3</t>
  </si>
  <si>
    <t>Cronitor</t>
  </si>
  <si>
    <t>Monitor Cronjobs</t>
  </si>
  <si>
    <t>GoDaddy</t>
  </si>
  <si>
    <t>Domain renewals</t>
  </si>
  <si>
    <t>Se paga por cada dos años y varia este 2025 toca 399.99. En el 2026 12,999.98</t>
  </si>
  <si>
    <t>Postman</t>
  </si>
  <si>
    <t>336 anuales agosto</t>
  </si>
  <si>
    <t>Rollbar</t>
  </si>
  <si>
    <t>100,000 events per month por 49 a month</t>
  </si>
  <si>
    <t xml:space="preserve">Hevo </t>
  </si>
  <si>
    <t>2 pagos semestrales de 6,864 (200M events a month)</t>
  </si>
  <si>
    <t>21 nov junta con ellos</t>
  </si>
  <si>
    <t>Algolia</t>
  </si>
  <si>
    <t>Variable dependiendo de usabilidad (entre 10-14 usd)</t>
  </si>
  <si>
    <t>Si quitamos search podemos quitarlo</t>
  </si>
  <si>
    <t>Github/Copilot</t>
  </si>
  <si>
    <t>Se paga Copiot 10 usd al mes</t>
  </si>
  <si>
    <t>Formstack</t>
  </si>
  <si>
    <t>99 per month + tax (0)</t>
  </si>
  <si>
    <t>MARIN VERGARA CRISTOFER IVAN</t>
  </si>
  <si>
    <t>Frontend Mobile Manager</t>
  </si>
  <si>
    <t>Sujeto a BE (aumento enero 2023)</t>
  </si>
  <si>
    <t>GONZALEZ OLLERVIDEZ VICTOR MANUEL</t>
  </si>
  <si>
    <t>Android Lead</t>
  </si>
  <si>
    <t>JUAREZ NEGRETE DANIEL MISAEL</t>
  </si>
  <si>
    <t>Backend Lead - Servers</t>
  </si>
  <si>
    <t>NAZARIEGA BARCELOS ROBERTO</t>
  </si>
  <si>
    <t xml:space="preserve">Backend Lead </t>
  </si>
  <si>
    <t>PEREZ MONCADA ARACELI</t>
  </si>
  <si>
    <t>Mobile iOS Lead</t>
  </si>
  <si>
    <t>CORTES ALANIS MAURICIO</t>
  </si>
  <si>
    <t>Jr. Back-End Developer</t>
  </si>
  <si>
    <t>Sujeto a BE (aumento enero 23 y  24)</t>
  </si>
  <si>
    <t>iOS Developer</t>
  </si>
  <si>
    <t>Sujeto a BE (aumento enero 24)</t>
  </si>
  <si>
    <t>OLAN MAYO JAIRO</t>
  </si>
  <si>
    <t>ALEJANDRA RODRIGUEZ</t>
  </si>
  <si>
    <t>Jr. Back-End Developer - Servers</t>
  </si>
  <si>
    <t>inflación y luego sujeto a BE (full time julio 2023)</t>
  </si>
  <si>
    <t>MEJIA ESPINOSA RUBEN ALAN</t>
  </si>
  <si>
    <t>Android Developer</t>
  </si>
  <si>
    <t>Sujeto a BE (aumento sept 2024)</t>
  </si>
  <si>
    <t>COBA REYES LUIS FERNANDO</t>
  </si>
  <si>
    <t>Sujeto a BE (full time enero 24)</t>
  </si>
  <si>
    <t>INVOICE</t>
  </si>
  <si>
    <t>GONZALEZ CANTILLO NAYCOOL DAVID</t>
  </si>
  <si>
    <t>Web</t>
  </si>
  <si>
    <t>11 empleados</t>
  </si>
  <si>
    <t>Impuestos ISN</t>
  </si>
  <si>
    <t>Content</t>
  </si>
  <si>
    <t>Nathalia Pontes</t>
  </si>
  <si>
    <t>Content &amp; Programs</t>
  </si>
  <si>
    <t>Shopify</t>
  </si>
  <si>
    <t>Freshworks</t>
  </si>
  <si>
    <t>Hellosign</t>
  </si>
  <si>
    <t>Adobe</t>
  </si>
  <si>
    <t>Plan anual</t>
  </si>
  <si>
    <t>Envato</t>
  </si>
  <si>
    <t>Veed</t>
  </si>
  <si>
    <t>Other A.I. licensings</t>
  </si>
  <si>
    <t>HeyGen</t>
  </si>
  <si>
    <t>LearnWorlds</t>
  </si>
  <si>
    <t>Weglot</t>
  </si>
  <si>
    <t>EUR</t>
  </si>
  <si>
    <t>GUSTO fee</t>
  </si>
  <si>
    <t>* 12 USD * 6.6% TAX per contractor (coach)</t>
  </si>
  <si>
    <t>DEEL fee</t>
  </si>
  <si>
    <t>* 35 USD per contractor (coach)</t>
  </si>
  <si>
    <t>Experts PT</t>
  </si>
  <si>
    <t>Portuguese Coaches</t>
  </si>
  <si>
    <t>Coaches</t>
  </si>
  <si>
    <t>Experts ES</t>
  </si>
  <si>
    <t>Spanish Coaches</t>
  </si>
  <si>
    <t>Experts EN</t>
  </si>
  <si>
    <t>English Coaches</t>
  </si>
  <si>
    <t>EXPERTS NESTLE</t>
  </si>
  <si>
    <t>Project Only Hires</t>
  </si>
  <si>
    <t>Project Dependent (Writers, Production Asst)</t>
  </si>
  <si>
    <t>Project Dependent Production</t>
  </si>
  <si>
    <t>Filming, Production</t>
  </si>
  <si>
    <t>Director Live Programs &amp; Content</t>
  </si>
  <si>
    <t>VISCONTI JUNGE ALESSANDRA</t>
  </si>
  <si>
    <t>Content Copywriter</t>
  </si>
  <si>
    <t>BRUNO VELOSO IRAHA</t>
  </si>
  <si>
    <t>Content &amp; Programs Analyst</t>
  </si>
  <si>
    <t>RICO SARIÑANA KARLA</t>
  </si>
  <si>
    <t>Head of Content</t>
  </si>
  <si>
    <t>MURILLO VARONA PAOLA</t>
  </si>
  <si>
    <t>Content and Program Specialist</t>
  </si>
  <si>
    <t>OMAÑA ROSETTE ESLI</t>
  </si>
  <si>
    <t>Head of Co-Created Content and Experience</t>
  </si>
  <si>
    <t>ZARAZUA NAVARRO PAOLA LIZETH</t>
  </si>
  <si>
    <t>CASCAJARES NICOLI MONTSERRAT</t>
  </si>
  <si>
    <t>Content Specialist</t>
  </si>
  <si>
    <t>BENAVIDES DE LA ROSA LAURA JANETH</t>
  </si>
  <si>
    <t>Multimedia Designer</t>
  </si>
  <si>
    <t>RUBIO BUENFIL ANA PAMELA</t>
  </si>
  <si>
    <t>Content Analyst</t>
  </si>
  <si>
    <t>5 empleados</t>
  </si>
  <si>
    <t>CREC</t>
  </si>
  <si>
    <t>Martha Gutierrez</t>
  </si>
  <si>
    <t>Aquisition</t>
  </si>
  <si>
    <t>Marketing spend APP</t>
  </si>
  <si>
    <t xml:space="preserve">Spend divided into paid acquisition channels including: Facebook, Google UAC/Search, ASO, etc. </t>
  </si>
  <si>
    <t>501.01.001</t>
  </si>
  <si>
    <t>COSTO DE VENTA</t>
  </si>
  <si>
    <t>Marketing spend OFF APP</t>
  </si>
  <si>
    <t>Production costs</t>
  </si>
  <si>
    <t>UGCs</t>
  </si>
  <si>
    <t>Tools</t>
  </si>
  <si>
    <t>Licencia Adobe MKT</t>
  </si>
  <si>
    <t>Supermetrics</t>
  </si>
  <si>
    <t>Licencia para pasar datos de back a Google Data Studio</t>
  </si>
  <si>
    <t>Kochava</t>
  </si>
  <si>
    <t>Pago por usuario (tracking + Smartlinks) - estimado porque es pay per use</t>
  </si>
  <si>
    <t>Licencia</t>
  </si>
  <si>
    <t>Motion</t>
  </si>
  <si>
    <t>Pago mensual por Ads creatives tool</t>
  </si>
  <si>
    <t>Elementor</t>
  </si>
  <si>
    <t>Pago anual</t>
  </si>
  <si>
    <t>LeadPages</t>
  </si>
  <si>
    <t>Pago mensual para poder crear diferentes landing pages (host de las actuales)</t>
  </si>
  <si>
    <t>Leanplum</t>
  </si>
  <si>
    <t>Email Campaigns</t>
  </si>
  <si>
    <t>Sketch</t>
  </si>
  <si>
    <t>Aazar</t>
  </si>
  <si>
    <t>External hire</t>
  </si>
  <si>
    <t>External Hire</t>
  </si>
  <si>
    <t xml:space="preserve">MARTHA GUTIERREZ SANCHEZ </t>
  </si>
  <si>
    <t>Head of Marketing</t>
  </si>
  <si>
    <t>SILVA CRANTSCHANINOV LARISSA</t>
  </si>
  <si>
    <t>Mkt Manager</t>
  </si>
  <si>
    <t>VELAZQUEZ MEJIA ANDREA</t>
  </si>
  <si>
    <t>Lifecycles Manager</t>
  </si>
  <si>
    <t>SANCHEZ SHIROMAR SAMANTHA ANGELICA</t>
  </si>
  <si>
    <t>Lifecycle Designer</t>
  </si>
  <si>
    <t>RAMIREZ PADILLA LAURA CRISTINA</t>
  </si>
  <si>
    <t>Lifecycle Marketing</t>
  </si>
  <si>
    <t>GARZA MOLINA ELEAZAR</t>
  </si>
  <si>
    <t>Designer - video editor</t>
  </si>
  <si>
    <t>4 empleados</t>
  </si>
  <si>
    <t>Giftcards</t>
  </si>
  <si>
    <t>Giftcards para CI</t>
  </si>
  <si>
    <t>Gift cards para hacer CI studies</t>
  </si>
  <si>
    <t>603.61.004</t>
  </si>
  <si>
    <t>Promociones</t>
  </si>
  <si>
    <t>BUDGET 2025</t>
  </si>
  <si>
    <t>Cost of Acquisition</t>
  </si>
  <si>
    <t>TOTAL CAC</t>
  </si>
  <si>
    <t>Subtotal</t>
  </si>
  <si>
    <t>COSTS</t>
  </si>
  <si>
    <t>603.01.002</t>
  </si>
  <si>
    <t>Practicantes</t>
  </si>
  <si>
    <t>603.06.001</t>
  </si>
  <si>
    <t>Vacaciones</t>
  </si>
  <si>
    <t>603.10.001</t>
  </si>
  <si>
    <t>Gratificaciones</t>
  </si>
  <si>
    <t>603.11.001</t>
  </si>
  <si>
    <t>Primas de antiguedad</t>
  </si>
  <si>
    <t>603.13.001</t>
  </si>
  <si>
    <t>Indemnizaciones</t>
  </si>
  <si>
    <t>603.14.001</t>
  </si>
  <si>
    <t>Destajo</t>
  </si>
  <si>
    <t>603.16.001</t>
  </si>
  <si>
    <t>Transporte</t>
  </si>
  <si>
    <t>603.25.002</t>
  </si>
  <si>
    <t>Comisiones a vendedores</t>
  </si>
  <si>
    <t>603.25.003</t>
  </si>
  <si>
    <t>Comisiones vendedores externos</t>
  </si>
  <si>
    <t>603.26.001</t>
  </si>
  <si>
    <t>Cuotas al IMSS</t>
  </si>
  <si>
    <t>603.27.001</t>
  </si>
  <si>
    <t>Aportaciones al INFONAVIT</t>
  </si>
  <si>
    <t>603.28.001</t>
  </si>
  <si>
    <t>Aportaciones al SAR</t>
  </si>
  <si>
    <t>603.29.001</t>
  </si>
  <si>
    <t>ISN</t>
  </si>
  <si>
    <t>603.31.002</t>
  </si>
  <si>
    <t>Asimilados a salarios provision</t>
  </si>
  <si>
    <t>Salaries</t>
  </si>
  <si>
    <t>603.31.003</t>
  </si>
  <si>
    <t>Personal Outsourcing</t>
  </si>
  <si>
    <t>603.31.004</t>
  </si>
  <si>
    <t>Servicios de Personal</t>
  </si>
  <si>
    <t>603.31.005</t>
  </si>
  <si>
    <t>Supervision de obra</t>
  </si>
  <si>
    <t>603.32.002</t>
  </si>
  <si>
    <t>Seleccion y Reclutamiento</t>
  </si>
  <si>
    <t>603.32.001</t>
  </si>
  <si>
    <t>Servicios administrativos</t>
  </si>
  <si>
    <t>603.34.001</t>
  </si>
  <si>
    <t xml:space="preserve">Honorarios a personas Fisicas </t>
  </si>
  <si>
    <t>603.38.003</t>
  </si>
  <si>
    <t>Honorarios Comercial y marketing</t>
  </si>
  <si>
    <t>603.38.004</t>
  </si>
  <si>
    <t>Honorarios campañas mercadotec en Linea</t>
  </si>
  <si>
    <t>External Services</t>
  </si>
  <si>
    <t>603.61.001</t>
  </si>
  <si>
    <t>Propaganda y Publicidad</t>
  </si>
  <si>
    <t>603.61.002</t>
  </si>
  <si>
    <t>Servicios de promocion</t>
  </si>
  <si>
    <t>603.61.003</t>
  </si>
  <si>
    <t>Publicidad Internet</t>
  </si>
  <si>
    <t>603.61.005</t>
  </si>
  <si>
    <t>Gastos de Marketing</t>
  </si>
  <si>
    <t>603.61.007</t>
  </si>
  <si>
    <t>Diseño e impresion</t>
  </si>
  <si>
    <t>603.61.008</t>
  </si>
  <si>
    <t>Eventos marketing</t>
  </si>
  <si>
    <t>603.61.009</t>
  </si>
  <si>
    <t>Asesoria Comercial y marketing</t>
  </si>
  <si>
    <t>603.61.010</t>
  </si>
  <si>
    <t>Campañas mercadotec en linea</t>
  </si>
  <si>
    <t>603.64.002</t>
  </si>
  <si>
    <t>Software, aplicac corporativas</t>
  </si>
  <si>
    <t>Services</t>
  </si>
  <si>
    <t>603.49.005</t>
  </si>
  <si>
    <t>Viaticos extranjero</t>
  </si>
  <si>
    <t>603.81.002</t>
  </si>
  <si>
    <t>Viaticos no deducibles</t>
  </si>
  <si>
    <t>Travel</t>
  </si>
  <si>
    <t>603.25.005</t>
  </si>
  <si>
    <t>Becas</t>
  </si>
  <si>
    <t>603.48.001</t>
  </si>
  <si>
    <t>Combustibles y Lubricantes</t>
  </si>
  <si>
    <t>603.54.001</t>
  </si>
  <si>
    <t>Limpieza</t>
  </si>
  <si>
    <t>603.55.002</t>
  </si>
  <si>
    <t>Impresiones y copias</t>
  </si>
  <si>
    <t>603.55.003</t>
  </si>
  <si>
    <t>Consumibles</t>
  </si>
  <si>
    <t>603.55.004</t>
  </si>
  <si>
    <t>Materiales y Accesorios</t>
  </si>
  <si>
    <t>603.55.005</t>
  </si>
  <si>
    <t>Mobiliario Equipo y Accesorio</t>
  </si>
  <si>
    <t>603.57.002</t>
  </si>
  <si>
    <t>Seguro de gastos medicos</t>
  </si>
  <si>
    <t>603.59.001</t>
  </si>
  <si>
    <t>Recargos Fiscales</t>
  </si>
  <si>
    <t>603.72.002</t>
  </si>
  <si>
    <t>Mensajeria</t>
  </si>
  <si>
    <t>603.49.006</t>
  </si>
  <si>
    <t>Gastos de viaje no deducibles</t>
  </si>
  <si>
    <t>603.81.001</t>
  </si>
  <si>
    <t>Gastos no deducibles</t>
  </si>
  <si>
    <t>603.82.001</t>
  </si>
  <si>
    <t>Otros Gastos de Administracion</t>
  </si>
  <si>
    <t>603.82.002</t>
  </si>
  <si>
    <t>Estacionamiento</t>
  </si>
  <si>
    <t>603.82.004</t>
  </si>
  <si>
    <t>Comidas de Trabajo</t>
  </si>
  <si>
    <t>603.82.005</t>
  </si>
  <si>
    <t>InvestigaciÃ³n y Desarrollo</t>
  </si>
  <si>
    <t>603.82.006</t>
  </si>
  <si>
    <t>Obsequios de Producto</t>
  </si>
  <si>
    <t>Other</t>
  </si>
  <si>
    <t>TOTAL COSTS</t>
  </si>
  <si>
    <t>TOTAL</t>
  </si>
  <si>
    <t>INVESTMENTS</t>
  </si>
  <si>
    <t>153.01.001</t>
  </si>
  <si>
    <t>Maquinaria y Equipo</t>
  </si>
  <si>
    <t>155.01.001</t>
  </si>
  <si>
    <t>Mobiliario y Equipo de Oficina</t>
  </si>
  <si>
    <t>Equipo de computo</t>
  </si>
  <si>
    <t>160.01.001</t>
  </si>
  <si>
    <t>Otros Activos Fijos</t>
  </si>
  <si>
    <t>160.01.002</t>
  </si>
  <si>
    <t>Multimedia</t>
  </si>
  <si>
    <t>160.01.003</t>
  </si>
  <si>
    <t>Desarrollo Software</t>
  </si>
  <si>
    <t>160.01.004</t>
  </si>
  <si>
    <t>Desarrollo de Proyectos</t>
  </si>
  <si>
    <t>160.01.005</t>
  </si>
  <si>
    <t>Licencias de Software</t>
  </si>
  <si>
    <t>170.01.001</t>
  </si>
  <si>
    <t>Adaptaciones y Mejoras</t>
  </si>
  <si>
    <t>178.01.001</t>
  </si>
  <si>
    <t>Investigación y Desarrollo</t>
  </si>
  <si>
    <t>TOTAL INVESTMENTS</t>
  </si>
  <si>
    <t xml:space="preserve"> </t>
  </si>
  <si>
    <t>L1 - APP</t>
  </si>
  <si>
    <t>L2 -OFF APP</t>
  </si>
  <si>
    <t>L3 -Partnerships</t>
  </si>
  <si>
    <t>L4 -ADM</t>
  </si>
  <si>
    <t>IOS</t>
  </si>
  <si>
    <t>ANDROID</t>
  </si>
  <si>
    <t>ene 01</t>
  </si>
  <si>
    <t>feb 01</t>
  </si>
  <si>
    <t>mar 01</t>
  </si>
  <si>
    <t>abr 01</t>
  </si>
  <si>
    <t>may 01</t>
  </si>
  <si>
    <t>jun 01</t>
  </si>
  <si>
    <t>jul 01</t>
  </si>
  <si>
    <t>ago 01</t>
  </si>
  <si>
    <t>sept 01</t>
  </si>
  <si>
    <t>AVERAGE MKT SPEND</t>
  </si>
  <si>
    <t>IOS + aOS</t>
  </si>
  <si>
    <t>Spend</t>
  </si>
  <si>
    <t>Downloads</t>
  </si>
  <si>
    <t>CPI (Without Retargeting)</t>
  </si>
  <si>
    <t xml:space="preserve">MIN </t>
  </si>
  <si>
    <t>MAX</t>
  </si>
  <si>
    <t>CPNU (Without Retargeting)</t>
  </si>
  <si>
    <t>Fts Started</t>
  </si>
  <si>
    <t>CPFT</t>
  </si>
  <si>
    <t>% Conv Rate</t>
  </si>
  <si>
    <t>FTs Converted</t>
  </si>
  <si>
    <t xml:space="preserve">CPFT Converted </t>
  </si>
  <si>
    <t>New Subscriptions</t>
  </si>
  <si>
    <t>ARPU</t>
  </si>
  <si>
    <t>New Subscriptions (original)</t>
  </si>
  <si>
    <t>New Subscriptions (without FT converted)</t>
  </si>
  <si>
    <t xml:space="preserve">Renewals </t>
  </si>
  <si>
    <t>Num of Refunds</t>
  </si>
  <si>
    <t>CHURN</t>
  </si>
  <si>
    <t>Other Purchases</t>
  </si>
  <si>
    <t>FT Conversion Rate (Signups)</t>
  </si>
  <si>
    <t>New Purchases Conversion Rate</t>
  </si>
  <si>
    <t>ARPU (new subscriptions)</t>
  </si>
  <si>
    <t>ARPU (new subscriptions month lvl)</t>
  </si>
  <si>
    <t>ARPU Others</t>
  </si>
  <si>
    <t>ARPU consolidated (new subscriptions + other purchases)</t>
  </si>
  <si>
    <t>New Subscriptions Sales Month Lvl</t>
  </si>
  <si>
    <t>New Subscriptions Sales (original)</t>
  </si>
  <si>
    <t>New Subscriptions Sales</t>
  </si>
  <si>
    <t xml:space="preserve">Renewals Sales </t>
  </si>
  <si>
    <t>Other Sales</t>
  </si>
  <si>
    <t>Total Sales (original)</t>
  </si>
  <si>
    <t>Refunds Amount</t>
  </si>
  <si>
    <t>Commission %</t>
  </si>
  <si>
    <t>Net Sales*</t>
  </si>
  <si>
    <t>Gross Margin*</t>
  </si>
  <si>
    <t>Net Sales (original)</t>
  </si>
  <si>
    <t>Gross Margin* (original)</t>
  </si>
  <si>
    <t>NU/D</t>
  </si>
  <si>
    <t>Duration New Bookings</t>
  </si>
  <si>
    <t>Distinct count of Network</t>
  </si>
  <si>
    <t xml:space="preserve">Weighted Monthly Churn </t>
  </si>
  <si>
    <t xml:space="preserve">Commission &amp; refunds value </t>
  </si>
  <si>
    <t>ARPU RENEWALS IOS</t>
  </si>
  <si>
    <t>AVERAGE</t>
  </si>
  <si>
    <t>ARPU RENEWALS ANDORID</t>
  </si>
  <si>
    <t>ARPU RENEWALS WEB</t>
  </si>
  <si>
    <t>monthly</t>
  </si>
  <si>
    <t>yearly</t>
  </si>
  <si>
    <t>other</t>
  </si>
  <si>
    <t>quarterly</t>
  </si>
  <si>
    <t>Subscriptions %</t>
  </si>
  <si>
    <t>Subscriptions % renewals</t>
  </si>
  <si>
    <t>Renewals</t>
  </si>
  <si>
    <t xml:space="preserve">New Subscriptions + Renewals </t>
  </si>
  <si>
    <t xml:space="preserve">enero </t>
  </si>
  <si>
    <t>febrero</t>
  </si>
  <si>
    <t xml:space="preserve">marzo </t>
  </si>
  <si>
    <t xml:space="preserve">abril </t>
  </si>
  <si>
    <t xml:space="preserve">mayo </t>
  </si>
  <si>
    <t>junio</t>
  </si>
  <si>
    <t xml:space="preserve">julio </t>
  </si>
  <si>
    <t>agosto</t>
  </si>
  <si>
    <t>sep</t>
  </si>
  <si>
    <t xml:space="preserve">oct </t>
  </si>
  <si>
    <t>nov</t>
  </si>
  <si>
    <t>dic</t>
  </si>
  <si>
    <t>Supuestos</t>
  </si>
  <si>
    <t>Laptops</t>
  </si>
  <si>
    <t>TOTAL ADM COSTS</t>
  </si>
  <si>
    <t>TOTAL (CAC + ADM)</t>
  </si>
  <si>
    <t>CONSERVADOR</t>
  </si>
  <si>
    <t>PESIMISTA</t>
  </si>
  <si>
    <t xml:space="preserve">Cont. Margin </t>
  </si>
  <si>
    <t>Monthly costs</t>
  </si>
  <si>
    <t xml:space="preserve">Aguinaldo </t>
  </si>
  <si>
    <t>Seguros</t>
  </si>
  <si>
    <t xml:space="preserve">Si Vale </t>
  </si>
  <si>
    <t xml:space="preserve">Impuestos </t>
  </si>
  <si>
    <t>Licencias (google / slack / bamboo)</t>
  </si>
  <si>
    <t>CAAMAL ROSETTE ALLISON RAQUEL</t>
  </si>
  <si>
    <t>Content Intern</t>
  </si>
  <si>
    <t>Prima Vacacional</t>
  </si>
  <si>
    <t>*</t>
  </si>
  <si>
    <t xml:space="preserve">Multiple </t>
  </si>
  <si>
    <t>Q4 2024</t>
  </si>
  <si>
    <t>People Ops</t>
  </si>
  <si>
    <t>Min</t>
  </si>
  <si>
    <t>Max</t>
  </si>
  <si>
    <t xml:space="preserve">Yearly  </t>
  </si>
  <si>
    <t xml:space="preserve">Monthly </t>
  </si>
  <si>
    <t>TOTAL MRR</t>
  </si>
  <si>
    <t xml:space="preserve">Yearly </t>
  </si>
  <si>
    <t>ARPU New Users</t>
  </si>
  <si>
    <t xml:space="preserve">Churn </t>
  </si>
  <si>
    <t>LTR</t>
  </si>
  <si>
    <t xml:space="preserve">Weighted LTR </t>
  </si>
  <si>
    <t>AHORRO 30K</t>
  </si>
  <si>
    <t>Cost Adjustments - 30k</t>
  </si>
  <si>
    <t>TOTAL 2024</t>
  </si>
  <si>
    <t xml:space="preserve">TARGET </t>
  </si>
  <si>
    <t>PESIMISTIC</t>
  </si>
  <si>
    <t>MKT Spend APP</t>
  </si>
  <si>
    <t>MKT Spend WEB</t>
  </si>
  <si>
    <t>BALANCE 2024</t>
  </si>
  <si>
    <t xml:space="preserve">CONSEJO </t>
  </si>
  <si>
    <t>CASH Overall</t>
  </si>
  <si>
    <t>P&amp;L Gross Sales Per Month</t>
  </si>
  <si>
    <t>CASH REVENUE</t>
  </si>
  <si>
    <t>Additional Inv</t>
  </si>
  <si>
    <t>CRISTIAN</t>
  </si>
  <si>
    <t>GARZA MENDIRICHAGA FRANCO</t>
  </si>
  <si>
    <t xml:space="preserve">AUMENTO PAM </t>
  </si>
  <si>
    <t xml:space="preserve">AUMENTO ESLI   </t>
  </si>
  <si>
    <t>CONT MARGIN</t>
  </si>
  <si>
    <t>Operating Income</t>
  </si>
  <si>
    <t xml:space="preserve">CM </t>
  </si>
  <si>
    <t>OI</t>
  </si>
  <si>
    <t>Monthly Acquisition Spend APP</t>
  </si>
  <si>
    <t>Monthly Acquisition Spend WEB</t>
  </si>
  <si>
    <t>BASE</t>
  </si>
  <si>
    <t>TARGET</t>
  </si>
  <si>
    <t xml:space="preserve">*** 1/10/24 - 10/12/24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</si>
</sst>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$&quot;* #,##0.00_-;\-&quot;$&quot;* #,##0.00_-;_-&quot;$&quot;* &quot;-&quot;??_-;_-@_-"/>
    <numFmt numFmtId="165" formatCode="_-&quot;$&quot;* #,##0_-;\-&quot;$&quot;* #,##0_-;_-&quot;$&quot;* &quot;-&quot;??_-;_-@_-"/>
    <numFmt numFmtId="166" formatCode="0.0%"/>
    <numFmt numFmtId="167" formatCode="_-&quot;$&quot;* #,##0.0_-;\-&quot;$&quot;* #,##0.0_-;_-&quot;$&quot;* &quot;-&quot;??_-;_-@_-"/>
    <numFmt numFmtId="168" formatCode="_-* #,##0_-;\-* #,##0_-;_-* &quot;-&quot;??_-;_-@_-"/>
    <numFmt numFmtId="169" formatCode="_-&quot;$&quot;* #,##0.000_-;\-&quot;$&quot;* #,##0.000_-;_-&quot;$&quot;* &quot;-&quot;??_-;_-@_-"/>
    <numFmt numFmtId="170" formatCode="_(* #,##0_);_(* \(#,##0\);_(* &quot;-&quot;??_);_(@_)"/>
    <numFmt numFmtId="171" formatCode="_(&quot;$&quot;* #,##0_);_(&quot;$&quot;* \(#,##0\);_(&quot;$&quot;* &quot;-&quot;??_);_(@_)"/>
    <numFmt numFmtId="172" formatCode="&quot; &quot;[$$-80A]* #,##0.00&quot; &quot;;&quot; &quot;[$$-80A]* \(#,##0.00\);&quot; &quot;[$$-80A]* &quot;-&quot;??&quot; &quot;"/>
    <numFmt numFmtId="173" formatCode="&quot;$ &quot;#,##0;\-&quot;$ &quot;#,##0"/>
    <numFmt numFmtId="174" formatCode="&quot;$&quot;#,##0.00;\(&quot;$&quot;#,##0.00\)"/>
    <numFmt numFmtId="175" formatCode="&quot;$&quot;#,##0.00"/>
    <numFmt numFmtId="176" formatCode="[$$-409]#,##0.00;\-[$$-409]#,##0.00"/>
    <numFmt numFmtId="177" formatCode="&quot;$ &quot;#,##0.00;\-&quot;$ &quot;#,##0.00"/>
    <numFmt numFmtId="178" formatCode="&quot;$&quot;#,##0;\-&quot;$&quot;#,##0"/>
    <numFmt numFmtId="179" formatCode="&quot;$&quot;#,##0;\(&quot;$&quot;#,##0\)"/>
    <numFmt numFmtId="180" formatCode="#,##0.00;\-#,##0.00"/>
    <numFmt numFmtId="181" formatCode="&quot;$&quot;#,##0.00;\-&quot;$&quot;#,##0.00"/>
    <numFmt numFmtId="182" formatCode="_(&quot;$&quot;* #,##0.0_);_(&quot;$&quot;* \(#,##0.0\);_(&quot;$&quot;* &quot;-&quot;??_);_(@_)"/>
    <numFmt numFmtId="183" formatCode="0.000%"/>
  </numFmts>
  <fonts count="69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4"/>
      <name val="Aptos Narrow"/>
      <family val="2"/>
      <scheme val="minor"/>
    </font>
    <font>
      <b/>
      <sz val="16"/>
      <name val="Aptos Narrow"/>
      <family val="2"/>
      <scheme val="minor"/>
    </font>
    <font>
      <b/>
      <sz val="12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u/>
      <sz val="12"/>
      <color theme="1"/>
      <name val="Aptos Narrow"/>
      <family val="2"/>
      <scheme val="minor"/>
    </font>
    <font>
      <sz val="12"/>
      <color rgb="FF4472C4"/>
      <name val="Aptos Narrow"/>
      <family val="2"/>
      <scheme val="minor"/>
    </font>
    <font>
      <sz val="12"/>
      <name val="Aptos Narrow"/>
      <family val="2"/>
      <scheme val="minor"/>
    </font>
    <font>
      <b/>
      <u/>
      <sz val="12"/>
      <name val="Aptos Narrow"/>
      <family val="2"/>
      <scheme val="minor"/>
    </font>
    <font>
      <i/>
      <sz val="12"/>
      <name val="Aptos Narrow"/>
      <family val="2"/>
      <scheme val="minor"/>
    </font>
    <font>
      <b/>
      <sz val="12"/>
      <color theme="4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0"/>
      <name val="Aptos Narrow"/>
      <family val="2"/>
      <scheme val="minor"/>
    </font>
    <font>
      <b/>
      <sz val="16"/>
      <color rgb="FF027FCD"/>
      <name val="Aptos Narrow"/>
      <family val="2"/>
      <scheme val="minor"/>
    </font>
    <font>
      <u/>
      <sz val="10"/>
      <color theme="1"/>
      <name val="Aptos Narrow"/>
      <family val="2"/>
      <scheme val="minor"/>
    </font>
    <font>
      <sz val="12"/>
      <color theme="9"/>
      <name val="Aptos Narrow"/>
      <family val="2"/>
      <scheme val="minor"/>
    </font>
    <font>
      <b/>
      <i/>
      <sz val="12"/>
      <name val="Aptos Narrow"/>
      <family val="2"/>
      <scheme val="minor"/>
    </font>
    <font>
      <sz val="12"/>
      <color theme="5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2"/>
      <color rgb="FF000000"/>
      <name val="Calibri"/>
      <family val="2"/>
    </font>
    <font>
      <sz val="12"/>
      <color theme="1"/>
      <name val="Calibri (Body)"/>
    </font>
    <font>
      <sz val="12"/>
      <color theme="1"/>
      <name val="Aptos Narrow"/>
      <scheme val="minor"/>
    </font>
    <font>
      <sz val="12"/>
      <name val="Calibri"/>
      <family val="2"/>
    </font>
    <font>
      <sz val="12"/>
      <name val="Calibri (Body)"/>
    </font>
    <font>
      <sz val="12"/>
      <color theme="1"/>
      <name val="Calibri"/>
      <family val="2"/>
    </font>
    <font>
      <b/>
      <sz val="12"/>
      <color theme="9"/>
      <name val="Aptos Narrow"/>
      <family val="2"/>
      <scheme val="minor"/>
    </font>
    <font>
      <sz val="12"/>
      <color theme="1"/>
      <name val="Gotham Rounded Medium"/>
    </font>
    <font>
      <sz val="8"/>
      <color theme="1"/>
      <name val="Aptos Narrow"/>
      <family val="2"/>
      <scheme val="minor"/>
    </font>
    <font>
      <sz val="16"/>
      <color rgb="FF0086D9"/>
      <name val="Gotham Rounded Medium"/>
    </font>
    <font>
      <sz val="10"/>
      <color theme="1"/>
      <name val="Gotham Rounded Medium"/>
    </font>
    <font>
      <b/>
      <sz val="10"/>
      <color theme="1"/>
      <name val="Gotham Rounded Medium"/>
    </font>
    <font>
      <sz val="12"/>
      <color theme="1"/>
      <name val="Gotham Rounded Light"/>
    </font>
    <font>
      <sz val="8"/>
      <color theme="1"/>
      <name val="Gotham Rounded Light"/>
    </font>
    <font>
      <sz val="10"/>
      <color theme="1"/>
      <name val="Gotham Rounded Light Italic"/>
    </font>
    <font>
      <sz val="10"/>
      <color theme="1"/>
      <name val="Gotham Rounded Light"/>
    </font>
    <font>
      <b/>
      <sz val="10"/>
      <color theme="1"/>
      <name val="Gotham Rounded Light"/>
    </font>
    <font>
      <b/>
      <sz val="10"/>
      <color theme="1"/>
      <name val="Gotham Rounded Light Italic"/>
    </font>
    <font>
      <b/>
      <sz val="12"/>
      <color theme="1"/>
      <name val="Gotham Rounded Light"/>
    </font>
    <font>
      <b/>
      <sz val="8"/>
      <color theme="1"/>
      <name val="Aptos Narrow"/>
      <family val="2"/>
      <scheme val="minor"/>
    </font>
    <font>
      <b/>
      <sz val="8"/>
      <color theme="1"/>
      <name val="Gotham Rounded Light"/>
    </font>
    <font>
      <sz val="9"/>
      <color theme="9" tint="-0.249977111117893"/>
      <name val="Aptos Narrow"/>
      <family val="2"/>
      <scheme val="minor"/>
    </font>
    <font>
      <sz val="9"/>
      <color theme="4"/>
      <name val="Aptos Narrow"/>
      <family val="2"/>
      <scheme val="minor"/>
    </font>
    <font>
      <sz val="12"/>
      <color theme="3" tint="0.249977111117893"/>
      <name val="Aptos Narrow"/>
      <family val="2"/>
      <scheme val="minor"/>
    </font>
    <font>
      <b/>
      <sz val="9"/>
      <color rgb="FF000000"/>
      <name val="Gotham Rounded"/>
    </font>
    <font>
      <sz val="10"/>
      <color rgb="FF000000"/>
      <name val="Gotham Rounded"/>
    </font>
    <font>
      <sz val="9"/>
      <color rgb="FF000000"/>
      <name val="Gotham Rounded"/>
    </font>
    <font>
      <sz val="11"/>
      <name val="Aptos Narrow"/>
      <family val="2"/>
      <scheme val="minor"/>
    </font>
    <font>
      <b/>
      <sz val="10"/>
      <color rgb="FF000000"/>
      <name val="Gotham Rounded"/>
    </font>
    <font>
      <b/>
      <sz val="10"/>
      <color theme="1"/>
      <name val="Gotham Rounded"/>
    </font>
    <font>
      <b/>
      <sz val="9"/>
      <color theme="1"/>
      <name val="Gotham Rounded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b/>
      <sz val="12"/>
      <color theme="1"/>
      <name val="Aptos Narrow"/>
      <scheme val="minor"/>
    </font>
    <font>
      <b/>
      <sz val="12"/>
      <name val="Aptos Narrow"/>
      <scheme val="minor"/>
    </font>
    <font>
      <sz val="12"/>
      <color rgb="FF215C98"/>
      <name val="Aptos Narrow"/>
      <family val="2"/>
      <scheme val="minor"/>
    </font>
    <font>
      <i/>
      <sz val="12"/>
      <name val="Aptos Narrow"/>
      <scheme val="minor"/>
    </font>
    <font>
      <sz val="12"/>
      <color theme="9"/>
      <name val="Aptos Narrow"/>
      <scheme val="minor"/>
    </font>
    <font>
      <sz val="12"/>
      <color theme="4"/>
      <name val="Aptos Narrow"/>
      <scheme val="minor"/>
    </font>
    <font>
      <i/>
      <sz val="12"/>
      <color theme="9"/>
      <name val="Aptos Narrow"/>
      <scheme val="minor"/>
    </font>
    <font>
      <u/>
      <sz val="12"/>
      <color theme="1"/>
      <name val="Aptos Narrow"/>
      <family val="2"/>
      <scheme val="minor"/>
    </font>
    <font>
      <b/>
      <i/>
      <sz val="12"/>
      <color theme="1"/>
      <name val="Aptos Narrow"/>
      <scheme val="minor"/>
    </font>
    <font>
      <b/>
      <sz val="10"/>
      <name val="Aptos Narrow"/>
      <scheme val="minor"/>
    </font>
    <font>
      <b/>
      <sz val="12"/>
      <color theme="5" tint="-0.249977111117893"/>
      <name val="Aptos Narrow"/>
      <scheme val="minor"/>
    </font>
    <font>
      <i/>
      <sz val="12"/>
      <color theme="1"/>
      <name val="Aptos Narrow"/>
      <scheme val="minor"/>
    </font>
    <font>
      <b/>
      <sz val="11"/>
      <color theme="2"/>
      <name val="Aptos Narrow"/>
      <scheme val="minor"/>
    </font>
    <font>
      <b/>
      <i/>
      <sz val="12"/>
      <name val="Aptos Narrow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1CB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7B0B8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2F75B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theme="9" tint="0.79998168889431442"/>
      </patternFill>
    </fill>
    <fill>
      <patternFill patternType="solid">
        <fgColor theme="3" tint="0.89999084444715716"/>
        <bgColor theme="9" tint="0.79998168889431442"/>
      </patternFill>
    </fill>
    <fill>
      <patternFill patternType="solid">
        <fgColor rgb="FFF7A09D"/>
        <bgColor indexed="64"/>
      </patternFill>
    </fill>
    <fill>
      <patternFill patternType="solid">
        <fgColor rgb="FFDAE9F8"/>
        <bgColor rgb="FFDAF2D0"/>
      </patternFill>
    </fill>
    <fill>
      <patternFill patternType="solid">
        <fgColor rgb="FFFFBFBA"/>
        <bgColor indexed="64"/>
      </patternFill>
    </fill>
    <fill>
      <patternFill patternType="solid">
        <fgColor rgb="FFF9F0C0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theme="4"/>
      </left>
      <right/>
      <top style="medium">
        <color theme="4"/>
      </top>
      <bottom/>
      <diagonal/>
    </border>
    <border>
      <left/>
      <right/>
      <top style="medium">
        <color theme="4"/>
      </top>
      <bottom/>
      <diagonal/>
    </border>
    <border>
      <left/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/>
      <top/>
      <bottom/>
      <diagonal/>
    </border>
    <border>
      <left/>
      <right style="medium">
        <color theme="4"/>
      </right>
      <top/>
      <bottom/>
      <diagonal/>
    </border>
    <border>
      <left style="medium">
        <color theme="4"/>
      </left>
      <right/>
      <top/>
      <bottom style="medium">
        <color theme="4"/>
      </bottom>
      <diagonal/>
    </border>
    <border>
      <left/>
      <right/>
      <top/>
      <bottom style="medium">
        <color theme="4"/>
      </bottom>
      <diagonal/>
    </border>
    <border>
      <left/>
      <right style="medium">
        <color theme="4"/>
      </right>
      <top/>
      <bottom style="medium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theme="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theme="4"/>
      </right>
      <top/>
      <bottom style="medium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777">
    <xf numFmtId="0" fontId="0" fillId="0" borderId="0" xfId="0"/>
    <xf numFmtId="0" fontId="0" fillId="2" borderId="0" xfId="0" applyFill="1"/>
    <xf numFmtId="0" fontId="3" fillId="2" borderId="1" xfId="0" applyFont="1" applyFill="1" applyBorder="1" applyAlignment="1">
      <alignment horizontal="center" wrapText="1"/>
    </xf>
    <xf numFmtId="0" fontId="0" fillId="2" borderId="1" xfId="0" applyFill="1" applyBorder="1"/>
    <xf numFmtId="0" fontId="3" fillId="0" borderId="0" xfId="0" applyFont="1" applyAlignment="1">
      <alignment horizontal="center" wrapText="1"/>
    </xf>
    <xf numFmtId="0" fontId="3" fillId="0" borderId="0" xfId="0" applyFont="1"/>
    <xf numFmtId="9" fontId="0" fillId="0" borderId="0" xfId="3" applyFont="1"/>
    <xf numFmtId="164" fontId="0" fillId="0" borderId="0" xfId="0" applyNumberFormat="1"/>
    <xf numFmtId="165" fontId="0" fillId="0" borderId="0" xfId="2" applyNumberFormat="1" applyFont="1"/>
    <xf numFmtId="0" fontId="3" fillId="5" borderId="6" xfId="0" applyFont="1" applyFill="1" applyBorder="1"/>
    <xf numFmtId="0" fontId="3" fillId="0" borderId="8" xfId="0" applyFont="1" applyBorder="1"/>
    <xf numFmtId="9" fontId="0" fillId="0" borderId="9" xfId="0" applyNumberFormat="1" applyBorder="1"/>
    <xf numFmtId="165" fontId="0" fillId="0" borderId="0" xfId="0" applyNumberFormat="1"/>
    <xf numFmtId="167" fontId="0" fillId="5" borderId="7" xfId="2" applyNumberFormat="1" applyFont="1" applyFill="1" applyBorder="1"/>
    <xf numFmtId="167" fontId="0" fillId="0" borderId="9" xfId="2" applyNumberFormat="1" applyFont="1" applyFill="1" applyBorder="1"/>
    <xf numFmtId="0" fontId="3" fillId="5" borderId="8" xfId="0" applyFont="1" applyFill="1" applyBorder="1"/>
    <xf numFmtId="167" fontId="0" fillId="5" borderId="9" xfId="2" applyNumberFormat="1" applyFont="1" applyFill="1" applyBorder="1"/>
    <xf numFmtId="0" fontId="3" fillId="0" borderId="12" xfId="0" applyFont="1" applyBorder="1"/>
    <xf numFmtId="167" fontId="0" fillId="0" borderId="13" xfId="2" applyNumberFormat="1" applyFont="1" applyFill="1" applyBorder="1"/>
    <xf numFmtId="44" fontId="0" fillId="5" borderId="7" xfId="2" applyFont="1" applyFill="1" applyBorder="1"/>
    <xf numFmtId="44" fontId="0" fillId="0" borderId="13" xfId="2" applyFont="1" applyBorder="1"/>
    <xf numFmtId="0" fontId="0" fillId="0" borderId="9" xfId="0" applyBorder="1"/>
    <xf numFmtId="0" fontId="0" fillId="5" borderId="0" xfId="0" applyFill="1"/>
    <xf numFmtId="0" fontId="6" fillId="0" borderId="0" xfId="0" applyFont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0" fillId="10" borderId="0" xfId="0" applyFill="1"/>
    <xf numFmtId="0" fontId="0" fillId="10" borderId="9" xfId="0" applyFill="1" applyBorder="1"/>
    <xf numFmtId="0" fontId="8" fillId="0" borderId="0" xfId="0" applyFont="1"/>
    <xf numFmtId="44" fontId="0" fillId="0" borderId="0" xfId="0" applyNumberFormat="1"/>
    <xf numFmtId="0" fontId="0" fillId="0" borderId="0" xfId="0" applyAlignment="1">
      <alignment horizontal="left" indent="1"/>
    </xf>
    <xf numFmtId="165" fontId="4" fillId="0" borderId="0" xfId="2" applyNumberFormat="1" applyFont="1"/>
    <xf numFmtId="165" fontId="0" fillId="0" borderId="9" xfId="0" applyNumberFormat="1" applyBorder="1"/>
    <xf numFmtId="44" fontId="4" fillId="0" borderId="0" xfId="2" applyFont="1"/>
    <xf numFmtId="164" fontId="0" fillId="0" borderId="9" xfId="0" applyNumberFormat="1" applyBorder="1"/>
    <xf numFmtId="44" fontId="0" fillId="0" borderId="0" xfId="2" applyFont="1"/>
    <xf numFmtId="10" fontId="4" fillId="0" borderId="0" xfId="3" applyNumberFormat="1" applyFont="1"/>
    <xf numFmtId="10" fontId="0" fillId="0" borderId="0" xfId="3" applyNumberFormat="1" applyFont="1" applyFill="1"/>
    <xf numFmtId="10" fontId="0" fillId="0" borderId="9" xfId="3" applyNumberFormat="1" applyFont="1" applyFill="1" applyBorder="1"/>
    <xf numFmtId="44" fontId="0" fillId="0" borderId="9" xfId="2" applyFont="1" applyBorder="1"/>
    <xf numFmtId="9" fontId="4" fillId="0" borderId="0" xfId="3" applyFont="1"/>
    <xf numFmtId="9" fontId="4" fillId="0" borderId="9" xfId="3" applyFont="1" applyBorder="1"/>
    <xf numFmtId="9" fontId="4" fillId="0" borderId="0" xfId="3" applyFont="1" applyFill="1"/>
    <xf numFmtId="9" fontId="1" fillId="0" borderId="0" xfId="3" applyFont="1" applyFill="1"/>
    <xf numFmtId="9" fontId="1" fillId="0" borderId="9" xfId="3" applyFont="1" applyFill="1" applyBorder="1"/>
    <xf numFmtId="9" fontId="9" fillId="0" borderId="0" xfId="0" applyNumberFormat="1" applyFont="1"/>
    <xf numFmtId="9" fontId="0" fillId="0" borderId="0" xfId="0" applyNumberFormat="1"/>
    <xf numFmtId="168" fontId="10" fillId="0" borderId="0" xfId="1" applyNumberFormat="1" applyFont="1" applyAlignment="1">
      <alignment horizontal="left" vertical="top" wrapText="1"/>
    </xf>
    <xf numFmtId="168" fontId="10" fillId="0" borderId="0" xfId="1" applyNumberFormat="1" applyFont="1" applyFill="1" applyAlignment="1">
      <alignment horizontal="left" vertical="top" wrapText="1"/>
    </xf>
    <xf numFmtId="168" fontId="10" fillId="0" borderId="9" xfId="1" applyNumberFormat="1" applyFont="1" applyFill="1" applyBorder="1" applyAlignment="1">
      <alignment horizontal="left" vertical="top" wrapText="1"/>
    </xf>
    <xf numFmtId="168" fontId="0" fillId="0" borderId="0" xfId="1" applyNumberFormat="1" applyFont="1"/>
    <xf numFmtId="168" fontId="0" fillId="0" borderId="9" xfId="1" applyNumberFormat="1" applyFont="1" applyBorder="1"/>
    <xf numFmtId="0" fontId="10" fillId="0" borderId="0" xfId="0" applyFont="1"/>
    <xf numFmtId="0" fontId="10" fillId="0" borderId="0" xfId="0" applyFont="1" applyAlignment="1">
      <alignment horizontal="left" vertical="top" wrapText="1"/>
    </xf>
    <xf numFmtId="0" fontId="10" fillId="0" borderId="9" xfId="0" applyFont="1" applyBorder="1"/>
    <xf numFmtId="0" fontId="11" fillId="0" borderId="0" xfId="0" applyFont="1"/>
    <xf numFmtId="168" fontId="6" fillId="0" borderId="0" xfId="1" applyNumberFormat="1" applyFont="1"/>
    <xf numFmtId="168" fontId="6" fillId="0" borderId="0" xfId="1" applyNumberFormat="1" applyFont="1" applyFill="1"/>
    <xf numFmtId="168" fontId="6" fillId="0" borderId="9" xfId="1" applyNumberFormat="1" applyFont="1" applyFill="1" applyBorder="1"/>
    <xf numFmtId="168" fontId="6" fillId="0" borderId="0" xfId="1" applyNumberFormat="1" applyFont="1" applyBorder="1"/>
    <xf numFmtId="168" fontId="6" fillId="0" borderId="9" xfId="1" applyNumberFormat="1" applyFont="1" applyBorder="1"/>
    <xf numFmtId="0" fontId="0" fillId="0" borderId="0" xfId="0" applyAlignment="1">
      <alignment horizontal="left" indent="4"/>
    </xf>
    <xf numFmtId="0" fontId="6" fillId="0" borderId="0" xfId="0" applyFont="1" applyAlignment="1">
      <alignment horizontal="left" indent="2"/>
    </xf>
    <xf numFmtId="168" fontId="10" fillId="0" borderId="0" xfId="1" applyNumberFormat="1" applyFont="1"/>
    <xf numFmtId="168" fontId="10" fillId="0" borderId="0" xfId="1" applyNumberFormat="1" applyFont="1" applyFill="1"/>
    <xf numFmtId="168" fontId="10" fillId="0" borderId="9" xfId="1" applyNumberFormat="1" applyFont="1" applyFill="1" applyBorder="1"/>
    <xf numFmtId="168" fontId="10" fillId="0" borderId="0" xfId="1" applyNumberFormat="1" applyFont="1" applyFill="1" applyBorder="1"/>
    <xf numFmtId="0" fontId="12" fillId="0" borderId="0" xfId="0" applyFont="1" applyAlignment="1">
      <alignment horizontal="left" indent="2"/>
    </xf>
    <xf numFmtId="44" fontId="10" fillId="0" borderId="0" xfId="2" applyFont="1"/>
    <xf numFmtId="44" fontId="10" fillId="0" borderId="9" xfId="2" applyFont="1" applyBorder="1"/>
    <xf numFmtId="165" fontId="10" fillId="0" borderId="0" xfId="0" applyNumberFormat="1" applyFont="1"/>
    <xf numFmtId="165" fontId="10" fillId="0" borderId="9" xfId="0" applyNumberFormat="1" applyFont="1" applyBorder="1"/>
    <xf numFmtId="0" fontId="10" fillId="0" borderId="0" xfId="0" applyFont="1" applyAlignment="1">
      <alignment horizontal="right"/>
    </xf>
    <xf numFmtId="0" fontId="11" fillId="0" borderId="0" xfId="0" applyFont="1" applyAlignment="1">
      <alignment horizontal="left"/>
    </xf>
    <xf numFmtId="165" fontId="6" fillId="0" borderId="0" xfId="0" applyNumberFormat="1" applyFont="1"/>
    <xf numFmtId="165" fontId="6" fillId="0" borderId="9" xfId="0" applyNumberFormat="1" applyFont="1" applyBorder="1"/>
    <xf numFmtId="168" fontId="1" fillId="0" borderId="0" xfId="1" applyNumberFormat="1" applyFont="1" applyFill="1" applyBorder="1"/>
    <xf numFmtId="168" fontId="1" fillId="0" borderId="9" xfId="1" applyNumberFormat="1" applyFont="1" applyFill="1" applyBorder="1"/>
    <xf numFmtId="169" fontId="1" fillId="0" borderId="0" xfId="2" applyNumberFormat="1" applyFont="1" applyFill="1" applyBorder="1"/>
    <xf numFmtId="168" fontId="6" fillId="0" borderId="0" xfId="0" applyNumberFormat="1" applyFont="1"/>
    <xf numFmtId="168" fontId="6" fillId="0" borderId="9" xfId="0" applyNumberFormat="1" applyFont="1" applyBorder="1"/>
    <xf numFmtId="168" fontId="13" fillId="0" borderId="0" xfId="1" applyNumberFormat="1" applyFont="1" applyFill="1" applyBorder="1"/>
    <xf numFmtId="170" fontId="6" fillId="0" borderId="0" xfId="1" applyNumberFormat="1" applyFont="1" applyFill="1" applyBorder="1"/>
    <xf numFmtId="9" fontId="4" fillId="0" borderId="0" xfId="3" applyFont="1" applyFill="1" applyBorder="1"/>
    <xf numFmtId="9" fontId="4" fillId="0" borderId="9" xfId="3" applyFont="1" applyFill="1" applyBorder="1"/>
    <xf numFmtId="165" fontId="13" fillId="0" borderId="0" xfId="0" applyNumberFormat="1" applyFont="1"/>
    <xf numFmtId="165" fontId="1" fillId="0" borderId="0" xfId="2" applyNumberFormat="1" applyFont="1" applyFill="1"/>
    <xf numFmtId="165" fontId="1" fillId="0" borderId="9" xfId="2" applyNumberFormat="1" applyFont="1" applyFill="1" applyBorder="1"/>
    <xf numFmtId="0" fontId="7" fillId="11" borderId="0" xfId="0" applyFont="1" applyFill="1" applyAlignment="1">
      <alignment horizontal="center" vertical="center"/>
    </xf>
    <xf numFmtId="0" fontId="0" fillId="11" borderId="0" xfId="0" applyFill="1"/>
    <xf numFmtId="0" fontId="0" fillId="11" borderId="9" xfId="0" applyFill="1" applyBorder="1"/>
    <xf numFmtId="9" fontId="4" fillId="0" borderId="0" xfId="0" applyNumberFormat="1" applyFont="1"/>
    <xf numFmtId="168" fontId="10" fillId="0" borderId="9" xfId="1" applyNumberFormat="1" applyFont="1" applyBorder="1" applyAlignment="1">
      <alignment horizontal="left" vertical="top" wrapText="1"/>
    </xf>
    <xf numFmtId="168" fontId="10" fillId="0" borderId="9" xfId="1" applyNumberFormat="1" applyFont="1" applyBorder="1"/>
    <xf numFmtId="168" fontId="6" fillId="0" borderId="0" xfId="1" applyNumberFormat="1" applyFont="1" applyFill="1" applyBorder="1"/>
    <xf numFmtId="0" fontId="0" fillId="12" borderId="0" xfId="0" applyFill="1"/>
    <xf numFmtId="0" fontId="0" fillId="12" borderId="9" xfId="0" applyFill="1" applyBorder="1"/>
    <xf numFmtId="165" fontId="4" fillId="0" borderId="0" xfId="0" applyNumberFormat="1" applyFont="1"/>
    <xf numFmtId="164" fontId="4" fillId="0" borderId="0" xfId="0" applyNumberFormat="1" applyFont="1"/>
    <xf numFmtId="9" fontId="0" fillId="0" borderId="9" xfId="3" applyFont="1" applyBorder="1"/>
    <xf numFmtId="168" fontId="4" fillId="0" borderId="0" xfId="1" applyNumberFormat="1" applyFont="1"/>
    <xf numFmtId="0" fontId="10" fillId="0" borderId="0" xfId="2" applyNumberFormat="1" applyFont="1"/>
    <xf numFmtId="165" fontId="10" fillId="9" borderId="0" xfId="2" applyNumberFormat="1" applyFont="1" applyFill="1" applyBorder="1"/>
    <xf numFmtId="0" fontId="7" fillId="13" borderId="0" xfId="0" applyFont="1" applyFill="1" applyAlignment="1">
      <alignment horizontal="center" vertical="center"/>
    </xf>
    <xf numFmtId="0" fontId="0" fillId="13" borderId="0" xfId="0" applyFill="1"/>
    <xf numFmtId="0" fontId="0" fillId="13" borderId="9" xfId="0" applyFill="1" applyBorder="1"/>
    <xf numFmtId="0" fontId="0" fillId="0" borderId="0" xfId="0" applyAlignment="1">
      <alignment horizontal="left" indent="3"/>
    </xf>
    <xf numFmtId="165" fontId="14" fillId="0" borderId="0" xfId="0" applyNumberFormat="1" applyFont="1"/>
    <xf numFmtId="165" fontId="14" fillId="0" borderId="9" xfId="0" applyNumberFormat="1" applyFont="1" applyBorder="1"/>
    <xf numFmtId="44" fontId="14" fillId="0" borderId="0" xfId="0" applyNumberFormat="1" applyFont="1"/>
    <xf numFmtId="44" fontId="14" fillId="0" borderId="9" xfId="0" applyNumberFormat="1" applyFont="1" applyBorder="1"/>
    <xf numFmtId="168" fontId="14" fillId="0" borderId="0" xfId="0" applyNumberFormat="1" applyFont="1"/>
    <xf numFmtId="168" fontId="14" fillId="0" borderId="9" xfId="0" applyNumberFormat="1" applyFont="1" applyBorder="1"/>
    <xf numFmtId="165" fontId="15" fillId="0" borderId="0" xfId="0" applyNumberFormat="1" applyFont="1"/>
    <xf numFmtId="165" fontId="15" fillId="0" borderId="9" xfId="0" applyNumberFormat="1" applyFont="1" applyBorder="1"/>
    <xf numFmtId="168" fontId="15" fillId="0" borderId="0" xfId="0" applyNumberFormat="1" applyFont="1"/>
    <xf numFmtId="168" fontId="15" fillId="0" borderId="9" xfId="0" applyNumberFormat="1" applyFont="1" applyBorder="1"/>
    <xf numFmtId="164" fontId="15" fillId="0" borderId="0" xfId="0" applyNumberFormat="1" applyFont="1"/>
    <xf numFmtId="164" fontId="15" fillId="0" borderId="9" xfId="0" applyNumberFormat="1" applyFont="1" applyBorder="1"/>
    <xf numFmtId="0" fontId="3" fillId="0" borderId="0" xfId="0" applyFont="1" applyAlignment="1">
      <alignment horizontal="left" indent="3"/>
    </xf>
    <xf numFmtId="44" fontId="3" fillId="0" borderId="0" xfId="0" applyNumberFormat="1" applyFont="1"/>
    <xf numFmtId="44" fontId="3" fillId="0" borderId="9" xfId="0" applyNumberFormat="1" applyFont="1" applyBorder="1"/>
    <xf numFmtId="0" fontId="0" fillId="0" borderId="0" xfId="0" applyAlignment="1">
      <alignment horizontal="left" indent="6"/>
    </xf>
    <xf numFmtId="44" fontId="0" fillId="0" borderId="18" xfId="0" applyNumberFormat="1" applyBorder="1"/>
    <xf numFmtId="0" fontId="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3" fillId="14" borderId="19" xfId="0" applyFont="1" applyFill="1" applyBorder="1" applyAlignment="1">
      <alignment horizontal="center" vertical="center"/>
    </xf>
    <xf numFmtId="0" fontId="3" fillId="14" borderId="20" xfId="0" applyFont="1" applyFill="1" applyBorder="1" applyAlignment="1">
      <alignment horizontal="center" vertical="center"/>
    </xf>
    <xf numFmtId="170" fontId="0" fillId="0" borderId="0" xfId="0" applyNumberFormat="1"/>
    <xf numFmtId="0" fontId="7" fillId="0" borderId="0" xfId="0" applyFont="1" applyAlignment="1">
      <alignment horizontal="center" vertical="center"/>
    </xf>
    <xf numFmtId="0" fontId="2" fillId="16" borderId="0" xfId="0" applyFont="1" applyFill="1" applyAlignment="1">
      <alignment horizontal="center"/>
    </xf>
    <xf numFmtId="0" fontId="0" fillId="16" borderId="0" xfId="0" applyFill="1"/>
    <xf numFmtId="0" fontId="3" fillId="2" borderId="0" xfId="0" applyFont="1" applyFill="1" applyAlignment="1">
      <alignment horizontal="center"/>
    </xf>
    <xf numFmtId="0" fontId="3" fillId="16" borderId="0" xfId="0" applyFont="1" applyFill="1" applyAlignment="1">
      <alignment horizontal="center"/>
    </xf>
    <xf numFmtId="0" fontId="6" fillId="0" borderId="0" xfId="0" applyFont="1"/>
    <xf numFmtId="0" fontId="10" fillId="16" borderId="0" xfId="0" applyFont="1" applyFill="1"/>
    <xf numFmtId="0" fontId="17" fillId="11" borderId="0" xfId="0" applyFont="1" applyFill="1" applyAlignment="1">
      <alignment horizontal="center" vertical="center"/>
    </xf>
    <xf numFmtId="0" fontId="10" fillId="0" borderId="0" xfId="0" applyFont="1" applyAlignment="1">
      <alignment horizontal="left" indent="1"/>
    </xf>
    <xf numFmtId="165" fontId="4" fillId="0" borderId="0" xfId="2" applyNumberFormat="1" applyFont="1" applyFill="1" applyBorder="1"/>
    <xf numFmtId="165" fontId="10" fillId="16" borderId="0" xfId="2" applyNumberFormat="1" applyFont="1" applyFill="1" applyBorder="1"/>
    <xf numFmtId="165" fontId="10" fillId="0" borderId="0" xfId="2" applyNumberFormat="1" applyFont="1" applyFill="1" applyBorder="1"/>
    <xf numFmtId="170" fontId="10" fillId="0" borderId="0" xfId="1" applyNumberFormat="1" applyFont="1" applyFill="1" applyBorder="1"/>
    <xf numFmtId="170" fontId="10" fillId="16" borderId="0" xfId="1" applyNumberFormat="1" applyFont="1" applyFill="1" applyBorder="1"/>
    <xf numFmtId="0" fontId="6" fillId="0" borderId="0" xfId="0" applyFont="1" applyAlignment="1">
      <alignment horizontal="left" indent="1"/>
    </xf>
    <xf numFmtId="165" fontId="6" fillId="0" borderId="21" xfId="0" applyNumberFormat="1" applyFont="1" applyBorder="1"/>
    <xf numFmtId="165" fontId="6" fillId="16" borderId="21" xfId="0" applyNumberFormat="1" applyFont="1" applyFill="1" applyBorder="1"/>
    <xf numFmtId="0" fontId="10" fillId="0" borderId="18" xfId="0" applyFont="1" applyBorder="1" applyAlignment="1">
      <alignment horizontal="left" indent="1"/>
    </xf>
    <xf numFmtId="170" fontId="4" fillId="0" borderId="18" xfId="2" applyNumberFormat="1" applyFont="1" applyFill="1" applyBorder="1"/>
    <xf numFmtId="165" fontId="10" fillId="9" borderId="18" xfId="2" applyNumberFormat="1" applyFont="1" applyFill="1" applyBorder="1"/>
    <xf numFmtId="170" fontId="10" fillId="0" borderId="18" xfId="2" applyNumberFormat="1" applyFont="1" applyFill="1" applyBorder="1"/>
    <xf numFmtId="170" fontId="10" fillId="16" borderId="18" xfId="2" applyNumberFormat="1" applyFont="1" applyFill="1" applyBorder="1"/>
    <xf numFmtId="165" fontId="6" fillId="16" borderId="0" xfId="0" applyNumberFormat="1" applyFont="1" applyFill="1"/>
    <xf numFmtId="0" fontId="12" fillId="0" borderId="0" xfId="0" applyFont="1" applyAlignment="1">
      <alignment horizontal="left" indent="1"/>
    </xf>
    <xf numFmtId="9" fontId="12" fillId="0" borderId="0" xfId="3" applyFont="1" applyFill="1" applyBorder="1"/>
    <xf numFmtId="9" fontId="12" fillId="16" borderId="0" xfId="3" applyFont="1" applyFill="1" applyBorder="1"/>
    <xf numFmtId="170" fontId="10" fillId="0" borderId="0" xfId="0" applyNumberFormat="1" applyFont="1"/>
    <xf numFmtId="9" fontId="10" fillId="0" borderId="0" xfId="3" applyFont="1" applyBorder="1"/>
    <xf numFmtId="44" fontId="10" fillId="0" borderId="0" xfId="0" applyNumberFormat="1" applyFont="1"/>
    <xf numFmtId="170" fontId="10" fillId="9" borderId="18" xfId="2" applyNumberFormat="1" applyFont="1" applyFill="1" applyBorder="1"/>
    <xf numFmtId="0" fontId="19" fillId="0" borderId="0" xfId="0" applyFont="1" applyAlignment="1">
      <alignment horizontal="left" indent="1"/>
    </xf>
    <xf numFmtId="170" fontId="4" fillId="0" borderId="0" xfId="2" applyNumberFormat="1" applyFont="1" applyFill="1" applyBorder="1"/>
    <xf numFmtId="170" fontId="10" fillId="0" borderId="0" xfId="2" applyNumberFormat="1" applyFont="1" applyFill="1" applyBorder="1"/>
    <xf numFmtId="170" fontId="10" fillId="16" borderId="0" xfId="2" applyNumberFormat="1" applyFont="1" applyFill="1" applyBorder="1"/>
    <xf numFmtId="0" fontId="6" fillId="0" borderId="18" xfId="0" applyFont="1" applyBorder="1" applyAlignment="1">
      <alignment horizontal="left" indent="1"/>
    </xf>
    <xf numFmtId="170" fontId="6" fillId="0" borderId="22" xfId="0" applyNumberFormat="1" applyFont="1" applyBorder="1"/>
    <xf numFmtId="170" fontId="6" fillId="16" borderId="22" xfId="0" applyNumberFormat="1" applyFont="1" applyFill="1" applyBorder="1"/>
    <xf numFmtId="170" fontId="6" fillId="0" borderId="0" xfId="2" applyNumberFormat="1" applyFont="1" applyFill="1" applyBorder="1"/>
    <xf numFmtId="170" fontId="6" fillId="16" borderId="0" xfId="2" applyNumberFormat="1" applyFont="1" applyFill="1" applyBorder="1"/>
    <xf numFmtId="44" fontId="12" fillId="0" borderId="0" xfId="2" applyFont="1" applyFill="1" applyBorder="1"/>
    <xf numFmtId="164" fontId="12" fillId="0" borderId="0" xfId="3" applyNumberFormat="1" applyFont="1" applyFill="1" applyBorder="1"/>
    <xf numFmtId="0" fontId="10" fillId="0" borderId="0" xfId="0" applyFont="1" applyAlignment="1">
      <alignment horizontal="left" indent="2"/>
    </xf>
    <xf numFmtId="0" fontId="6" fillId="0" borderId="22" xfId="0" applyFont="1" applyBorder="1"/>
    <xf numFmtId="9" fontId="10" fillId="0" borderId="0" xfId="3" applyFont="1" applyFill="1" applyBorder="1"/>
    <xf numFmtId="9" fontId="10" fillId="16" borderId="0" xfId="3" applyFont="1" applyFill="1" applyBorder="1"/>
    <xf numFmtId="0" fontId="6" fillId="0" borderId="0" xfId="0" applyFont="1" applyAlignment="1">
      <alignment vertical="center"/>
    </xf>
    <xf numFmtId="0" fontId="7" fillId="17" borderId="0" xfId="0" applyFont="1" applyFill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170" fontId="4" fillId="0" borderId="0" xfId="1" applyNumberFormat="1" applyFont="1" applyFill="1" applyBorder="1"/>
    <xf numFmtId="9" fontId="10" fillId="0" borderId="0" xfId="3" applyFont="1"/>
    <xf numFmtId="164" fontId="10" fillId="0" borderId="0" xfId="0" applyNumberFormat="1" applyFont="1"/>
    <xf numFmtId="0" fontId="7" fillId="18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165" fontId="10" fillId="0" borderId="18" xfId="2" applyNumberFormat="1" applyFont="1" applyFill="1" applyBorder="1"/>
    <xf numFmtId="0" fontId="7" fillId="13" borderId="0" xfId="0" applyFont="1" applyFill="1" applyAlignment="1">
      <alignment vertical="center" wrapText="1"/>
    </xf>
    <xf numFmtId="165" fontId="1" fillId="0" borderId="0" xfId="2" applyNumberFormat="1" applyFont="1" applyFill="1" applyBorder="1"/>
    <xf numFmtId="44" fontId="1" fillId="0" borderId="0" xfId="2" applyFont="1" applyFill="1" applyBorder="1"/>
    <xf numFmtId="170" fontId="1" fillId="0" borderId="0" xfId="1" applyNumberFormat="1" applyFont="1" applyFill="1" applyBorder="1"/>
    <xf numFmtId="0" fontId="10" fillId="0" borderId="18" xfId="0" applyFont="1" applyBorder="1" applyAlignment="1">
      <alignment horizontal="left" indent="4"/>
    </xf>
    <xf numFmtId="170" fontId="1" fillId="0" borderId="0" xfId="2" applyNumberFormat="1" applyFont="1" applyFill="1" applyBorder="1"/>
    <xf numFmtId="0" fontId="3" fillId="9" borderId="0" xfId="0" applyFont="1" applyFill="1"/>
    <xf numFmtId="0" fontId="3" fillId="14" borderId="0" xfId="0" applyFont="1" applyFill="1"/>
    <xf numFmtId="9" fontId="0" fillId="0" borderId="0" xfId="3" applyFont="1" applyAlignment="1">
      <alignment horizontal="center"/>
    </xf>
    <xf numFmtId="0" fontId="3" fillId="8" borderId="0" xfId="0" applyFont="1" applyFill="1"/>
    <xf numFmtId="0" fontId="3" fillId="19" borderId="0" xfId="0" applyFont="1" applyFill="1"/>
    <xf numFmtId="0" fontId="2" fillId="20" borderId="0" xfId="0" applyFont="1" applyFill="1"/>
    <xf numFmtId="9" fontId="2" fillId="21" borderId="0" xfId="3" applyFont="1" applyFill="1" applyAlignment="1">
      <alignment horizontal="left"/>
    </xf>
    <xf numFmtId="9" fontId="2" fillId="22" borderId="0" xfId="3" applyFont="1" applyFill="1" applyAlignment="1">
      <alignment horizontal="left"/>
    </xf>
    <xf numFmtId="9" fontId="2" fillId="20" borderId="0" xfId="3" applyFont="1" applyFill="1" applyAlignment="1">
      <alignment horizontal="left"/>
    </xf>
    <xf numFmtId="9" fontId="2" fillId="23" borderId="0" xfId="3" applyFont="1" applyFill="1" applyAlignment="1">
      <alignment horizontal="left"/>
    </xf>
    <xf numFmtId="44" fontId="3" fillId="24" borderId="0" xfId="2" applyFont="1" applyFill="1"/>
    <xf numFmtId="0" fontId="3" fillId="25" borderId="0" xfId="0" applyFont="1" applyFill="1"/>
    <xf numFmtId="9" fontId="3" fillId="25" borderId="0" xfId="3" applyFont="1" applyFill="1" applyAlignment="1">
      <alignment horizontal="center"/>
    </xf>
    <xf numFmtId="9" fontId="0" fillId="9" borderId="0" xfId="3" applyFont="1" applyFill="1" applyAlignment="1">
      <alignment horizontal="center"/>
    </xf>
    <xf numFmtId="9" fontId="0" fillId="8" borderId="0" xfId="3" applyFont="1" applyFill="1" applyAlignment="1">
      <alignment horizontal="center"/>
    </xf>
    <xf numFmtId="9" fontId="0" fillId="14" borderId="0" xfId="3" applyFont="1" applyFill="1" applyAlignment="1">
      <alignment horizontal="center"/>
    </xf>
    <xf numFmtId="9" fontId="0" fillId="2" borderId="0" xfId="3" applyFont="1" applyFill="1" applyAlignment="1">
      <alignment horizontal="center"/>
    </xf>
    <xf numFmtId="0" fontId="0" fillId="0" borderId="0" xfId="0" applyProtection="1">
      <protection locked="0"/>
    </xf>
    <xf numFmtId="44" fontId="3" fillId="0" borderId="2" xfId="4" applyFont="1" applyBorder="1"/>
    <xf numFmtId="171" fontId="0" fillId="0" borderId="2" xfId="4" applyNumberFormat="1" applyFont="1" applyFill="1" applyBorder="1"/>
    <xf numFmtId="44" fontId="0" fillId="0" borderId="2" xfId="4" applyFont="1" applyFill="1" applyBorder="1"/>
    <xf numFmtId="44" fontId="3" fillId="0" borderId="2" xfId="4" applyFont="1" applyFill="1" applyBorder="1"/>
    <xf numFmtId="8" fontId="0" fillId="0" borderId="2" xfId="4" applyNumberFormat="1" applyFont="1" applyFill="1" applyBorder="1"/>
    <xf numFmtId="44" fontId="3" fillId="25" borderId="0" xfId="2" applyFont="1" applyFill="1"/>
    <xf numFmtId="0" fontId="0" fillId="0" borderId="0" xfId="0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3" fillId="3" borderId="0" xfId="0" applyFont="1" applyFill="1"/>
    <xf numFmtId="9" fontId="3" fillId="3" borderId="0" xfId="3" applyFont="1" applyFill="1" applyAlignment="1">
      <alignment horizontal="center"/>
    </xf>
    <xf numFmtId="171" fontId="0" fillId="0" borderId="2" xfId="0" applyNumberFormat="1" applyBorder="1" applyAlignment="1">
      <alignment horizontal="center" vertical="center"/>
    </xf>
    <xf numFmtId="171" fontId="3" fillId="0" borderId="2" xfId="4" applyNumberFormat="1" applyFont="1" applyBorder="1"/>
    <xf numFmtId="171" fontId="0" fillId="0" borderId="2" xfId="4" applyNumberFormat="1" applyFont="1" applyBorder="1"/>
    <xf numFmtId="44" fontId="0" fillId="0" borderId="2" xfId="4" applyFont="1" applyBorder="1"/>
    <xf numFmtId="0" fontId="0" fillId="7" borderId="0" xfId="0" applyFill="1"/>
    <xf numFmtId="9" fontId="0" fillId="7" borderId="0" xfId="3" applyFont="1" applyFill="1" applyAlignment="1">
      <alignment horizontal="center"/>
    </xf>
    <xf numFmtId="0" fontId="0" fillId="7" borderId="0" xfId="0" applyFill="1" applyProtection="1">
      <protection locked="0"/>
    </xf>
    <xf numFmtId="44" fontId="3" fillId="7" borderId="0" xfId="2" applyFont="1" applyFill="1"/>
    <xf numFmtId="44" fontId="3" fillId="7" borderId="2" xfId="4" applyFont="1" applyFill="1" applyBorder="1"/>
    <xf numFmtId="0" fontId="3" fillId="0" borderId="0" xfId="0" applyFont="1" applyAlignment="1">
      <alignment horizontal="right"/>
    </xf>
    <xf numFmtId="0" fontId="2" fillId="26" borderId="0" xfId="0" applyFont="1" applyFill="1"/>
    <xf numFmtId="165" fontId="3" fillId="3" borderId="0" xfId="2" applyNumberFormat="1" applyFont="1" applyFill="1"/>
    <xf numFmtId="8" fontId="10" fillId="0" borderId="2" xfId="4" applyNumberFormat="1" applyFont="1" applyFill="1" applyBorder="1"/>
    <xf numFmtId="8" fontId="1" fillId="0" borderId="2" xfId="4" applyNumberFormat="1" applyFont="1" applyFill="1" applyBorder="1"/>
    <xf numFmtId="8" fontId="0" fillId="27" borderId="2" xfId="4" applyNumberFormat="1" applyFont="1" applyFill="1" applyBorder="1"/>
    <xf numFmtId="9" fontId="21" fillId="28" borderId="0" xfId="0" applyNumberFormat="1" applyFont="1" applyFill="1" applyAlignment="1">
      <alignment horizontal="center"/>
    </xf>
    <xf numFmtId="0" fontId="22" fillId="0" borderId="0" xfId="0" applyFont="1"/>
    <xf numFmtId="172" fontId="0" fillId="0" borderId="23" xfId="0" applyNumberFormat="1" applyBorder="1"/>
    <xf numFmtId="0" fontId="0" fillId="0" borderId="0" xfId="0" applyAlignment="1">
      <alignment wrapText="1"/>
    </xf>
    <xf numFmtId="0" fontId="23" fillId="0" borderId="0" xfId="0" applyFont="1"/>
    <xf numFmtId="0" fontId="3" fillId="9" borderId="0" xfId="0" applyFont="1" applyFill="1" applyAlignment="1">
      <alignment wrapText="1"/>
    </xf>
    <xf numFmtId="0" fontId="3" fillId="14" borderId="0" xfId="0" applyFont="1" applyFill="1" applyAlignment="1">
      <alignment wrapText="1"/>
    </xf>
    <xf numFmtId="9" fontId="0" fillId="0" borderId="0" xfId="3" applyFont="1" applyAlignment="1">
      <alignment horizontal="center" wrapText="1"/>
    </xf>
    <xf numFmtId="0" fontId="3" fillId="8" borderId="0" xfId="0" applyFont="1" applyFill="1" applyAlignment="1">
      <alignment wrapText="1"/>
    </xf>
    <xf numFmtId="0" fontId="3" fillId="19" borderId="0" xfId="0" applyFont="1" applyFill="1" applyAlignment="1">
      <alignment wrapText="1"/>
    </xf>
    <xf numFmtId="0" fontId="2" fillId="20" borderId="0" xfId="0" applyFont="1" applyFill="1" applyAlignment="1">
      <alignment wrapText="1"/>
    </xf>
    <xf numFmtId="9" fontId="2" fillId="21" borderId="0" xfId="3" applyFont="1" applyFill="1" applyAlignment="1">
      <alignment horizontal="left" wrapText="1"/>
    </xf>
    <xf numFmtId="9" fontId="2" fillId="22" borderId="0" xfId="3" applyFont="1" applyFill="1" applyAlignment="1">
      <alignment horizontal="left" wrapText="1"/>
    </xf>
    <xf numFmtId="9" fontId="2" fillId="20" borderId="0" xfId="3" applyFont="1" applyFill="1" applyAlignment="1">
      <alignment horizontal="left" wrapText="1"/>
    </xf>
    <xf numFmtId="9" fontId="2" fillId="23" borderId="0" xfId="3" applyFont="1" applyFill="1" applyAlignment="1">
      <alignment horizontal="left" wrapText="1"/>
    </xf>
    <xf numFmtId="44" fontId="3" fillId="24" borderId="0" xfId="2" applyFont="1" applyFill="1" applyAlignment="1">
      <alignment wrapText="1"/>
    </xf>
    <xf numFmtId="0" fontId="3" fillId="25" borderId="0" xfId="0" applyFont="1" applyFill="1" applyAlignment="1">
      <alignment wrapText="1"/>
    </xf>
    <xf numFmtId="9" fontId="3" fillId="25" borderId="0" xfId="3" applyFont="1" applyFill="1" applyAlignment="1">
      <alignment horizontal="center" wrapText="1"/>
    </xf>
    <xf numFmtId="49" fontId="0" fillId="0" borderId="0" xfId="0" applyNumberFormat="1" applyAlignment="1">
      <alignment wrapText="1"/>
    </xf>
    <xf numFmtId="9" fontId="0" fillId="9" borderId="0" xfId="3" applyFont="1" applyFill="1" applyAlignment="1">
      <alignment horizontal="center" wrapText="1"/>
    </xf>
    <xf numFmtId="9" fontId="0" fillId="8" borderId="0" xfId="3" applyFont="1" applyFill="1" applyAlignment="1">
      <alignment horizontal="center" wrapText="1"/>
    </xf>
    <xf numFmtId="9" fontId="0" fillId="14" borderId="0" xfId="3" applyFont="1" applyFill="1" applyAlignment="1">
      <alignment horizontal="center" wrapText="1"/>
    </xf>
    <xf numFmtId="9" fontId="0" fillId="2" borderId="0" xfId="3" applyFont="1" applyFill="1" applyAlignment="1">
      <alignment horizontal="center" wrapText="1"/>
    </xf>
    <xf numFmtId="0" fontId="0" fillId="0" borderId="0" xfId="0" applyAlignment="1" applyProtection="1">
      <alignment wrapText="1"/>
      <protection locked="0"/>
    </xf>
    <xf numFmtId="0" fontId="3" fillId="3" borderId="0" xfId="0" applyFont="1" applyFill="1" applyAlignment="1">
      <alignment wrapText="1"/>
    </xf>
    <xf numFmtId="9" fontId="3" fillId="3" borderId="0" xfId="3" applyFont="1" applyFill="1" applyAlignment="1">
      <alignment horizontal="center" wrapText="1"/>
    </xf>
    <xf numFmtId="165" fontId="3" fillId="3" borderId="0" xfId="2" applyNumberFormat="1" applyFont="1" applyFill="1" applyAlignment="1">
      <alignment wrapText="1"/>
    </xf>
    <xf numFmtId="0" fontId="0" fillId="0" borderId="0" xfId="0" applyAlignment="1" applyProtection="1">
      <alignment horizontal="left" wrapText="1"/>
      <protection locked="0"/>
    </xf>
    <xf numFmtId="49" fontId="0" fillId="0" borderId="0" xfId="0" applyNumberFormat="1"/>
    <xf numFmtId="49" fontId="23" fillId="0" borderId="0" xfId="0" applyNumberFormat="1" applyFont="1"/>
    <xf numFmtId="172" fontId="23" fillId="0" borderId="23" xfId="0" applyNumberFormat="1" applyFont="1" applyBorder="1"/>
    <xf numFmtId="44" fontId="0" fillId="0" borderId="2" xfId="4" applyFont="1" applyFill="1" applyBorder="1" applyAlignment="1"/>
    <xf numFmtId="172" fontId="0" fillId="0" borderId="0" xfId="0" applyNumberFormat="1"/>
    <xf numFmtId="165" fontId="3" fillId="3" borderId="0" xfId="2" applyNumberFormat="1" applyFont="1" applyFill="1" applyAlignment="1"/>
    <xf numFmtId="172" fontId="0" fillId="0" borderId="2" xfId="0" applyNumberFormat="1" applyBorder="1"/>
    <xf numFmtId="172" fontId="23" fillId="0" borderId="2" xfId="0" applyNumberFormat="1" applyFont="1" applyBorder="1"/>
    <xf numFmtId="172" fontId="0" fillId="27" borderId="2" xfId="0" applyNumberFormat="1" applyFill="1" applyBorder="1"/>
    <xf numFmtId="171" fontId="0" fillId="0" borderId="2" xfId="4" applyNumberFormat="1" applyFont="1" applyFill="1" applyBorder="1" applyAlignment="1"/>
    <xf numFmtId="44" fontId="24" fillId="0" borderId="2" xfId="4" applyFont="1" applyBorder="1" applyAlignment="1"/>
    <xf numFmtId="0" fontId="10" fillId="0" borderId="0" xfId="0" applyFont="1" applyAlignment="1">
      <alignment wrapText="1"/>
    </xf>
    <xf numFmtId="165" fontId="10" fillId="0" borderId="2" xfId="2" applyNumberFormat="1" applyFont="1" applyFill="1" applyBorder="1"/>
    <xf numFmtId="165" fontId="2" fillId="20" borderId="0" xfId="0" applyNumberFormat="1" applyFont="1" applyFill="1" applyAlignment="1">
      <alignment wrapText="1"/>
    </xf>
    <xf numFmtId="165" fontId="3" fillId="25" borderId="0" xfId="0" applyNumberFormat="1" applyFont="1" applyFill="1" applyAlignment="1">
      <alignment wrapText="1"/>
    </xf>
    <xf numFmtId="165" fontId="3" fillId="0" borderId="2" xfId="2" applyNumberFormat="1" applyFont="1" applyBorder="1" applyAlignment="1">
      <alignment wrapText="1"/>
    </xf>
    <xf numFmtId="165" fontId="0" fillId="0" borderId="2" xfId="2" applyNumberFormat="1" applyFont="1" applyBorder="1" applyAlignment="1">
      <alignment wrapText="1"/>
    </xf>
    <xf numFmtId="165" fontId="0" fillId="0" borderId="2" xfId="2" applyNumberFormat="1" applyFont="1" applyFill="1" applyBorder="1" applyAlignment="1">
      <alignment wrapText="1"/>
    </xf>
    <xf numFmtId="165" fontId="3" fillId="25" borderId="0" xfId="2" applyNumberFormat="1" applyFont="1" applyFill="1" applyAlignment="1">
      <alignment wrapText="1"/>
    </xf>
    <xf numFmtId="9" fontId="10" fillId="9" borderId="0" xfId="3" applyFont="1" applyFill="1" applyAlignment="1">
      <alignment horizontal="center" wrapText="1"/>
    </xf>
    <xf numFmtId="9" fontId="10" fillId="8" borderId="0" xfId="3" applyFont="1" applyFill="1" applyAlignment="1">
      <alignment horizontal="center" wrapText="1"/>
    </xf>
    <xf numFmtId="9" fontId="10" fillId="2" borderId="0" xfId="3" applyFont="1" applyFill="1" applyAlignment="1">
      <alignment horizontal="center" wrapText="1"/>
    </xf>
    <xf numFmtId="0" fontId="25" fillId="0" borderId="0" xfId="0" applyFont="1" applyAlignment="1">
      <alignment wrapText="1"/>
    </xf>
    <xf numFmtId="0" fontId="10" fillId="0" borderId="0" xfId="0" applyFont="1" applyAlignment="1" applyProtection="1">
      <alignment wrapText="1"/>
      <protection locked="0"/>
    </xf>
    <xf numFmtId="165" fontId="6" fillId="0" borderId="2" xfId="2" applyNumberFormat="1" applyFont="1" applyBorder="1" applyAlignment="1">
      <alignment wrapText="1"/>
    </xf>
    <xf numFmtId="165" fontId="10" fillId="0" borderId="2" xfId="2" applyNumberFormat="1" applyFont="1" applyFill="1" applyBorder="1" applyAlignment="1">
      <alignment wrapText="1"/>
    </xf>
    <xf numFmtId="9" fontId="10" fillId="14" borderId="0" xfId="3" applyFont="1" applyFill="1" applyAlignment="1">
      <alignment horizontal="center" wrapText="1"/>
    </xf>
    <xf numFmtId="0" fontId="3" fillId="9" borderId="0" xfId="0" applyFont="1" applyFill="1" applyAlignment="1">
      <alignment horizontal="center"/>
    </xf>
    <xf numFmtId="0" fontId="3" fillId="14" borderId="0" xfId="0" applyFont="1" applyFill="1" applyAlignment="1">
      <alignment horizontal="center"/>
    </xf>
    <xf numFmtId="0" fontId="3" fillId="8" borderId="0" xfId="0" applyFont="1" applyFill="1" applyAlignment="1">
      <alignment horizontal="center"/>
    </xf>
    <xf numFmtId="0" fontId="3" fillId="19" borderId="0" xfId="0" applyFont="1" applyFill="1" applyAlignment="1">
      <alignment horizontal="center"/>
    </xf>
    <xf numFmtId="0" fontId="27" fillId="0" borderId="0" xfId="0" applyFont="1"/>
    <xf numFmtId="6" fontId="0" fillId="0" borderId="2" xfId="4" applyNumberFormat="1" applyFont="1" applyFill="1" applyBorder="1"/>
    <xf numFmtId="44" fontId="0" fillId="0" borderId="23" xfId="2" applyFont="1" applyBorder="1" applyAlignment="1">
      <alignment horizontal="center"/>
    </xf>
    <xf numFmtId="0" fontId="23" fillId="0" borderId="0" xfId="0" applyFont="1" applyProtection="1">
      <protection locked="0"/>
    </xf>
    <xf numFmtId="44" fontId="23" fillId="0" borderId="2" xfId="4" applyFont="1" applyFill="1" applyBorder="1"/>
    <xf numFmtId="0" fontId="23" fillId="0" borderId="0" xfId="0" applyFont="1" applyAlignment="1" applyProtection="1">
      <alignment horizontal="left"/>
      <protection locked="0"/>
    </xf>
    <xf numFmtId="0" fontId="23" fillId="7" borderId="0" xfId="0" applyFont="1" applyFill="1"/>
    <xf numFmtId="0" fontId="23" fillId="7" borderId="0" xfId="0" applyFont="1" applyFill="1" applyAlignment="1" applyProtection="1">
      <alignment horizontal="left"/>
      <protection locked="0"/>
    </xf>
    <xf numFmtId="44" fontId="3" fillId="0" borderId="0" xfId="0" applyNumberFormat="1" applyFont="1" applyAlignment="1">
      <alignment horizontal="right"/>
    </xf>
    <xf numFmtId="171" fontId="0" fillId="0" borderId="0" xfId="2" applyNumberFormat="1" applyFont="1"/>
    <xf numFmtId="2" fontId="14" fillId="29" borderId="0" xfId="2" applyNumberFormat="1" applyFont="1" applyFill="1" applyAlignment="1">
      <alignment horizontal="center"/>
    </xf>
    <xf numFmtId="0" fontId="29" fillId="0" borderId="0" xfId="0" applyFont="1"/>
    <xf numFmtId="0" fontId="29" fillId="0" borderId="0" xfId="0" applyFont="1" applyAlignment="1">
      <alignment horizontal="center"/>
    </xf>
    <xf numFmtId="0" fontId="30" fillId="0" borderId="0" xfId="0" applyFont="1"/>
    <xf numFmtId="0" fontId="31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0" fontId="33" fillId="0" borderId="0" xfId="0" applyFont="1"/>
    <xf numFmtId="0" fontId="33" fillId="0" borderId="0" xfId="0" applyFont="1" applyAlignment="1">
      <alignment horizontal="center"/>
    </xf>
    <xf numFmtId="0" fontId="34" fillId="0" borderId="0" xfId="0" applyFont="1"/>
    <xf numFmtId="0" fontId="33" fillId="0" borderId="24" xfId="0" applyFont="1" applyBorder="1"/>
    <xf numFmtId="0" fontId="32" fillId="30" borderId="25" xfId="0" applyFont="1" applyFill="1" applyBorder="1"/>
    <xf numFmtId="0" fontId="32" fillId="0" borderId="25" xfId="0" applyFont="1" applyBorder="1"/>
    <xf numFmtId="44" fontId="32" fillId="0" borderId="26" xfId="4" applyFont="1" applyBorder="1"/>
    <xf numFmtId="0" fontId="32" fillId="0" borderId="27" xfId="0" applyFont="1" applyBorder="1"/>
    <xf numFmtId="0" fontId="32" fillId="30" borderId="0" xfId="0" applyFont="1" applyFill="1" applyProtection="1">
      <protection locked="0"/>
    </xf>
    <xf numFmtId="171" fontId="32" fillId="0" borderId="0" xfId="4" applyNumberFormat="1" applyFont="1" applyBorder="1"/>
    <xf numFmtId="171" fontId="32" fillId="0" borderId="28" xfId="4" applyNumberFormat="1" applyFont="1" applyBorder="1"/>
    <xf numFmtId="0" fontId="33" fillId="0" borderId="27" xfId="0" applyFont="1" applyBorder="1"/>
    <xf numFmtId="0" fontId="32" fillId="30" borderId="0" xfId="0" applyFont="1" applyFill="1"/>
    <xf numFmtId="0" fontId="33" fillId="30" borderId="0" xfId="0" applyFont="1" applyFill="1" applyAlignment="1">
      <alignment horizontal="right"/>
    </xf>
    <xf numFmtId="171" fontId="33" fillId="0" borderId="0" xfId="4" applyNumberFormat="1" applyFont="1" applyBorder="1"/>
    <xf numFmtId="44" fontId="30" fillId="0" borderId="0" xfId="4" applyFont="1" applyBorder="1"/>
    <xf numFmtId="44" fontId="35" fillId="0" borderId="0" xfId="4" applyFont="1" applyBorder="1"/>
    <xf numFmtId="0" fontId="36" fillId="30" borderId="0" xfId="0" applyFont="1" applyFill="1"/>
    <xf numFmtId="171" fontId="32" fillId="0" borderId="28" xfId="0" applyNumberFormat="1" applyFont="1" applyBorder="1"/>
    <xf numFmtId="0" fontId="37" fillId="0" borderId="27" xfId="0" applyFont="1" applyBorder="1"/>
    <xf numFmtId="0" fontId="36" fillId="30" borderId="0" xfId="0" applyFont="1" applyFill="1" applyProtection="1">
      <protection locked="0"/>
    </xf>
    <xf numFmtId="171" fontId="37" fillId="0" borderId="0" xfId="4" applyNumberFormat="1" applyFont="1" applyBorder="1"/>
    <xf numFmtId="0" fontId="36" fillId="30" borderId="0" xfId="0" applyFont="1" applyFill="1" applyAlignment="1" applyProtection="1">
      <alignment horizontal="left"/>
      <protection locked="0"/>
    </xf>
    <xf numFmtId="0" fontId="38" fillId="0" borderId="27" xfId="0" applyFont="1" applyBorder="1"/>
    <xf numFmtId="0" fontId="39" fillId="30" borderId="0" xfId="0" applyFont="1" applyFill="1"/>
    <xf numFmtId="0" fontId="39" fillId="30" borderId="0" xfId="0" applyFont="1" applyFill="1" applyAlignment="1">
      <alignment horizontal="right"/>
    </xf>
    <xf numFmtId="171" fontId="38" fillId="0" borderId="0" xfId="4" applyNumberFormat="1" applyFont="1" applyBorder="1"/>
    <xf numFmtId="171" fontId="38" fillId="0" borderId="28" xfId="4" applyNumberFormat="1" applyFont="1" applyBorder="1"/>
    <xf numFmtId="165" fontId="40" fillId="0" borderId="0" xfId="2" applyNumberFormat="1" applyFont="1"/>
    <xf numFmtId="0" fontId="40" fillId="0" borderId="0" xfId="0" applyFont="1"/>
    <xf numFmtId="165" fontId="34" fillId="0" borderId="0" xfId="2" applyNumberFormat="1" applyFont="1"/>
    <xf numFmtId="171" fontId="33" fillId="0" borderId="28" xfId="4" applyNumberFormat="1" applyFont="1" applyBorder="1"/>
    <xf numFmtId="0" fontId="41" fillId="0" borderId="0" xfId="0" applyFont="1"/>
    <xf numFmtId="44" fontId="42" fillId="0" borderId="0" xfId="4" applyFont="1" applyBorder="1"/>
    <xf numFmtId="0" fontId="33" fillId="0" borderId="29" xfId="0" applyFont="1" applyBorder="1"/>
    <xf numFmtId="0" fontId="32" fillId="30" borderId="30" xfId="0" applyFont="1" applyFill="1" applyBorder="1"/>
    <xf numFmtId="171" fontId="32" fillId="0" borderId="30" xfId="4" applyNumberFormat="1" applyFont="1" applyBorder="1"/>
    <xf numFmtId="171" fontId="32" fillId="0" borderId="31" xfId="4" applyNumberFormat="1" applyFont="1" applyBorder="1"/>
    <xf numFmtId="0" fontId="2" fillId="31" borderId="0" xfId="0" applyFont="1" applyFill="1"/>
    <xf numFmtId="0" fontId="0" fillId="31" borderId="0" xfId="0" applyFill="1"/>
    <xf numFmtId="0" fontId="2" fillId="27" borderId="0" xfId="0" applyFont="1" applyFill="1"/>
    <xf numFmtId="0" fontId="0" fillId="27" borderId="0" xfId="0" applyFill="1"/>
    <xf numFmtId="0" fontId="2" fillId="17" borderId="0" xfId="0" applyFont="1" applyFill="1"/>
    <xf numFmtId="0" fontId="0" fillId="17" borderId="0" xfId="0" applyFill="1"/>
    <xf numFmtId="0" fontId="2" fillId="15" borderId="0" xfId="0" applyFont="1" applyFill="1"/>
    <xf numFmtId="0" fontId="0" fillId="15" borderId="0" xfId="0" applyFill="1"/>
    <xf numFmtId="171" fontId="37" fillId="0" borderId="28" xfId="4" applyNumberFormat="1" applyFont="1" applyBorder="1"/>
    <xf numFmtId="171" fontId="38" fillId="0" borderId="28" xfId="4" applyNumberFormat="1" applyFont="1" applyFill="1" applyBorder="1"/>
    <xf numFmtId="171" fontId="35" fillId="29" borderId="0" xfId="0" applyNumberFormat="1" applyFont="1" applyFill="1" applyAlignment="1">
      <alignment horizontal="center"/>
    </xf>
    <xf numFmtId="0" fontId="30" fillId="29" borderId="0" xfId="0" applyFont="1" applyFill="1" applyAlignment="1">
      <alignment horizontal="center"/>
    </xf>
    <xf numFmtId="44" fontId="1" fillId="7" borderId="2" xfId="4" applyFont="1" applyFill="1" applyBorder="1"/>
    <xf numFmtId="44" fontId="0" fillId="0" borderId="0" xfId="2" applyFont="1" applyFill="1"/>
    <xf numFmtId="44" fontId="0" fillId="0" borderId="9" xfId="2" applyFont="1" applyFill="1" applyBorder="1"/>
    <xf numFmtId="170" fontId="6" fillId="0" borderId="9" xfId="1" applyNumberFormat="1" applyFont="1" applyFill="1" applyBorder="1"/>
    <xf numFmtId="44" fontId="0" fillId="0" borderId="9" xfId="0" applyNumberFormat="1" applyBorder="1"/>
    <xf numFmtId="9" fontId="0" fillId="0" borderId="13" xfId="0" applyNumberFormat="1" applyBorder="1"/>
    <xf numFmtId="0" fontId="0" fillId="0" borderId="6" xfId="0" applyBorder="1"/>
    <xf numFmtId="0" fontId="0" fillId="0" borderId="21" xfId="0" applyBorder="1"/>
    <xf numFmtId="0" fontId="0" fillId="0" borderId="8" xfId="0" applyBorder="1"/>
    <xf numFmtId="0" fontId="0" fillId="0" borderId="12" xfId="0" applyBorder="1"/>
    <xf numFmtId="0" fontId="0" fillId="0" borderId="7" xfId="0" applyBorder="1"/>
    <xf numFmtId="0" fontId="3" fillId="2" borderId="32" xfId="0" applyFont="1" applyFill="1" applyBorder="1" applyAlignment="1">
      <alignment horizontal="center"/>
    </xf>
    <xf numFmtId="165" fontId="0" fillId="0" borderId="33" xfId="2" applyNumberFormat="1" applyFont="1" applyFill="1" applyBorder="1" applyAlignment="1">
      <alignment vertical="center"/>
    </xf>
    <xf numFmtId="44" fontId="45" fillId="33" borderId="34" xfId="2" applyFont="1" applyFill="1" applyBorder="1"/>
    <xf numFmtId="10" fontId="45" fillId="0" borderId="34" xfId="3" applyNumberFormat="1" applyFont="1" applyBorder="1"/>
    <xf numFmtId="44" fontId="18" fillId="6" borderId="34" xfId="2" applyFont="1" applyFill="1" applyBorder="1"/>
    <xf numFmtId="10" fontId="18" fillId="0" borderId="34" xfId="3" applyNumberFormat="1" applyFont="1" applyBorder="1"/>
    <xf numFmtId="10" fontId="20" fillId="32" borderId="34" xfId="3" applyNumberFormat="1" applyFont="1" applyFill="1" applyBorder="1"/>
    <xf numFmtId="44" fontId="20" fillId="0" borderId="34" xfId="2" applyFont="1" applyBorder="1"/>
    <xf numFmtId="165" fontId="10" fillId="0" borderId="35" xfId="2" applyNumberFormat="1" applyFont="1" applyFill="1" applyBorder="1"/>
    <xf numFmtId="0" fontId="45" fillId="0" borderId="4" xfId="0" applyFont="1" applyBorder="1"/>
    <xf numFmtId="10" fontId="45" fillId="0" borderId="36" xfId="3" applyNumberFormat="1" applyFont="1" applyBorder="1"/>
    <xf numFmtId="0" fontId="45" fillId="33" borderId="10" xfId="0" applyFont="1" applyFill="1" applyBorder="1"/>
    <xf numFmtId="0" fontId="45" fillId="0" borderId="10" xfId="0" applyFont="1" applyBorder="1"/>
    <xf numFmtId="0" fontId="45" fillId="0" borderId="14" xfId="0" applyFont="1" applyBorder="1"/>
    <xf numFmtId="166" fontId="45" fillId="0" borderId="35" xfId="3" applyNumberFormat="1" applyFont="1" applyFill="1" applyBorder="1"/>
    <xf numFmtId="0" fontId="18" fillId="0" borderId="4" xfId="0" applyFont="1" applyBorder="1"/>
    <xf numFmtId="10" fontId="18" fillId="0" borderId="36" xfId="3" applyNumberFormat="1" applyFont="1" applyBorder="1"/>
    <xf numFmtId="0" fontId="18" fillId="6" borderId="10" xfId="0" applyFont="1" applyFill="1" applyBorder="1"/>
    <xf numFmtId="0" fontId="18" fillId="0" borderId="10" xfId="0" applyFont="1" applyBorder="1"/>
    <xf numFmtId="0" fontId="18" fillId="0" borderId="14" xfId="0" applyFont="1" applyBorder="1"/>
    <xf numFmtId="166" fontId="18" fillId="0" borderId="35" xfId="3" applyNumberFormat="1" applyFont="1" applyFill="1" applyBorder="1"/>
    <xf numFmtId="0" fontId="20" fillId="0" borderId="4" xfId="0" applyFont="1" applyBorder="1"/>
    <xf numFmtId="44" fontId="20" fillId="0" borderId="36" xfId="2" applyFont="1" applyFill="1" applyBorder="1"/>
    <xf numFmtId="0" fontId="20" fillId="32" borderId="10" xfId="0" applyFont="1" applyFill="1" applyBorder="1"/>
    <xf numFmtId="0" fontId="20" fillId="0" borderId="10" xfId="0" applyFont="1" applyBorder="1"/>
    <xf numFmtId="0" fontId="20" fillId="32" borderId="14" xfId="0" applyFont="1" applyFill="1" applyBorder="1"/>
    <xf numFmtId="166" fontId="20" fillId="32" borderId="35" xfId="0" applyNumberFormat="1" applyFont="1" applyFill="1" applyBorder="1"/>
    <xf numFmtId="0" fontId="10" fillId="30" borderId="4" xfId="0" applyFont="1" applyFill="1" applyBorder="1"/>
    <xf numFmtId="165" fontId="10" fillId="30" borderId="36" xfId="2" applyNumberFormat="1" applyFont="1" applyFill="1" applyBorder="1"/>
    <xf numFmtId="0" fontId="10" fillId="0" borderId="14" xfId="0" applyFont="1" applyBorder="1"/>
    <xf numFmtId="9" fontId="44" fillId="0" borderId="35" xfId="0" applyNumberFormat="1" applyFont="1" applyBorder="1" applyAlignment="1">
      <alignment horizontal="center"/>
    </xf>
    <xf numFmtId="0" fontId="0" fillId="0" borderId="36" xfId="0" applyBorder="1"/>
    <xf numFmtId="0" fontId="3" fillId="0" borderId="33" xfId="0" applyFont="1" applyBorder="1" applyAlignment="1">
      <alignment vertical="center"/>
    </xf>
    <xf numFmtId="0" fontId="43" fillId="0" borderId="35" xfId="0" applyFont="1" applyBorder="1" applyAlignment="1">
      <alignment horizontal="center"/>
    </xf>
    <xf numFmtId="0" fontId="33" fillId="0" borderId="4" xfId="0" applyFont="1" applyBorder="1"/>
    <xf numFmtId="0" fontId="32" fillId="30" borderId="37" xfId="0" applyFont="1" applyFill="1" applyBorder="1"/>
    <xf numFmtId="0" fontId="32" fillId="0" borderId="37" xfId="0" applyFont="1" applyBorder="1"/>
    <xf numFmtId="44" fontId="32" fillId="0" borderId="38" xfId="4" applyFont="1" applyBorder="1"/>
    <xf numFmtId="44" fontId="32" fillId="0" borderId="5" xfId="4" applyFont="1" applyBorder="1"/>
    <xf numFmtId="0" fontId="32" fillId="0" borderId="10" xfId="0" applyFont="1" applyBorder="1"/>
    <xf numFmtId="171" fontId="32" fillId="0" borderId="11" xfId="4" applyNumberFormat="1" applyFont="1" applyBorder="1"/>
    <xf numFmtId="0" fontId="33" fillId="0" borderId="10" xfId="0" applyFont="1" applyBorder="1"/>
    <xf numFmtId="171" fontId="38" fillId="0" borderId="11" xfId="4" applyNumberFormat="1" applyFont="1" applyBorder="1"/>
    <xf numFmtId="171" fontId="32" fillId="0" borderId="11" xfId="0" applyNumberFormat="1" applyFont="1" applyBorder="1"/>
    <xf numFmtId="0" fontId="37" fillId="0" borderId="10" xfId="0" applyFont="1" applyBorder="1"/>
    <xf numFmtId="0" fontId="38" fillId="0" borderId="10" xfId="0" applyFont="1" applyBorder="1"/>
    <xf numFmtId="171" fontId="33" fillId="0" borderId="11" xfId="4" applyNumberFormat="1" applyFont="1" applyBorder="1"/>
    <xf numFmtId="0" fontId="33" fillId="0" borderId="14" xfId="0" applyFont="1" applyBorder="1"/>
    <xf numFmtId="0" fontId="32" fillId="30" borderId="39" xfId="0" applyFont="1" applyFill="1" applyBorder="1"/>
    <xf numFmtId="171" fontId="32" fillId="0" borderId="39" xfId="4" applyNumberFormat="1" applyFont="1" applyBorder="1"/>
    <xf numFmtId="171" fontId="32" fillId="0" borderId="40" xfId="4" applyNumberFormat="1" applyFont="1" applyBorder="1"/>
    <xf numFmtId="171" fontId="32" fillId="0" borderId="15" xfId="4" applyNumberFormat="1" applyFont="1" applyBorder="1"/>
    <xf numFmtId="44" fontId="18" fillId="0" borderId="0" xfId="2" applyFont="1"/>
    <xf numFmtId="0" fontId="18" fillId="0" borderId="0" xfId="0" applyFont="1"/>
    <xf numFmtId="0" fontId="18" fillId="0" borderId="9" xfId="0" applyFont="1" applyBorder="1"/>
    <xf numFmtId="10" fontId="18" fillId="0" borderId="0" xfId="2" applyNumberFormat="1" applyFont="1"/>
    <xf numFmtId="44" fontId="18" fillId="0" borderId="9" xfId="2" applyFont="1" applyBorder="1"/>
    <xf numFmtId="10" fontId="18" fillId="0" borderId="9" xfId="2" applyNumberFormat="1" applyFont="1" applyBorder="1"/>
    <xf numFmtId="166" fontId="18" fillId="0" borderId="0" xfId="3" applyNumberFormat="1" applyFont="1"/>
    <xf numFmtId="166" fontId="18" fillId="0" borderId="9" xfId="3" applyNumberFormat="1" applyFont="1" applyBorder="1"/>
    <xf numFmtId="0" fontId="3" fillId="10" borderId="0" xfId="0" applyFont="1" applyFill="1"/>
    <xf numFmtId="0" fontId="3" fillId="13" borderId="0" xfId="0" applyFont="1" applyFill="1"/>
    <xf numFmtId="0" fontId="3" fillId="12" borderId="0" xfId="0" applyFont="1" applyFill="1"/>
    <xf numFmtId="0" fontId="3" fillId="10" borderId="0" xfId="0" applyFont="1" applyFill="1" applyAlignment="1">
      <alignment horizontal="center"/>
    </xf>
    <xf numFmtId="0" fontId="3" fillId="1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0" fontId="0" fillId="0" borderId="0" xfId="0" applyAlignment="1">
      <alignment horizontal="center"/>
    </xf>
    <xf numFmtId="17" fontId="46" fillId="0" borderId="0" xfId="0" applyNumberFormat="1" applyFont="1" applyAlignment="1">
      <alignment horizontal="center"/>
    </xf>
    <xf numFmtId="0" fontId="47" fillId="0" borderId="0" xfId="0" applyFont="1" applyAlignment="1">
      <alignment horizontal="left" vertical="top"/>
    </xf>
    <xf numFmtId="173" fontId="48" fillId="0" borderId="0" xfId="0" applyNumberFormat="1" applyFont="1" applyAlignment="1">
      <alignment vertical="center"/>
    </xf>
    <xf numFmtId="173" fontId="0" fillId="0" borderId="0" xfId="0" applyNumberFormat="1" applyAlignment="1">
      <alignment horizontal="center"/>
    </xf>
    <xf numFmtId="0" fontId="49" fillId="0" borderId="0" xfId="0" applyFont="1"/>
    <xf numFmtId="3" fontId="48" fillId="0" borderId="0" xfId="0" applyNumberFormat="1" applyFont="1" applyAlignment="1">
      <alignment vertical="center"/>
    </xf>
    <xf numFmtId="173" fontId="0" fillId="0" borderId="0" xfId="0" applyNumberFormat="1"/>
    <xf numFmtId="174" fontId="48" fillId="0" borderId="0" xfId="0" applyNumberFormat="1" applyFont="1" applyAlignment="1">
      <alignment vertical="center"/>
    </xf>
    <xf numFmtId="0" fontId="0" fillId="8" borderId="2" xfId="0" applyFill="1" applyBorder="1" applyAlignment="1">
      <alignment horizontal="center"/>
    </xf>
    <xf numFmtId="0" fontId="0" fillId="34" borderId="2" xfId="0" applyFill="1" applyBorder="1" applyAlignment="1">
      <alignment horizontal="center"/>
    </xf>
    <xf numFmtId="0" fontId="50" fillId="0" borderId="0" xfId="0" applyFont="1" applyAlignment="1">
      <alignment horizontal="left" vertical="top"/>
    </xf>
    <xf numFmtId="175" fontId="48" fillId="0" borderId="0" xfId="0" applyNumberFormat="1" applyFont="1" applyAlignment="1">
      <alignment vertical="center"/>
    </xf>
    <xf numFmtId="176" fontId="48" fillId="0" borderId="0" xfId="0" applyNumberFormat="1" applyFont="1" applyAlignment="1">
      <alignment vertical="center"/>
    </xf>
    <xf numFmtId="10" fontId="0" fillId="0" borderId="2" xfId="3" applyNumberFormat="1" applyFont="1" applyBorder="1"/>
    <xf numFmtId="10" fontId="0" fillId="0" borderId="0" xfId="3" applyNumberFormat="1" applyFont="1" applyFill="1" applyBorder="1"/>
    <xf numFmtId="177" fontId="48" fillId="0" borderId="0" xfId="0" applyNumberFormat="1" applyFont="1" applyAlignment="1">
      <alignment vertical="center"/>
    </xf>
    <xf numFmtId="164" fontId="0" fillId="0" borderId="2" xfId="5" applyFont="1" applyBorder="1"/>
    <xf numFmtId="164" fontId="0" fillId="0" borderId="0" xfId="5" applyFont="1" applyFill="1" applyBorder="1"/>
    <xf numFmtId="10" fontId="48" fillId="0" borderId="0" xfId="0" applyNumberFormat="1" applyFont="1" applyAlignment="1">
      <alignment vertical="center"/>
    </xf>
    <xf numFmtId="178" fontId="48" fillId="0" borderId="0" xfId="0" applyNumberFormat="1" applyFont="1" applyAlignment="1">
      <alignment vertical="center"/>
    </xf>
    <xf numFmtId="173" fontId="46" fillId="0" borderId="0" xfId="0" applyNumberFormat="1" applyFont="1" applyAlignment="1">
      <alignment vertical="center"/>
    </xf>
    <xf numFmtId="179" fontId="48" fillId="0" borderId="0" xfId="0" applyNumberFormat="1" applyFont="1" applyAlignment="1">
      <alignment vertical="center"/>
    </xf>
    <xf numFmtId="0" fontId="51" fillId="0" borderId="0" xfId="0" applyFont="1" applyAlignment="1">
      <alignment horizontal="left" vertical="top"/>
    </xf>
    <xf numFmtId="173" fontId="52" fillId="0" borderId="0" xfId="0" applyNumberFormat="1" applyFont="1" applyAlignment="1">
      <alignment vertical="center"/>
    </xf>
    <xf numFmtId="9" fontId="48" fillId="0" borderId="0" xfId="0" applyNumberFormat="1" applyFont="1" applyAlignment="1">
      <alignment vertical="center"/>
    </xf>
    <xf numFmtId="179" fontId="46" fillId="0" borderId="0" xfId="0" applyNumberFormat="1" applyFont="1" applyAlignment="1">
      <alignment vertical="center"/>
    </xf>
    <xf numFmtId="180" fontId="48" fillId="0" borderId="0" xfId="0" applyNumberFormat="1" applyFont="1" applyAlignment="1">
      <alignment vertical="center"/>
    </xf>
    <xf numFmtId="4" fontId="48" fillId="0" borderId="0" xfId="0" applyNumberFormat="1" applyFont="1" applyAlignment="1">
      <alignment vertical="center"/>
    </xf>
    <xf numFmtId="0" fontId="50" fillId="0" borderId="3" xfId="0" applyFont="1" applyBorder="1" applyAlignment="1">
      <alignment horizontal="left" vertical="top"/>
    </xf>
    <xf numFmtId="10" fontId="0" fillId="0" borderId="16" xfId="3" applyNumberFormat="1" applyFont="1" applyBorder="1"/>
    <xf numFmtId="10" fontId="0" fillId="0" borderId="17" xfId="3" applyNumberFormat="1" applyFont="1" applyBorder="1"/>
    <xf numFmtId="0" fontId="50" fillId="3" borderId="0" xfId="0" applyFont="1" applyFill="1" applyAlignment="1">
      <alignment horizontal="left" vertical="top"/>
    </xf>
    <xf numFmtId="178" fontId="46" fillId="3" borderId="0" xfId="0" applyNumberFormat="1" applyFont="1" applyFill="1" applyAlignment="1">
      <alignment vertical="center"/>
    </xf>
    <xf numFmtId="0" fontId="3" fillId="2" borderId="6" xfId="0" applyFont="1" applyFill="1" applyBorder="1"/>
    <xf numFmtId="9" fontId="0" fillId="2" borderId="21" xfId="3" applyFont="1" applyFill="1" applyBorder="1"/>
    <xf numFmtId="0" fontId="0" fillId="2" borderId="21" xfId="0" applyFill="1" applyBorder="1"/>
    <xf numFmtId="0" fontId="0" fillId="2" borderId="7" xfId="0" applyFill="1" applyBorder="1"/>
    <xf numFmtId="0" fontId="53" fillId="0" borderId="8" xfId="0" applyFont="1" applyBorder="1" applyAlignment="1">
      <alignment horizontal="left" vertical="top"/>
    </xf>
    <xf numFmtId="181" fontId="53" fillId="0" borderId="0" xfId="0" applyNumberFormat="1" applyFont="1" applyAlignment="1">
      <alignment vertical="center"/>
    </xf>
    <xf numFmtId="181" fontId="53" fillId="0" borderId="9" xfId="0" applyNumberFormat="1" applyFont="1" applyBorder="1" applyAlignment="1">
      <alignment vertical="center"/>
    </xf>
    <xf numFmtId="181" fontId="0" fillId="0" borderId="0" xfId="0" applyNumberFormat="1"/>
    <xf numFmtId="0" fontId="54" fillId="2" borderId="12" xfId="0" applyFont="1" applyFill="1" applyBorder="1" applyAlignment="1">
      <alignment horizontal="left" vertical="top"/>
    </xf>
    <xf numFmtId="164" fontId="0" fillId="2" borderId="1" xfId="5" applyFont="1" applyFill="1" applyBorder="1"/>
    <xf numFmtId="164" fontId="0" fillId="2" borderId="13" xfId="5" applyFont="1" applyFill="1" applyBorder="1"/>
    <xf numFmtId="0" fontId="3" fillId="0" borderId="6" xfId="0" applyFont="1" applyBorder="1"/>
    <xf numFmtId="9" fontId="0" fillId="0" borderId="21" xfId="3" applyFont="1" applyBorder="1"/>
    <xf numFmtId="9" fontId="0" fillId="0" borderId="7" xfId="3" applyFont="1" applyBorder="1"/>
    <xf numFmtId="9" fontId="0" fillId="0" borderId="0" xfId="3" applyFont="1" applyFill="1"/>
    <xf numFmtId="9" fontId="0" fillId="0" borderId="0" xfId="3" applyFont="1" applyBorder="1"/>
    <xf numFmtId="9" fontId="53" fillId="0" borderId="0" xfId="0" applyNumberFormat="1" applyFont="1" applyAlignment="1">
      <alignment vertical="center"/>
    </xf>
    <xf numFmtId="9" fontId="0" fillId="0" borderId="1" xfId="0" applyNumberFormat="1" applyBorder="1"/>
    <xf numFmtId="0" fontId="3" fillId="0" borderId="3" xfId="0" applyFont="1" applyBorder="1"/>
    <xf numFmtId="3" fontId="0" fillId="0" borderId="16" xfId="0" applyNumberFormat="1" applyBorder="1"/>
    <xf numFmtId="3" fontId="0" fillId="0" borderId="17" xfId="0" applyNumberFormat="1" applyBorder="1"/>
    <xf numFmtId="3" fontId="53" fillId="0" borderId="21" xfId="0" applyNumberFormat="1" applyFont="1" applyBorder="1" applyAlignment="1">
      <alignment vertical="center"/>
    </xf>
    <xf numFmtId="3" fontId="53" fillId="0" borderId="7" xfId="0" applyNumberFormat="1" applyFont="1" applyBorder="1" applyAlignment="1">
      <alignment vertical="center"/>
    </xf>
    <xf numFmtId="3" fontId="53" fillId="0" borderId="0" xfId="0" applyNumberFormat="1" applyFont="1" applyAlignment="1">
      <alignment vertical="center"/>
    </xf>
    <xf numFmtId="3" fontId="0" fillId="0" borderId="1" xfId="0" applyNumberFormat="1" applyBorder="1"/>
    <xf numFmtId="3" fontId="0" fillId="0" borderId="13" xfId="0" applyNumberFormat="1" applyBorder="1"/>
    <xf numFmtId="3" fontId="0" fillId="0" borderId="0" xfId="0" applyNumberFormat="1"/>
    <xf numFmtId="3" fontId="0" fillId="0" borderId="21" xfId="0" applyNumberFormat="1" applyBorder="1"/>
    <xf numFmtId="9" fontId="0" fillId="0" borderId="0" xfId="3" applyFont="1" applyFill="1" applyBorder="1"/>
    <xf numFmtId="0" fontId="50" fillId="7" borderId="0" xfId="0" applyFont="1" applyFill="1" applyAlignment="1">
      <alignment horizontal="left" vertical="top"/>
    </xf>
    <xf numFmtId="3" fontId="48" fillId="7" borderId="0" xfId="0" applyNumberFormat="1" applyFont="1" applyFill="1" applyAlignment="1">
      <alignment vertical="center"/>
    </xf>
    <xf numFmtId="0" fontId="47" fillId="7" borderId="0" xfId="0" applyFont="1" applyFill="1" applyAlignment="1">
      <alignment horizontal="left" vertical="top"/>
    </xf>
    <xf numFmtId="10" fontId="48" fillId="7" borderId="0" xfId="0" applyNumberFormat="1" applyFont="1" applyFill="1" applyAlignment="1">
      <alignment vertical="center"/>
    </xf>
    <xf numFmtId="10" fontId="0" fillId="7" borderId="2" xfId="3" applyNumberFormat="1" applyFont="1" applyFill="1" applyBorder="1"/>
    <xf numFmtId="10" fontId="0" fillId="7" borderId="0" xfId="3" applyNumberFormat="1" applyFont="1" applyFill="1" applyBorder="1"/>
    <xf numFmtId="175" fontId="48" fillId="7" borderId="0" xfId="0" applyNumberFormat="1" applyFont="1" applyFill="1" applyAlignment="1">
      <alignment vertical="center"/>
    </xf>
    <xf numFmtId="175" fontId="0" fillId="7" borderId="2" xfId="0" applyNumberFormat="1" applyFill="1" applyBorder="1"/>
    <xf numFmtId="175" fontId="0" fillId="7" borderId="0" xfId="0" applyNumberFormat="1" applyFill="1"/>
    <xf numFmtId="175" fontId="46" fillId="7" borderId="0" xfId="0" applyNumberFormat="1" applyFont="1" applyFill="1" applyAlignment="1">
      <alignment vertical="center"/>
    </xf>
    <xf numFmtId="4" fontId="48" fillId="7" borderId="0" xfId="0" applyNumberFormat="1" applyFont="1" applyFill="1" applyAlignment="1">
      <alignment vertical="center"/>
    </xf>
    <xf numFmtId="0" fontId="55" fillId="31" borderId="0" xfId="0" applyFont="1" applyFill="1"/>
    <xf numFmtId="171" fontId="0" fillId="24" borderId="0" xfId="2" applyNumberFormat="1" applyFont="1" applyFill="1"/>
    <xf numFmtId="44" fontId="28" fillId="2" borderId="0" xfId="0" applyNumberFormat="1" applyFont="1" applyFill="1"/>
    <xf numFmtId="170" fontId="18" fillId="0" borderId="0" xfId="2" applyNumberFormat="1" applyFont="1" applyFill="1" applyBorder="1"/>
    <xf numFmtId="0" fontId="33" fillId="0" borderId="27" xfId="0" applyFont="1" applyBorder="1" applyAlignment="1">
      <alignment horizontal="left"/>
    </xf>
    <xf numFmtId="0" fontId="32" fillId="0" borderId="27" xfId="0" applyFont="1" applyBorder="1" applyAlignment="1">
      <alignment horizontal="left"/>
    </xf>
    <xf numFmtId="170" fontId="18" fillId="0" borderId="18" xfId="2" applyNumberFormat="1" applyFont="1" applyFill="1" applyBorder="1"/>
    <xf numFmtId="171" fontId="12" fillId="0" borderId="0" xfId="2" applyNumberFormat="1" applyFont="1" applyFill="1" applyBorder="1"/>
    <xf numFmtId="165" fontId="12" fillId="0" borderId="0" xfId="3" applyNumberFormat="1" applyFont="1" applyFill="1" applyBorder="1"/>
    <xf numFmtId="0" fontId="56" fillId="0" borderId="0" xfId="0" applyFont="1" applyAlignment="1">
      <alignment horizontal="left" indent="1"/>
    </xf>
    <xf numFmtId="165" fontId="55" fillId="0" borderId="21" xfId="2" applyNumberFormat="1" applyFont="1" applyFill="1" applyBorder="1"/>
    <xf numFmtId="165" fontId="56" fillId="16" borderId="0" xfId="2" applyNumberFormat="1" applyFont="1" applyFill="1" applyBorder="1"/>
    <xf numFmtId="170" fontId="56" fillId="0" borderId="21" xfId="1" applyNumberFormat="1" applyFont="1" applyFill="1" applyBorder="1"/>
    <xf numFmtId="165" fontId="12" fillId="0" borderId="0" xfId="2" applyNumberFormat="1" applyFont="1" applyFill="1" applyBorder="1"/>
    <xf numFmtId="165" fontId="12" fillId="16" borderId="0" xfId="3" applyNumberFormat="1" applyFont="1" applyFill="1" applyBorder="1"/>
    <xf numFmtId="165" fontId="6" fillId="16" borderId="0" xfId="2" applyNumberFormat="1" applyFont="1" applyFill="1" applyBorder="1"/>
    <xf numFmtId="165" fontId="3" fillId="0" borderId="21" xfId="2" applyNumberFormat="1" applyFont="1" applyFill="1" applyBorder="1"/>
    <xf numFmtId="165" fontId="18" fillId="0" borderId="0" xfId="2" applyNumberFormat="1" applyFont="1" applyFill="1" applyBorder="1"/>
    <xf numFmtId="165" fontId="18" fillId="0" borderId="0" xfId="2" applyNumberFormat="1" applyFont="1" applyFill="1"/>
    <xf numFmtId="0" fontId="55" fillId="0" borderId="0" xfId="0" applyFont="1"/>
    <xf numFmtId="0" fontId="0" fillId="11" borderId="3" xfId="0" applyFill="1" applyBorder="1"/>
    <xf numFmtId="0" fontId="0" fillId="11" borderId="16" xfId="0" applyFill="1" applyBorder="1"/>
    <xf numFmtId="0" fontId="3" fillId="11" borderId="16" xfId="0" applyFont="1" applyFill="1" applyBorder="1" applyAlignment="1">
      <alignment horizontal="center" wrapText="1"/>
    </xf>
    <xf numFmtId="44" fontId="57" fillId="35" borderId="34" xfId="0" applyNumberFormat="1" applyFont="1" applyFill="1" applyBorder="1"/>
    <xf numFmtId="44" fontId="57" fillId="35" borderId="11" xfId="0" applyNumberFormat="1" applyFont="1" applyFill="1" applyBorder="1"/>
    <xf numFmtId="165" fontId="58" fillId="0" borderId="35" xfId="2" applyNumberFormat="1" applyFont="1" applyFill="1" applyBorder="1"/>
    <xf numFmtId="0" fontId="0" fillId="36" borderId="3" xfId="0" applyFill="1" applyBorder="1"/>
    <xf numFmtId="0" fontId="0" fillId="36" borderId="16" xfId="0" applyFill="1" applyBorder="1"/>
    <xf numFmtId="0" fontId="55" fillId="36" borderId="16" xfId="0" applyFont="1" applyFill="1" applyBorder="1" applyAlignment="1">
      <alignment horizontal="center"/>
    </xf>
    <xf numFmtId="0" fontId="0" fillId="37" borderId="3" xfId="0" applyFill="1" applyBorder="1"/>
    <xf numFmtId="0" fontId="0" fillId="37" borderId="16" xfId="0" applyFill="1" applyBorder="1"/>
    <xf numFmtId="0" fontId="55" fillId="37" borderId="16" xfId="0" applyFont="1" applyFill="1" applyBorder="1" applyAlignment="1">
      <alignment horizontal="center"/>
    </xf>
    <xf numFmtId="165" fontId="4" fillId="0" borderId="9" xfId="0" applyNumberFormat="1" applyFont="1" applyBorder="1"/>
    <xf numFmtId="168" fontId="1" fillId="0" borderId="0" xfId="1" applyNumberFormat="1" applyFont="1"/>
    <xf numFmtId="171" fontId="0" fillId="0" borderId="0" xfId="0" applyNumberFormat="1"/>
    <xf numFmtId="44" fontId="59" fillId="6" borderId="34" xfId="2" applyFont="1" applyFill="1" applyBorder="1"/>
    <xf numFmtId="164" fontId="4" fillId="0" borderId="9" xfId="0" applyNumberFormat="1" applyFont="1" applyBorder="1"/>
    <xf numFmtId="44" fontId="55" fillId="0" borderId="2" xfId="4" applyFont="1" applyFill="1" applyBorder="1"/>
    <xf numFmtId="165" fontId="55" fillId="0" borderId="9" xfId="0" applyNumberFormat="1" applyFont="1" applyBorder="1"/>
    <xf numFmtId="165" fontId="55" fillId="0" borderId="0" xfId="0" applyNumberFormat="1" applyFont="1"/>
    <xf numFmtId="44" fontId="58" fillId="0" borderId="0" xfId="2" applyFont="1" applyFill="1" applyBorder="1"/>
    <xf numFmtId="44" fontId="24" fillId="0" borderId="0" xfId="0" applyNumberFormat="1" applyFont="1"/>
    <xf numFmtId="170" fontId="60" fillId="0" borderId="0" xfId="2" applyNumberFormat="1" applyFont="1" applyFill="1" applyBorder="1"/>
    <xf numFmtId="44" fontId="3" fillId="13" borderId="2" xfId="4" applyFont="1" applyFill="1" applyBorder="1"/>
    <xf numFmtId="171" fontId="0" fillId="13" borderId="2" xfId="0" applyNumberFormat="1" applyFill="1" applyBorder="1" applyAlignment="1">
      <alignment horizontal="center" vertical="center"/>
    </xf>
    <xf numFmtId="44" fontId="0" fillId="13" borderId="2" xfId="4" applyFont="1" applyFill="1" applyBorder="1"/>
    <xf numFmtId="8" fontId="0" fillId="13" borderId="2" xfId="4" applyNumberFormat="1" applyFont="1" applyFill="1" applyBorder="1"/>
    <xf numFmtId="171" fontId="0" fillId="13" borderId="2" xfId="4" applyNumberFormat="1" applyFont="1" applyFill="1" applyBorder="1"/>
    <xf numFmtId="171" fontId="21" fillId="13" borderId="2" xfId="0" applyNumberFormat="1" applyFont="1" applyFill="1" applyBorder="1"/>
    <xf numFmtId="171" fontId="10" fillId="13" borderId="2" xfId="4" applyNumberFormat="1" applyFont="1" applyFill="1" applyBorder="1"/>
    <xf numFmtId="172" fontId="0" fillId="13" borderId="2" xfId="0" applyNumberFormat="1" applyFill="1" applyBorder="1"/>
    <xf numFmtId="172" fontId="23" fillId="13" borderId="2" xfId="0" applyNumberFormat="1" applyFont="1" applyFill="1" applyBorder="1"/>
    <xf numFmtId="165" fontId="26" fillId="13" borderId="2" xfId="2" applyNumberFormat="1" applyFont="1" applyFill="1" applyBorder="1" applyAlignment="1">
      <alignment wrapText="1"/>
    </xf>
    <xf numFmtId="9" fontId="10" fillId="14" borderId="0" xfId="3" applyFont="1" applyFill="1" applyAlignment="1">
      <alignment horizontal="center"/>
    </xf>
    <xf numFmtId="9" fontId="10" fillId="2" borderId="0" xfId="3" applyFont="1" applyFill="1" applyAlignment="1">
      <alignment horizontal="center"/>
    </xf>
    <xf numFmtId="0" fontId="10" fillId="0" borderId="0" xfId="0" applyFont="1" applyProtection="1">
      <protection locked="0"/>
    </xf>
    <xf numFmtId="44" fontId="3" fillId="24" borderId="0" xfId="2" applyFont="1" applyFill="1" applyAlignment="1"/>
    <xf numFmtId="165" fontId="6" fillId="0" borderId="2" xfId="2" applyNumberFormat="1" applyFont="1" applyBorder="1" applyAlignment="1"/>
    <xf numFmtId="165" fontId="26" fillId="0" borderId="2" xfId="2" applyNumberFormat="1" applyFont="1" applyBorder="1" applyAlignment="1"/>
    <xf numFmtId="165" fontId="10" fillId="0" borderId="2" xfId="2" applyNumberFormat="1" applyFont="1" applyFill="1" applyBorder="1" applyAlignment="1"/>
    <xf numFmtId="44" fontId="0" fillId="0" borderId="0" xfId="2" applyFont="1" applyAlignment="1"/>
    <xf numFmtId="44" fontId="3" fillId="0" borderId="2" xfId="4" applyFont="1" applyBorder="1" applyAlignment="1"/>
    <xf numFmtId="171" fontId="3" fillId="0" borderId="2" xfId="4" applyNumberFormat="1" applyFont="1" applyBorder="1" applyAlignment="1"/>
    <xf numFmtId="8" fontId="0" fillId="0" borderId="2" xfId="4" applyNumberFormat="1" applyFont="1" applyFill="1" applyBorder="1" applyAlignment="1"/>
    <xf numFmtId="171" fontId="21" fillId="0" borderId="2" xfId="0" applyNumberFormat="1" applyFont="1" applyBorder="1"/>
    <xf numFmtId="171" fontId="10" fillId="0" borderId="2" xfId="4" applyNumberFormat="1" applyFont="1" applyFill="1" applyBorder="1" applyAlignment="1"/>
    <xf numFmtId="165" fontId="0" fillId="13" borderId="2" xfId="2" applyNumberFormat="1" applyFont="1" applyFill="1" applyBorder="1" applyAlignment="1">
      <alignment wrapText="1"/>
    </xf>
    <xf numFmtId="165" fontId="3" fillId="13" borderId="2" xfId="2" applyNumberFormat="1" applyFont="1" applyFill="1" applyBorder="1" applyAlignment="1">
      <alignment wrapText="1"/>
    </xf>
    <xf numFmtId="165" fontId="6" fillId="13" borderId="2" xfId="2" applyNumberFormat="1" applyFont="1" applyFill="1" applyBorder="1" applyAlignment="1">
      <alignment wrapText="1"/>
    </xf>
    <xf numFmtId="165" fontId="0" fillId="0" borderId="2" xfId="2" applyNumberFormat="1" applyFont="1" applyBorder="1" applyAlignment="1"/>
    <xf numFmtId="165" fontId="0" fillId="0" borderId="2" xfId="2" applyNumberFormat="1" applyFont="1" applyFill="1" applyBorder="1" applyAlignment="1"/>
    <xf numFmtId="165" fontId="3" fillId="0" borderId="2" xfId="2" applyNumberFormat="1" applyFont="1" applyBorder="1" applyAlignment="1"/>
    <xf numFmtId="44" fontId="23" fillId="13" borderId="2" xfId="4" applyFont="1" applyFill="1" applyBorder="1"/>
    <xf numFmtId="6" fontId="0" fillId="13" borderId="2" xfId="4" applyNumberFormat="1" applyFont="1" applyFill="1" applyBorder="1"/>
    <xf numFmtId="10" fontId="4" fillId="0" borderId="0" xfId="3" applyNumberFormat="1" applyFont="1" applyFill="1"/>
    <xf numFmtId="10" fontId="10" fillId="0" borderId="0" xfId="3" applyNumberFormat="1" applyFont="1" applyFill="1"/>
    <xf numFmtId="10" fontId="10" fillId="0" borderId="9" xfId="3" applyNumberFormat="1" applyFont="1" applyFill="1" applyBorder="1"/>
    <xf numFmtId="9" fontId="0" fillId="0" borderId="9" xfId="3" applyFont="1" applyFill="1" applyBorder="1"/>
    <xf numFmtId="170" fontId="1" fillId="0" borderId="0" xfId="1" applyNumberFormat="1" applyFont="1" applyFill="1" applyAlignment="1">
      <alignment horizontal="center" vertical="top" wrapText="1"/>
    </xf>
    <xf numFmtId="170" fontId="1" fillId="0" borderId="9" xfId="1" applyNumberFormat="1" applyFont="1" applyFill="1" applyBorder="1" applyAlignment="1">
      <alignment horizontal="center" vertical="top" wrapText="1"/>
    </xf>
    <xf numFmtId="165" fontId="3" fillId="0" borderId="2" xfId="2" applyNumberFormat="1" applyFont="1" applyFill="1" applyBorder="1" applyAlignment="1">
      <alignment wrapText="1"/>
    </xf>
    <xf numFmtId="44" fontId="3" fillId="0" borderId="0" xfId="4" applyFont="1" applyBorder="1"/>
    <xf numFmtId="171" fontId="0" fillId="0" borderId="0" xfId="4" applyNumberFormat="1" applyFont="1" applyBorder="1"/>
    <xf numFmtId="44" fontId="23" fillId="0" borderId="0" xfId="4" applyFont="1" applyFill="1" applyBorder="1"/>
    <xf numFmtId="10" fontId="59" fillId="0" borderId="34" xfId="3" applyNumberFormat="1" applyFont="1" applyBorder="1"/>
    <xf numFmtId="10" fontId="61" fillId="0" borderId="34" xfId="3" applyNumberFormat="1" applyFont="1" applyBorder="1"/>
    <xf numFmtId="0" fontId="55" fillId="15" borderId="36" xfId="0" applyFont="1" applyFill="1" applyBorder="1" applyAlignment="1">
      <alignment horizontal="center"/>
    </xf>
    <xf numFmtId="10" fontId="45" fillId="0" borderId="4" xfId="0" applyNumberFormat="1" applyFont="1" applyBorder="1"/>
    <xf numFmtId="10" fontId="18" fillId="0" borderId="4" xfId="0" applyNumberFormat="1" applyFont="1" applyBorder="1"/>
    <xf numFmtId="10" fontId="18" fillId="0" borderId="10" xfId="0" applyNumberFormat="1" applyFont="1" applyBorder="1"/>
    <xf numFmtId="0" fontId="62" fillId="0" borderId="0" xfId="0" applyFont="1"/>
    <xf numFmtId="9" fontId="0" fillId="0" borderId="0" xfId="3" applyFont="1" applyFill="1" applyAlignment="1">
      <alignment horizontal="center"/>
    </xf>
    <xf numFmtId="9" fontId="10" fillId="0" borderId="0" xfId="3" applyFont="1" applyFill="1" applyAlignment="1">
      <alignment horizontal="center"/>
    </xf>
    <xf numFmtId="0" fontId="55" fillId="0" borderId="36" xfId="0" applyFont="1" applyBorder="1" applyAlignment="1">
      <alignment horizontal="center"/>
    </xf>
    <xf numFmtId="10" fontId="45" fillId="0" borderId="10" xfId="0" applyNumberFormat="1" applyFont="1" applyBorder="1"/>
    <xf numFmtId="10" fontId="20" fillId="32" borderId="10" xfId="0" applyNumberFormat="1" applyFont="1" applyFill="1" applyBorder="1"/>
    <xf numFmtId="166" fontId="45" fillId="0" borderId="34" xfId="3" applyNumberFormat="1" applyFont="1" applyBorder="1"/>
    <xf numFmtId="8" fontId="45" fillId="33" borderId="34" xfId="2" applyNumberFormat="1" applyFont="1" applyFill="1" applyBorder="1"/>
    <xf numFmtId="44" fontId="10" fillId="0" borderId="0" xfId="2" applyFont="1" applyFill="1"/>
    <xf numFmtId="44" fontId="10" fillId="0" borderId="9" xfId="2" applyFont="1" applyFill="1" applyBorder="1"/>
    <xf numFmtId="171" fontId="10" fillId="0" borderId="0" xfId="2" applyNumberFormat="1" applyFont="1" applyFill="1"/>
    <xf numFmtId="171" fontId="10" fillId="0" borderId="9" xfId="2" applyNumberFormat="1" applyFont="1" applyFill="1" applyBorder="1"/>
    <xf numFmtId="0" fontId="0" fillId="0" borderId="0" xfId="0" applyAlignment="1">
      <alignment horizontal="left" indent="5"/>
    </xf>
    <xf numFmtId="167" fontId="4" fillId="0" borderId="0" xfId="0" applyNumberFormat="1" applyFont="1"/>
    <xf numFmtId="171" fontId="4" fillId="0" borderId="0" xfId="2" applyNumberFormat="1" applyFont="1"/>
    <xf numFmtId="171" fontId="4" fillId="0" borderId="9" xfId="2" applyNumberFormat="1" applyFont="1" applyBorder="1"/>
    <xf numFmtId="166" fontId="4" fillId="0" borderId="0" xfId="3" applyNumberFormat="1" applyFont="1" applyFill="1" applyBorder="1"/>
    <xf numFmtId="166" fontId="4" fillId="0" borderId="9" xfId="3" applyNumberFormat="1" applyFont="1" applyFill="1" applyBorder="1"/>
    <xf numFmtId="9" fontId="4" fillId="0" borderId="9" xfId="0" applyNumberFormat="1" applyFont="1" applyBorder="1"/>
    <xf numFmtId="9" fontId="1" fillId="0" borderId="0" xfId="3" applyFont="1" applyFill="1" applyBorder="1"/>
    <xf numFmtId="168" fontId="1" fillId="0" borderId="0" xfId="3" applyNumberFormat="1" applyFont="1" applyAlignment="1">
      <alignment horizontal="right" vertical="top" wrapText="1"/>
    </xf>
    <xf numFmtId="168" fontId="1" fillId="0" borderId="9" xfId="3" applyNumberFormat="1" applyFont="1" applyBorder="1" applyAlignment="1">
      <alignment horizontal="right" vertical="top" wrapText="1"/>
    </xf>
    <xf numFmtId="170" fontId="4" fillId="0" borderId="0" xfId="1" applyNumberFormat="1" applyFont="1" applyFill="1" applyAlignment="1">
      <alignment horizontal="right" vertical="top" wrapText="1"/>
    </xf>
    <xf numFmtId="170" fontId="4" fillId="0" borderId="0" xfId="1" applyNumberFormat="1" applyFont="1" applyFill="1" applyAlignment="1">
      <alignment horizontal="right"/>
    </xf>
    <xf numFmtId="170" fontId="4" fillId="0" borderId="0" xfId="1" applyNumberFormat="1" applyFont="1" applyFill="1"/>
    <xf numFmtId="170" fontId="10" fillId="0" borderId="9" xfId="1" applyNumberFormat="1" applyFont="1" applyFill="1" applyBorder="1"/>
    <xf numFmtId="170" fontId="1" fillId="0" borderId="0" xfId="1" applyNumberFormat="1" applyFont="1" applyAlignment="1">
      <alignment horizontal="right" vertical="top" wrapText="1"/>
    </xf>
    <xf numFmtId="170" fontId="1" fillId="0" borderId="9" xfId="1" applyNumberFormat="1" applyFont="1" applyBorder="1" applyAlignment="1">
      <alignment horizontal="right" vertical="top" wrapText="1"/>
    </xf>
    <xf numFmtId="170" fontId="4" fillId="0" borderId="0" xfId="1" applyNumberFormat="1" applyFont="1" applyAlignment="1">
      <alignment horizontal="right" vertical="top" wrapText="1"/>
    </xf>
    <xf numFmtId="170" fontId="10" fillId="0" borderId="0" xfId="1" applyNumberFormat="1" applyFont="1" applyFill="1"/>
    <xf numFmtId="165" fontId="10" fillId="0" borderId="0" xfId="2" applyNumberFormat="1" applyFont="1" applyFill="1"/>
    <xf numFmtId="165" fontId="10" fillId="0" borderId="9" xfId="2" applyNumberFormat="1" applyFont="1" applyFill="1" applyBorder="1"/>
    <xf numFmtId="165" fontId="4" fillId="0" borderId="0" xfId="2" applyNumberFormat="1" applyFont="1" applyFill="1"/>
    <xf numFmtId="165" fontId="4" fillId="0" borderId="9" xfId="2" applyNumberFormat="1" applyFont="1" applyFill="1" applyBorder="1"/>
    <xf numFmtId="10" fontId="10" fillId="0" borderId="0" xfId="3" applyNumberFormat="1" applyFont="1" applyFill="1" applyBorder="1"/>
    <xf numFmtId="171" fontId="10" fillId="0" borderId="0" xfId="2" applyNumberFormat="1" applyFont="1" applyFill="1" applyBorder="1"/>
    <xf numFmtId="170" fontId="1" fillId="0" borderId="0" xfId="1" applyNumberFormat="1" applyFont="1" applyAlignment="1">
      <alignment horizontal="center" vertical="top" wrapText="1"/>
    </xf>
    <xf numFmtId="168" fontId="1" fillId="0" borderId="0" xfId="1" applyNumberFormat="1" applyFont="1" applyFill="1"/>
    <xf numFmtId="168" fontId="1" fillId="0" borderId="0" xfId="3" applyNumberFormat="1" applyFont="1"/>
    <xf numFmtId="168" fontId="1" fillId="0" borderId="0" xfId="3" applyNumberFormat="1" applyFont="1" applyFill="1"/>
    <xf numFmtId="168" fontId="1" fillId="0" borderId="9" xfId="3" applyNumberFormat="1" applyFont="1" applyFill="1" applyBorder="1"/>
    <xf numFmtId="170" fontId="4" fillId="0" borderId="0" xfId="1" applyNumberFormat="1" applyFont="1"/>
    <xf numFmtId="170" fontId="10" fillId="0" borderId="9" xfId="3" applyNumberFormat="1" applyFont="1" applyFill="1" applyBorder="1"/>
    <xf numFmtId="0" fontId="10" fillId="0" borderId="9" xfId="0" applyFont="1" applyBorder="1" applyAlignment="1">
      <alignment horizontal="left" vertical="top" wrapText="1"/>
    </xf>
    <xf numFmtId="168" fontId="4" fillId="0" borderId="0" xfId="1" applyNumberFormat="1" applyFont="1" applyFill="1"/>
    <xf numFmtId="171" fontId="0" fillId="0" borderId="0" xfId="2" applyNumberFormat="1" applyFont="1" applyFill="1"/>
    <xf numFmtId="171" fontId="0" fillId="0" borderId="9" xfId="2" applyNumberFormat="1" applyFont="1" applyFill="1" applyBorder="1"/>
    <xf numFmtId="166" fontId="0" fillId="0" borderId="0" xfId="3" applyNumberFormat="1" applyFont="1" applyFill="1"/>
    <xf numFmtId="166" fontId="0" fillId="0" borderId="9" xfId="3" applyNumberFormat="1" applyFont="1" applyFill="1" applyBorder="1"/>
    <xf numFmtId="171" fontId="0" fillId="0" borderId="0" xfId="2" applyNumberFormat="1" applyFont="1" applyFill="1" applyAlignment="1">
      <alignment horizontal="left"/>
    </xf>
    <xf numFmtId="171" fontId="0" fillId="0" borderId="9" xfId="2" applyNumberFormat="1" applyFont="1" applyFill="1" applyBorder="1" applyAlignment="1">
      <alignment horizontal="left"/>
    </xf>
    <xf numFmtId="10" fontId="18" fillId="0" borderId="0" xfId="2" applyNumberFormat="1" applyFont="1" applyFill="1"/>
    <xf numFmtId="10" fontId="18" fillId="0" borderId="9" xfId="2" applyNumberFormat="1" applyFont="1" applyFill="1" applyBorder="1"/>
    <xf numFmtId="10" fontId="14" fillId="0" borderId="0" xfId="3" applyNumberFormat="1" applyFont="1" applyFill="1"/>
    <xf numFmtId="10" fontId="14" fillId="0" borderId="9" xfId="3" applyNumberFormat="1" applyFont="1" applyFill="1" applyBorder="1"/>
    <xf numFmtId="44" fontId="15" fillId="0" borderId="0" xfId="2" applyFont="1" applyFill="1"/>
    <xf numFmtId="44" fontId="15" fillId="0" borderId="9" xfId="2" applyFont="1" applyFill="1" applyBorder="1"/>
    <xf numFmtId="164" fontId="64" fillId="0" borderId="0" xfId="0" applyNumberFormat="1" applyFont="1"/>
    <xf numFmtId="43" fontId="15" fillId="0" borderId="0" xfId="1" applyFont="1" applyFill="1"/>
    <xf numFmtId="43" fontId="15" fillId="0" borderId="9" xfId="1" applyFont="1" applyFill="1" applyBorder="1"/>
    <xf numFmtId="43" fontId="64" fillId="0" borderId="0" xfId="1" applyFont="1" applyFill="1"/>
    <xf numFmtId="0" fontId="8" fillId="0" borderId="0" xfId="0" applyFont="1" applyAlignment="1">
      <alignment horizontal="left" indent="3"/>
    </xf>
    <xf numFmtId="168" fontId="0" fillId="0" borderId="0" xfId="0" applyNumberFormat="1"/>
    <xf numFmtId="168" fontId="0" fillId="0" borderId="9" xfId="0" applyNumberFormat="1" applyBorder="1"/>
    <xf numFmtId="0" fontId="24" fillId="0" borderId="0" xfId="0" applyFont="1" applyAlignment="1">
      <alignment horizontal="left" indent="6"/>
    </xf>
    <xf numFmtId="170" fontId="4" fillId="0" borderId="0" xfId="0" applyNumberFormat="1" applyFont="1"/>
    <xf numFmtId="170" fontId="4" fillId="0" borderId="9" xfId="0" applyNumberFormat="1" applyFont="1" applyBorder="1"/>
    <xf numFmtId="170" fontId="0" fillId="0" borderId="9" xfId="0" applyNumberFormat="1" applyBorder="1"/>
    <xf numFmtId="44" fontId="0" fillId="0" borderId="0" xfId="2" applyFont="1" applyFill="1" applyBorder="1"/>
    <xf numFmtId="43" fontId="24" fillId="0" borderId="0" xfId="1" applyFont="1" applyFill="1"/>
    <xf numFmtId="43" fontId="24" fillId="0" borderId="9" xfId="1" applyFont="1" applyFill="1" applyBorder="1"/>
    <xf numFmtId="43" fontId="24" fillId="0" borderId="0" xfId="1" applyFont="1" applyFill="1" applyBorder="1"/>
    <xf numFmtId="43" fontId="55" fillId="0" borderId="0" xfId="1" applyFont="1" applyFill="1" applyBorder="1"/>
    <xf numFmtId="43" fontId="55" fillId="0" borderId="0" xfId="1" applyFont="1" applyFill="1"/>
    <xf numFmtId="43" fontId="55" fillId="0" borderId="9" xfId="1" applyFont="1" applyFill="1" applyBorder="1"/>
    <xf numFmtId="43" fontId="0" fillId="0" borderId="0" xfId="1" applyFont="1" applyFill="1"/>
    <xf numFmtId="43" fontId="0" fillId="0" borderId="9" xfId="1" applyFont="1" applyFill="1" applyBorder="1"/>
    <xf numFmtId="43" fontId="0" fillId="0" borderId="0" xfId="1" applyFont="1" applyFill="1" applyBorder="1"/>
    <xf numFmtId="0" fontId="65" fillId="0" borderId="0" xfId="0" applyFont="1" applyAlignment="1">
      <alignment horizontal="left" indent="2"/>
    </xf>
    <xf numFmtId="44" fontId="55" fillId="0" borderId="0" xfId="2" applyFont="1" applyFill="1"/>
    <xf numFmtId="44" fontId="55" fillId="0" borderId="9" xfId="2" applyFont="1" applyFill="1" applyBorder="1"/>
    <xf numFmtId="44" fontId="55" fillId="0" borderId="0" xfId="2" applyFont="1" applyFill="1" applyBorder="1"/>
    <xf numFmtId="0" fontId="55" fillId="5" borderId="0" xfId="0" applyFont="1" applyFill="1"/>
    <xf numFmtId="0" fontId="0" fillId="5" borderId="0" xfId="0" applyFill="1" applyAlignment="1">
      <alignment horizontal="left"/>
    </xf>
    <xf numFmtId="0" fontId="66" fillId="5" borderId="0" xfId="0" applyFont="1" applyFill="1"/>
    <xf numFmtId="8" fontId="0" fillId="0" borderId="0" xfId="0" applyNumberFormat="1"/>
    <xf numFmtId="182" fontId="0" fillId="0" borderId="0" xfId="2" applyNumberFormat="1" applyFont="1"/>
    <xf numFmtId="170" fontId="0" fillId="0" borderId="0" xfId="1" applyNumberFormat="1" applyFont="1"/>
    <xf numFmtId="166" fontId="0" fillId="0" borderId="0" xfId="3" applyNumberFormat="1" applyFont="1"/>
    <xf numFmtId="2" fontId="0" fillId="0" borderId="0" xfId="0" applyNumberFormat="1"/>
    <xf numFmtId="0" fontId="55" fillId="11" borderId="0" xfId="0" applyFont="1" applyFill="1" applyAlignment="1">
      <alignment horizontal="center" vertical="center"/>
    </xf>
    <xf numFmtId="0" fontId="55" fillId="0" borderId="0" xfId="0" applyFont="1" applyAlignment="1">
      <alignment vertical="center"/>
    </xf>
    <xf numFmtId="0" fontId="55" fillId="37" borderId="0" xfId="0" applyFont="1" applyFill="1" applyAlignment="1">
      <alignment horizontal="center" vertical="center"/>
    </xf>
    <xf numFmtId="0" fontId="55" fillId="36" borderId="0" xfId="0" applyFont="1" applyFill="1" applyAlignment="1">
      <alignment horizontal="center" vertical="center"/>
    </xf>
    <xf numFmtId="0" fontId="55" fillId="14" borderId="0" xfId="0" applyFont="1" applyFill="1" applyAlignment="1">
      <alignment horizontal="center" vertical="center"/>
    </xf>
    <xf numFmtId="165" fontId="10" fillId="23" borderId="0" xfId="2" applyNumberFormat="1" applyFont="1" applyFill="1" applyBorder="1"/>
    <xf numFmtId="170" fontId="10" fillId="23" borderId="0" xfId="1" applyNumberFormat="1" applyFont="1" applyFill="1" applyBorder="1"/>
    <xf numFmtId="165" fontId="56" fillId="23" borderId="0" xfId="2" applyNumberFormat="1" applyFont="1" applyFill="1" applyBorder="1"/>
    <xf numFmtId="165" fontId="6" fillId="23" borderId="0" xfId="0" applyNumberFormat="1" applyFont="1" applyFill="1"/>
    <xf numFmtId="9" fontId="12" fillId="23" borderId="0" xfId="3" applyFont="1" applyFill="1" applyBorder="1"/>
    <xf numFmtId="0" fontId="10" fillId="23" borderId="0" xfId="0" applyFont="1" applyFill="1"/>
    <xf numFmtId="170" fontId="10" fillId="23" borderId="0" xfId="2" applyNumberFormat="1" applyFont="1" applyFill="1" applyBorder="1"/>
    <xf numFmtId="170" fontId="6" fillId="23" borderId="0" xfId="2" applyNumberFormat="1" applyFont="1" applyFill="1" applyBorder="1"/>
    <xf numFmtId="165" fontId="12" fillId="23" borderId="0" xfId="3" applyNumberFormat="1" applyFont="1" applyFill="1" applyBorder="1"/>
    <xf numFmtId="0" fontId="0" fillId="23" borderId="0" xfId="0" applyFill="1"/>
    <xf numFmtId="0" fontId="0" fillId="0" borderId="0" xfId="0" applyAlignment="1">
      <alignment vertical="center"/>
    </xf>
    <xf numFmtId="165" fontId="12" fillId="0" borderId="0" xfId="0" applyNumberFormat="1" applyFont="1" applyAlignment="1">
      <alignment horizontal="left"/>
    </xf>
    <xf numFmtId="171" fontId="55" fillId="7" borderId="0" xfId="2" applyNumberFormat="1" applyFont="1" applyFill="1"/>
    <xf numFmtId="0" fontId="55" fillId="2" borderId="0" xfId="0" applyFont="1" applyFill="1"/>
    <xf numFmtId="0" fontId="56" fillId="0" borderId="0" xfId="0" applyFont="1" applyAlignment="1">
      <alignment horizontal="right"/>
    </xf>
    <xf numFmtId="165" fontId="10" fillId="0" borderId="0" xfId="0" applyNumberFormat="1" applyFont="1" applyAlignment="1">
      <alignment horizontal="right"/>
    </xf>
    <xf numFmtId="170" fontId="10" fillId="0" borderId="0" xfId="0" applyNumberFormat="1" applyFont="1" applyAlignment="1">
      <alignment horizontal="right"/>
    </xf>
    <xf numFmtId="9" fontId="10" fillId="0" borderId="0" xfId="3" applyFont="1" applyAlignment="1">
      <alignment horizontal="right"/>
    </xf>
    <xf numFmtId="0" fontId="68" fillId="0" borderId="0" xfId="0" applyFont="1" applyAlignment="1">
      <alignment horizontal="center"/>
    </xf>
    <xf numFmtId="183" fontId="12" fillId="0" borderId="0" xfId="3" applyNumberFormat="1" applyFont="1" applyFill="1" applyBorder="1"/>
    <xf numFmtId="165" fontId="6" fillId="0" borderId="2" xfId="2" applyNumberFormat="1" applyFont="1" applyFill="1" applyBorder="1" applyAlignment="1">
      <alignment wrapText="1"/>
    </xf>
    <xf numFmtId="6" fontId="0" fillId="27" borderId="2" xfId="4" applyNumberFormat="1" applyFont="1" applyFill="1" applyBorder="1"/>
    <xf numFmtId="171" fontId="3" fillId="24" borderId="0" xfId="2" applyNumberFormat="1" applyFont="1" applyFill="1"/>
    <xf numFmtId="171" fontId="3" fillId="24" borderId="0" xfId="2" applyNumberFormat="1" applyFont="1" applyFill="1" applyAlignment="1">
      <alignment wrapText="1"/>
    </xf>
    <xf numFmtId="171" fontId="3" fillId="25" borderId="0" xfId="2" applyNumberFormat="1" applyFont="1" applyFill="1" applyAlignment="1">
      <alignment wrapText="1"/>
    </xf>
    <xf numFmtId="171" fontId="3" fillId="3" borderId="0" xfId="2" applyNumberFormat="1" applyFont="1" applyFill="1" applyAlignment="1">
      <alignment wrapText="1"/>
    </xf>
    <xf numFmtId="171" fontId="55" fillId="8" borderId="0" xfId="2" applyNumberFormat="1" applyFont="1" applyFill="1" applyAlignment="1"/>
    <xf numFmtId="44" fontId="0" fillId="0" borderId="0" xfId="0" applyNumberFormat="1" applyAlignment="1">
      <alignment wrapText="1"/>
    </xf>
    <xf numFmtId="172" fontId="0" fillId="7" borderId="2" xfId="0" applyNumberFormat="1" applyFill="1" applyBorder="1"/>
    <xf numFmtId="171" fontId="0" fillId="7" borderId="2" xfId="4" applyNumberFormat="1" applyFont="1" applyFill="1" applyBorder="1" applyAlignment="1"/>
    <xf numFmtId="49" fontId="23" fillId="7" borderId="0" xfId="0" applyNumberFormat="1" applyFont="1" applyFill="1"/>
    <xf numFmtId="172" fontId="23" fillId="7" borderId="2" xfId="0" applyNumberFormat="1" applyFont="1" applyFill="1" applyBorder="1"/>
    <xf numFmtId="44" fontId="24" fillId="0" borderId="0" xfId="4" applyFont="1" applyFill="1" applyBorder="1" applyAlignment="1"/>
    <xf numFmtId="6" fontId="0" fillId="0" borderId="0" xfId="0" applyNumberFormat="1" applyAlignment="1">
      <alignment wrapText="1"/>
    </xf>
    <xf numFmtId="0" fontId="10" fillId="0" borderId="6" xfId="0" applyFont="1" applyBorder="1"/>
    <xf numFmtId="165" fontId="10" fillId="0" borderId="21" xfId="0" applyNumberFormat="1" applyFont="1" applyBorder="1"/>
    <xf numFmtId="0" fontId="10" fillId="0" borderId="7" xfId="0" applyFont="1" applyBorder="1"/>
    <xf numFmtId="0" fontId="10" fillId="0" borderId="8" xfId="0" applyFont="1" applyBorder="1"/>
    <xf numFmtId="0" fontId="56" fillId="0" borderId="8" xfId="0" applyFont="1" applyBorder="1" applyAlignment="1">
      <alignment horizontal="right"/>
    </xf>
    <xf numFmtId="165" fontId="10" fillId="0" borderId="8" xfId="0" applyNumberFormat="1" applyFont="1" applyBorder="1" applyAlignment="1">
      <alignment horizontal="right"/>
    </xf>
    <xf numFmtId="9" fontId="10" fillId="0" borderId="0" xfId="3" applyFont="1" applyBorder="1" applyAlignment="1">
      <alignment horizontal="right"/>
    </xf>
    <xf numFmtId="170" fontId="10" fillId="0" borderId="12" xfId="0" applyNumberFormat="1" applyFont="1" applyBorder="1" applyAlignment="1">
      <alignment horizontal="right"/>
    </xf>
    <xf numFmtId="170" fontId="10" fillId="0" borderId="1" xfId="0" applyNumberFormat="1" applyFont="1" applyBorder="1" applyAlignment="1">
      <alignment horizontal="right"/>
    </xf>
    <xf numFmtId="0" fontId="10" fillId="0" borderId="1" xfId="0" applyFont="1" applyBorder="1"/>
    <xf numFmtId="0" fontId="10" fillId="0" borderId="13" xfId="0" applyFont="1" applyBorder="1"/>
    <xf numFmtId="49" fontId="0" fillId="0" borderId="0" xfId="0" applyNumberFormat="1" applyAlignment="1">
      <alignment horizontal="center" vertical="center" wrapText="1"/>
    </xf>
    <xf numFmtId="171" fontId="34" fillId="0" borderId="0" xfId="0" applyNumberFormat="1" applyFont="1"/>
    <xf numFmtId="9" fontId="20" fillId="32" borderId="34" xfId="3" applyFont="1" applyFill="1" applyBorder="1"/>
    <xf numFmtId="165" fontId="56" fillId="0" borderId="0" xfId="2" applyNumberFormat="1" applyFont="1" applyFill="1" applyBorder="1"/>
    <xf numFmtId="10" fontId="12" fillId="0" borderId="0" xfId="3" applyNumberFormat="1" applyFont="1" applyFill="1" applyBorder="1"/>
    <xf numFmtId="44" fontId="3" fillId="0" borderId="0" xfId="2" applyFont="1" applyFill="1"/>
    <xf numFmtId="6" fontId="23" fillId="0" borderId="2" xfId="4" applyNumberFormat="1" applyFont="1" applyFill="1" applyBorder="1"/>
    <xf numFmtId="10" fontId="0" fillId="0" borderId="0" xfId="3" applyNumberFormat="1" applyFont="1" applyAlignment="1">
      <alignment horizontal="center"/>
    </xf>
    <xf numFmtId="170" fontId="56" fillId="0" borderId="22" xfId="0" applyNumberFormat="1" applyFont="1" applyBorder="1"/>
    <xf numFmtId="0" fontId="0" fillId="29" borderId="0" xfId="0" applyFill="1"/>
    <xf numFmtId="0" fontId="0" fillId="29" borderId="0" xfId="0" applyFill="1" applyAlignment="1">
      <alignment horizontal="left"/>
    </xf>
    <xf numFmtId="44" fontId="3" fillId="29" borderId="0" xfId="2" applyFont="1" applyFill="1"/>
    <xf numFmtId="44" fontId="0" fillId="29" borderId="0" xfId="0" applyNumberFormat="1" applyFill="1"/>
    <xf numFmtId="0" fontId="0" fillId="29" borderId="2" xfId="0" applyFill="1" applyBorder="1"/>
    <xf numFmtId="171" fontId="0" fillId="29" borderId="0" xfId="0" applyNumberFormat="1" applyFill="1"/>
    <xf numFmtId="170" fontId="10" fillId="29" borderId="0" xfId="2" applyNumberFormat="1" applyFont="1" applyFill="1" applyBorder="1"/>
    <xf numFmtId="0" fontId="0" fillId="8" borderId="0" xfId="0" applyFill="1"/>
    <xf numFmtId="0" fontId="0" fillId="8" borderId="0" xfId="0" applyFill="1" applyAlignment="1">
      <alignment horizontal="left"/>
    </xf>
    <xf numFmtId="44" fontId="3" fillId="8" borderId="0" xfId="2" applyFont="1" applyFill="1"/>
    <xf numFmtId="0" fontId="0" fillId="8" borderId="2" xfId="0" applyFill="1" applyBorder="1"/>
    <xf numFmtId="44" fontId="0" fillId="8" borderId="0" xfId="0" applyNumberFormat="1" applyFill="1"/>
    <xf numFmtId="0" fontId="0" fillId="2" borderId="2" xfId="0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17" xfId="0" applyNumberFormat="1" applyBorder="1" applyAlignment="1">
      <alignment horizontal="center"/>
    </xf>
    <xf numFmtId="0" fontId="3" fillId="24" borderId="0" xfId="0" applyFont="1" applyFill="1" applyAlignment="1">
      <alignment horizontal="center"/>
    </xf>
    <xf numFmtId="0" fontId="63" fillId="0" borderId="39" xfId="0" applyFont="1" applyBorder="1" applyAlignment="1">
      <alignment horizontal="left" wrapText="1"/>
    </xf>
    <xf numFmtId="0" fontId="7" fillId="13" borderId="0" xfId="0" applyFont="1" applyFill="1" applyAlignment="1">
      <alignment horizontal="center" vertical="center"/>
    </xf>
    <xf numFmtId="0" fontId="5" fillId="5" borderId="3" xfId="0" applyFont="1" applyFill="1" applyBorder="1" applyAlignment="1">
      <alignment horizontal="center"/>
    </xf>
    <xf numFmtId="0" fontId="5" fillId="5" borderId="16" xfId="0" applyFont="1" applyFill="1" applyBorder="1" applyAlignment="1">
      <alignment horizontal="center"/>
    </xf>
    <xf numFmtId="0" fontId="5" fillId="5" borderId="17" xfId="0" applyFont="1" applyFill="1" applyBorder="1" applyAlignment="1">
      <alignment horizontal="center"/>
    </xf>
    <xf numFmtId="0" fontId="7" fillId="10" borderId="0" xfId="0" applyFont="1" applyFill="1" applyAlignment="1">
      <alignment horizontal="center" vertical="center"/>
    </xf>
    <xf numFmtId="0" fontId="7" fillId="11" borderId="0" xfId="0" applyFont="1" applyFill="1" applyAlignment="1">
      <alignment horizontal="center" vertical="center"/>
    </xf>
    <xf numFmtId="0" fontId="7" fillId="12" borderId="0" xfId="0" applyFont="1" applyFill="1" applyAlignment="1">
      <alignment horizontal="center" vertical="center"/>
    </xf>
    <xf numFmtId="0" fontId="2" fillId="15" borderId="0" xfId="0" applyFont="1" applyFill="1" applyAlignment="1">
      <alignment horizontal="center"/>
    </xf>
    <xf numFmtId="0" fontId="67" fillId="15" borderId="0" xfId="0" applyFont="1" applyFill="1" applyAlignment="1">
      <alignment horizontal="center" vertical="center" textRotation="255" wrapText="1"/>
    </xf>
    <xf numFmtId="0" fontId="32" fillId="0" borderId="0" xfId="0" applyFont="1" applyAlignment="1">
      <alignment horizontal="center"/>
    </xf>
  </cellXfs>
  <cellStyles count="6">
    <cellStyle name="Comma" xfId="1" builtinId="3"/>
    <cellStyle name="Currency" xfId="2" builtinId="4"/>
    <cellStyle name="Currency 2" xfId="4" xr:uid="{0BE44622-9F63-2547-A580-A6F97D49006E}"/>
    <cellStyle name="Currency 3" xfId="5" xr:uid="{70EF9E4A-64C6-414B-A3F7-12A48F4C3D10}"/>
    <cellStyle name="Normal" xfId="0" builtinId="0"/>
    <cellStyle name="Percent" xfId="3" builtinId="5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9F0C0"/>
      <color rgb="FFFFBF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pepisavalos/Downloads/Budget%202025_RE%20(2).xlsx" TargetMode="External"/><Relationship Id="rId1" Type="http://schemas.openxmlformats.org/officeDocument/2006/relationships/externalLinkPath" Target="/Users/pepisavalos/Downloads/Budget%202025_RE%20(2)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egina/Library/CloudStorage/GoogleDrive-reginaelizondo@kinedu.com/.shortcut-targets-by-id/1dc3Secd2PUm1VAkxJiI4kkMHSaIp3mi5/Presupuesto%20y%20Finanzas/2025/Budget/Modelo%202025_0K.xlsm" TargetMode="External"/><Relationship Id="rId1" Type="http://schemas.openxmlformats.org/officeDocument/2006/relationships/externalLinkPath" Target="/Users/pepisavalos/Library/CloudStorage/GoogleDrive-mariajosefa@kinedu.com/My%20Drive/Presupuesto%20y%20Finanzas/2025/Budget/Modelo%202025_0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upuestos"/>
      <sheetName val="Results CASH"/>
      <sheetName val="Model"/>
      <sheetName val="C. Assumptions"/>
      <sheetName val="24-Operational Dashboard"/>
      <sheetName val="Dashboard Costs"/>
      <sheetName val="Consolidated Gastos"/>
      <sheetName val="Admon 2025"/>
      <sheetName val="Product 2025"/>
      <sheetName val="Tech 2025"/>
      <sheetName val="Content 2025"/>
      <sheetName val="Marketing 2025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24-Operational Dashboard"/>
      <sheetName val="Supuestos BD"/>
      <sheetName val="Supuestos"/>
      <sheetName val="Model"/>
      <sheetName val="Results CASH"/>
      <sheetName val="DASHBOARD COSTS"/>
      <sheetName val="Admon 2025"/>
      <sheetName val="Product 2025"/>
      <sheetName val="Tech 2025"/>
      <sheetName val="Content 2025"/>
      <sheetName val="Marketing 2025"/>
      <sheetName val="Consolidado Costos"/>
    </sheetNames>
    <sheetDataSet>
      <sheetData sheetId="0"/>
      <sheetData sheetId="1"/>
      <sheetData sheetId="2">
        <row r="7">
          <cell r="G7">
            <v>4000</v>
          </cell>
          <cell r="H7">
            <v>5400</v>
          </cell>
          <cell r="I7">
            <v>6300</v>
          </cell>
          <cell r="J7">
            <v>7500</v>
          </cell>
        </row>
        <row r="8">
          <cell r="G8">
            <v>1</v>
          </cell>
          <cell r="H8">
            <v>1</v>
          </cell>
          <cell r="I8">
            <v>1</v>
          </cell>
          <cell r="J8">
            <v>1</v>
          </cell>
        </row>
        <row r="16">
          <cell r="M16">
            <v>57.311435935000006</v>
          </cell>
        </row>
        <row r="17">
          <cell r="M17">
            <v>11.422400504999999</v>
          </cell>
        </row>
        <row r="22">
          <cell r="G22">
            <v>10</v>
          </cell>
          <cell r="H22">
            <v>10</v>
          </cell>
          <cell r="I22">
            <v>9</v>
          </cell>
          <cell r="J22">
            <v>9</v>
          </cell>
        </row>
        <row r="23">
          <cell r="G23">
            <v>0.2</v>
          </cell>
          <cell r="H23">
            <v>0.2</v>
          </cell>
          <cell r="I23">
            <v>0.25</v>
          </cell>
          <cell r="J23">
            <v>0.25</v>
          </cell>
        </row>
        <row r="24">
          <cell r="G24">
            <v>53</v>
          </cell>
          <cell r="H24">
            <v>55</v>
          </cell>
          <cell r="I24">
            <v>57</v>
          </cell>
          <cell r="J24">
            <v>57</v>
          </cell>
        </row>
        <row r="25">
          <cell r="G25">
            <v>0.06</v>
          </cell>
          <cell r="H25">
            <v>0.06</v>
          </cell>
          <cell r="I25">
            <v>0.06</v>
          </cell>
          <cell r="J25">
            <v>0.06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DA862-BAF7-7F45-8C30-8EFEEE4043A4}">
  <sheetPr codeName="Sheet1"/>
  <dimension ref="B1:BJ70"/>
  <sheetViews>
    <sheetView showGridLines="0" zoomScale="75" workbookViewId="0">
      <selection activeCell="R20" sqref="R20"/>
    </sheetView>
  </sheetViews>
  <sheetFormatPr baseColWidth="10" defaultColWidth="8.83203125" defaultRowHeight="16"/>
  <cols>
    <col min="2" max="2" width="35" customWidth="1"/>
    <col min="3" max="11" width="8.83203125" bestFit="1" customWidth="1"/>
    <col min="13" max="13" width="12.5" customWidth="1"/>
    <col min="14" max="14" width="9.1640625" bestFit="1" customWidth="1"/>
    <col min="15" max="15" width="9.1640625" customWidth="1"/>
    <col min="17" max="17" width="29.5" customWidth="1"/>
    <col min="18" max="18" width="8" bestFit="1" customWidth="1"/>
    <col min="28" max="29" width="9.1640625" bestFit="1" customWidth="1"/>
    <col min="30" max="30" width="6.33203125" customWidth="1"/>
    <col min="31" max="31" width="16.83203125" bestFit="1" customWidth="1"/>
    <col min="32" max="32" width="29.5" customWidth="1"/>
    <col min="33" max="33" width="8" bestFit="1" customWidth="1"/>
    <col min="43" max="44" width="9.1640625" bestFit="1" customWidth="1"/>
    <col min="51" max="51" width="9.33203125" bestFit="1" customWidth="1"/>
    <col min="62" max="62" width="9.1640625" bestFit="1" customWidth="1"/>
  </cols>
  <sheetData>
    <row r="1" spans="2:62"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Q1" s="104"/>
      <c r="R1" s="104"/>
      <c r="S1" s="104"/>
      <c r="T1" s="104"/>
      <c r="U1" s="104"/>
      <c r="V1" s="104"/>
      <c r="W1" s="104"/>
      <c r="X1" s="104"/>
      <c r="Y1" s="104"/>
      <c r="Z1" s="104"/>
      <c r="AA1" s="104"/>
      <c r="AB1" s="104"/>
      <c r="AC1" s="104"/>
      <c r="AF1" s="95"/>
      <c r="AG1" s="95"/>
      <c r="AH1" s="95"/>
      <c r="AI1" s="95"/>
      <c r="AJ1" s="95"/>
      <c r="AK1" s="95"/>
      <c r="AL1" s="95"/>
      <c r="AM1" s="95"/>
      <c r="AN1" s="95"/>
      <c r="AO1" s="95"/>
      <c r="AP1" s="95"/>
      <c r="AQ1" s="95"/>
      <c r="AR1" s="95"/>
      <c r="AX1" s="26"/>
      <c r="AY1" s="26"/>
      <c r="AZ1" s="26"/>
      <c r="BA1" s="26"/>
      <c r="BB1" s="26"/>
      <c r="BC1" s="104"/>
      <c r="BD1" s="104"/>
      <c r="BE1" s="104"/>
      <c r="BF1" s="104"/>
      <c r="BG1" s="104"/>
      <c r="BH1" s="104"/>
    </row>
    <row r="2" spans="2:62">
      <c r="B2" s="429" t="s">
        <v>621</v>
      </c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Q2" s="430" t="s">
        <v>622</v>
      </c>
      <c r="R2" s="104"/>
      <c r="S2" s="104"/>
      <c r="T2" s="104"/>
      <c r="U2" s="104"/>
      <c r="V2" s="104"/>
      <c r="W2" s="104"/>
      <c r="X2" s="104"/>
      <c r="Y2" s="104"/>
      <c r="Z2" s="104"/>
      <c r="AA2" s="104"/>
      <c r="AB2" s="104"/>
      <c r="AC2" s="104"/>
      <c r="AF2" s="431" t="s">
        <v>72</v>
      </c>
      <c r="AG2" s="95"/>
      <c r="AH2" s="95"/>
      <c r="AI2" s="95"/>
      <c r="AJ2" s="95"/>
      <c r="AK2" s="95"/>
      <c r="AL2" s="95"/>
      <c r="AM2" s="95"/>
      <c r="AN2" s="95"/>
      <c r="AO2" s="95"/>
      <c r="AP2" s="95"/>
      <c r="AQ2" s="95"/>
      <c r="AR2" s="95"/>
      <c r="AX2" s="432" t="s">
        <v>621</v>
      </c>
      <c r="AY2" s="432"/>
      <c r="AZ2" s="26"/>
      <c r="BA2" s="26"/>
      <c r="BB2" s="26"/>
      <c r="BC2" s="433" t="s">
        <v>622</v>
      </c>
      <c r="BD2" s="104"/>
      <c r="BE2" s="104"/>
      <c r="BF2" s="104"/>
      <c r="BG2" s="104"/>
      <c r="BH2" s="104"/>
    </row>
    <row r="3" spans="2:62">
      <c r="B3" s="765">
        <v>2024</v>
      </c>
      <c r="C3" s="765"/>
      <c r="D3" s="765"/>
      <c r="E3" s="765"/>
      <c r="F3" s="765"/>
      <c r="G3" s="765"/>
      <c r="H3" s="765"/>
      <c r="I3" s="765"/>
      <c r="J3" s="765"/>
      <c r="K3" s="765"/>
      <c r="L3" s="765"/>
      <c r="M3" s="765"/>
      <c r="N3" s="765"/>
      <c r="O3" s="434"/>
      <c r="Q3" s="765">
        <v>2024</v>
      </c>
      <c r="R3" s="765"/>
      <c r="S3" s="765"/>
      <c r="T3" s="765"/>
      <c r="U3" s="765"/>
      <c r="V3" s="765"/>
      <c r="W3" s="765"/>
      <c r="X3" s="765"/>
      <c r="Y3" s="765"/>
      <c r="Z3" s="765"/>
      <c r="AA3" s="765"/>
      <c r="AB3" s="765"/>
      <c r="AC3" s="765"/>
      <c r="AF3" s="765">
        <v>2024</v>
      </c>
      <c r="AG3" s="765"/>
      <c r="AH3" s="765"/>
      <c r="AI3" s="765"/>
      <c r="AJ3" s="765"/>
      <c r="AK3" s="765"/>
      <c r="AL3" s="765"/>
      <c r="AM3" s="765"/>
      <c r="AN3" s="765"/>
      <c r="AO3" s="765"/>
      <c r="AP3" s="765"/>
      <c r="AQ3" s="765"/>
      <c r="AR3" s="765"/>
      <c r="AX3" s="765">
        <v>2024</v>
      </c>
      <c r="AY3" s="765"/>
      <c r="AZ3" s="765"/>
      <c r="BA3" s="765"/>
      <c r="BB3" s="765"/>
      <c r="BC3" s="765"/>
      <c r="BD3" s="765"/>
      <c r="BE3" s="765"/>
      <c r="BF3" s="765"/>
      <c r="BG3" s="765"/>
      <c r="BH3" s="765"/>
    </row>
    <row r="4" spans="2:62">
      <c r="B4" s="434"/>
      <c r="C4" s="434"/>
      <c r="D4" s="434"/>
      <c r="E4" s="434"/>
      <c r="F4" s="434"/>
      <c r="G4" s="434"/>
      <c r="H4" s="434"/>
      <c r="I4" s="434"/>
      <c r="J4" s="434"/>
      <c r="K4" s="434"/>
      <c r="L4" s="434"/>
      <c r="M4" s="434"/>
      <c r="N4" s="434"/>
      <c r="O4" s="434"/>
      <c r="Q4" s="434"/>
      <c r="R4" s="434"/>
      <c r="S4" s="434"/>
      <c r="T4" s="434"/>
      <c r="U4" s="434"/>
      <c r="V4" s="434"/>
      <c r="W4" s="434"/>
      <c r="X4" s="434"/>
      <c r="Y4" s="434"/>
      <c r="Z4" s="434"/>
      <c r="AA4" s="434"/>
      <c r="AB4" s="434"/>
      <c r="AC4" s="434"/>
      <c r="AF4" s="434"/>
      <c r="AG4" s="434"/>
      <c r="AH4" s="434"/>
      <c r="AI4" s="434"/>
      <c r="AJ4" s="434"/>
      <c r="AK4" s="434"/>
      <c r="AL4" s="434"/>
      <c r="AM4" s="434"/>
      <c r="AN4" s="434"/>
      <c r="AO4" s="434"/>
      <c r="AP4" s="434"/>
      <c r="AQ4" s="434"/>
      <c r="AR4" s="434"/>
    </row>
    <row r="5" spans="2:62">
      <c r="C5" s="435" t="s">
        <v>623</v>
      </c>
      <c r="D5" s="435" t="s">
        <v>624</v>
      </c>
      <c r="E5" s="435" t="s">
        <v>625</v>
      </c>
      <c r="F5" s="435" t="s">
        <v>626</v>
      </c>
      <c r="G5" s="435" t="s">
        <v>627</v>
      </c>
      <c r="H5" s="435" t="s">
        <v>628</v>
      </c>
      <c r="I5" s="435" t="s">
        <v>629</v>
      </c>
      <c r="J5" s="435" t="s">
        <v>630</v>
      </c>
      <c r="K5" s="435" t="s">
        <v>631</v>
      </c>
      <c r="M5" s="761" t="s">
        <v>632</v>
      </c>
      <c r="N5" s="761"/>
      <c r="O5" s="436"/>
      <c r="R5" s="435" t="s">
        <v>623</v>
      </c>
      <c r="S5" s="435" t="s">
        <v>624</v>
      </c>
      <c r="T5" s="435" t="s">
        <v>625</v>
      </c>
      <c r="U5" s="435" t="s">
        <v>626</v>
      </c>
      <c r="V5" s="435" t="s">
        <v>627</v>
      </c>
      <c r="W5" s="435" t="s">
        <v>628</v>
      </c>
      <c r="X5" s="435" t="s">
        <v>629</v>
      </c>
      <c r="Y5" s="435" t="s">
        <v>630</v>
      </c>
      <c r="Z5" s="435" t="s">
        <v>631</v>
      </c>
      <c r="AB5" s="761" t="s">
        <v>632</v>
      </c>
      <c r="AC5" s="761"/>
      <c r="AG5" s="435" t="s">
        <v>623</v>
      </c>
      <c r="AH5" s="435" t="s">
        <v>624</v>
      </c>
      <c r="AI5" s="435" t="s">
        <v>625</v>
      </c>
      <c r="AJ5" s="435" t="s">
        <v>626</v>
      </c>
      <c r="AK5" s="435" t="s">
        <v>627</v>
      </c>
      <c r="AL5" s="435" t="s">
        <v>628</v>
      </c>
      <c r="AM5" s="435" t="s">
        <v>629</v>
      </c>
      <c r="AN5" s="435" t="s">
        <v>630</v>
      </c>
      <c r="AO5" s="435" t="s">
        <v>631</v>
      </c>
      <c r="AP5" s="437">
        <v>37165</v>
      </c>
      <c r="AS5" s="761" t="s">
        <v>632</v>
      </c>
      <c r="AT5" s="761"/>
      <c r="AX5" s="5" t="s">
        <v>633</v>
      </c>
    </row>
    <row r="6" spans="2:62">
      <c r="B6" s="438" t="s">
        <v>634</v>
      </c>
      <c r="C6" s="439">
        <v>132217.42000000001</v>
      </c>
      <c r="D6" s="439">
        <v>128554.14</v>
      </c>
      <c r="E6" s="439">
        <v>140847.47999999998</v>
      </c>
      <c r="F6" s="439">
        <v>134397.11000000002</v>
      </c>
      <c r="G6" s="439">
        <v>132917.930005</v>
      </c>
      <c r="H6" s="439">
        <v>143607.28999899997</v>
      </c>
      <c r="I6" s="439">
        <v>155557.66999900001</v>
      </c>
      <c r="J6" s="439">
        <v>144227.56000300002</v>
      </c>
      <c r="K6" s="439">
        <v>126653.89051099999</v>
      </c>
      <c r="M6" s="763">
        <f>+AVERAGE(C6:K6)</f>
        <v>137664.49894633333</v>
      </c>
      <c r="N6" s="764"/>
      <c r="O6" s="440"/>
      <c r="Q6" s="438" t="s">
        <v>634</v>
      </c>
      <c r="R6" s="439">
        <v>19973.990000000002</v>
      </c>
      <c r="S6" s="439">
        <v>18756.680001000001</v>
      </c>
      <c r="T6" s="439">
        <v>18112.150000000001</v>
      </c>
      <c r="U6" s="439">
        <v>18294.52</v>
      </c>
      <c r="V6" s="439">
        <v>13806.050000000001</v>
      </c>
      <c r="W6" s="439">
        <v>16704.619999999995</v>
      </c>
      <c r="X6" s="439">
        <v>17896.179999999997</v>
      </c>
      <c r="Y6" s="439">
        <v>23103.840000999997</v>
      </c>
      <c r="Z6" s="439">
        <v>23327.840633999993</v>
      </c>
      <c r="AB6" s="763">
        <f>+AVERAGE(R6:Z6)</f>
        <v>18886.207848444443</v>
      </c>
      <c r="AC6" s="764"/>
      <c r="AF6" s="438" t="s">
        <v>634</v>
      </c>
      <c r="AG6" s="439">
        <v>0</v>
      </c>
      <c r="AH6" s="439">
        <v>0</v>
      </c>
      <c r="AI6" s="439">
        <v>0</v>
      </c>
      <c r="AJ6" s="439">
        <v>0</v>
      </c>
      <c r="AK6" s="439">
        <v>0</v>
      </c>
      <c r="AL6" s="439">
        <v>0</v>
      </c>
      <c r="AM6" s="439">
        <v>0</v>
      </c>
      <c r="AN6" s="439">
        <v>1965.37</v>
      </c>
      <c r="AO6" s="439">
        <v>7785.9172029999991</v>
      </c>
      <c r="AP6" s="439">
        <v>3897.4800000000005</v>
      </c>
      <c r="AS6" s="763">
        <f>+AVERAGE(AN6:AP6)</f>
        <v>4549.5890676666668</v>
      </c>
      <c r="AT6" s="764"/>
      <c r="AX6" s="441"/>
      <c r="AY6" s="437">
        <v>36892</v>
      </c>
      <c r="AZ6" s="437">
        <v>36923</v>
      </c>
      <c r="BA6" s="437">
        <v>36951</v>
      </c>
      <c r="BB6" s="437">
        <v>36982</v>
      </c>
      <c r="BC6" s="437">
        <v>37012</v>
      </c>
      <c r="BD6" s="437">
        <v>37043</v>
      </c>
      <c r="BE6" s="437">
        <v>37073</v>
      </c>
      <c r="BF6" s="437">
        <v>37104</v>
      </c>
      <c r="BG6" s="437">
        <v>37135</v>
      </c>
      <c r="BH6" s="437">
        <v>37165</v>
      </c>
    </row>
    <row r="7" spans="2:62">
      <c r="B7" s="438" t="s">
        <v>635</v>
      </c>
      <c r="C7" s="442">
        <v>79568</v>
      </c>
      <c r="D7" s="442">
        <v>73450</v>
      </c>
      <c r="E7" s="442">
        <v>67047</v>
      </c>
      <c r="F7" s="442">
        <v>52899</v>
      </c>
      <c r="G7" s="442">
        <v>56301</v>
      </c>
      <c r="H7" s="442">
        <v>63617</v>
      </c>
      <c r="I7" s="442">
        <v>73784</v>
      </c>
      <c r="J7" s="442">
        <v>70583</v>
      </c>
      <c r="K7" s="442">
        <v>63273</v>
      </c>
      <c r="Q7" s="438" t="s">
        <v>635</v>
      </c>
      <c r="R7" s="442">
        <v>57854</v>
      </c>
      <c r="S7" s="442">
        <v>46701</v>
      </c>
      <c r="T7" s="442">
        <v>39262</v>
      </c>
      <c r="U7" s="442">
        <v>37173</v>
      </c>
      <c r="V7" s="442">
        <v>33397</v>
      </c>
      <c r="W7" s="442">
        <v>35437</v>
      </c>
      <c r="X7" s="442">
        <v>35090</v>
      </c>
      <c r="Y7" s="442">
        <v>40890</v>
      </c>
      <c r="Z7" s="442">
        <v>34539</v>
      </c>
      <c r="AF7" s="438" t="s">
        <v>635</v>
      </c>
      <c r="AG7" s="442">
        <v>0</v>
      </c>
      <c r="AH7" s="442">
        <v>0</v>
      </c>
      <c r="AI7" s="442">
        <v>0</v>
      </c>
      <c r="AJ7" s="442">
        <v>0</v>
      </c>
      <c r="AK7" s="442">
        <v>0</v>
      </c>
      <c r="AL7" s="442">
        <v>0</v>
      </c>
      <c r="AM7" s="442">
        <v>0</v>
      </c>
      <c r="AN7" s="442">
        <v>0</v>
      </c>
      <c r="AO7" s="442">
        <v>0</v>
      </c>
      <c r="AP7" s="442">
        <v>0</v>
      </c>
      <c r="AX7" s="438" t="s">
        <v>634</v>
      </c>
      <c r="AY7" s="439">
        <v>152191.41</v>
      </c>
      <c r="AZ7" s="439">
        <v>147310.82000099996</v>
      </c>
      <c r="BA7" s="439">
        <v>158959.63</v>
      </c>
      <c r="BB7" s="439">
        <v>152691.62999999998</v>
      </c>
      <c r="BC7" s="439">
        <v>146723.98000499999</v>
      </c>
      <c r="BD7" s="439">
        <v>160311.909999</v>
      </c>
      <c r="BE7" s="439">
        <v>173453.84999900003</v>
      </c>
      <c r="BF7" s="439">
        <v>167331.400004</v>
      </c>
      <c r="BG7" s="439">
        <v>149981.73114500006</v>
      </c>
      <c r="BH7" s="439">
        <v>141850.00491899997</v>
      </c>
      <c r="BJ7" s="443"/>
    </row>
    <row r="8" spans="2:62">
      <c r="B8" s="438" t="s">
        <v>636</v>
      </c>
      <c r="C8" s="444">
        <v>1.6616908807560831</v>
      </c>
      <c r="D8" s="444">
        <v>1.7502265486725663</v>
      </c>
      <c r="E8" s="444">
        <v>2.100727549331066</v>
      </c>
      <c r="F8" s="444">
        <v>2.5406361178850263</v>
      </c>
      <c r="G8" s="444">
        <v>2.3608449229143353</v>
      </c>
      <c r="H8" s="444">
        <v>2.2573728720153414</v>
      </c>
      <c r="I8" s="444">
        <v>2.1082845874308793</v>
      </c>
      <c r="J8" s="444">
        <v>2.0433753170451809</v>
      </c>
      <c r="K8" s="444">
        <v>2.001705158772304</v>
      </c>
      <c r="M8" s="761" t="s">
        <v>45</v>
      </c>
      <c r="N8" s="761"/>
      <c r="O8" s="436"/>
      <c r="Q8" s="438" t="s">
        <v>636</v>
      </c>
      <c r="R8" s="444">
        <v>0.34524821101393166</v>
      </c>
      <c r="S8" s="444">
        <v>0.4016333697565363</v>
      </c>
      <c r="T8" s="444">
        <v>0.46131501197086244</v>
      </c>
      <c r="U8" s="444">
        <v>0.49214537433083155</v>
      </c>
      <c r="V8" s="444">
        <v>0.41339192143006859</v>
      </c>
      <c r="W8" s="444">
        <v>0.47138922595027782</v>
      </c>
      <c r="X8" s="444">
        <v>0.51000797948133358</v>
      </c>
      <c r="Y8" s="444">
        <v>0.5650242113230618</v>
      </c>
      <c r="Z8" s="444">
        <v>0.67540579153999802</v>
      </c>
      <c r="AB8" s="761" t="s">
        <v>45</v>
      </c>
      <c r="AC8" s="761"/>
      <c r="AF8" s="438" t="s">
        <v>636</v>
      </c>
      <c r="AG8" s="444"/>
      <c r="AH8" s="444"/>
      <c r="AI8" s="444"/>
      <c r="AJ8" s="444"/>
      <c r="AK8" s="444"/>
      <c r="AL8" s="444"/>
      <c r="AM8" s="444"/>
      <c r="AN8" s="444"/>
      <c r="AO8" s="444"/>
      <c r="AP8" s="444"/>
      <c r="AS8" s="761" t="s">
        <v>45</v>
      </c>
      <c r="AT8" s="761"/>
      <c r="AX8" s="438" t="s">
        <v>635</v>
      </c>
      <c r="AY8" s="442">
        <v>137422</v>
      </c>
      <c r="AZ8" s="442">
        <v>120151</v>
      </c>
      <c r="BA8" s="442">
        <v>106309</v>
      </c>
      <c r="BB8" s="442">
        <v>90072</v>
      </c>
      <c r="BC8" s="442">
        <v>89698</v>
      </c>
      <c r="BD8" s="442">
        <v>99054</v>
      </c>
      <c r="BE8" s="442">
        <v>108874</v>
      </c>
      <c r="BF8" s="442">
        <v>111473</v>
      </c>
      <c r="BG8" s="442">
        <v>97812</v>
      </c>
      <c r="BH8" s="442">
        <v>125777</v>
      </c>
    </row>
    <row r="9" spans="2:62">
      <c r="B9" s="438" t="s">
        <v>74</v>
      </c>
      <c r="C9" s="442">
        <v>59830</v>
      </c>
      <c r="D9" s="442">
        <v>52071</v>
      </c>
      <c r="E9" s="442">
        <v>50071</v>
      </c>
      <c r="F9" s="442">
        <v>45602</v>
      </c>
      <c r="G9" s="442">
        <v>47768</v>
      </c>
      <c r="H9" s="442">
        <v>53151</v>
      </c>
      <c r="I9" s="442">
        <v>62438</v>
      </c>
      <c r="J9" s="442">
        <v>60559</v>
      </c>
      <c r="K9" s="442">
        <v>53620</v>
      </c>
      <c r="M9" s="445" t="s">
        <v>637</v>
      </c>
      <c r="N9" s="446" t="s">
        <v>638</v>
      </c>
      <c r="O9" s="436"/>
      <c r="Q9" s="438" t="s">
        <v>74</v>
      </c>
      <c r="R9" s="442">
        <v>48269</v>
      </c>
      <c r="S9" s="442">
        <v>39776</v>
      </c>
      <c r="T9" s="442">
        <v>32198</v>
      </c>
      <c r="U9" s="442">
        <v>31066</v>
      </c>
      <c r="V9" s="442">
        <v>27273</v>
      </c>
      <c r="W9" s="442">
        <v>31258</v>
      </c>
      <c r="X9" s="442">
        <v>29180</v>
      </c>
      <c r="Y9" s="442">
        <v>35633</v>
      </c>
      <c r="Z9" s="442">
        <v>30419</v>
      </c>
      <c r="AB9" s="445" t="s">
        <v>637</v>
      </c>
      <c r="AC9" s="446" t="s">
        <v>638</v>
      </c>
      <c r="AF9" s="438" t="s">
        <v>74</v>
      </c>
      <c r="AG9" s="442">
        <v>203</v>
      </c>
      <c r="AH9" s="442">
        <v>161</v>
      </c>
      <c r="AI9" s="442">
        <v>162</v>
      </c>
      <c r="AJ9" s="442">
        <v>150</v>
      </c>
      <c r="AK9" s="442">
        <v>138</v>
      </c>
      <c r="AL9" s="442">
        <v>140</v>
      </c>
      <c r="AM9" s="442">
        <v>125</v>
      </c>
      <c r="AN9" s="442">
        <v>119</v>
      </c>
      <c r="AO9" s="442">
        <v>108</v>
      </c>
      <c r="AP9" s="442">
        <v>138</v>
      </c>
      <c r="AS9" s="445" t="s">
        <v>637</v>
      </c>
      <c r="AT9" s="446" t="s">
        <v>638</v>
      </c>
      <c r="AX9" s="438" t="s">
        <v>636</v>
      </c>
      <c r="AY9" s="444">
        <v>1.1074748584651657</v>
      </c>
      <c r="AZ9" s="444">
        <v>1.2260473903754439</v>
      </c>
      <c r="BA9" s="444">
        <v>1.4952603260307218</v>
      </c>
      <c r="BB9" s="444">
        <v>1.6952174926725283</v>
      </c>
      <c r="BC9" s="444">
        <v>1.6357553123258042</v>
      </c>
      <c r="BD9" s="444">
        <v>1.6184294425162031</v>
      </c>
      <c r="BE9" s="444">
        <v>1.5931613608299504</v>
      </c>
      <c r="BF9" s="444">
        <v>1.5010935383814914</v>
      </c>
      <c r="BG9" s="444">
        <v>1.53336738994193</v>
      </c>
      <c r="BH9" s="444">
        <v>1.1277896985855917</v>
      </c>
    </row>
    <row r="10" spans="2:62" s="221" customFormat="1">
      <c r="B10" s="499" t="s">
        <v>639</v>
      </c>
      <c r="C10" s="505">
        <v>2.2098850075213106</v>
      </c>
      <c r="D10" s="505">
        <v>2.4688241055481939</v>
      </c>
      <c r="E10" s="505">
        <v>2.8129552036108723</v>
      </c>
      <c r="F10" s="505">
        <v>2.9471757817639581</v>
      </c>
      <c r="G10" s="505">
        <v>2.7825726428780775</v>
      </c>
      <c r="H10" s="505">
        <v>2.7018737182555355</v>
      </c>
      <c r="I10" s="505">
        <v>2.4913941830135493</v>
      </c>
      <c r="J10" s="505">
        <v>2.3816040555986726</v>
      </c>
      <c r="K10" s="505">
        <v>2.3620643511935842</v>
      </c>
      <c r="M10" s="506">
        <f>+MIN(C10:K10)</f>
        <v>2.2098850075213106</v>
      </c>
      <c r="N10" s="506">
        <f>+MAX(C10:K10)</f>
        <v>2.9471757817639581</v>
      </c>
      <c r="O10" s="507"/>
      <c r="Q10" s="499" t="s">
        <v>639</v>
      </c>
      <c r="R10" s="505">
        <v>0.41380575524663865</v>
      </c>
      <c r="S10" s="505">
        <v>0.47155772327534196</v>
      </c>
      <c r="T10" s="505">
        <v>0.56252406981800118</v>
      </c>
      <c r="U10" s="505">
        <v>0.58889203630979203</v>
      </c>
      <c r="V10" s="505">
        <v>0.50621677116562169</v>
      </c>
      <c r="W10" s="505">
        <v>0.53441103077612118</v>
      </c>
      <c r="X10" s="505">
        <v>0.61330294722412604</v>
      </c>
      <c r="Y10" s="505">
        <v>0.64838324028288374</v>
      </c>
      <c r="Z10" s="505">
        <v>0.76688387632729516</v>
      </c>
      <c r="AB10" s="506">
        <f>+MIN(R10:Z10)</f>
        <v>0.41380575524663865</v>
      </c>
      <c r="AC10" s="506">
        <f>+MAX(R10:Z10)</f>
        <v>0.76688387632729516</v>
      </c>
      <c r="AF10" s="499" t="s">
        <v>639</v>
      </c>
      <c r="AG10" s="505">
        <v>0</v>
      </c>
      <c r="AH10" s="505">
        <v>0</v>
      </c>
      <c r="AI10" s="505">
        <v>0</v>
      </c>
      <c r="AJ10" s="505">
        <v>0</v>
      </c>
      <c r="AK10" s="505">
        <v>0</v>
      </c>
      <c r="AL10" s="505">
        <v>0</v>
      </c>
      <c r="AM10" s="505">
        <v>0</v>
      </c>
      <c r="AN10" s="508">
        <v>16.515714285714285</v>
      </c>
      <c r="AO10" s="508">
        <v>72.09182595370369</v>
      </c>
      <c r="AP10" s="508">
        <v>28.242608695652176</v>
      </c>
      <c r="AS10" s="506">
        <f>+MIN(AN10:AP10)</f>
        <v>16.515714285714285</v>
      </c>
      <c r="AT10" s="506">
        <f>+MAX(AN10:AP10)</f>
        <v>72.09182595370369</v>
      </c>
      <c r="AX10" s="501" t="s">
        <v>74</v>
      </c>
      <c r="AY10" s="500">
        <v>108098</v>
      </c>
      <c r="AZ10" s="500">
        <v>91844</v>
      </c>
      <c r="BA10" s="500">
        <v>82269</v>
      </c>
      <c r="BB10" s="500">
        <v>76663</v>
      </c>
      <c r="BC10" s="500">
        <v>75038</v>
      </c>
      <c r="BD10" s="500">
        <v>84407</v>
      </c>
      <c r="BE10" s="500">
        <v>91610</v>
      </c>
      <c r="BF10" s="500">
        <v>96190</v>
      </c>
      <c r="BG10" s="500">
        <v>84040</v>
      </c>
      <c r="BH10" s="500">
        <v>117693</v>
      </c>
    </row>
    <row r="11" spans="2:62">
      <c r="B11" s="438" t="s">
        <v>640</v>
      </c>
      <c r="C11" s="442">
        <v>12357</v>
      </c>
      <c r="D11" s="442">
        <v>11019</v>
      </c>
      <c r="E11" s="442">
        <v>10743</v>
      </c>
      <c r="F11" s="442">
        <v>9391</v>
      </c>
      <c r="G11" s="442">
        <v>9981</v>
      </c>
      <c r="H11" s="442">
        <v>11359</v>
      </c>
      <c r="I11" s="442">
        <v>14095</v>
      </c>
      <c r="J11" s="442">
        <v>13480</v>
      </c>
      <c r="K11" s="442">
        <v>11485</v>
      </c>
      <c r="Q11" s="438" t="s">
        <v>640</v>
      </c>
      <c r="R11" s="442">
        <v>1186</v>
      </c>
      <c r="S11" s="442">
        <v>811</v>
      </c>
      <c r="T11" s="442">
        <v>82</v>
      </c>
      <c r="U11" s="442">
        <v>24</v>
      </c>
      <c r="V11" s="442">
        <v>33</v>
      </c>
      <c r="W11" s="442">
        <v>11</v>
      </c>
      <c r="X11" s="442">
        <v>10</v>
      </c>
      <c r="Y11" s="442">
        <v>23</v>
      </c>
      <c r="Z11" s="442">
        <v>102</v>
      </c>
      <c r="AF11" s="438" t="s">
        <v>640</v>
      </c>
      <c r="AG11" s="442">
        <v>28</v>
      </c>
      <c r="AH11" s="442">
        <v>11</v>
      </c>
      <c r="AI11" s="442">
        <v>19</v>
      </c>
      <c r="AJ11" s="442">
        <v>12</v>
      </c>
      <c r="AK11" s="442">
        <v>13</v>
      </c>
      <c r="AL11" s="442">
        <v>12</v>
      </c>
      <c r="AM11" s="442">
        <v>12</v>
      </c>
      <c r="AN11" s="442">
        <v>11</v>
      </c>
      <c r="AO11" s="442">
        <v>13</v>
      </c>
      <c r="AP11" s="442">
        <v>11</v>
      </c>
      <c r="AX11" s="438" t="s">
        <v>639</v>
      </c>
      <c r="AY11" s="448">
        <v>1.4079021813539567</v>
      </c>
      <c r="AZ11" s="448">
        <v>1.6039242628914241</v>
      </c>
      <c r="BA11" s="448">
        <v>1.9321935358397453</v>
      </c>
      <c r="BB11" s="448">
        <v>1.9917252129449665</v>
      </c>
      <c r="BC11" s="448">
        <v>1.9553290333564326</v>
      </c>
      <c r="BD11" s="448">
        <v>1.8992726906417714</v>
      </c>
      <c r="BE11" s="448">
        <v>1.8933942800895103</v>
      </c>
      <c r="BF11" s="448">
        <v>1.7395924732716499</v>
      </c>
      <c r="BG11" s="448">
        <v>1.784646967455974</v>
      </c>
      <c r="BH11" s="448">
        <v>1.2052543899722157</v>
      </c>
    </row>
    <row r="12" spans="2:62">
      <c r="B12" s="438" t="s">
        <v>641</v>
      </c>
      <c r="C12" s="449">
        <v>10.699799304038198</v>
      </c>
      <c r="D12" s="449">
        <v>11.666588619656956</v>
      </c>
      <c r="E12" s="449">
        <v>13.110628316112816</v>
      </c>
      <c r="F12" s="449">
        <v>14.311267170695348</v>
      </c>
      <c r="G12" s="449">
        <v>13.31709548191564</v>
      </c>
      <c r="H12" s="449">
        <v>12.642599700589837</v>
      </c>
      <c r="I12" s="449">
        <v>11.036372472437035</v>
      </c>
      <c r="J12" s="449">
        <v>10.69937388746291</v>
      </c>
      <c r="K12" s="449">
        <v>11.027765825946886</v>
      </c>
      <c r="M12" s="761" t="s">
        <v>642</v>
      </c>
      <c r="N12" s="761"/>
      <c r="O12" s="436"/>
      <c r="Q12" s="438" t="s">
        <v>641</v>
      </c>
      <c r="R12" s="449">
        <v>16.841475548060711</v>
      </c>
      <c r="S12" s="449">
        <v>23.127842171393343</v>
      </c>
      <c r="T12" s="449">
        <v>220.87987804878051</v>
      </c>
      <c r="U12" s="449">
        <v>762.27166666666665</v>
      </c>
      <c r="V12" s="449">
        <v>418.36515151515152</v>
      </c>
      <c r="W12" s="449">
        <v>1518.6018181818179</v>
      </c>
      <c r="X12" s="449">
        <v>1789.6179999999997</v>
      </c>
      <c r="Y12" s="449">
        <v>1004.5147826521737</v>
      </c>
      <c r="Z12" s="449">
        <v>228.70431994117641</v>
      </c>
      <c r="AB12" s="761" t="s">
        <v>642</v>
      </c>
      <c r="AC12" s="761"/>
      <c r="AF12" s="438" t="s">
        <v>641</v>
      </c>
      <c r="AG12" s="449">
        <v>0</v>
      </c>
      <c r="AH12" s="449">
        <v>0</v>
      </c>
      <c r="AI12" s="449">
        <v>0</v>
      </c>
      <c r="AJ12" s="449">
        <v>0</v>
      </c>
      <c r="AK12" s="449">
        <v>0</v>
      </c>
      <c r="AL12" s="449">
        <v>0</v>
      </c>
      <c r="AM12" s="449">
        <v>0</v>
      </c>
      <c r="AN12" s="449">
        <v>178.67</v>
      </c>
      <c r="AO12" s="449">
        <v>598.91670792307684</v>
      </c>
      <c r="AP12" s="449">
        <v>354.31636363636369</v>
      </c>
      <c r="AS12" s="761" t="s">
        <v>642</v>
      </c>
      <c r="AT12" s="761"/>
      <c r="AX12" s="438" t="s">
        <v>640</v>
      </c>
      <c r="AY12" s="442">
        <v>13544</v>
      </c>
      <c r="AZ12" s="442">
        <v>11829</v>
      </c>
      <c r="BA12" s="442">
        <v>10824</v>
      </c>
      <c r="BB12" s="442">
        <v>9414</v>
      </c>
      <c r="BC12" s="442">
        <v>10012</v>
      </c>
      <c r="BD12" s="442">
        <v>11369</v>
      </c>
      <c r="BE12" s="442">
        <v>14102</v>
      </c>
      <c r="BF12" s="442">
        <v>13501</v>
      </c>
      <c r="BG12" s="442">
        <v>11586</v>
      </c>
      <c r="BH12" s="442">
        <v>14581</v>
      </c>
    </row>
    <row r="13" spans="2:62">
      <c r="B13" s="438" t="s">
        <v>643</v>
      </c>
      <c r="C13" s="442">
        <v>1799</v>
      </c>
      <c r="D13" s="442">
        <v>1591</v>
      </c>
      <c r="E13" s="442">
        <v>1719</v>
      </c>
      <c r="F13" s="442">
        <v>1349</v>
      </c>
      <c r="G13" s="442">
        <v>1231</v>
      </c>
      <c r="H13" s="442">
        <v>1391</v>
      </c>
      <c r="I13" s="442">
        <v>1637</v>
      </c>
      <c r="J13" s="442">
        <v>1657</v>
      </c>
      <c r="K13" s="442">
        <v>1397</v>
      </c>
      <c r="M13" s="445" t="s">
        <v>637</v>
      </c>
      <c r="N13" s="446" t="s">
        <v>638</v>
      </c>
      <c r="O13" s="436"/>
      <c r="Q13" s="438" t="s">
        <v>643</v>
      </c>
      <c r="R13" s="442">
        <v>94</v>
      </c>
      <c r="S13" s="442">
        <v>53</v>
      </c>
      <c r="T13" s="442">
        <v>25</v>
      </c>
      <c r="U13" s="442">
        <v>12</v>
      </c>
      <c r="V13" s="442">
        <v>4</v>
      </c>
      <c r="W13" s="442">
        <v>2</v>
      </c>
      <c r="X13" s="442">
        <v>2</v>
      </c>
      <c r="Y13" s="442">
        <v>5</v>
      </c>
      <c r="Z13" s="442">
        <v>14</v>
      </c>
      <c r="AB13" s="445" t="s">
        <v>637</v>
      </c>
      <c r="AC13" s="446" t="s">
        <v>638</v>
      </c>
      <c r="AF13" s="438" t="s">
        <v>643</v>
      </c>
      <c r="AG13" s="442">
        <v>7</v>
      </c>
      <c r="AH13" s="442">
        <v>2</v>
      </c>
      <c r="AI13" s="442">
        <v>3</v>
      </c>
      <c r="AJ13" s="442">
        <v>6</v>
      </c>
      <c r="AK13" s="442">
        <v>6</v>
      </c>
      <c r="AL13" s="442">
        <v>1</v>
      </c>
      <c r="AM13" s="442">
        <v>3</v>
      </c>
      <c r="AN13" s="442">
        <v>1</v>
      </c>
      <c r="AO13" s="442">
        <v>5</v>
      </c>
      <c r="AP13" s="442">
        <v>0</v>
      </c>
      <c r="AS13" s="445" t="s">
        <v>637</v>
      </c>
      <c r="AT13" s="446" t="s">
        <v>638</v>
      </c>
      <c r="AX13" s="438" t="s">
        <v>641</v>
      </c>
      <c r="AY13" s="449">
        <v>11.236814087418784</v>
      </c>
      <c r="AZ13" s="449">
        <v>12.453362076337811</v>
      </c>
      <c r="BA13" s="449">
        <v>14.68584903917221</v>
      </c>
      <c r="BB13" s="449">
        <v>16.219633524537919</v>
      </c>
      <c r="BC13" s="449">
        <v>14.654812225829005</v>
      </c>
      <c r="BD13" s="449">
        <v>14.100792505849238</v>
      </c>
      <c r="BE13" s="449">
        <v>12.299946815983551</v>
      </c>
      <c r="BF13" s="449">
        <v>12.3940004447078</v>
      </c>
      <c r="BG13" s="449">
        <v>12.945082957448649</v>
      </c>
      <c r="BH13" s="449">
        <v>9.7284140264042218</v>
      </c>
    </row>
    <row r="14" spans="2:62">
      <c r="B14" s="438" t="s">
        <v>644</v>
      </c>
      <c r="C14" s="449">
        <v>73.494952751528629</v>
      </c>
      <c r="D14" s="449">
        <v>80.800842237586423</v>
      </c>
      <c r="E14" s="449">
        <v>81.93570680628271</v>
      </c>
      <c r="F14" s="449">
        <v>99.627212750185336</v>
      </c>
      <c r="G14" s="449">
        <v>107.97557270917953</v>
      </c>
      <c r="H14" s="449">
        <v>103.24032350754851</v>
      </c>
      <c r="I14" s="449">
        <v>95.026065973732443</v>
      </c>
      <c r="J14" s="449">
        <v>87.041375982498508</v>
      </c>
      <c r="K14" s="449">
        <v>90.66133894846098</v>
      </c>
      <c r="M14" s="450">
        <f>+MIN(C22:K22)</f>
        <v>6.49011562849683E-2</v>
      </c>
      <c r="N14" s="450">
        <f>+MAX(C22:K22)</f>
        <v>8.8015018673483658E-2</v>
      </c>
      <c r="O14" s="451"/>
      <c r="Q14" s="438" t="s">
        <v>644</v>
      </c>
      <c r="R14" s="449">
        <v>212.48925531914895</v>
      </c>
      <c r="S14" s="449">
        <v>353.89962266037736</v>
      </c>
      <c r="T14" s="449">
        <v>724.4860000000001</v>
      </c>
      <c r="U14" s="449">
        <v>1524.5433333333333</v>
      </c>
      <c r="V14" s="449">
        <v>3451.5125000000003</v>
      </c>
      <c r="W14" s="449">
        <v>8352.3099999999977</v>
      </c>
      <c r="X14" s="449">
        <v>8948.0899999999983</v>
      </c>
      <c r="Y14" s="449">
        <v>4620.7680001999997</v>
      </c>
      <c r="Z14" s="449">
        <v>1666.2743309999994</v>
      </c>
      <c r="AB14" s="450">
        <f>+MIN(R22:Z22)</f>
        <v>1.6118005345045476E-2</v>
      </c>
      <c r="AC14" s="450">
        <f>+MAX(R22:Z22)</f>
        <v>2.6696367374914324E-2</v>
      </c>
      <c r="AF14" s="438" t="s">
        <v>644</v>
      </c>
      <c r="AG14" s="449">
        <v>0</v>
      </c>
      <c r="AH14" s="449">
        <v>0</v>
      </c>
      <c r="AI14" s="449">
        <v>0</v>
      </c>
      <c r="AJ14" s="449">
        <v>0</v>
      </c>
      <c r="AK14" s="449">
        <v>0</v>
      </c>
      <c r="AL14" s="449">
        <v>0</v>
      </c>
      <c r="AM14" s="449">
        <v>0</v>
      </c>
      <c r="AN14" s="449">
        <v>1965.37</v>
      </c>
      <c r="AO14" s="449">
        <v>1557.1834405999998</v>
      </c>
      <c r="AP14" s="449"/>
      <c r="AS14" s="450">
        <f>+MIN(AN22:AP22)</f>
        <v>0.11594202898550725</v>
      </c>
      <c r="AT14" s="450">
        <f>+MAX(AN22:AP22)</f>
        <v>0.21296296296296297</v>
      </c>
      <c r="AX14" s="438" t="s">
        <v>643</v>
      </c>
      <c r="AY14" s="442">
        <v>1893</v>
      </c>
      <c r="AZ14" s="442">
        <v>1644</v>
      </c>
      <c r="BA14" s="442">
        <v>1744</v>
      </c>
      <c r="BB14" s="442">
        <v>1360</v>
      </c>
      <c r="BC14" s="442">
        <v>1235</v>
      </c>
      <c r="BD14" s="442">
        <v>1393</v>
      </c>
      <c r="BE14" s="442">
        <v>1638</v>
      </c>
      <c r="BF14" s="442">
        <v>1661</v>
      </c>
      <c r="BG14" s="442">
        <v>1407</v>
      </c>
      <c r="BH14" s="442">
        <v>1643</v>
      </c>
    </row>
    <row r="15" spans="2:62">
      <c r="B15" s="438" t="s">
        <v>58</v>
      </c>
      <c r="C15" s="452">
        <v>31.729642428605715</v>
      </c>
      <c r="D15" s="452">
        <v>32.356944374528062</v>
      </c>
      <c r="E15" s="452">
        <v>31.959945541184474</v>
      </c>
      <c r="F15" s="452">
        <v>36.942581088510174</v>
      </c>
      <c r="G15" s="452">
        <v>38.774191950116688</v>
      </c>
      <c r="H15" s="452">
        <v>39.247687892593596</v>
      </c>
      <c r="I15" s="452">
        <v>36.260529137296039</v>
      </c>
      <c r="J15" s="452">
        <v>32.973836306127119</v>
      </c>
      <c r="K15" s="452">
        <v>36.394796123850575</v>
      </c>
      <c r="Q15" s="438" t="s">
        <v>58</v>
      </c>
      <c r="R15" s="452">
        <v>25.673508997429309</v>
      </c>
      <c r="S15" s="452">
        <v>27.422046785087719</v>
      </c>
      <c r="T15" s="452">
        <v>25.61831683168317</v>
      </c>
      <c r="U15" s="452">
        <v>29.507290322580644</v>
      </c>
      <c r="V15" s="452">
        <v>21.879635499207609</v>
      </c>
      <c r="W15" s="452">
        <v>23.627468175388962</v>
      </c>
      <c r="X15" s="452">
        <v>22.973273427471113</v>
      </c>
      <c r="Y15" s="452">
        <v>25.988571429696286</v>
      </c>
      <c r="Z15" s="452">
        <v>29.491581079646007</v>
      </c>
      <c r="AF15" s="438" t="s">
        <v>58</v>
      </c>
      <c r="AG15" s="452">
        <v>0</v>
      </c>
      <c r="AH15" s="452">
        <v>0</v>
      </c>
      <c r="AI15" s="452">
        <v>0</v>
      </c>
      <c r="AJ15" s="452">
        <v>0</v>
      </c>
      <c r="AK15" s="452">
        <v>0</v>
      </c>
      <c r="AL15" s="452">
        <v>0</v>
      </c>
      <c r="AM15" s="452">
        <v>0</v>
      </c>
      <c r="AN15" s="452">
        <v>140.38357142857143</v>
      </c>
      <c r="AO15" s="452">
        <v>338.51813926086953</v>
      </c>
      <c r="AP15" s="452">
        <v>243.59250000000003</v>
      </c>
      <c r="AX15" s="438" t="s">
        <v>644</v>
      </c>
      <c r="AY15" s="449">
        <v>80.39694136291601</v>
      </c>
      <c r="AZ15" s="449">
        <v>89.605121655109457</v>
      </c>
      <c r="BA15" s="449">
        <v>91.146576834862387</v>
      </c>
      <c r="BB15" s="449">
        <v>112.27325735294116</v>
      </c>
      <c r="BC15" s="449">
        <v>118.80484210931174</v>
      </c>
      <c r="BD15" s="449">
        <v>115.08392677602296</v>
      </c>
      <c r="BE15" s="449">
        <v>105.89368131807083</v>
      </c>
      <c r="BF15" s="449">
        <v>100.74136062853702</v>
      </c>
      <c r="BG15" s="449">
        <v>106.59682384150679</v>
      </c>
      <c r="BH15" s="449">
        <v>86.33597377906267</v>
      </c>
    </row>
    <row r="16" spans="2:62">
      <c r="B16" s="438" t="s">
        <v>645</v>
      </c>
      <c r="C16" s="442">
        <v>4167</v>
      </c>
      <c r="D16" s="442">
        <v>3973</v>
      </c>
      <c r="E16" s="442">
        <v>4407</v>
      </c>
      <c r="F16" s="442">
        <v>3638</v>
      </c>
      <c r="G16" s="442">
        <v>3428</v>
      </c>
      <c r="H16" s="442">
        <v>3659</v>
      </c>
      <c r="I16" s="442">
        <v>4290</v>
      </c>
      <c r="J16" s="442">
        <v>4374</v>
      </c>
      <c r="K16" s="442">
        <v>3480</v>
      </c>
      <c r="M16" s="761" t="s">
        <v>646</v>
      </c>
      <c r="N16" s="761"/>
      <c r="O16" s="436"/>
      <c r="Q16" s="438" t="s">
        <v>645</v>
      </c>
      <c r="R16" s="442">
        <v>778</v>
      </c>
      <c r="S16" s="442">
        <v>684</v>
      </c>
      <c r="T16" s="442">
        <v>707</v>
      </c>
      <c r="U16" s="442">
        <v>620</v>
      </c>
      <c r="V16" s="442">
        <v>631</v>
      </c>
      <c r="W16" s="442">
        <v>707</v>
      </c>
      <c r="X16" s="442">
        <v>779</v>
      </c>
      <c r="Y16" s="442">
        <v>889</v>
      </c>
      <c r="Z16" s="442">
        <v>791</v>
      </c>
      <c r="AB16" s="761" t="s">
        <v>646</v>
      </c>
      <c r="AC16" s="761"/>
      <c r="AF16" s="438" t="s">
        <v>645</v>
      </c>
      <c r="AG16" s="442">
        <v>23</v>
      </c>
      <c r="AH16" s="442">
        <v>14</v>
      </c>
      <c r="AI16" s="442">
        <v>15</v>
      </c>
      <c r="AJ16" s="442">
        <v>16</v>
      </c>
      <c r="AK16" s="442">
        <v>14</v>
      </c>
      <c r="AL16" s="442">
        <v>12</v>
      </c>
      <c r="AM16" s="442">
        <v>19</v>
      </c>
      <c r="AN16" s="442">
        <v>14</v>
      </c>
      <c r="AO16" s="442">
        <v>23</v>
      </c>
      <c r="AP16" s="442">
        <v>16</v>
      </c>
      <c r="AS16" s="761" t="s">
        <v>646</v>
      </c>
      <c r="AT16" s="761"/>
      <c r="AX16" s="438" t="s">
        <v>58</v>
      </c>
      <c r="AY16" s="452">
        <v>30.776827098078869</v>
      </c>
      <c r="AZ16" s="452">
        <v>31.625337054744517</v>
      </c>
      <c r="BA16" s="452">
        <v>31.083228392647634</v>
      </c>
      <c r="BB16" s="452">
        <v>35.859941286989191</v>
      </c>
      <c r="BC16" s="452">
        <v>36.130012313469585</v>
      </c>
      <c r="BD16" s="452">
        <v>36.726668957388313</v>
      </c>
      <c r="BE16" s="452">
        <v>34.218553955217999</v>
      </c>
      <c r="BF16" s="452">
        <v>31.806006463409997</v>
      </c>
      <c r="BG16" s="452">
        <v>35.108083133192899</v>
      </c>
      <c r="BH16" s="452">
        <v>30.99191717697181</v>
      </c>
    </row>
    <row r="17" spans="2:60">
      <c r="B17" s="438" t="s">
        <v>647</v>
      </c>
      <c r="C17" s="442">
        <v>3585</v>
      </c>
      <c r="D17" s="442">
        <v>3417</v>
      </c>
      <c r="E17" s="442">
        <v>3773</v>
      </c>
      <c r="F17" s="442">
        <v>3105</v>
      </c>
      <c r="G17" s="442">
        <v>2894</v>
      </c>
      <c r="H17" s="442">
        <v>3133</v>
      </c>
      <c r="I17" s="442">
        <v>3586</v>
      </c>
      <c r="J17" s="442">
        <v>3711</v>
      </c>
      <c r="K17" s="442">
        <v>2951</v>
      </c>
      <c r="M17" s="445" t="s">
        <v>637</v>
      </c>
      <c r="N17" s="446" t="s">
        <v>638</v>
      </c>
      <c r="O17" s="436"/>
      <c r="Q17" s="438" t="s">
        <v>647</v>
      </c>
      <c r="R17" s="442">
        <v>721</v>
      </c>
      <c r="S17" s="442">
        <v>639</v>
      </c>
      <c r="T17" s="442">
        <v>656</v>
      </c>
      <c r="U17" s="442">
        <v>584</v>
      </c>
      <c r="V17" s="442">
        <v>595</v>
      </c>
      <c r="W17" s="442">
        <v>662</v>
      </c>
      <c r="X17" s="442">
        <v>695</v>
      </c>
      <c r="Y17" s="442">
        <v>819</v>
      </c>
      <c r="Z17" s="442">
        <v>738</v>
      </c>
      <c r="AB17" s="445" t="s">
        <v>637</v>
      </c>
      <c r="AC17" s="446" t="s">
        <v>638</v>
      </c>
      <c r="AF17" s="438" t="s">
        <v>647</v>
      </c>
      <c r="AG17" s="442">
        <v>22</v>
      </c>
      <c r="AH17" s="442">
        <v>12</v>
      </c>
      <c r="AI17" s="442">
        <v>14</v>
      </c>
      <c r="AJ17" s="442">
        <v>14</v>
      </c>
      <c r="AK17" s="442">
        <v>13</v>
      </c>
      <c r="AL17" s="442">
        <v>12</v>
      </c>
      <c r="AM17" s="442">
        <v>11</v>
      </c>
      <c r="AN17" s="442">
        <v>11</v>
      </c>
      <c r="AO17" s="442">
        <v>20</v>
      </c>
      <c r="AP17" s="442">
        <v>13</v>
      </c>
      <c r="AS17" s="445" t="s">
        <v>637</v>
      </c>
      <c r="AT17" s="446" t="s">
        <v>638</v>
      </c>
      <c r="AX17" s="438" t="s">
        <v>645</v>
      </c>
      <c r="AY17" s="442">
        <v>4945</v>
      </c>
      <c r="AZ17" s="442">
        <v>4658</v>
      </c>
      <c r="BA17" s="442">
        <v>5114</v>
      </c>
      <c r="BB17" s="442">
        <v>4258</v>
      </c>
      <c r="BC17" s="442">
        <v>4061</v>
      </c>
      <c r="BD17" s="442">
        <v>4365</v>
      </c>
      <c r="BE17" s="442">
        <v>5069</v>
      </c>
      <c r="BF17" s="442">
        <v>5261</v>
      </c>
      <c r="BG17" s="442">
        <v>4272</v>
      </c>
      <c r="BH17" s="442">
        <v>4577</v>
      </c>
    </row>
    <row r="18" spans="2:60">
      <c r="B18" s="438" t="s">
        <v>648</v>
      </c>
      <c r="C18" s="442">
        <v>2368</v>
      </c>
      <c r="D18" s="442">
        <v>2382</v>
      </c>
      <c r="E18" s="442">
        <v>2688</v>
      </c>
      <c r="F18" s="442">
        <v>2289</v>
      </c>
      <c r="G18" s="442">
        <v>2197</v>
      </c>
      <c r="H18" s="442">
        <v>2268</v>
      </c>
      <c r="I18" s="442">
        <v>2653</v>
      </c>
      <c r="J18" s="442">
        <v>2717</v>
      </c>
      <c r="K18" s="442">
        <v>2083</v>
      </c>
      <c r="M18" s="453">
        <f>+MIN(C25:K25)</f>
        <v>58.355317786922726</v>
      </c>
      <c r="N18" s="453">
        <f>+MAX(C25:K25)</f>
        <v>62.603796496280282</v>
      </c>
      <c r="O18" s="454"/>
      <c r="Q18" s="438" t="s">
        <v>648</v>
      </c>
      <c r="R18" s="442">
        <v>684</v>
      </c>
      <c r="S18" s="442">
        <v>631</v>
      </c>
      <c r="T18" s="442">
        <v>682</v>
      </c>
      <c r="U18" s="442">
        <v>608</v>
      </c>
      <c r="V18" s="442">
        <v>627</v>
      </c>
      <c r="W18" s="442">
        <v>705</v>
      </c>
      <c r="X18" s="442">
        <v>777</v>
      </c>
      <c r="Y18" s="442">
        <v>884</v>
      </c>
      <c r="Z18" s="442">
        <v>777</v>
      </c>
      <c r="AB18" s="453">
        <f>+MIN(R25:Z25)</f>
        <v>33.734766619519093</v>
      </c>
      <c r="AC18" s="453">
        <f>+MAX(R25:Z25)</f>
        <v>44.973457583547557</v>
      </c>
      <c r="AF18" s="438" t="s">
        <v>648</v>
      </c>
      <c r="AG18" s="442">
        <v>16</v>
      </c>
      <c r="AH18" s="442">
        <v>12</v>
      </c>
      <c r="AI18" s="442">
        <v>12</v>
      </c>
      <c r="AJ18" s="442">
        <v>10</v>
      </c>
      <c r="AK18" s="442">
        <v>8</v>
      </c>
      <c r="AL18" s="442">
        <v>11</v>
      </c>
      <c r="AM18" s="442">
        <v>16</v>
      </c>
      <c r="AN18" s="442">
        <v>13</v>
      </c>
      <c r="AO18" s="442">
        <v>18</v>
      </c>
      <c r="AP18" s="442">
        <v>16</v>
      </c>
      <c r="AS18" s="453">
        <f>+MIN(AN25:AP25)</f>
        <v>45.368124999999999</v>
      </c>
      <c r="AT18" s="453">
        <f>+MAX(AN25:AP25)</f>
        <v>50.997142857142855</v>
      </c>
      <c r="AX18" s="438" t="s">
        <v>647</v>
      </c>
      <c r="AY18" s="442">
        <v>4306</v>
      </c>
      <c r="AZ18" s="442">
        <v>4057</v>
      </c>
      <c r="BA18" s="442">
        <v>4429</v>
      </c>
      <c r="BB18" s="442">
        <v>3689</v>
      </c>
      <c r="BC18" s="442">
        <v>3490</v>
      </c>
      <c r="BD18" s="442">
        <v>3794</v>
      </c>
      <c r="BE18" s="442">
        <v>4278</v>
      </c>
      <c r="BF18" s="442">
        <v>4528</v>
      </c>
      <c r="BG18" s="442">
        <v>3683</v>
      </c>
      <c r="BH18" s="442">
        <v>4104</v>
      </c>
    </row>
    <row r="19" spans="2:60">
      <c r="B19" s="438" t="s">
        <v>649</v>
      </c>
      <c r="C19" s="442">
        <v>2335</v>
      </c>
      <c r="D19" s="442">
        <v>2342</v>
      </c>
      <c r="E19" s="442">
        <v>2469</v>
      </c>
      <c r="F19" s="442">
        <v>2690</v>
      </c>
      <c r="G19" s="442">
        <v>2783</v>
      </c>
      <c r="H19" s="442">
        <v>2764</v>
      </c>
      <c r="I19" s="442">
        <v>2836</v>
      </c>
      <c r="J19" s="442">
        <v>2862</v>
      </c>
      <c r="K19" s="442">
        <v>2789</v>
      </c>
      <c r="Q19" s="438" t="s">
        <v>649</v>
      </c>
      <c r="R19" s="442">
        <v>589</v>
      </c>
      <c r="S19" s="442">
        <v>613</v>
      </c>
      <c r="T19" s="442">
        <v>662</v>
      </c>
      <c r="U19" s="442">
        <v>728</v>
      </c>
      <c r="V19" s="442">
        <v>791</v>
      </c>
      <c r="W19" s="442">
        <v>706</v>
      </c>
      <c r="X19" s="442">
        <v>728</v>
      </c>
      <c r="Y19" s="442">
        <v>790</v>
      </c>
      <c r="Z19" s="442">
        <v>759</v>
      </c>
      <c r="AF19" s="438" t="s">
        <v>649</v>
      </c>
      <c r="AG19" s="442">
        <v>21</v>
      </c>
      <c r="AH19" s="442">
        <v>24</v>
      </c>
      <c r="AI19" s="442">
        <v>27</v>
      </c>
      <c r="AJ19" s="442">
        <v>23</v>
      </c>
      <c r="AK19" s="442">
        <v>26</v>
      </c>
      <c r="AL19" s="442">
        <v>24</v>
      </c>
      <c r="AM19" s="442">
        <v>29</v>
      </c>
      <c r="AN19" s="442">
        <v>21</v>
      </c>
      <c r="AO19" s="442">
        <v>29</v>
      </c>
      <c r="AP19" s="442">
        <v>31</v>
      </c>
      <c r="AX19" s="438" t="s">
        <v>648</v>
      </c>
      <c r="AY19" s="442">
        <v>3052</v>
      </c>
      <c r="AZ19" s="442">
        <v>3014</v>
      </c>
      <c r="BA19" s="442">
        <v>3370</v>
      </c>
      <c r="BB19" s="442">
        <v>2898</v>
      </c>
      <c r="BC19" s="442">
        <v>2826</v>
      </c>
      <c r="BD19" s="442">
        <v>2972</v>
      </c>
      <c r="BE19" s="442">
        <v>3431</v>
      </c>
      <c r="BF19" s="442">
        <v>3600</v>
      </c>
      <c r="BG19" s="442">
        <v>2865</v>
      </c>
      <c r="BH19" s="442">
        <v>2934</v>
      </c>
    </row>
    <row r="20" spans="2:60">
      <c r="B20" s="438" t="s">
        <v>650</v>
      </c>
      <c r="C20" s="442">
        <v>587</v>
      </c>
      <c r="D20" s="442">
        <v>551</v>
      </c>
      <c r="E20" s="442">
        <v>653</v>
      </c>
      <c r="F20" s="442">
        <v>524</v>
      </c>
      <c r="G20" s="442">
        <v>522</v>
      </c>
      <c r="H20" s="442">
        <v>540</v>
      </c>
      <c r="I20" s="442">
        <v>661</v>
      </c>
      <c r="J20" s="442">
        <v>702</v>
      </c>
      <c r="K20" s="442">
        <v>565</v>
      </c>
      <c r="M20" s="761" t="s">
        <v>651</v>
      </c>
      <c r="N20" s="761"/>
      <c r="O20" s="436"/>
      <c r="Q20" s="438" t="s">
        <v>650</v>
      </c>
      <c r="R20" s="442">
        <v>45</v>
      </c>
      <c r="S20" s="442">
        <v>53</v>
      </c>
      <c r="T20" s="442">
        <v>44</v>
      </c>
      <c r="U20" s="442">
        <v>42</v>
      </c>
      <c r="V20" s="442">
        <v>34</v>
      </c>
      <c r="W20" s="442">
        <v>47</v>
      </c>
      <c r="X20" s="442">
        <v>73</v>
      </c>
      <c r="Y20" s="442">
        <v>77</v>
      </c>
      <c r="Z20" s="442">
        <v>71</v>
      </c>
      <c r="AB20" s="761" t="s">
        <v>651</v>
      </c>
      <c r="AC20" s="761"/>
      <c r="AF20" s="438" t="s">
        <v>650</v>
      </c>
      <c r="AG20" s="442">
        <v>1</v>
      </c>
      <c r="AH20" s="442">
        <v>2</v>
      </c>
      <c r="AI20" s="442">
        <v>2</v>
      </c>
      <c r="AJ20" s="442">
        <v>1</v>
      </c>
      <c r="AK20" s="442">
        <v>2</v>
      </c>
      <c r="AL20" s="442">
        <v>0</v>
      </c>
      <c r="AM20" s="442">
        <v>8</v>
      </c>
      <c r="AN20" s="442">
        <v>2</v>
      </c>
      <c r="AO20" s="442">
        <v>3</v>
      </c>
      <c r="AP20" s="442">
        <v>4</v>
      </c>
      <c r="AS20" s="761" t="s">
        <v>651</v>
      </c>
      <c r="AT20" s="761"/>
      <c r="AX20" s="438" t="s">
        <v>649</v>
      </c>
      <c r="AY20" s="442">
        <v>2925</v>
      </c>
      <c r="AZ20" s="442">
        <v>2954</v>
      </c>
      <c r="BA20" s="442">
        <v>3130</v>
      </c>
      <c r="BB20" s="442">
        <v>3418</v>
      </c>
      <c r="BC20" s="442">
        <v>3572</v>
      </c>
      <c r="BD20" s="442">
        <v>3469</v>
      </c>
      <c r="BE20" s="442">
        <v>3564</v>
      </c>
      <c r="BF20" s="442">
        <v>3651</v>
      </c>
      <c r="BG20" s="442">
        <v>3544</v>
      </c>
      <c r="BH20" s="442">
        <v>3506</v>
      </c>
    </row>
    <row r="21" spans="2:60">
      <c r="B21" s="438" t="s">
        <v>652</v>
      </c>
      <c r="C21" s="442">
        <v>0</v>
      </c>
      <c r="D21" s="442">
        <v>0</v>
      </c>
      <c r="E21" s="442">
        <v>0</v>
      </c>
      <c r="F21" s="442">
        <v>0</v>
      </c>
      <c r="G21" s="442">
        <v>0</v>
      </c>
      <c r="H21" s="442">
        <v>0</v>
      </c>
      <c r="I21" s="442">
        <v>0</v>
      </c>
      <c r="J21" s="442">
        <v>0</v>
      </c>
      <c r="K21" s="442">
        <v>0</v>
      </c>
      <c r="M21" s="445" t="s">
        <v>637</v>
      </c>
      <c r="N21" s="446" t="s">
        <v>638</v>
      </c>
      <c r="O21" s="436"/>
      <c r="Q21" s="438" t="s">
        <v>652</v>
      </c>
      <c r="R21" s="442">
        <v>0</v>
      </c>
      <c r="S21" s="442">
        <v>0</v>
      </c>
      <c r="T21" s="442">
        <v>0</v>
      </c>
      <c r="U21" s="442">
        <v>0</v>
      </c>
      <c r="V21" s="442">
        <v>0</v>
      </c>
      <c r="W21" s="442">
        <v>0</v>
      </c>
      <c r="X21" s="442">
        <v>0</v>
      </c>
      <c r="Y21" s="442">
        <v>0</v>
      </c>
      <c r="Z21" s="442">
        <v>0</v>
      </c>
      <c r="AB21" s="445" t="s">
        <v>637</v>
      </c>
      <c r="AC21" s="446" t="s">
        <v>638</v>
      </c>
      <c r="AF21" s="438" t="s">
        <v>652</v>
      </c>
      <c r="AG21" s="442">
        <v>0</v>
      </c>
      <c r="AH21" s="442">
        <v>0</v>
      </c>
      <c r="AI21" s="442">
        <v>0</v>
      </c>
      <c r="AJ21" s="442">
        <v>0</v>
      </c>
      <c r="AK21" s="442">
        <v>0</v>
      </c>
      <c r="AL21" s="442">
        <v>0</v>
      </c>
      <c r="AM21" s="442">
        <v>0</v>
      </c>
      <c r="AN21" s="442">
        <v>0</v>
      </c>
      <c r="AO21" s="442">
        <v>0</v>
      </c>
      <c r="AP21" s="442">
        <v>0</v>
      </c>
      <c r="AS21" s="445" t="s">
        <v>637</v>
      </c>
      <c r="AT21" s="446" t="s">
        <v>638</v>
      </c>
      <c r="AX21" s="438" t="s">
        <v>650</v>
      </c>
      <c r="AY21" s="442">
        <v>632</v>
      </c>
      <c r="AZ21" s="442">
        <v>604</v>
      </c>
      <c r="BA21" s="442">
        <v>697</v>
      </c>
      <c r="BB21" s="442">
        <v>566</v>
      </c>
      <c r="BC21" s="442">
        <v>557</v>
      </c>
      <c r="BD21" s="442">
        <v>587</v>
      </c>
      <c r="BE21" s="442">
        <v>736</v>
      </c>
      <c r="BF21" s="442">
        <v>778</v>
      </c>
      <c r="BG21" s="442">
        <v>636</v>
      </c>
      <c r="BH21" s="442">
        <v>645</v>
      </c>
    </row>
    <row r="22" spans="2:60" s="221" customFormat="1">
      <c r="B22" s="499" t="s">
        <v>75</v>
      </c>
      <c r="C22" s="502">
        <v>6.964733411332108E-2</v>
      </c>
      <c r="D22" s="502">
        <v>7.6299667761325879E-2</v>
      </c>
      <c r="E22" s="502">
        <v>8.8015018673483658E-2</v>
      </c>
      <c r="F22" s="502">
        <v>7.977720275426517E-2</v>
      </c>
      <c r="G22" s="502">
        <v>7.1763523697873047E-2</v>
      </c>
      <c r="H22" s="502">
        <v>6.8841602227615664E-2</v>
      </c>
      <c r="I22" s="502">
        <v>6.8708158493225285E-2</v>
      </c>
      <c r="J22" s="502">
        <v>7.2227084330983002E-2</v>
      </c>
      <c r="K22" s="502">
        <v>6.49011562849683E-2</v>
      </c>
      <c r="M22" s="503">
        <f>+MIN(C46:K46)</f>
        <v>9.2232400000000006E-2</v>
      </c>
      <c r="N22" s="503">
        <f>+MAX(C46:K46)</f>
        <v>0.1008405</v>
      </c>
      <c r="O22" s="504"/>
      <c r="Q22" s="499" t="s">
        <v>75</v>
      </c>
      <c r="R22" s="502">
        <v>1.6118005345045476E-2</v>
      </c>
      <c r="S22" s="502">
        <v>1.7196299275945293E-2</v>
      </c>
      <c r="T22" s="502">
        <v>2.1957885582955462E-2</v>
      </c>
      <c r="U22" s="502">
        <v>1.9957509817807251E-2</v>
      </c>
      <c r="V22" s="502">
        <v>2.3136435302313643E-2</v>
      </c>
      <c r="W22" s="502">
        <v>2.2618209738306992E-2</v>
      </c>
      <c r="X22" s="502">
        <v>2.6696367374914324E-2</v>
      </c>
      <c r="Y22" s="502">
        <v>2.494878343108916E-2</v>
      </c>
      <c r="Z22" s="502">
        <v>2.6003484664190144E-2</v>
      </c>
      <c r="AB22" s="503">
        <f>+MIN(R46:Z46)</f>
        <v>0.1179873</v>
      </c>
      <c r="AC22" s="503">
        <f>+MAX(R46:Z46)</f>
        <v>0.15451380000000001</v>
      </c>
      <c r="AF22" s="499" t="s">
        <v>75</v>
      </c>
      <c r="AG22" s="502">
        <v>0.11330049261083744</v>
      </c>
      <c r="AH22" s="502">
        <v>8.6956521739130432E-2</v>
      </c>
      <c r="AI22" s="502">
        <v>9.2592592592592587E-2</v>
      </c>
      <c r="AJ22" s="502">
        <v>0.10666666666666667</v>
      </c>
      <c r="AK22" s="502">
        <v>0.10144927536231885</v>
      </c>
      <c r="AL22" s="502">
        <v>8.5714285714285715E-2</v>
      </c>
      <c r="AM22" s="502">
        <v>0.152</v>
      </c>
      <c r="AN22" s="502">
        <v>0.11764705882352941</v>
      </c>
      <c r="AO22" s="502">
        <v>0.21296296296296297</v>
      </c>
      <c r="AP22" s="502">
        <v>0.11594202898550725</v>
      </c>
      <c r="AS22" s="503">
        <f>+MIN(AN46:AO46)</f>
        <v>6.5261209291283484E-2</v>
      </c>
      <c r="AT22" s="503">
        <f>+MAX(AN46:AO46)</f>
        <v>7.4928834374271017E-2</v>
      </c>
      <c r="AX22" s="501" t="s">
        <v>652</v>
      </c>
      <c r="AY22" s="500">
        <v>0</v>
      </c>
      <c r="AZ22" s="500">
        <v>0</v>
      </c>
      <c r="BA22" s="500">
        <v>0</v>
      </c>
      <c r="BB22" s="500">
        <v>0</v>
      </c>
      <c r="BC22" s="500">
        <v>0</v>
      </c>
      <c r="BD22" s="500">
        <v>0</v>
      </c>
      <c r="BE22" s="500">
        <v>0</v>
      </c>
      <c r="BF22" s="500">
        <v>0</v>
      </c>
      <c r="BG22" s="500">
        <v>0</v>
      </c>
      <c r="BH22" s="500">
        <v>0</v>
      </c>
    </row>
    <row r="23" spans="2:60">
      <c r="B23" s="438" t="s">
        <v>653</v>
      </c>
      <c r="C23" s="455">
        <v>3.0068527494567943E-2</v>
      </c>
      <c r="D23" s="455">
        <v>3.0554435290276738E-2</v>
      </c>
      <c r="E23" s="455">
        <v>3.4331249625531746E-2</v>
      </c>
      <c r="F23" s="455">
        <v>2.958203587561949E-2</v>
      </c>
      <c r="G23" s="455">
        <v>2.5770390219393736E-2</v>
      </c>
      <c r="H23" s="455">
        <v>2.6170721152941619E-2</v>
      </c>
      <c r="I23" s="455">
        <v>2.6218008264198085E-2</v>
      </c>
      <c r="J23" s="455">
        <v>2.7361746396076553E-2</v>
      </c>
      <c r="K23" s="455">
        <v>2.6053711301753078E-2</v>
      </c>
      <c r="Q23" s="438" t="s">
        <v>653</v>
      </c>
      <c r="R23" s="455">
        <v>1.9474196689386564E-3</v>
      </c>
      <c r="S23" s="455">
        <v>1.3324617860016089E-3</v>
      </c>
      <c r="T23" s="455">
        <v>7.76445741971551E-4</v>
      </c>
      <c r="U23" s="455">
        <v>3.8627438357046286E-4</v>
      </c>
      <c r="V23" s="455">
        <v>1.4666520001466651E-4</v>
      </c>
      <c r="W23" s="455">
        <v>6.3983620193230539E-5</v>
      </c>
      <c r="X23" s="455">
        <v>6.8540095956134332E-5</v>
      </c>
      <c r="Y23" s="455">
        <v>1.4031936687901664E-4</v>
      </c>
      <c r="Z23" s="455">
        <v>4.6023866662283443E-4</v>
      </c>
      <c r="AF23" s="438" t="s">
        <v>653</v>
      </c>
      <c r="AG23" s="455">
        <v>3.4482758620689655E-2</v>
      </c>
      <c r="AH23" s="455">
        <v>1.2422360248447204E-2</v>
      </c>
      <c r="AI23" s="455">
        <v>1.8518518518518517E-2</v>
      </c>
      <c r="AJ23" s="455">
        <v>0.04</v>
      </c>
      <c r="AK23" s="455">
        <v>4.3478260869565216E-2</v>
      </c>
      <c r="AL23" s="455">
        <v>7.1428571428571426E-3</v>
      </c>
      <c r="AM23" s="455">
        <v>2.4E-2</v>
      </c>
      <c r="AN23" s="455">
        <v>8.4033613445378148E-3</v>
      </c>
      <c r="AO23" s="455">
        <v>4.6296296296296294E-2</v>
      </c>
      <c r="AP23" s="455">
        <v>0</v>
      </c>
      <c r="AX23" s="438" t="s">
        <v>75</v>
      </c>
      <c r="AY23" s="455">
        <v>4.5745527206793833E-2</v>
      </c>
      <c r="AZ23" s="455">
        <v>5.0716432211140632E-2</v>
      </c>
      <c r="BA23" s="455">
        <v>6.216193219803328E-2</v>
      </c>
      <c r="BB23" s="455">
        <v>5.5541786781106925E-2</v>
      </c>
      <c r="BC23" s="455">
        <v>5.4119246248567392E-2</v>
      </c>
      <c r="BD23" s="455">
        <v>5.1713720426031014E-2</v>
      </c>
      <c r="BE23" s="455">
        <v>5.5332387293963538E-2</v>
      </c>
      <c r="BF23" s="455">
        <v>5.469383511799563E-2</v>
      </c>
      <c r="BG23" s="455">
        <v>5.0832936696811042E-2</v>
      </c>
      <c r="BH23" s="455">
        <v>3.8889313722991169E-2</v>
      </c>
    </row>
    <row r="24" spans="2:60">
      <c r="B24" s="438" t="s">
        <v>654</v>
      </c>
      <c r="C24" s="455">
        <v>3.9578806618753133E-2</v>
      </c>
      <c r="D24" s="455">
        <v>4.5745232471049148E-2</v>
      </c>
      <c r="E24" s="455">
        <v>5.3683769047951906E-2</v>
      </c>
      <c r="F24" s="455">
        <v>5.0195166878645676E-2</v>
      </c>
      <c r="G24" s="455">
        <v>4.5993133478479317E-2</v>
      </c>
      <c r="H24" s="455">
        <v>4.2670881074674039E-2</v>
      </c>
      <c r="I24" s="455">
        <v>4.2490150229027197E-2</v>
      </c>
      <c r="J24" s="455">
        <v>4.4865337934906456E-2</v>
      </c>
      <c r="K24" s="455">
        <v>3.8847444983215219E-2</v>
      </c>
      <c r="Q24" s="438" t="s">
        <v>654</v>
      </c>
      <c r="R24" s="455">
        <v>1.4170585676106818E-2</v>
      </c>
      <c r="S24" s="455">
        <v>1.5863837489943685E-2</v>
      </c>
      <c r="T24" s="455">
        <v>2.1181439840983911E-2</v>
      </c>
      <c r="U24" s="455">
        <v>1.9571235434236785E-2</v>
      </c>
      <c r="V24" s="455">
        <v>2.2989770102298978E-2</v>
      </c>
      <c r="W24" s="455">
        <v>2.2554226118113762E-2</v>
      </c>
      <c r="X24" s="455">
        <v>2.662782727895819E-2</v>
      </c>
      <c r="Y24" s="455">
        <v>2.4808464064210143E-2</v>
      </c>
      <c r="Z24" s="455">
        <v>2.5543245997567309E-2</v>
      </c>
      <c r="AF24" s="438" t="s">
        <v>654</v>
      </c>
      <c r="AG24" s="455">
        <v>7.8817733990147784E-2</v>
      </c>
      <c r="AH24" s="455">
        <v>7.4534161490683232E-2</v>
      </c>
      <c r="AI24" s="455">
        <v>7.407407407407407E-2</v>
      </c>
      <c r="AJ24" s="455">
        <v>6.6666666666666666E-2</v>
      </c>
      <c r="AK24" s="455">
        <v>5.7971014492753624E-2</v>
      </c>
      <c r="AL24" s="455">
        <v>7.857142857142857E-2</v>
      </c>
      <c r="AM24" s="455">
        <v>0.128</v>
      </c>
      <c r="AN24" s="455">
        <v>0.1092436974789916</v>
      </c>
      <c r="AO24" s="455">
        <v>0.16666666666666666</v>
      </c>
      <c r="AP24" s="455">
        <v>0.11594202898550725</v>
      </c>
      <c r="AX24" s="438" t="s">
        <v>653</v>
      </c>
      <c r="AY24" s="455">
        <v>1.7511887361468297E-2</v>
      </c>
      <c r="AZ24" s="455">
        <v>1.7899917250990809E-2</v>
      </c>
      <c r="BA24" s="455">
        <v>2.1198750440627696E-2</v>
      </c>
      <c r="BB24" s="455">
        <v>1.7739978868554582E-2</v>
      </c>
      <c r="BC24" s="455">
        <v>1.6458327780591166E-2</v>
      </c>
      <c r="BD24" s="455">
        <v>1.6503370573530633E-2</v>
      </c>
      <c r="BE24" s="455">
        <v>1.7880144089073246E-2</v>
      </c>
      <c r="BF24" s="455">
        <v>1.7267907266867659E-2</v>
      </c>
      <c r="BG24" s="455">
        <v>1.674202760590195E-2</v>
      </c>
      <c r="BH24" s="455">
        <v>1.3960048601021301E-2</v>
      </c>
    </row>
    <row r="25" spans="2:60" s="221" customFormat="1">
      <c r="B25" s="499" t="s">
        <v>655</v>
      </c>
      <c r="C25" s="509">
        <v>62.603796496280282</v>
      </c>
      <c r="D25" s="509">
        <v>60.937065190032712</v>
      </c>
      <c r="E25" s="509">
        <v>60.650642160199673</v>
      </c>
      <c r="F25" s="509">
        <v>60.558441451346887</v>
      </c>
      <c r="G25" s="509">
        <v>59.557456242707104</v>
      </c>
      <c r="H25" s="509">
        <v>59.562456955452291</v>
      </c>
      <c r="I25" s="509">
        <v>58.551766899766889</v>
      </c>
      <c r="J25" s="509">
        <v>58.355317786922726</v>
      </c>
      <c r="K25" s="509">
        <v>59.97645977011495</v>
      </c>
      <c r="Q25" s="501" t="s">
        <v>655</v>
      </c>
      <c r="R25" s="509">
        <v>44.973457583547557</v>
      </c>
      <c r="S25" s="509">
        <v>42.043538011695908</v>
      </c>
      <c r="T25" s="509">
        <v>39.861329561527583</v>
      </c>
      <c r="U25" s="509">
        <v>40.25980645161291</v>
      </c>
      <c r="V25" s="509">
        <v>36.881822503961963</v>
      </c>
      <c r="W25" s="509">
        <v>33.734766619519093</v>
      </c>
      <c r="X25" s="509">
        <v>36.623260590500649</v>
      </c>
      <c r="Y25" s="509">
        <v>37.001912260967373</v>
      </c>
      <c r="Z25" s="509">
        <v>36.933577749683948</v>
      </c>
      <c r="AF25" s="501" t="s">
        <v>655</v>
      </c>
      <c r="AG25" s="509">
        <v>54.671304347826087</v>
      </c>
      <c r="AH25" s="509">
        <v>61.105714285714285</v>
      </c>
      <c r="AI25" s="509">
        <v>61.924666666666667</v>
      </c>
      <c r="AJ25" s="509">
        <v>65.236249999999998</v>
      </c>
      <c r="AK25" s="509">
        <v>61.045714285714283</v>
      </c>
      <c r="AL25" s="509">
        <v>46.17499999999999</v>
      </c>
      <c r="AM25" s="509">
        <v>56.51736842105263</v>
      </c>
      <c r="AN25" s="509">
        <v>50.997142857142855</v>
      </c>
      <c r="AO25" s="509">
        <v>47.556521739130432</v>
      </c>
      <c r="AP25" s="509">
        <v>45.368124999999999</v>
      </c>
      <c r="AX25" s="501" t="s">
        <v>654</v>
      </c>
      <c r="AY25" s="502">
        <v>2.8233639845325537E-2</v>
      </c>
      <c r="AZ25" s="502">
        <v>3.2816514960149819E-2</v>
      </c>
      <c r="BA25" s="502">
        <v>4.0963181757405584E-2</v>
      </c>
      <c r="BB25" s="502">
        <v>3.7801807912552339E-2</v>
      </c>
      <c r="BC25" s="502">
        <v>3.7660918467976229E-2</v>
      </c>
      <c r="BD25" s="502">
        <v>3.5210349852500385E-2</v>
      </c>
      <c r="BE25" s="502">
        <v>3.7452243204890295E-2</v>
      </c>
      <c r="BF25" s="502">
        <v>3.7425927851127978E-2</v>
      </c>
      <c r="BG25" s="502">
        <v>3.4090909090909088E-2</v>
      </c>
      <c r="BH25" s="502">
        <v>2.4929265121969871E-2</v>
      </c>
    </row>
    <row r="26" spans="2:60">
      <c r="B26" s="438" t="s">
        <v>656</v>
      </c>
      <c r="C26" s="456">
        <v>7.2318158547316207</v>
      </c>
      <c r="D26" s="456">
        <v>7.2753955868780942</v>
      </c>
      <c r="E26" s="456">
        <v>7.3199009152106473</v>
      </c>
      <c r="F26" s="456">
        <v>7.3599092908191306</v>
      </c>
      <c r="G26" s="456">
        <v>7.1950413263321673</v>
      </c>
      <c r="H26" s="456">
        <v>7.1602787646898056</v>
      </c>
      <c r="I26" s="456">
        <v>7.0481237373737384</v>
      </c>
      <c r="J26" s="456">
        <v>7.1696961210181378</v>
      </c>
      <c r="K26" s="456">
        <v>7.2976034482758623</v>
      </c>
      <c r="Q26" s="438" t="s">
        <v>656</v>
      </c>
      <c r="R26" s="456">
        <v>7.6155666238217652</v>
      </c>
      <c r="S26" s="456">
        <v>7.6316581384015585</v>
      </c>
      <c r="T26" s="456">
        <v>7.5512812352663827</v>
      </c>
      <c r="U26" s="456">
        <v>7.3511250000000006</v>
      </c>
      <c r="V26" s="456">
        <v>7.3848217115689385</v>
      </c>
      <c r="W26" s="456">
        <v>7.3739203206034905</v>
      </c>
      <c r="X26" s="456">
        <v>7.2820924261874209</v>
      </c>
      <c r="Y26" s="456">
        <v>6.6732480314960609</v>
      </c>
      <c r="Z26" s="456">
        <v>6.748045722713865</v>
      </c>
      <c r="AF26" s="438" t="s">
        <v>656</v>
      </c>
      <c r="AG26" s="456">
        <v>7.1326449275362327</v>
      </c>
      <c r="AH26" s="456">
        <v>5.7495238095238097</v>
      </c>
      <c r="AI26" s="456">
        <v>5.9542222222222225</v>
      </c>
      <c r="AJ26" s="456">
        <v>6.1610937500000009</v>
      </c>
      <c r="AK26" s="456">
        <v>6.2316666666666665</v>
      </c>
      <c r="AL26" s="456">
        <v>6.2610416666666673</v>
      </c>
      <c r="AM26" s="456">
        <v>8.2307456140350865</v>
      </c>
      <c r="AN26" s="456">
        <v>4.8364285714285717</v>
      </c>
      <c r="AO26" s="456">
        <v>7.2654347826086951</v>
      </c>
      <c r="AP26" s="456">
        <v>5.6122916666666676</v>
      </c>
      <c r="AX26" s="438" t="s">
        <v>655</v>
      </c>
      <c r="AY26" s="442">
        <v>59.830004044489385</v>
      </c>
      <c r="AZ26" s="442">
        <v>58.162528982395862</v>
      </c>
      <c r="BA26" s="442">
        <v>57.776562377786462</v>
      </c>
      <c r="BB26" s="442">
        <v>57.597054955378098</v>
      </c>
      <c r="BC26" s="442">
        <v>56.026852991873895</v>
      </c>
      <c r="BD26" s="442">
        <v>55.379269186712477</v>
      </c>
      <c r="BE26" s="442">
        <v>55.227723416847496</v>
      </c>
      <c r="BF26" s="442">
        <v>54.742872077551809</v>
      </c>
      <c r="BG26" s="442">
        <v>55.674747191011257</v>
      </c>
      <c r="BH26" s="442">
        <v>57.00661787196853</v>
      </c>
    </row>
    <row r="27" spans="2:60">
      <c r="B27" s="438" t="s">
        <v>657</v>
      </c>
      <c r="C27" s="442"/>
      <c r="D27" s="442"/>
      <c r="E27" s="442"/>
      <c r="F27" s="442"/>
      <c r="G27" s="442"/>
      <c r="H27" s="442"/>
      <c r="I27" s="442"/>
      <c r="J27" s="442"/>
      <c r="K27" s="442"/>
      <c r="Q27" s="438" t="s">
        <v>657</v>
      </c>
      <c r="R27" s="442"/>
      <c r="S27" s="442"/>
      <c r="T27" s="442"/>
      <c r="U27" s="442"/>
      <c r="V27" s="442"/>
      <c r="W27" s="442"/>
      <c r="X27" s="442"/>
      <c r="Y27" s="442"/>
      <c r="Z27" s="442"/>
      <c r="AF27" s="438" t="s">
        <v>657</v>
      </c>
      <c r="AG27" s="442"/>
      <c r="AH27" s="442"/>
      <c r="AI27" s="442"/>
      <c r="AJ27" s="442"/>
      <c r="AK27" s="442"/>
      <c r="AL27" s="442"/>
      <c r="AM27" s="442"/>
      <c r="AN27" s="442"/>
      <c r="AO27" s="442"/>
      <c r="AP27" s="442"/>
      <c r="AX27" s="438" t="s">
        <v>656</v>
      </c>
      <c r="AY27" s="456">
        <v>7.2921916076845292</v>
      </c>
      <c r="AZ27" s="456">
        <v>7.327227887505364</v>
      </c>
      <c r="BA27" s="456">
        <v>7.3518887693912118</v>
      </c>
      <c r="BB27" s="456">
        <v>7.3581521058399888</v>
      </c>
      <c r="BC27" s="456">
        <v>7.2250108758105549</v>
      </c>
      <c r="BD27" s="456">
        <v>7.195396334478807</v>
      </c>
      <c r="BE27" s="456">
        <v>7.1024404879331877</v>
      </c>
      <c r="BF27" s="456">
        <v>7.0872479883418862</v>
      </c>
      <c r="BG27" s="456">
        <v>7.1959004369538064</v>
      </c>
      <c r="BH27" s="456">
        <v>7.2564722161532291</v>
      </c>
    </row>
    <row r="28" spans="2:60">
      <c r="B28" s="438" t="s">
        <v>658</v>
      </c>
      <c r="C28" s="442">
        <v>62.603796496280282</v>
      </c>
      <c r="D28" s="442">
        <v>60.937065190032712</v>
      </c>
      <c r="E28" s="442">
        <v>60.650642160199673</v>
      </c>
      <c r="F28" s="442">
        <v>60.558441451346887</v>
      </c>
      <c r="G28" s="442">
        <v>59.557456242707104</v>
      </c>
      <c r="H28" s="442">
        <v>59.562456955452291</v>
      </c>
      <c r="I28" s="442">
        <v>58.551766899766889</v>
      </c>
      <c r="J28" s="442">
        <v>58.355317786922726</v>
      </c>
      <c r="K28" s="442">
        <v>59.97645977011495</v>
      </c>
      <c r="Q28" s="438" t="s">
        <v>658</v>
      </c>
      <c r="R28" s="442">
        <v>44.973457583547557</v>
      </c>
      <c r="S28" s="442">
        <v>42.043538011695908</v>
      </c>
      <c r="T28" s="442">
        <v>39.861329561527583</v>
      </c>
      <c r="U28" s="442">
        <v>40.25980645161291</v>
      </c>
      <c r="V28" s="442">
        <v>36.881822503961963</v>
      </c>
      <c r="W28" s="442">
        <v>33.734766619519093</v>
      </c>
      <c r="X28" s="442">
        <v>36.623260590500649</v>
      </c>
      <c r="Y28" s="442">
        <v>37.001912260967373</v>
      </c>
      <c r="Z28" s="442">
        <v>36.933577749683948</v>
      </c>
      <c r="AF28" s="438" t="s">
        <v>658</v>
      </c>
      <c r="AG28" s="442">
        <v>54.671304347826087</v>
      </c>
      <c r="AH28" s="442">
        <v>61.105714285714285</v>
      </c>
      <c r="AI28" s="442">
        <v>61.924666666666667</v>
      </c>
      <c r="AJ28" s="442">
        <v>65.236249999999998</v>
      </c>
      <c r="AK28" s="442">
        <v>61.045714285714283</v>
      </c>
      <c r="AL28" s="442">
        <v>46.17499999999999</v>
      </c>
      <c r="AM28" s="442">
        <v>56.51736842105263</v>
      </c>
      <c r="AN28" s="442">
        <v>50.997142857142855</v>
      </c>
      <c r="AO28" s="442">
        <v>47.556521739130432</v>
      </c>
      <c r="AP28" s="442">
        <v>45.368124999999999</v>
      </c>
      <c r="AX28" s="438" t="s">
        <v>657</v>
      </c>
      <c r="AY28" s="438"/>
      <c r="AZ28" s="442"/>
      <c r="BA28" s="442"/>
      <c r="BB28" s="442"/>
      <c r="BC28" s="442"/>
      <c r="BD28" s="442"/>
      <c r="BE28" s="442"/>
      <c r="BF28" s="442"/>
      <c r="BG28" s="442"/>
      <c r="BH28" s="442"/>
    </row>
    <row r="29" spans="2:60">
      <c r="B29" s="438" t="s">
        <v>659</v>
      </c>
      <c r="C29" s="456">
        <v>30134.976666666662</v>
      </c>
      <c r="D29" s="456">
        <v>28905.146666666667</v>
      </c>
      <c r="E29" s="456">
        <v>32258.803333333322</v>
      </c>
      <c r="F29" s="456">
        <v>26775.35</v>
      </c>
      <c r="G29" s="456">
        <v>24664.601666666669</v>
      </c>
      <c r="H29" s="456">
        <v>26199.46</v>
      </c>
      <c r="I29" s="456">
        <v>30236.450833333336</v>
      </c>
      <c r="J29" s="456">
        <v>31360.250833333335</v>
      </c>
      <c r="K29" s="456">
        <v>25395.66</v>
      </c>
      <c r="Q29" s="438" t="s">
        <v>659</v>
      </c>
      <c r="R29" s="456">
        <v>5924.9108333333334</v>
      </c>
      <c r="S29" s="456">
        <v>5220.0541666666659</v>
      </c>
      <c r="T29" s="456">
        <v>5338.7558333333327</v>
      </c>
      <c r="U29" s="456">
        <v>4557.6975000000002</v>
      </c>
      <c r="V29" s="456">
        <v>4659.8225000000002</v>
      </c>
      <c r="W29" s="456">
        <v>5213.3616666666676</v>
      </c>
      <c r="X29" s="456">
        <v>5672.7500000000009</v>
      </c>
      <c r="Y29" s="456">
        <v>5932.5174999999981</v>
      </c>
      <c r="Z29" s="456">
        <v>5337.7041666666673</v>
      </c>
      <c r="AF29" s="438" t="s">
        <v>659</v>
      </c>
      <c r="AG29" s="456">
        <v>164.05083333333334</v>
      </c>
      <c r="AH29" s="456">
        <v>80.493333333333339</v>
      </c>
      <c r="AI29" s="456">
        <v>89.313333333333333</v>
      </c>
      <c r="AJ29" s="456">
        <v>98.577500000000015</v>
      </c>
      <c r="AK29" s="456">
        <v>87.243333333333325</v>
      </c>
      <c r="AL29" s="456">
        <v>75.132500000000007</v>
      </c>
      <c r="AM29" s="456">
        <v>156.38416666666666</v>
      </c>
      <c r="AN29" s="456">
        <v>67.710000000000008</v>
      </c>
      <c r="AO29" s="456">
        <v>167.10499999999999</v>
      </c>
      <c r="AP29" s="456">
        <v>89.796666666666681</v>
      </c>
      <c r="AX29" s="438" t="s">
        <v>658</v>
      </c>
      <c r="AY29" s="442">
        <v>59.830004044489385</v>
      </c>
      <c r="AZ29" s="442">
        <v>58.162528982395862</v>
      </c>
      <c r="BA29" s="442">
        <v>57.776562377786462</v>
      </c>
      <c r="BB29" s="442">
        <v>57.597054955378098</v>
      </c>
      <c r="BC29" s="442">
        <v>56.026852991873895</v>
      </c>
      <c r="BD29" s="442">
        <v>55.379269186712477</v>
      </c>
      <c r="BE29" s="442">
        <v>55.227723416847496</v>
      </c>
      <c r="BF29" s="442">
        <v>54.742872077551809</v>
      </c>
      <c r="BG29" s="442">
        <v>55.674747191011257</v>
      </c>
      <c r="BH29" s="442">
        <v>57.00661787196853</v>
      </c>
    </row>
    <row r="30" spans="2:60">
      <c r="B30" s="438" t="s">
        <v>660</v>
      </c>
      <c r="C30" s="456">
        <v>216928.56999999995</v>
      </c>
      <c r="D30" s="456">
        <v>200295.80999999994</v>
      </c>
      <c r="E30" s="456">
        <v>219393.3299999999</v>
      </c>
      <c r="F30" s="456">
        <v>179861.50999999995</v>
      </c>
      <c r="G30" s="456">
        <v>164570.83999999997</v>
      </c>
      <c r="H30" s="456">
        <v>178900.94999999998</v>
      </c>
      <c r="I30" s="456">
        <v>200972.84999999998</v>
      </c>
      <c r="J30" s="456">
        <v>206862.37999999998</v>
      </c>
      <c r="K30" s="456">
        <v>170457.12999999995</v>
      </c>
      <c r="Q30" s="438" t="s">
        <v>660</v>
      </c>
      <c r="R30" s="456">
        <v>32208.099999999995</v>
      </c>
      <c r="S30" s="456">
        <v>27052.770000000004</v>
      </c>
      <c r="T30" s="456">
        <v>26700.100000000002</v>
      </c>
      <c r="U30" s="456">
        <v>24000.5</v>
      </c>
      <c r="V30" s="456">
        <v>22280.030000000002</v>
      </c>
      <c r="W30" s="456">
        <v>22826.930000000004</v>
      </c>
      <c r="X30" s="456">
        <v>24501.59</v>
      </c>
      <c r="Y30" s="456">
        <v>30684.34</v>
      </c>
      <c r="Z30" s="456">
        <v>27351.710000000003</v>
      </c>
      <c r="AF30" s="438" t="s">
        <v>660</v>
      </c>
      <c r="AG30" s="456">
        <v>1177.45</v>
      </c>
      <c r="AH30" s="456">
        <v>695.5</v>
      </c>
      <c r="AI30" s="456">
        <v>848.88</v>
      </c>
      <c r="AJ30" s="456">
        <v>903.81</v>
      </c>
      <c r="AK30" s="456">
        <v>794.65</v>
      </c>
      <c r="AL30" s="456">
        <v>554.09999999999991</v>
      </c>
      <c r="AM30" s="456">
        <v>552.66999999999996</v>
      </c>
      <c r="AN30" s="456">
        <v>551.64</v>
      </c>
      <c r="AO30" s="456">
        <v>895.74</v>
      </c>
      <c r="AP30" s="456">
        <v>570.31000000000006</v>
      </c>
      <c r="AX30" s="438" t="s">
        <v>659</v>
      </c>
      <c r="AY30" s="456">
        <v>36059.887499999997</v>
      </c>
      <c r="AZ30" s="456">
        <v>34130.227499999986</v>
      </c>
      <c r="BA30" s="456">
        <v>37597.559166666659</v>
      </c>
      <c r="BB30" s="456">
        <v>31331.011666666673</v>
      </c>
      <c r="BC30" s="456">
        <v>29340.769166666665</v>
      </c>
      <c r="BD30" s="456">
        <v>31407.904999999992</v>
      </c>
      <c r="BE30" s="456">
        <v>36002.270833333328</v>
      </c>
      <c r="BF30" s="456">
        <v>37286.011666666665</v>
      </c>
      <c r="BG30" s="456">
        <v>30740.886666666662</v>
      </c>
      <c r="BH30" s="456">
        <v>33212.873333333329</v>
      </c>
    </row>
    <row r="31" spans="2:60">
      <c r="B31" s="438" t="s">
        <v>661</v>
      </c>
      <c r="C31" s="439">
        <v>260870.01999999993</v>
      </c>
      <c r="D31" s="439">
        <v>242102.95999999996</v>
      </c>
      <c r="E31" s="439">
        <v>267287.37999999995</v>
      </c>
      <c r="F31" s="439">
        <v>220311.61</v>
      </c>
      <c r="G31" s="439">
        <v>204162.95999999996</v>
      </c>
      <c r="H31" s="439">
        <v>217939.02999999994</v>
      </c>
      <c r="I31" s="439">
        <v>251187.07999999996</v>
      </c>
      <c r="J31" s="439">
        <v>255246.16</v>
      </c>
      <c r="K31" s="439">
        <v>208718.08000000002</v>
      </c>
      <c r="Q31" s="438" t="s">
        <v>661</v>
      </c>
      <c r="R31" s="439">
        <v>34989.35</v>
      </c>
      <c r="S31" s="439">
        <v>28757.78</v>
      </c>
      <c r="T31" s="439">
        <v>28181.960000000003</v>
      </c>
      <c r="U31" s="439">
        <v>24961.080000000005</v>
      </c>
      <c r="V31" s="439">
        <v>23272.43</v>
      </c>
      <c r="W31" s="439">
        <v>23850.48</v>
      </c>
      <c r="X31" s="439">
        <v>28529.520000000004</v>
      </c>
      <c r="Y31" s="439">
        <v>32894.699999999997</v>
      </c>
      <c r="Z31" s="439">
        <v>29214.460000000003</v>
      </c>
      <c r="AF31" s="438" t="s">
        <v>661</v>
      </c>
      <c r="AG31" s="439">
        <v>1257.44</v>
      </c>
      <c r="AH31" s="439">
        <v>855.48</v>
      </c>
      <c r="AI31" s="439">
        <v>928.87</v>
      </c>
      <c r="AJ31" s="439">
        <v>1043.78</v>
      </c>
      <c r="AK31" s="439">
        <v>854.64</v>
      </c>
      <c r="AL31" s="439">
        <v>554.09999999999991</v>
      </c>
      <c r="AM31" s="439">
        <v>1073.83</v>
      </c>
      <c r="AN31" s="439">
        <v>713.95999999999992</v>
      </c>
      <c r="AO31" s="439">
        <v>1093.8</v>
      </c>
      <c r="AP31" s="439">
        <v>725.89</v>
      </c>
      <c r="AX31" s="438" t="s">
        <v>660</v>
      </c>
      <c r="AY31" s="456">
        <v>249136.66999999995</v>
      </c>
      <c r="AZ31" s="456">
        <v>227408.89999999991</v>
      </c>
      <c r="BA31" s="456">
        <v>246093.42999999991</v>
      </c>
      <c r="BB31" s="456">
        <v>203837.57999999996</v>
      </c>
      <c r="BC31" s="456">
        <v>186860.54999999993</v>
      </c>
      <c r="BD31" s="456">
        <v>201668.87999999995</v>
      </c>
      <c r="BE31" s="456">
        <v>225318.91</v>
      </c>
      <c r="BF31" s="456">
        <v>237388.04</v>
      </c>
      <c r="BG31" s="456">
        <v>197555.47999999998</v>
      </c>
      <c r="BH31" s="456">
        <v>227044.00999999995</v>
      </c>
    </row>
    <row r="32" spans="2:60">
      <c r="B32" s="438" t="s">
        <v>662</v>
      </c>
      <c r="C32" s="439">
        <v>30407.310000000005</v>
      </c>
      <c r="D32" s="439">
        <v>31167.150000000005</v>
      </c>
      <c r="E32" s="439">
        <v>33062.86</v>
      </c>
      <c r="F32" s="439">
        <v>34231.749999999993</v>
      </c>
      <c r="G32" s="439">
        <v>36286.82</v>
      </c>
      <c r="H32" s="439">
        <v>34611.620000000003</v>
      </c>
      <c r="I32" s="439">
        <v>31084.01</v>
      </c>
      <c r="J32" s="439">
        <v>33123.03</v>
      </c>
      <c r="K32" s="439">
        <v>31812.85</v>
      </c>
      <c r="Q32" s="438" t="s">
        <v>662</v>
      </c>
      <c r="R32" s="439">
        <v>14181.76</v>
      </c>
      <c r="S32" s="439">
        <v>12802.599999999999</v>
      </c>
      <c r="T32" s="439">
        <v>12472.32</v>
      </c>
      <c r="U32" s="439">
        <v>13491.73</v>
      </c>
      <c r="V32" s="439">
        <v>17244.010000000002</v>
      </c>
      <c r="W32" s="439">
        <v>11949.949999999999</v>
      </c>
      <c r="X32" s="439">
        <v>12375.589999999998</v>
      </c>
      <c r="Y32" s="439">
        <v>13792.980000000001</v>
      </c>
      <c r="Z32" s="439">
        <v>12239.17</v>
      </c>
      <c r="AF32" s="438" t="s">
        <v>662</v>
      </c>
      <c r="AG32" s="439">
        <v>644.96</v>
      </c>
      <c r="AH32" s="439">
        <v>618.83000000000004</v>
      </c>
      <c r="AI32" s="439">
        <v>898.08</v>
      </c>
      <c r="AJ32" s="439">
        <v>561.23</v>
      </c>
      <c r="AK32" s="439">
        <v>754.41</v>
      </c>
      <c r="AL32" s="439">
        <v>905.00000000000011</v>
      </c>
      <c r="AM32" s="439">
        <v>803.03</v>
      </c>
      <c r="AN32" s="439">
        <v>501.23</v>
      </c>
      <c r="AO32" s="439">
        <v>788.36</v>
      </c>
      <c r="AP32" s="439">
        <v>1043.9000000000001</v>
      </c>
      <c r="AX32" s="438" t="s">
        <v>661</v>
      </c>
      <c r="AY32" s="439">
        <v>295859.37</v>
      </c>
      <c r="AZ32" s="439">
        <v>270921.05999999994</v>
      </c>
      <c r="BA32" s="439">
        <v>295469.33999999997</v>
      </c>
      <c r="BB32" s="439">
        <v>245248.25999999995</v>
      </c>
      <c r="BC32" s="439">
        <v>227525.0499999999</v>
      </c>
      <c r="BD32" s="439">
        <v>241730.50999999995</v>
      </c>
      <c r="BE32" s="439">
        <v>279949.32999999996</v>
      </c>
      <c r="BF32" s="439">
        <v>288002.25000000006</v>
      </c>
      <c r="BG32" s="439">
        <v>237842.52000000008</v>
      </c>
      <c r="BH32" s="439">
        <v>260919.28999999995</v>
      </c>
    </row>
    <row r="33" spans="2:60">
      <c r="B33" s="438" t="s">
        <v>663</v>
      </c>
      <c r="C33" s="439">
        <v>0</v>
      </c>
      <c r="D33" s="439">
        <v>0</v>
      </c>
      <c r="E33" s="439">
        <v>0</v>
      </c>
      <c r="F33" s="439">
        <v>0</v>
      </c>
      <c r="G33" s="439">
        <v>0</v>
      </c>
      <c r="H33" s="439">
        <v>0</v>
      </c>
      <c r="I33" s="439">
        <v>0</v>
      </c>
      <c r="J33" s="439">
        <v>0</v>
      </c>
      <c r="K33" s="439">
        <v>0</v>
      </c>
      <c r="Q33" s="438" t="s">
        <v>663</v>
      </c>
      <c r="R33" s="439">
        <v>0</v>
      </c>
      <c r="S33" s="439">
        <v>0</v>
      </c>
      <c r="T33" s="439">
        <v>0</v>
      </c>
      <c r="U33" s="439">
        <v>0</v>
      </c>
      <c r="V33" s="439">
        <v>0</v>
      </c>
      <c r="W33" s="439">
        <v>0</v>
      </c>
      <c r="X33" s="439">
        <v>0</v>
      </c>
      <c r="Y33" s="439">
        <v>0</v>
      </c>
      <c r="Z33" s="439">
        <v>0</v>
      </c>
      <c r="AF33" s="438" t="s">
        <v>663</v>
      </c>
      <c r="AG33" s="439">
        <v>0</v>
      </c>
      <c r="AH33" s="439">
        <v>0</v>
      </c>
      <c r="AI33" s="439">
        <v>0</v>
      </c>
      <c r="AJ33" s="439">
        <v>0</v>
      </c>
      <c r="AK33" s="439">
        <v>0</v>
      </c>
      <c r="AL33" s="439">
        <v>0</v>
      </c>
      <c r="AM33" s="439">
        <v>0</v>
      </c>
      <c r="AN33" s="439">
        <v>0</v>
      </c>
      <c r="AO33" s="439">
        <v>0</v>
      </c>
      <c r="AP33" s="439">
        <v>0</v>
      </c>
      <c r="AX33" s="438" t="s">
        <v>662</v>
      </c>
      <c r="AY33" s="439">
        <v>44627.459999999985</v>
      </c>
      <c r="AZ33" s="439">
        <v>43949.759999999995</v>
      </c>
      <c r="BA33" s="439">
        <v>45515.189999999973</v>
      </c>
      <c r="BB33" s="439">
        <v>47740.049999999981</v>
      </c>
      <c r="BC33" s="439">
        <v>53449.369999999974</v>
      </c>
      <c r="BD33" s="439">
        <v>46541.57999999998</v>
      </c>
      <c r="BE33" s="439">
        <v>43514.779999999992</v>
      </c>
      <c r="BF33" s="439">
        <v>46806.469999999987</v>
      </c>
      <c r="BG33" s="439">
        <v>43987.889999999985</v>
      </c>
      <c r="BH33" s="439">
        <v>42997.509999999995</v>
      </c>
    </row>
    <row r="34" spans="2:60">
      <c r="B34" s="438" t="s">
        <v>664</v>
      </c>
      <c r="C34" s="439">
        <v>247335.87999999995</v>
      </c>
      <c r="D34" s="439">
        <v>231462.95999999993</v>
      </c>
      <c r="E34" s="439">
        <v>252456.18999999989</v>
      </c>
      <c r="F34" s="439">
        <v>214093.25999999995</v>
      </c>
      <c r="G34" s="439">
        <v>200857.65999999997</v>
      </c>
      <c r="H34" s="439">
        <v>213512.56999999998</v>
      </c>
      <c r="I34" s="439">
        <v>232056.86</v>
      </c>
      <c r="J34" s="439">
        <v>239985.40999999997</v>
      </c>
      <c r="K34" s="439">
        <v>202269.97999999995</v>
      </c>
      <c r="Q34" s="438" t="s">
        <v>664</v>
      </c>
      <c r="R34" s="439">
        <v>46389.859999999993</v>
      </c>
      <c r="S34" s="439">
        <v>39855.370000000003</v>
      </c>
      <c r="T34" s="439">
        <v>39172.42</v>
      </c>
      <c r="U34" s="439">
        <v>37492.229999999996</v>
      </c>
      <c r="V34" s="439">
        <v>39524.040000000008</v>
      </c>
      <c r="W34" s="439">
        <v>34776.880000000005</v>
      </c>
      <c r="X34" s="439">
        <v>36877.18</v>
      </c>
      <c r="Y34" s="439">
        <v>44477.32</v>
      </c>
      <c r="Z34" s="439">
        <v>39590.880000000005</v>
      </c>
      <c r="AF34" s="447" t="s">
        <v>664</v>
      </c>
      <c r="AG34" s="457">
        <v>1822.41</v>
      </c>
      <c r="AH34" s="457">
        <v>1314.33</v>
      </c>
      <c r="AI34" s="457">
        <v>1746.96</v>
      </c>
      <c r="AJ34" s="457">
        <v>1465.04</v>
      </c>
      <c r="AK34" s="457">
        <v>1549.06</v>
      </c>
      <c r="AL34" s="457">
        <v>1459.1</v>
      </c>
      <c r="AM34" s="457">
        <v>1355.6999999999998</v>
      </c>
      <c r="AN34" s="457">
        <v>1052.8699999999999</v>
      </c>
      <c r="AO34" s="457">
        <v>1684.1</v>
      </c>
      <c r="AP34" s="457">
        <v>1614.21</v>
      </c>
      <c r="AX34" s="438" t="s">
        <v>663</v>
      </c>
      <c r="AY34" s="439">
        <v>0</v>
      </c>
      <c r="AZ34" s="439">
        <v>0</v>
      </c>
      <c r="BA34" s="439">
        <v>0</v>
      </c>
      <c r="BB34" s="439">
        <v>0</v>
      </c>
      <c r="BC34" s="439">
        <v>0</v>
      </c>
      <c r="BD34" s="439">
        <v>0</v>
      </c>
      <c r="BE34" s="439">
        <v>0</v>
      </c>
      <c r="BF34" s="439">
        <v>0</v>
      </c>
      <c r="BG34" s="439">
        <v>0</v>
      </c>
      <c r="BH34" s="439">
        <v>0</v>
      </c>
    </row>
    <row r="35" spans="2:60">
      <c r="B35" s="438" t="s">
        <v>665</v>
      </c>
      <c r="C35" s="458">
        <v>43957.43</v>
      </c>
      <c r="D35" s="458">
        <v>41626.61</v>
      </c>
      <c r="E35" s="458">
        <v>49717.45</v>
      </c>
      <c r="F35" s="458">
        <v>38899.519999999997</v>
      </c>
      <c r="G35" s="458">
        <v>38767.68</v>
      </c>
      <c r="H35" s="458">
        <v>40350.209999999992</v>
      </c>
      <c r="I35" s="458">
        <v>47919.4</v>
      </c>
      <c r="J35" s="458">
        <v>50871.83</v>
      </c>
      <c r="K35" s="458">
        <v>40429.939999999995</v>
      </c>
      <c r="Q35" s="438" t="s">
        <v>665</v>
      </c>
      <c r="R35" s="458">
        <v>2460.17</v>
      </c>
      <c r="S35" s="458">
        <v>2409.5099999999998</v>
      </c>
      <c r="T35" s="458">
        <v>1519.6</v>
      </c>
      <c r="U35" s="458">
        <v>937.56999999999994</v>
      </c>
      <c r="V35" s="458">
        <v>834.07999999999993</v>
      </c>
      <c r="W35" s="458">
        <v>1135.8699999999999</v>
      </c>
      <c r="X35" s="458">
        <v>3935.74</v>
      </c>
      <c r="Y35" s="458">
        <v>2342.9199999999996</v>
      </c>
      <c r="Z35" s="458">
        <v>2398.96</v>
      </c>
      <c r="AF35" s="438" t="s">
        <v>665</v>
      </c>
      <c r="AG35" s="458">
        <v>79.989999999999995</v>
      </c>
      <c r="AH35" s="458">
        <v>139.97</v>
      </c>
      <c r="AI35" s="458">
        <v>159.97999999999999</v>
      </c>
      <c r="AJ35" s="458">
        <v>79.989999999999995</v>
      </c>
      <c r="AK35" s="458">
        <v>119.97</v>
      </c>
      <c r="AL35" s="458">
        <v>0</v>
      </c>
      <c r="AM35" s="458">
        <v>521.16</v>
      </c>
      <c r="AN35" s="458">
        <v>102.34</v>
      </c>
      <c r="AO35" s="458">
        <v>199.96</v>
      </c>
      <c r="AP35" s="458">
        <v>213.65999999999997</v>
      </c>
      <c r="AX35" s="459" t="s">
        <v>664</v>
      </c>
      <c r="AY35" s="460">
        <v>293764.12999999995</v>
      </c>
      <c r="AZ35" s="460">
        <v>271358.65999999992</v>
      </c>
      <c r="BA35" s="460">
        <v>291608.61999999988</v>
      </c>
      <c r="BB35" s="460">
        <v>251577.62999999995</v>
      </c>
      <c r="BC35" s="460">
        <v>240309.9199999999</v>
      </c>
      <c r="BD35" s="460">
        <v>248210.45999999993</v>
      </c>
      <c r="BE35" s="460">
        <v>268833.69</v>
      </c>
      <c r="BF35" s="460">
        <v>284194.51</v>
      </c>
      <c r="BG35" s="460">
        <v>241543.36999999997</v>
      </c>
      <c r="BH35" s="460">
        <v>270041.51999999996</v>
      </c>
    </row>
    <row r="36" spans="2:60">
      <c r="B36" s="438" t="s">
        <v>666</v>
      </c>
      <c r="C36" s="461">
        <v>0.64025835313501622</v>
      </c>
      <c r="D36" s="461">
        <v>0.64022681814835514</v>
      </c>
      <c r="E36" s="461">
        <v>0.64017349544885382</v>
      </c>
      <c r="F36" s="461">
        <v>0.64030197120637988</v>
      </c>
      <c r="G36" s="461">
        <v>0.64034502044880937</v>
      </c>
      <c r="H36" s="461">
        <v>0.64034564709703046</v>
      </c>
      <c r="I36" s="461">
        <v>0.64034969877641201</v>
      </c>
      <c r="J36" s="461">
        <v>0.64028814251666377</v>
      </c>
      <c r="K36" s="461">
        <v>0.64033074606523421</v>
      </c>
      <c r="Q36" s="438" t="s">
        <v>666</v>
      </c>
      <c r="R36" s="461">
        <v>0.78999999999999992</v>
      </c>
      <c r="S36" s="461">
        <v>0.79</v>
      </c>
      <c r="T36" s="461">
        <v>0.79</v>
      </c>
      <c r="U36" s="461">
        <v>0.78999999999999992</v>
      </c>
      <c r="V36" s="461">
        <v>0.79</v>
      </c>
      <c r="W36" s="461">
        <v>0.78999999999999992</v>
      </c>
      <c r="X36" s="461">
        <v>0.79</v>
      </c>
      <c r="Y36" s="461">
        <v>0.79</v>
      </c>
      <c r="Z36" s="461">
        <v>0.78999999999999992</v>
      </c>
      <c r="AF36" s="438" t="s">
        <v>666</v>
      </c>
      <c r="AG36" s="461">
        <v>0.98</v>
      </c>
      <c r="AH36" s="461">
        <v>0.97999999999999987</v>
      </c>
      <c r="AI36" s="461">
        <v>0.98</v>
      </c>
      <c r="AJ36" s="461">
        <v>0.98</v>
      </c>
      <c r="AK36" s="461">
        <v>0.98</v>
      </c>
      <c r="AL36" s="461">
        <v>0.98</v>
      </c>
      <c r="AM36" s="461">
        <v>0.98</v>
      </c>
      <c r="AN36" s="461">
        <v>0.98000000000000009</v>
      </c>
      <c r="AO36" s="461">
        <v>0.98</v>
      </c>
      <c r="AP36" s="461">
        <v>0.98</v>
      </c>
      <c r="AX36" s="438" t="s">
        <v>665</v>
      </c>
      <c r="AY36" s="458">
        <v>46417.599999999999</v>
      </c>
      <c r="AZ36" s="458">
        <v>44036.119999999988</v>
      </c>
      <c r="BA36" s="458">
        <v>51237.05</v>
      </c>
      <c r="BB36" s="458">
        <v>39837.089999999997</v>
      </c>
      <c r="BC36" s="458">
        <v>39681.74</v>
      </c>
      <c r="BD36" s="458">
        <v>41486.080000000002</v>
      </c>
      <c r="BE36" s="458">
        <v>52210.259999999995</v>
      </c>
      <c r="BF36" s="458">
        <v>53164.77</v>
      </c>
      <c r="BG36" s="458">
        <v>42828.899999999994</v>
      </c>
      <c r="BH36" s="458">
        <v>44331.65</v>
      </c>
    </row>
    <row r="37" spans="2:60">
      <c r="B37" s="438" t="s">
        <v>80</v>
      </c>
      <c r="C37" s="458">
        <v>247319.89999999997</v>
      </c>
      <c r="D37" s="458">
        <v>231643.5</v>
      </c>
      <c r="E37" s="458">
        <v>250632.78999999992</v>
      </c>
      <c r="F37" s="458">
        <v>215643.84</v>
      </c>
      <c r="G37" s="458">
        <v>201682.09999999998</v>
      </c>
      <c r="H37" s="458">
        <v>212200.43999999994</v>
      </c>
      <c r="I37" s="458">
        <v>234351.68999999997</v>
      </c>
      <c r="J37" s="458">
        <v>237497.36</v>
      </c>
      <c r="K37" s="458">
        <v>200100.99000000002</v>
      </c>
      <c r="Q37" s="438" t="s">
        <v>80</v>
      </c>
      <c r="R37" s="458">
        <v>46710.94</v>
      </c>
      <c r="S37" s="458">
        <v>39150.869999999995</v>
      </c>
      <c r="T37" s="458">
        <v>39134.68</v>
      </c>
      <c r="U37" s="458">
        <v>37515.240000000005</v>
      </c>
      <c r="V37" s="458">
        <v>39682.36</v>
      </c>
      <c r="W37" s="458">
        <v>34664.559999999998</v>
      </c>
      <c r="X37" s="458">
        <v>36969.370000000003</v>
      </c>
      <c r="Y37" s="458">
        <v>44344.76</v>
      </c>
      <c r="Z37" s="458">
        <v>39054.670000000006</v>
      </c>
      <c r="AF37" s="438" t="s">
        <v>80</v>
      </c>
      <c r="AG37" s="458">
        <v>1822.41</v>
      </c>
      <c r="AH37" s="458">
        <v>1334.34</v>
      </c>
      <c r="AI37" s="458">
        <v>1666.97</v>
      </c>
      <c r="AJ37" s="458">
        <v>1525.02</v>
      </c>
      <c r="AK37" s="458">
        <v>1489.08</v>
      </c>
      <c r="AL37" s="458">
        <v>1459.1</v>
      </c>
      <c r="AM37" s="458">
        <v>1355.6999999999998</v>
      </c>
      <c r="AN37" s="458">
        <v>1112.8500000000001</v>
      </c>
      <c r="AO37" s="458">
        <v>1682.1999999999998</v>
      </c>
      <c r="AP37" s="458">
        <v>1556.13</v>
      </c>
      <c r="AX37" s="438" t="s">
        <v>666</v>
      </c>
      <c r="AY37" s="461">
        <v>0.66395044452840446</v>
      </c>
      <c r="AZ37" s="461">
        <v>0.66217338300535544</v>
      </c>
      <c r="BA37" s="461">
        <v>0.66029370565245982</v>
      </c>
      <c r="BB37" s="461">
        <v>0.66261942963688791</v>
      </c>
      <c r="BC37" s="461">
        <v>0.66492985724434539</v>
      </c>
      <c r="BD37" s="461">
        <v>0.66122027411737605</v>
      </c>
      <c r="BE37" s="461">
        <v>0.66090611857464709</v>
      </c>
      <c r="BF37" s="461">
        <v>0.66354572577774273</v>
      </c>
      <c r="BG37" s="461">
        <v>0.66481219625278898</v>
      </c>
      <c r="BH37" s="461">
        <v>0.66752616708719448</v>
      </c>
    </row>
    <row r="38" spans="2:60">
      <c r="B38" s="438" t="s">
        <v>667</v>
      </c>
      <c r="C38" s="456">
        <v>158337.2794601522</v>
      </c>
      <c r="D38" s="456">
        <v>148294.89832939749</v>
      </c>
      <c r="E38" s="456">
        <v>160440.15984869638</v>
      </c>
      <c r="F38" s="456">
        <v>138064.961065018</v>
      </c>
      <c r="G38" s="456">
        <v>129132.4683576471</v>
      </c>
      <c r="H38" s="456">
        <v>135868.1346670489</v>
      </c>
      <c r="I38" s="456">
        <v>150049.47424445357</v>
      </c>
      <c r="J38" s="456">
        <v>152052.80206287649</v>
      </c>
      <c r="K38" s="456">
        <v>128118.16155642737</v>
      </c>
      <c r="Q38" s="438" t="s">
        <v>667</v>
      </c>
      <c r="R38" s="456">
        <v>36901.642599999999</v>
      </c>
      <c r="S38" s="456">
        <v>30929.187299999998</v>
      </c>
      <c r="T38" s="456">
        <v>30916.397199999999</v>
      </c>
      <c r="U38" s="456">
        <v>29637.039600000004</v>
      </c>
      <c r="V38" s="456">
        <v>31349.064399999999</v>
      </c>
      <c r="W38" s="456">
        <v>27385.002400000001</v>
      </c>
      <c r="X38" s="456">
        <v>29205.802300000003</v>
      </c>
      <c r="Y38" s="456">
        <v>35032.360400000005</v>
      </c>
      <c r="Z38" s="456">
        <v>30853.189300000002</v>
      </c>
      <c r="AF38" s="438" t="s">
        <v>667</v>
      </c>
      <c r="AG38" s="456">
        <v>1785.9618</v>
      </c>
      <c r="AH38" s="456">
        <v>1307.6532</v>
      </c>
      <c r="AI38" s="456">
        <v>1633.6306</v>
      </c>
      <c r="AJ38" s="456">
        <v>1494.5195999999999</v>
      </c>
      <c r="AK38" s="456">
        <v>1459.2983999999999</v>
      </c>
      <c r="AL38" s="456">
        <v>1429.9179999999999</v>
      </c>
      <c r="AM38" s="456">
        <v>1328.586</v>
      </c>
      <c r="AN38" s="456">
        <v>1090.5930000000001</v>
      </c>
      <c r="AO38" s="456">
        <v>1648.5559999999998</v>
      </c>
      <c r="AP38" s="456">
        <v>1525.0074</v>
      </c>
      <c r="AX38" s="447" t="s">
        <v>80</v>
      </c>
      <c r="AY38" s="462">
        <v>294069.23</v>
      </c>
      <c r="AZ38" s="462">
        <v>270834.69999999995</v>
      </c>
      <c r="BA38" s="462">
        <v>289747.47999999992</v>
      </c>
      <c r="BB38" s="462">
        <v>253151.21999999994</v>
      </c>
      <c r="BC38" s="462">
        <v>241292.67999999988</v>
      </c>
      <c r="BD38" s="462">
        <v>246786.00999999989</v>
      </c>
      <c r="BE38" s="462">
        <v>271253.84999999992</v>
      </c>
      <c r="BF38" s="462">
        <v>281643.95</v>
      </c>
      <c r="BG38" s="462">
        <v>239001.51000000004</v>
      </c>
      <c r="BH38" s="462">
        <v>259585.14999999994</v>
      </c>
    </row>
    <row r="39" spans="2:60">
      <c r="B39" s="438" t="s">
        <v>668</v>
      </c>
      <c r="C39" s="456">
        <v>26119.859460152191</v>
      </c>
      <c r="D39" s="456">
        <v>19740.758329397489</v>
      </c>
      <c r="E39" s="456">
        <v>19592.679848696396</v>
      </c>
      <c r="F39" s="456">
        <v>3667.8510650179815</v>
      </c>
      <c r="G39" s="456">
        <v>-3785.4616473529022</v>
      </c>
      <c r="H39" s="456">
        <v>-7739.1553319510713</v>
      </c>
      <c r="I39" s="456">
        <v>-5508.1957545464393</v>
      </c>
      <c r="J39" s="456">
        <v>7825.2420598764729</v>
      </c>
      <c r="K39" s="456">
        <v>1464.2710454273765</v>
      </c>
      <c r="Q39" s="438" t="s">
        <v>668</v>
      </c>
      <c r="R39" s="456">
        <v>16927.652599999998</v>
      </c>
      <c r="S39" s="456">
        <v>12172.507298999997</v>
      </c>
      <c r="T39" s="456">
        <v>12804.247199999998</v>
      </c>
      <c r="U39" s="456">
        <v>11342.519600000003</v>
      </c>
      <c r="V39" s="456">
        <v>17543.0144</v>
      </c>
      <c r="W39" s="456">
        <v>10680.382400000006</v>
      </c>
      <c r="X39" s="456">
        <v>11309.622300000006</v>
      </c>
      <c r="Y39" s="456">
        <v>11928.520399000008</v>
      </c>
      <c r="Z39" s="456">
        <v>7525.348666000009</v>
      </c>
      <c r="AF39" s="438" t="s">
        <v>668</v>
      </c>
      <c r="AG39" s="456">
        <v>1785.9618</v>
      </c>
      <c r="AH39" s="456">
        <v>1307.6532</v>
      </c>
      <c r="AI39" s="456">
        <v>1633.6306</v>
      </c>
      <c r="AJ39" s="456">
        <v>1494.5195999999999</v>
      </c>
      <c r="AK39" s="456">
        <v>1459.2983999999999</v>
      </c>
      <c r="AL39" s="456">
        <v>1429.9179999999999</v>
      </c>
      <c r="AM39" s="456">
        <v>1328.586</v>
      </c>
      <c r="AN39" s="456">
        <v>-874.77699999999982</v>
      </c>
      <c r="AO39" s="456">
        <v>-6137.3612029999995</v>
      </c>
      <c r="AP39" s="456">
        <v>-2372.4726000000005</v>
      </c>
      <c r="AX39" s="438" t="s">
        <v>667</v>
      </c>
      <c r="AY39" s="456">
        <v>194545.55404605827</v>
      </c>
      <c r="AZ39" s="456">
        <v>178630.46924517018</v>
      </c>
      <c r="BA39" s="456">
        <v>190538.69608879951</v>
      </c>
      <c r="BB39" s="456">
        <v>166950.31804580661</v>
      </c>
      <c r="BC39" s="456">
        <v>159577.80708659274</v>
      </c>
      <c r="BD39" s="456">
        <v>162483.32691034453</v>
      </c>
      <c r="BE39" s="456">
        <v>178794.50111362684</v>
      </c>
      <c r="BF39" s="456">
        <v>186023.44490454323</v>
      </c>
      <c r="BG39" s="456">
        <v>158178.18882790892</v>
      </c>
      <c r="BH39" s="456">
        <v>172714.04609484889</v>
      </c>
    </row>
    <row r="40" spans="2:60">
      <c r="B40" s="438" t="s">
        <v>669</v>
      </c>
      <c r="C40" s="456">
        <v>158358.86319999996</v>
      </c>
      <c r="D40" s="456">
        <v>148188.79439999996</v>
      </c>
      <c r="E40" s="456">
        <v>161615.76159999991</v>
      </c>
      <c r="F40" s="456">
        <v>137084.33639999997</v>
      </c>
      <c r="G40" s="456">
        <v>128618.20239999998</v>
      </c>
      <c r="H40" s="456">
        <v>136721.84479999999</v>
      </c>
      <c r="I40" s="456">
        <v>148597.5404</v>
      </c>
      <c r="J40" s="456">
        <v>153659.81239999997</v>
      </c>
      <c r="K40" s="456">
        <v>129519.68719999997</v>
      </c>
      <c r="Q40" s="438" t="s">
        <v>669</v>
      </c>
      <c r="R40" s="456">
        <v>36647.989399999991</v>
      </c>
      <c r="S40" s="456">
        <v>31485.742300000002</v>
      </c>
      <c r="T40" s="456">
        <v>30946.211800000001</v>
      </c>
      <c r="U40" s="456">
        <v>29618.861699999994</v>
      </c>
      <c r="V40" s="456">
        <v>31223.991600000008</v>
      </c>
      <c r="W40" s="456">
        <v>27473.735200000003</v>
      </c>
      <c r="X40" s="456">
        <v>29132.9722</v>
      </c>
      <c r="Y40" s="456">
        <v>35137.082800000004</v>
      </c>
      <c r="Z40" s="456">
        <v>31276.7952</v>
      </c>
      <c r="AF40" s="438" t="s">
        <v>669</v>
      </c>
      <c r="AG40" s="456">
        <v>1785.9618</v>
      </c>
      <c r="AH40" s="456">
        <v>1288.0433999999998</v>
      </c>
      <c r="AI40" s="456">
        <v>1712.0208</v>
      </c>
      <c r="AJ40" s="456">
        <v>1435.7392</v>
      </c>
      <c r="AK40" s="456">
        <v>1518.0788</v>
      </c>
      <c r="AL40" s="456">
        <v>1429.9179999999999</v>
      </c>
      <c r="AM40" s="456">
        <v>1328.5859999999998</v>
      </c>
      <c r="AN40" s="456">
        <v>1031.8126</v>
      </c>
      <c r="AO40" s="456">
        <v>1650.4179999999999</v>
      </c>
      <c r="AP40" s="456">
        <v>1581.9258</v>
      </c>
      <c r="AX40" s="438" t="s">
        <v>668</v>
      </c>
      <c r="AY40" s="456">
        <v>42354.144046058267</v>
      </c>
      <c r="AZ40" s="456">
        <v>31319.649244170228</v>
      </c>
      <c r="BA40" s="456">
        <v>31579.066088799504</v>
      </c>
      <c r="BB40" s="456">
        <v>14258.68804580663</v>
      </c>
      <c r="BC40" s="456">
        <v>12853.827081592754</v>
      </c>
      <c r="BD40" s="456">
        <v>2171.4169113445387</v>
      </c>
      <c r="BE40" s="456">
        <v>5340.6511146268167</v>
      </c>
      <c r="BF40" s="456">
        <v>18692.044900543231</v>
      </c>
      <c r="BG40" s="456">
        <v>8196.4576829088619</v>
      </c>
      <c r="BH40" s="456">
        <v>30864.041175848921</v>
      </c>
    </row>
    <row r="41" spans="2:60">
      <c r="B41" s="438" t="s">
        <v>670</v>
      </c>
      <c r="C41" s="456">
        <v>26141.443199999951</v>
      </c>
      <c r="D41" s="456">
        <v>19634.654399999956</v>
      </c>
      <c r="E41" s="456">
        <v>20768.281599999929</v>
      </c>
      <c r="F41" s="456">
        <v>2687.2263999999559</v>
      </c>
      <c r="G41" s="456">
        <v>-4299.7276050000219</v>
      </c>
      <c r="H41" s="456">
        <v>-6885.4451989999798</v>
      </c>
      <c r="I41" s="456">
        <v>-6960.1295990000071</v>
      </c>
      <c r="J41" s="456">
        <v>9432.2523969999456</v>
      </c>
      <c r="K41" s="456">
        <v>2865.7966889999807</v>
      </c>
      <c r="Q41" s="438" t="s">
        <v>670</v>
      </c>
      <c r="R41" s="456">
        <v>16673.99939999999</v>
      </c>
      <c r="S41" s="456">
        <v>12729.062299000001</v>
      </c>
      <c r="T41" s="456">
        <v>12834.061799999999</v>
      </c>
      <c r="U41" s="456">
        <v>11324.341699999994</v>
      </c>
      <c r="V41" s="456">
        <v>17417.941600000006</v>
      </c>
      <c r="W41" s="456">
        <v>10769.115200000007</v>
      </c>
      <c r="X41" s="456">
        <v>11236.792200000004</v>
      </c>
      <c r="Y41" s="456">
        <v>12033.242799000007</v>
      </c>
      <c r="Z41" s="456">
        <v>7948.9545660000076</v>
      </c>
      <c r="AF41" s="438" t="s">
        <v>670</v>
      </c>
      <c r="AG41" s="456">
        <v>1785.9618</v>
      </c>
      <c r="AH41" s="456">
        <v>1288.0433999999998</v>
      </c>
      <c r="AI41" s="456">
        <v>1712.0208</v>
      </c>
      <c r="AJ41" s="456">
        <v>1435.7392</v>
      </c>
      <c r="AK41" s="456">
        <v>1518.0788</v>
      </c>
      <c r="AL41" s="456">
        <v>1429.9179999999999</v>
      </c>
      <c r="AM41" s="456">
        <v>1328.5859999999998</v>
      </c>
      <c r="AN41" s="456">
        <v>-933.55739999999992</v>
      </c>
      <c r="AO41" s="456">
        <v>-6135.4992029999994</v>
      </c>
      <c r="AP41" s="456">
        <v>-2315.5542000000005</v>
      </c>
      <c r="AX41" s="438" t="s">
        <v>669</v>
      </c>
      <c r="AY41" s="456">
        <v>195044.82469999997</v>
      </c>
      <c r="AZ41" s="456">
        <v>179686.48189999996</v>
      </c>
      <c r="BA41" s="456">
        <v>192547.33629999994</v>
      </c>
      <c r="BB41" s="456">
        <v>166700.22569999998</v>
      </c>
      <c r="BC41" s="456">
        <v>159789.2408</v>
      </c>
      <c r="BD41" s="456">
        <v>164121.78839999996</v>
      </c>
      <c r="BE41" s="456">
        <v>177673.83059999993</v>
      </c>
      <c r="BF41" s="456">
        <v>188576.05239999996</v>
      </c>
      <c r="BG41" s="456">
        <v>160580.97829999999</v>
      </c>
      <c r="BH41" s="456">
        <v>180259.78079999995</v>
      </c>
    </row>
    <row r="42" spans="2:60">
      <c r="B42" s="438" t="s">
        <v>671</v>
      </c>
      <c r="C42" s="463">
        <v>0.75193545143776397</v>
      </c>
      <c r="D42" s="463">
        <v>0.708931245745405</v>
      </c>
      <c r="E42" s="463">
        <v>0.74680448043909498</v>
      </c>
      <c r="F42" s="463">
        <v>0.86205788389194504</v>
      </c>
      <c r="G42" s="463">
        <v>0.84843963695138624</v>
      </c>
      <c r="H42" s="463">
        <v>0.83548422591445681</v>
      </c>
      <c r="I42" s="463">
        <v>0.84622682424373852</v>
      </c>
      <c r="J42" s="463">
        <v>0.85798280039102903</v>
      </c>
      <c r="K42" s="463">
        <v>0.84743887598185641</v>
      </c>
      <c r="Q42" s="438" t="s">
        <v>671</v>
      </c>
      <c r="R42" s="463">
        <v>0.83432433366750791</v>
      </c>
      <c r="S42" s="463">
        <v>0.8517162373396715</v>
      </c>
      <c r="T42" s="463">
        <v>0.82008048494727726</v>
      </c>
      <c r="U42" s="463">
        <v>0.8357140935625319</v>
      </c>
      <c r="V42" s="463">
        <v>0.81663023624876485</v>
      </c>
      <c r="W42" s="463">
        <v>0.88207241019273641</v>
      </c>
      <c r="X42" s="463">
        <v>0.83157594756340836</v>
      </c>
      <c r="Y42" s="463">
        <v>0.8714355588163365</v>
      </c>
      <c r="Z42" s="463">
        <v>0.88071455456151015</v>
      </c>
      <c r="AF42" s="438" t="s">
        <v>671</v>
      </c>
      <c r="AG42" s="463"/>
      <c r="AH42" s="463"/>
      <c r="AI42" s="463"/>
      <c r="AJ42" s="463"/>
      <c r="AK42" s="463"/>
      <c r="AL42" s="463"/>
      <c r="AM42" s="463"/>
      <c r="AN42" s="463"/>
      <c r="AO42" s="463"/>
      <c r="AP42" s="463"/>
      <c r="AX42" s="438" t="s">
        <v>670</v>
      </c>
      <c r="AY42" s="456">
        <v>42853.414699999965</v>
      </c>
      <c r="AZ42" s="456">
        <v>32375.661898999999</v>
      </c>
      <c r="BA42" s="456">
        <v>33587.706299999933</v>
      </c>
      <c r="BB42" s="456">
        <v>14008.595700000005</v>
      </c>
      <c r="BC42" s="456">
        <v>13065.260795000009</v>
      </c>
      <c r="BD42" s="456">
        <v>3809.8784009999654</v>
      </c>
      <c r="BE42" s="456">
        <v>4219.9806009999011</v>
      </c>
      <c r="BF42" s="456">
        <v>21244.652395999961</v>
      </c>
      <c r="BG42" s="456">
        <v>10599.247154999932</v>
      </c>
      <c r="BH42" s="456">
        <v>38409.77588099998</v>
      </c>
    </row>
    <row r="43" spans="2:60">
      <c r="B43" s="438" t="s">
        <v>672</v>
      </c>
      <c r="C43" s="464">
        <v>11.610804415164305</v>
      </c>
      <c r="D43" s="464">
        <v>11.563332972054537</v>
      </c>
      <c r="E43" s="464">
        <v>11.551051755604774</v>
      </c>
      <c r="F43" s="464">
        <v>11.536964166346021</v>
      </c>
      <c r="G43" s="464">
        <v>11.549417778817471</v>
      </c>
      <c r="H43" s="464">
        <v>11.557424431961548</v>
      </c>
      <c r="I43" s="464">
        <v>11.555270398461579</v>
      </c>
      <c r="J43" s="464">
        <v>11.52385477611103</v>
      </c>
      <c r="K43" s="464">
        <v>11.539450535382462</v>
      </c>
      <c r="Q43" s="438" t="s">
        <v>672</v>
      </c>
      <c r="R43" s="464">
        <v>10.948618365302586</v>
      </c>
      <c r="S43" s="464">
        <v>10.812067899538837</v>
      </c>
      <c r="T43" s="464">
        <v>10.715672366293898</v>
      </c>
      <c r="U43" s="464">
        <v>10.79993533933628</v>
      </c>
      <c r="V43" s="464">
        <v>10.587665319006224</v>
      </c>
      <c r="W43" s="464">
        <v>10.36739554088639</v>
      </c>
      <c r="X43" s="464">
        <v>10.49747209206464</v>
      </c>
      <c r="Y43" s="464">
        <v>10.835815192113015</v>
      </c>
      <c r="Z43" s="464">
        <v>10.805454901442642</v>
      </c>
      <c r="AF43" s="438" t="s">
        <v>672</v>
      </c>
      <c r="AG43" s="464">
        <v>11.214125524875938</v>
      </c>
      <c r="AH43" s="464">
        <v>11.870902884930098</v>
      </c>
      <c r="AI43" s="464">
        <v>11.846167924467364</v>
      </c>
      <c r="AJ43" s="464">
        <v>11.866686466496773</v>
      </c>
      <c r="AK43" s="464">
        <v>11.77501638116634</v>
      </c>
      <c r="AL43" s="464">
        <v>11.372874932322686</v>
      </c>
      <c r="AM43" s="464">
        <v>10.392557481165547</v>
      </c>
      <c r="AN43" s="464">
        <v>11.861953050591071</v>
      </c>
      <c r="AO43" s="464">
        <v>11.166703236423478</v>
      </c>
      <c r="AP43" s="464">
        <v>11.515532656463103</v>
      </c>
      <c r="AX43" s="438" t="s">
        <v>671</v>
      </c>
      <c r="AY43" s="463">
        <v>0.78661349711108852</v>
      </c>
      <c r="AZ43" s="463">
        <v>0.76440479063844657</v>
      </c>
      <c r="BA43" s="463">
        <v>0.77386674693581914</v>
      </c>
      <c r="BB43" s="463">
        <v>0.85113020694555463</v>
      </c>
      <c r="BC43" s="463">
        <v>0.83656268813128498</v>
      </c>
      <c r="BD43" s="463">
        <v>0.85213116078098816</v>
      </c>
      <c r="BE43" s="463">
        <v>0.84143137939269252</v>
      </c>
      <c r="BF43" s="463">
        <v>0.86289953621056215</v>
      </c>
      <c r="BG43" s="463">
        <v>0.85919928025191183</v>
      </c>
      <c r="BH43" s="463">
        <v>0.93572751774966811</v>
      </c>
    </row>
    <row r="44" spans="2:60">
      <c r="B44" s="438" t="s">
        <v>673</v>
      </c>
      <c r="C44" s="442">
        <v>6</v>
      </c>
      <c r="D44" s="442">
        <v>8</v>
      </c>
      <c r="E44" s="442">
        <v>8</v>
      </c>
      <c r="F44" s="442">
        <v>7</v>
      </c>
      <c r="G44" s="442">
        <v>7</v>
      </c>
      <c r="H44" s="442">
        <v>6</v>
      </c>
      <c r="I44" s="442">
        <v>7</v>
      </c>
      <c r="J44" s="442">
        <v>7</v>
      </c>
      <c r="K44" s="442">
        <v>7</v>
      </c>
      <c r="Q44" s="438" t="s">
        <v>673</v>
      </c>
      <c r="R44" s="442">
        <v>4</v>
      </c>
      <c r="S44" s="442">
        <v>5</v>
      </c>
      <c r="T44" s="442">
        <v>4</v>
      </c>
      <c r="U44" s="442">
        <v>6</v>
      </c>
      <c r="V44" s="442">
        <v>4</v>
      </c>
      <c r="W44" s="442">
        <v>4</v>
      </c>
      <c r="X44" s="442">
        <v>4</v>
      </c>
      <c r="Y44" s="442">
        <v>4</v>
      </c>
      <c r="Z44" s="442">
        <v>4</v>
      </c>
      <c r="AF44" s="438" t="s">
        <v>673</v>
      </c>
      <c r="AG44" s="442">
        <v>3</v>
      </c>
      <c r="AH44" s="442">
        <v>4</v>
      </c>
      <c r="AI44" s="442">
        <v>3</v>
      </c>
      <c r="AJ44" s="442">
        <v>3</v>
      </c>
      <c r="AK44" s="442">
        <v>3</v>
      </c>
      <c r="AL44" s="442">
        <v>3</v>
      </c>
      <c r="AM44" s="442">
        <v>3</v>
      </c>
      <c r="AN44" s="442">
        <v>3</v>
      </c>
      <c r="AO44" s="442">
        <v>2</v>
      </c>
      <c r="AP44" s="442">
        <v>3</v>
      </c>
      <c r="AX44" s="438" t="s">
        <v>672</v>
      </c>
      <c r="AY44" s="464">
        <v>11.532492007942826</v>
      </c>
      <c r="AZ44" s="464">
        <v>11.483684767806533</v>
      </c>
      <c r="BA44" s="464">
        <v>11.471373002694632</v>
      </c>
      <c r="BB44" s="464">
        <v>11.461904112999617</v>
      </c>
      <c r="BC44" s="464">
        <v>11.450754367486132</v>
      </c>
      <c r="BD44" s="464">
        <v>11.439901525049528</v>
      </c>
      <c r="BE44" s="464">
        <v>11.437497635732868</v>
      </c>
      <c r="BF44" s="464">
        <v>11.444840170519498</v>
      </c>
      <c r="BG44" s="464">
        <v>11.448360705226296</v>
      </c>
      <c r="BH44" s="464">
        <v>11.472130289791915</v>
      </c>
    </row>
    <row r="45" spans="2:60">
      <c r="AX45" s="438" t="s">
        <v>673</v>
      </c>
      <c r="AY45" s="442">
        <v>6</v>
      </c>
      <c r="AZ45" s="442">
        <v>8</v>
      </c>
      <c r="BA45" s="442">
        <v>8</v>
      </c>
      <c r="BB45" s="442">
        <v>8</v>
      </c>
      <c r="BC45" s="442">
        <v>7</v>
      </c>
      <c r="BD45" s="442">
        <v>6</v>
      </c>
      <c r="BE45" s="442">
        <v>7</v>
      </c>
      <c r="BF45" s="442">
        <v>7</v>
      </c>
      <c r="BG45" s="442">
        <v>7</v>
      </c>
      <c r="BH45" s="442">
        <v>8</v>
      </c>
    </row>
    <row r="46" spans="2:60">
      <c r="B46" s="465" t="s">
        <v>674</v>
      </c>
      <c r="C46" s="466">
        <v>9.2232400000000006E-2</v>
      </c>
      <c r="D46" s="466">
        <v>9.2596300000000006E-2</v>
      </c>
      <c r="E46" s="466">
        <v>9.8093399999999997E-2</v>
      </c>
      <c r="F46" s="466">
        <v>9.6376900000000001E-2</v>
      </c>
      <c r="G46" s="466">
        <v>9.8910600000000001E-2</v>
      </c>
      <c r="H46" s="466">
        <v>9.80124E-2</v>
      </c>
      <c r="I46" s="466">
        <v>9.7507700000000003E-2</v>
      </c>
      <c r="J46" s="466">
        <v>0.1008405</v>
      </c>
      <c r="K46" s="467">
        <v>9.9122399999999999E-2</v>
      </c>
      <c r="Q46" s="465" t="s">
        <v>674</v>
      </c>
      <c r="R46" s="466">
        <v>0.1179873</v>
      </c>
      <c r="S46" s="466">
        <v>0.12528310000000001</v>
      </c>
      <c r="T46" s="466">
        <v>0.13060479999999999</v>
      </c>
      <c r="U46" s="466">
        <v>0.12914870000000001</v>
      </c>
      <c r="V46" s="466">
        <v>0.123183</v>
      </c>
      <c r="W46" s="466">
        <v>0.15451380000000001</v>
      </c>
      <c r="X46" s="466">
        <v>0.1399707</v>
      </c>
      <c r="Y46" s="466">
        <v>0.12469470000000001</v>
      </c>
      <c r="Z46" s="467">
        <v>0.12872130000000001</v>
      </c>
      <c r="AF46" s="465" t="s">
        <v>674</v>
      </c>
      <c r="AG46" s="466">
        <v>0.10208252256064568</v>
      </c>
      <c r="AH46" s="466">
        <v>6.7058530645866657E-2</v>
      </c>
      <c r="AI46" s="466">
        <v>5.9673869934775012E-2</v>
      </c>
      <c r="AJ46" s="466">
        <v>7.807696049620548E-2</v>
      </c>
      <c r="AK46" s="466">
        <v>6.1918426074695644E-2</v>
      </c>
      <c r="AL46" s="466">
        <v>8.0561758295960517E-2</v>
      </c>
      <c r="AM46" s="466">
        <v>8.1587532838575769E-2</v>
      </c>
      <c r="AN46" s="466">
        <v>7.4928834374271017E-2</v>
      </c>
      <c r="AO46" s="467">
        <v>6.5261209291283484E-2</v>
      </c>
      <c r="AX46" s="468" t="s">
        <v>675</v>
      </c>
      <c r="AY46" s="469">
        <f>+AY38-(AY38*AY37)</f>
        <v>98821.834019374393</v>
      </c>
      <c r="AZ46" s="469">
        <f t="shared" ref="AZ46:BH46" si="0">+AZ38-(AZ38*AZ37)</f>
        <v>91495.170465759438</v>
      </c>
      <c r="BA46" s="469">
        <f t="shared" si="0"/>
        <v>98429.042727337976</v>
      </c>
      <c r="BB46" s="469">
        <f t="shared" si="0"/>
        <v>85408.302991717646</v>
      </c>
      <c r="BC46" s="469">
        <f t="shared" si="0"/>
        <v>80849.972733494447</v>
      </c>
      <c r="BD46" s="469">
        <f t="shared" si="0"/>
        <v>83606.096819466446</v>
      </c>
      <c r="BE46" s="469">
        <f t="shared" si="0"/>
        <v>91980.520848070446</v>
      </c>
      <c r="BF46" s="469">
        <f t="shared" si="0"/>
        <v>94760.310786339716</v>
      </c>
      <c r="BG46" s="469">
        <f t="shared" si="0"/>
        <v>80110.391229167115</v>
      </c>
      <c r="BH46" s="469">
        <f t="shared" si="0"/>
        <v>86305.26978774555</v>
      </c>
    </row>
    <row r="47" spans="2:60">
      <c r="C47" s="6"/>
    </row>
    <row r="48" spans="2:60">
      <c r="B48" s="470" t="s">
        <v>676</v>
      </c>
      <c r="C48" s="471"/>
      <c r="D48" s="472"/>
      <c r="E48" s="472"/>
      <c r="F48" s="472"/>
      <c r="G48" s="472"/>
      <c r="H48" s="472"/>
      <c r="I48" s="472"/>
      <c r="J48" s="472"/>
      <c r="K48" s="473"/>
      <c r="L48" t="s">
        <v>677</v>
      </c>
      <c r="Q48" s="470" t="s">
        <v>678</v>
      </c>
      <c r="R48" s="471"/>
      <c r="S48" s="472"/>
      <c r="T48" s="472"/>
      <c r="U48" s="472"/>
      <c r="V48" s="472"/>
      <c r="W48" s="472"/>
      <c r="X48" s="472"/>
      <c r="Y48" s="472"/>
      <c r="Z48" s="473"/>
      <c r="AA48" t="s">
        <v>677</v>
      </c>
      <c r="AF48" s="470" t="s">
        <v>679</v>
      </c>
      <c r="AG48" s="471"/>
      <c r="AH48" s="472"/>
      <c r="AI48" s="472"/>
      <c r="AJ48" s="472"/>
      <c r="AK48" s="472"/>
      <c r="AL48" s="472"/>
      <c r="AM48" s="472"/>
      <c r="AN48" s="472"/>
      <c r="AO48" s="473"/>
      <c r="AP48" s="5"/>
    </row>
    <row r="49" spans="2:44">
      <c r="B49" s="474" t="s">
        <v>680</v>
      </c>
      <c r="C49" s="475">
        <v>12.951848184818486</v>
      </c>
      <c r="D49" s="475">
        <v>13.170240000000009</v>
      </c>
      <c r="E49" s="475">
        <v>13.12259764705883</v>
      </c>
      <c r="F49" s="475">
        <v>13.199929971988803</v>
      </c>
      <c r="G49" s="475">
        <v>13.159793233082715</v>
      </c>
      <c r="H49" s="475">
        <v>11.608267716535435</v>
      </c>
      <c r="I49" s="475">
        <v>11.316121266161396</v>
      </c>
      <c r="J49" s="475">
        <v>11.12710706150342</v>
      </c>
      <c r="K49" s="476">
        <v>11.247372093023261</v>
      </c>
      <c r="L49" s="477">
        <f>+AVERAGE(C49:K49)</f>
        <v>12.322586352685818</v>
      </c>
      <c r="Q49" s="474" t="s">
        <v>680</v>
      </c>
      <c r="R49" s="475">
        <v>11.014329896907215</v>
      </c>
      <c r="S49" s="475">
        <v>10.743728448275862</v>
      </c>
      <c r="T49" s="475">
        <v>10.963863636363635</v>
      </c>
      <c r="U49" s="475">
        <v>10.668414634146345</v>
      </c>
      <c r="V49" s="475">
        <v>10.753252173913042</v>
      </c>
      <c r="W49" s="475">
        <v>10.352738301559789</v>
      </c>
      <c r="X49" s="475">
        <v>10.179797297297297</v>
      </c>
      <c r="Y49" s="475">
        <v>10.00724409448819</v>
      </c>
      <c r="Z49" s="476">
        <v>10.016563467492261</v>
      </c>
      <c r="AA49" s="477">
        <f>+AVERAGE(R49:Z49)</f>
        <v>10.522214661160403</v>
      </c>
      <c r="AF49" s="474" t="s">
        <v>680</v>
      </c>
      <c r="AG49" s="475">
        <v>11.542999999999999</v>
      </c>
      <c r="AH49" s="475">
        <v>11.54857142857143</v>
      </c>
      <c r="AI49" s="475">
        <v>12.073333333333331</v>
      </c>
      <c r="AJ49" s="475">
        <v>12.16076923076923</v>
      </c>
      <c r="AK49" s="475">
        <v>11.884166666666665</v>
      </c>
      <c r="AL49" s="475">
        <v>11.293999999999999</v>
      </c>
      <c r="AM49" s="475">
        <v>10.284285714285714</v>
      </c>
      <c r="AN49" s="475">
        <v>10.202142857142857</v>
      </c>
      <c r="AO49" s="476">
        <v>10.292</v>
      </c>
      <c r="AP49" s="477"/>
    </row>
    <row r="50" spans="2:44">
      <c r="B50" s="474" t="s">
        <v>681</v>
      </c>
      <c r="C50" s="475">
        <v>59.683419023136253</v>
      </c>
      <c r="D50" s="475">
        <v>62.071253731343283</v>
      </c>
      <c r="E50" s="475">
        <v>59.904670912951154</v>
      </c>
      <c r="F50" s="475">
        <v>59.827387914230023</v>
      </c>
      <c r="G50" s="475">
        <v>59.293395176252311</v>
      </c>
      <c r="H50" s="475">
        <v>60.624983108108104</v>
      </c>
      <c r="I50" s="475">
        <v>61.229322033898306</v>
      </c>
      <c r="J50" s="475">
        <v>62.876391554702479</v>
      </c>
      <c r="K50" s="476">
        <v>61.239328358208951</v>
      </c>
      <c r="L50" s="477">
        <f>+AVERAGE(C50:K50)</f>
        <v>60.750016868092317</v>
      </c>
      <c r="Q50" s="474" t="s">
        <v>681</v>
      </c>
      <c r="R50" s="475">
        <v>56.501266666666673</v>
      </c>
      <c r="S50" s="475">
        <v>56.291951219512178</v>
      </c>
      <c r="T50" s="475">
        <v>55.388288288288287</v>
      </c>
      <c r="U50" s="475">
        <v>53.407377049180333</v>
      </c>
      <c r="V50" s="475">
        <v>55.509361702127663</v>
      </c>
      <c r="W50" s="475">
        <v>53.489252336448601</v>
      </c>
      <c r="X50" s="475">
        <v>49.400884955752204</v>
      </c>
      <c r="Y50" s="475">
        <v>50.248489208633103</v>
      </c>
      <c r="Z50" s="476">
        <v>54.618823529411763</v>
      </c>
      <c r="AA50" s="477">
        <f>+AVERAGE(R50:Z50)</f>
        <v>53.872854995113421</v>
      </c>
      <c r="AF50" s="474" t="s">
        <v>681</v>
      </c>
      <c r="AG50" s="475">
        <v>63.263333333333328</v>
      </c>
      <c r="AH50" s="475">
        <v>67.792000000000002</v>
      </c>
      <c r="AI50" s="475">
        <v>69.181428571428583</v>
      </c>
      <c r="AJ50" s="475">
        <v>62.816666666666663</v>
      </c>
      <c r="AK50" s="475">
        <v>54.933333333333323</v>
      </c>
      <c r="AL50" s="475">
        <v>81.874285714285719</v>
      </c>
      <c r="AM50" s="475">
        <v>56.001250000000006</v>
      </c>
      <c r="AN50" s="475">
        <v>63.68399999999999</v>
      </c>
      <c r="AO50" s="476">
        <v>54.378750000000004</v>
      </c>
      <c r="AP50" s="477"/>
    </row>
    <row r="51" spans="2:44">
      <c r="B51" s="474" t="s">
        <v>682</v>
      </c>
      <c r="H51" s="475"/>
      <c r="I51" s="475"/>
      <c r="J51" s="475"/>
      <c r="K51" s="21"/>
      <c r="Q51" s="474" t="s">
        <v>682</v>
      </c>
      <c r="W51" s="475"/>
      <c r="X51" s="475"/>
      <c r="Y51" s="475"/>
      <c r="Z51" s="21"/>
      <c r="AF51" s="474" t="s">
        <v>682</v>
      </c>
      <c r="AL51" s="475"/>
      <c r="AM51" s="475"/>
      <c r="AN51" s="475"/>
      <c r="AO51" s="21"/>
    </row>
    <row r="52" spans="2:44">
      <c r="B52" s="474" t="s">
        <v>683</v>
      </c>
      <c r="C52" s="475"/>
      <c r="D52" s="475"/>
      <c r="E52" s="475"/>
      <c r="F52" s="475"/>
      <c r="G52" s="475"/>
      <c r="H52" s="475"/>
      <c r="I52" s="475"/>
      <c r="J52" s="475"/>
      <c r="K52" s="476"/>
      <c r="Q52" s="474" t="s">
        <v>683</v>
      </c>
      <c r="R52" s="475"/>
      <c r="S52" s="475"/>
      <c r="T52" s="475"/>
      <c r="U52" s="475"/>
      <c r="V52" s="475"/>
      <c r="W52" s="475"/>
      <c r="X52" s="475"/>
      <c r="Y52" s="475"/>
      <c r="Z52" s="476"/>
      <c r="AF52" s="474" t="s">
        <v>683</v>
      </c>
      <c r="AG52" s="475"/>
      <c r="AH52" s="475"/>
      <c r="AI52" s="475"/>
      <c r="AJ52" s="475"/>
      <c r="AK52" s="475"/>
      <c r="AL52" s="475"/>
      <c r="AM52" s="475"/>
      <c r="AN52" s="475"/>
      <c r="AO52" s="476"/>
    </row>
    <row r="53" spans="2:44">
      <c r="B53" s="366"/>
      <c r="K53" s="21"/>
      <c r="Q53" s="366"/>
      <c r="Z53" s="21"/>
      <c r="AF53" s="366"/>
      <c r="AO53" s="21"/>
    </row>
    <row r="54" spans="2:44">
      <c r="B54" s="478" t="s">
        <v>677</v>
      </c>
      <c r="C54" s="479">
        <f t="shared" ref="C54:K54" si="1">+AVERAGE(C49:C52)</f>
        <v>36.31763360397737</v>
      </c>
      <c r="D54" s="479">
        <f t="shared" si="1"/>
        <v>37.620746865671649</v>
      </c>
      <c r="E54" s="479">
        <f t="shared" si="1"/>
        <v>36.513634280004993</v>
      </c>
      <c r="F54" s="479">
        <f t="shared" si="1"/>
        <v>36.513658943109412</v>
      </c>
      <c r="G54" s="479">
        <f t="shared" si="1"/>
        <v>36.226594204667514</v>
      </c>
      <c r="H54" s="479">
        <f t="shared" si="1"/>
        <v>36.116625412321767</v>
      </c>
      <c r="I54" s="479">
        <f t="shared" si="1"/>
        <v>36.272721650029851</v>
      </c>
      <c r="J54" s="479">
        <f t="shared" si="1"/>
        <v>37.001749308102951</v>
      </c>
      <c r="K54" s="480">
        <f t="shared" si="1"/>
        <v>36.243350225616105</v>
      </c>
      <c r="Q54" s="478" t="s">
        <v>677</v>
      </c>
      <c r="R54" s="479">
        <f t="shared" ref="R54:Z54" si="2">+AVERAGE(R49:R52)</f>
        <v>33.757798281786947</v>
      </c>
      <c r="S54" s="479">
        <f t="shared" si="2"/>
        <v>33.517839833894023</v>
      </c>
      <c r="T54" s="479">
        <f t="shared" si="2"/>
        <v>33.17607596232596</v>
      </c>
      <c r="U54" s="479">
        <f t="shared" si="2"/>
        <v>32.037895841663342</v>
      </c>
      <c r="V54" s="479">
        <f t="shared" si="2"/>
        <v>33.131306938020352</v>
      </c>
      <c r="W54" s="479">
        <f t="shared" si="2"/>
        <v>31.920995319004195</v>
      </c>
      <c r="X54" s="479">
        <f t="shared" si="2"/>
        <v>29.790341126524751</v>
      </c>
      <c r="Y54" s="479">
        <f t="shared" si="2"/>
        <v>30.127866651560645</v>
      </c>
      <c r="Z54" s="480">
        <f t="shared" si="2"/>
        <v>32.317693498452016</v>
      </c>
      <c r="AF54" s="478" t="s">
        <v>677</v>
      </c>
      <c r="AG54" s="479">
        <f t="shared" ref="AG54:AO54" si="3">+AVERAGE(AG49:AG52)</f>
        <v>37.403166666666664</v>
      </c>
      <c r="AH54" s="479">
        <f t="shared" si="3"/>
        <v>39.670285714285718</v>
      </c>
      <c r="AI54" s="479">
        <f t="shared" si="3"/>
        <v>40.62738095238096</v>
      </c>
      <c r="AJ54" s="479">
        <f t="shared" si="3"/>
        <v>37.488717948717948</v>
      </c>
      <c r="AK54" s="479">
        <f t="shared" si="3"/>
        <v>33.408749999999998</v>
      </c>
      <c r="AL54" s="479">
        <f t="shared" si="3"/>
        <v>46.584142857142858</v>
      </c>
      <c r="AM54" s="479">
        <f t="shared" si="3"/>
        <v>33.142767857142857</v>
      </c>
      <c r="AN54" s="479">
        <f t="shared" si="3"/>
        <v>36.943071428571422</v>
      </c>
      <c r="AO54" s="480">
        <f t="shared" si="3"/>
        <v>32.335374999999999</v>
      </c>
    </row>
    <row r="57" spans="2:44">
      <c r="B57" s="481" t="s">
        <v>684</v>
      </c>
      <c r="C57" s="365"/>
      <c r="D57" s="365"/>
      <c r="E57" s="365"/>
      <c r="F57" s="365"/>
      <c r="G57" s="365"/>
      <c r="H57" s="365"/>
      <c r="I57" s="365"/>
      <c r="J57" s="365"/>
      <c r="K57" s="368"/>
      <c r="Q57" s="481" t="s">
        <v>684</v>
      </c>
      <c r="R57" s="365"/>
      <c r="S57" s="365"/>
      <c r="T57" s="365"/>
      <c r="U57" s="365"/>
      <c r="V57" s="365"/>
      <c r="W57" s="365"/>
      <c r="X57" s="365"/>
      <c r="Y57" s="365"/>
      <c r="Z57" s="368"/>
      <c r="AF57" s="481" t="s">
        <v>685</v>
      </c>
      <c r="AG57" s="365"/>
      <c r="AH57" s="365"/>
      <c r="AI57" s="365"/>
      <c r="AJ57" s="365"/>
      <c r="AK57" s="365"/>
      <c r="AL57" s="365"/>
      <c r="AM57" s="365"/>
      <c r="AN57" s="365"/>
      <c r="AO57" s="368"/>
    </row>
    <row r="58" spans="2:44">
      <c r="B58" s="364" t="s">
        <v>680</v>
      </c>
      <c r="C58" s="482">
        <v>0.43669827105409925</v>
      </c>
      <c r="D58" s="482">
        <v>0.47837295903752508</v>
      </c>
      <c r="E58" s="482">
        <v>0.4924</v>
      </c>
      <c r="F58" s="482">
        <v>0.5199321458863444</v>
      </c>
      <c r="G58" s="482">
        <v>0.52593227603943415</v>
      </c>
      <c r="H58" s="482">
        <v>0.52418010005558646</v>
      </c>
      <c r="I58" s="482">
        <v>0.50537772087067867</v>
      </c>
      <c r="J58" s="482">
        <v>0.50551065393093308</v>
      </c>
      <c r="K58" s="483">
        <v>0.52686093081066154</v>
      </c>
      <c r="M58" s="6"/>
      <c r="N58" s="6"/>
      <c r="O58" s="484"/>
      <c r="Q58" s="366" t="s">
        <v>680</v>
      </c>
      <c r="R58" s="485">
        <v>0.67361111111111116</v>
      </c>
      <c r="S58" s="485">
        <v>0.76315789473684215</v>
      </c>
      <c r="T58" s="485">
        <v>0.80733944954128445</v>
      </c>
      <c r="U58" s="485">
        <v>0.79833101529902639</v>
      </c>
      <c r="V58" s="485">
        <v>0.73907455012853474</v>
      </c>
      <c r="W58" s="485">
        <v>0.83381502890173409</v>
      </c>
      <c r="X58" s="485">
        <v>0.81881051175656983</v>
      </c>
      <c r="Y58" s="485">
        <v>0.80788804071246823</v>
      </c>
      <c r="Z58" s="99">
        <v>0.85562913907284766</v>
      </c>
      <c r="AA58" s="486"/>
      <c r="AB58" s="486"/>
      <c r="AC58" s="486"/>
      <c r="AD58" s="486"/>
      <c r="AE58" s="486"/>
      <c r="AF58" s="366" t="s">
        <v>680</v>
      </c>
      <c r="AG58" s="485">
        <v>0.47619047619047616</v>
      </c>
      <c r="AH58" s="485">
        <v>0.58333333333333337</v>
      </c>
      <c r="AI58" s="485">
        <v>0.44444444444444442</v>
      </c>
      <c r="AJ58" s="485">
        <v>0.56521739130434778</v>
      </c>
      <c r="AK58" s="485">
        <v>0.46153846153846156</v>
      </c>
      <c r="AL58" s="485">
        <v>0.41666666666666669</v>
      </c>
      <c r="AM58" s="485">
        <v>0.48275862068965519</v>
      </c>
      <c r="AN58" s="485">
        <v>0.66666666666666663</v>
      </c>
      <c r="AO58" s="99">
        <v>0.55555555555555558</v>
      </c>
      <c r="AP58" s="486"/>
      <c r="AQ58" s="486"/>
      <c r="AR58" s="486"/>
    </row>
    <row r="59" spans="2:44">
      <c r="B59" s="367" t="s">
        <v>681</v>
      </c>
      <c r="C59" s="487">
        <v>0.5633017289459008</v>
      </c>
      <c r="D59" s="487">
        <v>0.52162704096247492</v>
      </c>
      <c r="E59" s="487">
        <v>0.50760000000000005</v>
      </c>
      <c r="F59" s="487">
        <v>0.4800678541136556</v>
      </c>
      <c r="G59" s="487">
        <v>0.47406772396056585</v>
      </c>
      <c r="H59" s="487">
        <v>0.47581989994441354</v>
      </c>
      <c r="I59" s="487">
        <v>0.49462227912932133</v>
      </c>
      <c r="J59" s="487">
        <v>0.49448934606906692</v>
      </c>
      <c r="K59" s="363">
        <v>0.47313906918933846</v>
      </c>
      <c r="Q59" s="367" t="s">
        <v>681</v>
      </c>
      <c r="R59" s="487">
        <v>0.32638888888888884</v>
      </c>
      <c r="S59" s="487">
        <v>0.23684210526315785</v>
      </c>
      <c r="T59" s="487">
        <v>0.19266055045871555</v>
      </c>
      <c r="U59" s="487">
        <v>0.20166898470097361</v>
      </c>
      <c r="V59" s="487">
        <v>0.26092544987146526</v>
      </c>
      <c r="W59" s="487">
        <v>0.16618497109826591</v>
      </c>
      <c r="X59" s="487">
        <v>0.18118948824343017</v>
      </c>
      <c r="Y59" s="487">
        <v>0.19211195928753177</v>
      </c>
      <c r="Z59" s="363">
        <v>0.14437086092715234</v>
      </c>
      <c r="AF59" s="367" t="s">
        <v>681</v>
      </c>
      <c r="AG59" s="487">
        <v>0.52380952380952372</v>
      </c>
      <c r="AH59" s="487">
        <v>0.41666666666666669</v>
      </c>
      <c r="AI59" s="487">
        <v>0.55555555555555558</v>
      </c>
      <c r="AJ59" s="487">
        <v>0.43478260869565222</v>
      </c>
      <c r="AK59" s="487">
        <v>0.53846153846153844</v>
      </c>
      <c r="AL59" s="487">
        <v>0.58333333333333337</v>
      </c>
      <c r="AM59" s="487">
        <v>0.51724137931034486</v>
      </c>
      <c r="AN59" s="487">
        <v>0.33333333333333331</v>
      </c>
      <c r="AO59" s="363">
        <v>0.44444444444444442</v>
      </c>
    </row>
    <row r="60" spans="2:44" ht="37" customHeight="1">
      <c r="B60" s="436"/>
      <c r="M60" s="6"/>
      <c r="N60" s="6"/>
      <c r="O60" s="484"/>
    </row>
    <row r="61" spans="2:44">
      <c r="B61" s="488" t="s">
        <v>686</v>
      </c>
      <c r="C61" s="489">
        <f>+SUM(C62:C63)</f>
        <v>2309</v>
      </c>
      <c r="D61" s="489">
        <f t="shared" ref="D61:K61" si="4">+SUM(D62:D63)</f>
        <v>2319</v>
      </c>
      <c r="E61" s="489">
        <f t="shared" si="4"/>
        <v>2429</v>
      </c>
      <c r="F61" s="489">
        <f t="shared" si="4"/>
        <v>2668</v>
      </c>
      <c r="G61" s="489">
        <f t="shared" si="4"/>
        <v>2750</v>
      </c>
      <c r="H61" s="489">
        <f t="shared" si="4"/>
        <v>2741</v>
      </c>
      <c r="I61" s="489">
        <f t="shared" si="4"/>
        <v>2811</v>
      </c>
      <c r="J61" s="489">
        <f t="shared" si="4"/>
        <v>2849</v>
      </c>
      <c r="K61" s="490">
        <f t="shared" si="4"/>
        <v>2776</v>
      </c>
      <c r="Q61" s="488" t="s">
        <v>686</v>
      </c>
      <c r="R61" s="489">
        <f>+SUM(R62:R63)</f>
        <v>575</v>
      </c>
      <c r="S61" s="489">
        <f t="shared" ref="S61:Z61" si="5">+SUM(S62:S63)</f>
        <v>609</v>
      </c>
      <c r="T61" s="489">
        <f t="shared" si="5"/>
        <v>652</v>
      </c>
      <c r="U61" s="489">
        <f t="shared" si="5"/>
        <v>717</v>
      </c>
      <c r="V61" s="489">
        <f t="shared" si="5"/>
        <v>777</v>
      </c>
      <c r="W61" s="489">
        <f t="shared" si="5"/>
        <v>689</v>
      </c>
      <c r="X61" s="489">
        <f t="shared" si="5"/>
        <v>720</v>
      </c>
      <c r="Y61" s="489">
        <f t="shared" si="5"/>
        <v>782</v>
      </c>
      <c r="Z61" s="490">
        <f t="shared" si="5"/>
        <v>749</v>
      </c>
      <c r="AF61" s="488" t="s">
        <v>686</v>
      </c>
      <c r="AG61" s="489">
        <f>+SUM(AG62:AG63)</f>
        <v>21</v>
      </c>
      <c r="AH61" s="489">
        <f t="shared" ref="AH61:AO61" si="6">+SUM(AH62:AH63)</f>
        <v>24</v>
      </c>
      <c r="AI61" s="489">
        <f t="shared" si="6"/>
        <v>27</v>
      </c>
      <c r="AJ61" s="489">
        <f t="shared" si="6"/>
        <v>23</v>
      </c>
      <c r="AK61" s="489">
        <f t="shared" si="6"/>
        <v>26</v>
      </c>
      <c r="AL61" s="489">
        <f t="shared" si="6"/>
        <v>24</v>
      </c>
      <c r="AM61" s="489">
        <f t="shared" si="6"/>
        <v>29</v>
      </c>
      <c r="AN61" s="489">
        <f t="shared" si="6"/>
        <v>21</v>
      </c>
      <c r="AO61" s="490">
        <f t="shared" si="6"/>
        <v>27</v>
      </c>
    </row>
    <row r="62" spans="2:44">
      <c r="B62" s="364" t="s">
        <v>680</v>
      </c>
      <c r="C62" s="491">
        <v>1733</v>
      </c>
      <c r="D62" s="491">
        <v>1818</v>
      </c>
      <c r="E62" s="491">
        <v>2001</v>
      </c>
      <c r="F62" s="491">
        <v>2126</v>
      </c>
      <c r="G62" s="491">
        <v>2143</v>
      </c>
      <c r="H62" s="491">
        <v>2130</v>
      </c>
      <c r="I62" s="491">
        <v>2161</v>
      </c>
      <c r="J62" s="491">
        <v>2245</v>
      </c>
      <c r="K62" s="492">
        <v>2196</v>
      </c>
      <c r="L62" s="493"/>
      <c r="M62" s="493"/>
      <c r="N62" s="6"/>
      <c r="O62" s="484"/>
      <c r="Q62" s="364" t="s">
        <v>680</v>
      </c>
      <c r="R62" s="493">
        <v>387</v>
      </c>
      <c r="S62" s="493">
        <v>463</v>
      </c>
      <c r="T62" s="493">
        <v>526</v>
      </c>
      <c r="U62" s="493">
        <v>572</v>
      </c>
      <c r="V62" s="493">
        <v>573</v>
      </c>
      <c r="W62" s="493">
        <v>574</v>
      </c>
      <c r="X62" s="493">
        <v>588</v>
      </c>
      <c r="Y62" s="493">
        <v>631</v>
      </c>
      <c r="Z62" s="493">
        <v>640</v>
      </c>
      <c r="AF62" s="364" t="s">
        <v>680</v>
      </c>
      <c r="AG62" s="491">
        <v>10</v>
      </c>
      <c r="AH62" s="491">
        <v>14</v>
      </c>
      <c r="AI62" s="491">
        <v>12</v>
      </c>
      <c r="AJ62" s="491">
        <v>13</v>
      </c>
      <c r="AK62" s="491">
        <v>12</v>
      </c>
      <c r="AL62" s="491">
        <v>10</v>
      </c>
      <c r="AM62" s="491">
        <v>14</v>
      </c>
      <c r="AN62" s="491">
        <v>14</v>
      </c>
      <c r="AO62" s="492">
        <v>15</v>
      </c>
    </row>
    <row r="63" spans="2:44">
      <c r="B63" s="367" t="s">
        <v>681</v>
      </c>
      <c r="C63" s="494">
        <v>576</v>
      </c>
      <c r="D63" s="494">
        <v>501</v>
      </c>
      <c r="E63" s="494">
        <v>428</v>
      </c>
      <c r="F63" s="494">
        <v>542</v>
      </c>
      <c r="G63" s="494">
        <v>607</v>
      </c>
      <c r="H63" s="494">
        <v>611</v>
      </c>
      <c r="I63" s="494">
        <v>650</v>
      </c>
      <c r="J63" s="494">
        <v>604</v>
      </c>
      <c r="K63" s="495">
        <v>580</v>
      </c>
      <c r="Q63" s="367" t="s">
        <v>681</v>
      </c>
      <c r="R63" s="496">
        <v>188</v>
      </c>
      <c r="S63" s="496">
        <v>146</v>
      </c>
      <c r="T63" s="496">
        <v>126</v>
      </c>
      <c r="U63" s="496">
        <v>145</v>
      </c>
      <c r="V63" s="496">
        <v>204</v>
      </c>
      <c r="W63" s="496">
        <v>115</v>
      </c>
      <c r="X63" s="496">
        <v>132</v>
      </c>
      <c r="Y63" s="496">
        <v>151</v>
      </c>
      <c r="Z63" s="496">
        <v>109</v>
      </c>
      <c r="AF63" s="367" t="s">
        <v>681</v>
      </c>
      <c r="AG63" s="494">
        <v>11</v>
      </c>
      <c r="AH63" s="494">
        <v>10</v>
      </c>
      <c r="AI63" s="494">
        <v>15</v>
      </c>
      <c r="AJ63" s="494">
        <v>10</v>
      </c>
      <c r="AK63" s="494">
        <v>14</v>
      </c>
      <c r="AL63" s="494">
        <v>14</v>
      </c>
      <c r="AM63" s="494">
        <v>15</v>
      </c>
      <c r="AN63" s="494">
        <v>7</v>
      </c>
      <c r="AO63" s="495">
        <v>12</v>
      </c>
    </row>
    <row r="64" spans="2:44">
      <c r="C64" s="6"/>
    </row>
    <row r="66" spans="2:44">
      <c r="B66" s="762">
        <v>2023</v>
      </c>
      <c r="C66" s="762"/>
      <c r="D66" s="762"/>
      <c r="E66" s="762"/>
      <c r="F66" s="762"/>
      <c r="G66" s="762"/>
      <c r="H66" s="762"/>
      <c r="I66" s="762"/>
      <c r="J66" s="762"/>
      <c r="K66" s="762"/>
      <c r="L66" s="762"/>
      <c r="M66" s="762"/>
      <c r="N66" s="762"/>
      <c r="O66" s="434"/>
      <c r="Q66" s="762">
        <v>2023</v>
      </c>
      <c r="R66" s="762"/>
      <c r="S66" s="762"/>
      <c r="T66" s="762"/>
      <c r="U66" s="762"/>
      <c r="V66" s="762"/>
      <c r="W66" s="762"/>
      <c r="X66" s="762"/>
      <c r="Y66" s="762"/>
      <c r="Z66" s="762"/>
      <c r="AA66" s="762"/>
      <c r="AB66" s="762"/>
      <c r="AC66" s="762"/>
      <c r="AF66" s="762">
        <v>2023</v>
      </c>
      <c r="AG66" s="762"/>
      <c r="AH66" s="762"/>
      <c r="AI66" s="762"/>
      <c r="AJ66" s="762"/>
      <c r="AK66" s="762"/>
      <c r="AL66" s="762"/>
      <c r="AM66" s="762"/>
      <c r="AN66" s="762"/>
      <c r="AO66" s="762"/>
      <c r="AP66" s="762"/>
      <c r="AQ66" s="762"/>
      <c r="AR66" s="762"/>
    </row>
    <row r="68" spans="2:44">
      <c r="B68" s="481" t="s">
        <v>687</v>
      </c>
      <c r="C68" s="497" t="s">
        <v>688</v>
      </c>
      <c r="D68" s="497" t="s">
        <v>689</v>
      </c>
      <c r="E68" s="497" t="s">
        <v>690</v>
      </c>
      <c r="F68" s="497" t="s">
        <v>691</v>
      </c>
      <c r="G68" s="497" t="s">
        <v>692</v>
      </c>
      <c r="H68" s="497" t="s">
        <v>693</v>
      </c>
      <c r="I68" s="497" t="s">
        <v>694</v>
      </c>
      <c r="J68" s="497" t="s">
        <v>695</v>
      </c>
      <c r="K68" s="497" t="s">
        <v>696</v>
      </c>
      <c r="L68" s="482" t="s">
        <v>697</v>
      </c>
      <c r="M68" s="482" t="s">
        <v>698</v>
      </c>
      <c r="N68" s="483" t="s">
        <v>699</v>
      </c>
      <c r="O68" s="498"/>
      <c r="Q68" s="481" t="s">
        <v>687</v>
      </c>
      <c r="R68" s="497" t="s">
        <v>688</v>
      </c>
      <c r="S68" s="497" t="s">
        <v>689</v>
      </c>
      <c r="T68" s="497" t="s">
        <v>690</v>
      </c>
      <c r="U68" s="497" t="s">
        <v>691</v>
      </c>
      <c r="V68" s="497" t="s">
        <v>692</v>
      </c>
      <c r="W68" s="497" t="s">
        <v>693</v>
      </c>
      <c r="X68" s="497" t="s">
        <v>694</v>
      </c>
      <c r="Y68" s="497" t="s">
        <v>695</v>
      </c>
      <c r="Z68" s="497" t="s">
        <v>696</v>
      </c>
      <c r="AA68" s="482" t="s">
        <v>697</v>
      </c>
      <c r="AB68" s="482" t="s">
        <v>698</v>
      </c>
      <c r="AC68" s="483" t="s">
        <v>699</v>
      </c>
      <c r="AF68" s="481" t="s">
        <v>687</v>
      </c>
      <c r="AG68" s="497" t="s">
        <v>688</v>
      </c>
      <c r="AH68" s="497" t="s">
        <v>689</v>
      </c>
      <c r="AI68" s="497" t="s">
        <v>690</v>
      </c>
      <c r="AJ68" s="497" t="s">
        <v>691</v>
      </c>
      <c r="AK68" s="497" t="s">
        <v>692</v>
      </c>
      <c r="AL68" s="497" t="s">
        <v>693</v>
      </c>
      <c r="AM68" s="497" t="s">
        <v>694</v>
      </c>
      <c r="AN68" s="497" t="s">
        <v>695</v>
      </c>
      <c r="AO68" s="497" t="s">
        <v>696</v>
      </c>
      <c r="AP68" s="482" t="s">
        <v>697</v>
      </c>
      <c r="AQ68" s="482" t="s">
        <v>698</v>
      </c>
      <c r="AR68" s="483" t="s">
        <v>699</v>
      </c>
    </row>
    <row r="69" spans="2:44">
      <c r="B69" s="364" t="s">
        <v>680</v>
      </c>
      <c r="C69" s="491">
        <v>1788</v>
      </c>
      <c r="D69" s="491">
        <v>1671</v>
      </c>
      <c r="E69" s="491">
        <v>1885</v>
      </c>
      <c r="F69" s="491">
        <v>2018</v>
      </c>
      <c r="G69" s="491">
        <v>2246</v>
      </c>
      <c r="H69" s="491">
        <v>2395</v>
      </c>
      <c r="I69" s="491">
        <v>2520</v>
      </c>
      <c r="J69" s="491">
        <v>2480</v>
      </c>
      <c r="K69" s="491">
        <v>2419</v>
      </c>
      <c r="L69" s="491">
        <v>2389</v>
      </c>
      <c r="M69" s="491">
        <v>2314</v>
      </c>
      <c r="N69" s="492">
        <v>2315</v>
      </c>
      <c r="O69" s="493"/>
      <c r="Q69" s="364" t="s">
        <v>680</v>
      </c>
      <c r="R69" s="491">
        <v>552</v>
      </c>
      <c r="S69" s="491">
        <v>510</v>
      </c>
      <c r="T69" s="491">
        <v>557</v>
      </c>
      <c r="U69" s="491">
        <v>573</v>
      </c>
      <c r="V69" s="491">
        <v>583</v>
      </c>
      <c r="W69" s="491">
        <v>538</v>
      </c>
      <c r="X69" s="491">
        <v>530</v>
      </c>
      <c r="Y69" s="491">
        <v>499</v>
      </c>
      <c r="Z69" s="491">
        <v>484</v>
      </c>
      <c r="AA69" s="491">
        <v>500</v>
      </c>
      <c r="AB69" s="491">
        <v>472</v>
      </c>
      <c r="AC69" s="492">
        <v>516</v>
      </c>
      <c r="AF69" s="364" t="s">
        <v>680</v>
      </c>
      <c r="AG69" s="491">
        <v>14</v>
      </c>
      <c r="AH69" s="491">
        <v>14</v>
      </c>
      <c r="AI69" s="491">
        <v>20</v>
      </c>
      <c r="AJ69" s="491">
        <v>19</v>
      </c>
      <c r="AK69" s="491">
        <v>16</v>
      </c>
      <c r="AL69" s="491">
        <v>19</v>
      </c>
      <c r="AM69" s="491">
        <v>20</v>
      </c>
      <c r="AN69" s="491">
        <v>16</v>
      </c>
      <c r="AO69" s="491">
        <v>12</v>
      </c>
      <c r="AP69" s="491">
        <v>15</v>
      </c>
      <c r="AQ69" s="491">
        <v>14</v>
      </c>
      <c r="AR69" s="492">
        <v>10</v>
      </c>
    </row>
    <row r="70" spans="2:44">
      <c r="B70" s="367" t="s">
        <v>681</v>
      </c>
      <c r="C70" s="494">
        <v>2006</v>
      </c>
      <c r="D70" s="494">
        <v>1495</v>
      </c>
      <c r="E70" s="494">
        <v>1501</v>
      </c>
      <c r="F70" s="494">
        <v>1838</v>
      </c>
      <c r="G70" s="494">
        <v>2053</v>
      </c>
      <c r="H70" s="494">
        <v>2295</v>
      </c>
      <c r="I70" s="494">
        <v>2738</v>
      </c>
      <c r="J70" s="494">
        <v>2432</v>
      </c>
      <c r="K70" s="494">
        <v>2296</v>
      </c>
      <c r="L70" s="494">
        <v>2135</v>
      </c>
      <c r="M70" s="494">
        <v>2544</v>
      </c>
      <c r="N70" s="495">
        <v>2516</v>
      </c>
      <c r="O70" s="496"/>
      <c r="Q70" s="367" t="s">
        <v>681</v>
      </c>
      <c r="R70" s="494">
        <v>602</v>
      </c>
      <c r="S70" s="494">
        <v>474</v>
      </c>
      <c r="T70" s="494">
        <v>414</v>
      </c>
      <c r="U70" s="494">
        <v>475</v>
      </c>
      <c r="V70" s="494">
        <v>510</v>
      </c>
      <c r="W70" s="494">
        <v>384</v>
      </c>
      <c r="X70" s="494">
        <v>426</v>
      </c>
      <c r="Y70" s="494">
        <v>430</v>
      </c>
      <c r="Z70" s="494">
        <v>351</v>
      </c>
      <c r="AA70" s="494">
        <v>353</v>
      </c>
      <c r="AB70" s="494">
        <v>427</v>
      </c>
      <c r="AC70" s="495">
        <v>449</v>
      </c>
      <c r="AF70" s="367" t="s">
        <v>681</v>
      </c>
      <c r="AG70" s="494">
        <v>16</v>
      </c>
      <c r="AH70" s="494">
        <v>18</v>
      </c>
      <c r="AI70" s="494">
        <v>15</v>
      </c>
      <c r="AJ70" s="494">
        <v>12</v>
      </c>
      <c r="AK70" s="494">
        <v>28</v>
      </c>
      <c r="AL70" s="494">
        <v>23</v>
      </c>
      <c r="AM70" s="494">
        <v>17</v>
      </c>
      <c r="AN70" s="494">
        <v>21</v>
      </c>
      <c r="AO70" s="494">
        <v>19</v>
      </c>
      <c r="AP70" s="494">
        <v>23</v>
      </c>
      <c r="AQ70" s="494">
        <v>24</v>
      </c>
      <c r="AR70" s="495">
        <v>10</v>
      </c>
    </row>
  </sheetData>
  <mergeCells count="25">
    <mergeCell ref="B3:N3"/>
    <mergeCell ref="Q3:AC3"/>
    <mergeCell ref="AF3:AR3"/>
    <mergeCell ref="AX3:BH3"/>
    <mergeCell ref="M5:N5"/>
    <mergeCell ref="AB5:AC5"/>
    <mergeCell ref="AS5:AT5"/>
    <mergeCell ref="M6:N6"/>
    <mergeCell ref="AB6:AC6"/>
    <mergeCell ref="AS6:AT6"/>
    <mergeCell ref="M8:N8"/>
    <mergeCell ref="AB8:AC8"/>
    <mergeCell ref="AS8:AT8"/>
    <mergeCell ref="M12:N12"/>
    <mergeCell ref="AB12:AC12"/>
    <mergeCell ref="AS12:AT12"/>
    <mergeCell ref="M16:N16"/>
    <mergeCell ref="AB16:AC16"/>
    <mergeCell ref="AS16:AT16"/>
    <mergeCell ref="M20:N20"/>
    <mergeCell ref="AB20:AC20"/>
    <mergeCell ref="AS20:AT20"/>
    <mergeCell ref="B66:N66"/>
    <mergeCell ref="Q66:AC66"/>
    <mergeCell ref="AF66:AR6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CE64D-7EF1-A043-8CB4-E1DAD1369147}">
  <dimension ref="B1:S37"/>
  <sheetViews>
    <sheetView showGridLines="0" topLeftCell="A4" zoomScale="93" workbookViewId="0">
      <selection activeCell="L37" sqref="B7:L37"/>
    </sheetView>
  </sheetViews>
  <sheetFormatPr baseColWidth="10" defaultRowHeight="16"/>
  <cols>
    <col min="2" max="2" width="10.83203125" customWidth="1"/>
    <col min="3" max="3" width="33.1640625" bestFit="1" customWidth="1"/>
    <col min="4" max="4" width="1.83203125" customWidth="1"/>
    <col min="5" max="5" width="12.6640625" bestFit="1" customWidth="1"/>
    <col min="6" max="6" width="2" customWidth="1"/>
    <col min="7" max="7" width="3.6640625" customWidth="1"/>
    <col min="8" max="8" width="14.1640625" bestFit="1" customWidth="1"/>
    <col min="9" max="9" width="2.6640625" customWidth="1"/>
    <col min="10" max="10" width="12.6640625" bestFit="1" customWidth="1"/>
    <col min="11" max="11" width="2.6640625" customWidth="1"/>
    <col min="12" max="12" width="13.33203125" customWidth="1"/>
    <col min="13" max="14" width="12.6640625" bestFit="1" customWidth="1"/>
    <col min="15" max="15" width="23.1640625" bestFit="1" customWidth="1"/>
    <col min="16" max="18" width="11.1640625" bestFit="1" customWidth="1"/>
    <col min="20" max="20" width="12.83203125" bestFit="1" customWidth="1"/>
  </cols>
  <sheetData>
    <row r="1" spans="2:19" s="1" customFormat="1">
      <c r="G1"/>
    </row>
    <row r="2" spans="2:19" s="1" customFormat="1">
      <c r="B2" s="708" t="s">
        <v>738</v>
      </c>
      <c r="G2"/>
    </row>
    <row r="3" spans="2:19" s="1" customFormat="1">
      <c r="G3"/>
    </row>
    <row r="6" spans="2:19">
      <c r="B6" s="529"/>
    </row>
    <row r="7" spans="2:19" ht="40">
      <c r="B7" s="183" t="s">
        <v>739</v>
      </c>
      <c r="C7" s="134" t="s">
        <v>89</v>
      </c>
      <c r="D7" s="695"/>
      <c r="E7" s="694" t="s">
        <v>732</v>
      </c>
      <c r="F7" s="695"/>
      <c r="G7" s="140"/>
      <c r="H7" s="692" t="s">
        <v>753</v>
      </c>
      <c r="J7" s="690" t="s">
        <v>733</v>
      </c>
      <c r="K7" s="691"/>
      <c r="L7" s="693" t="s">
        <v>734</v>
      </c>
      <c r="P7" t="s">
        <v>0</v>
      </c>
      <c r="Q7" t="s">
        <v>1</v>
      </c>
      <c r="R7" t="s">
        <v>2</v>
      </c>
      <c r="S7" t="s">
        <v>3</v>
      </c>
    </row>
    <row r="8" spans="2:19" ht="20">
      <c r="B8" s="183" t="s">
        <v>116</v>
      </c>
      <c r="C8" s="137" t="s">
        <v>117</v>
      </c>
      <c r="D8" s="695"/>
      <c r="E8" s="140">
        <v>3214899.4440444438</v>
      </c>
      <c r="F8" s="695"/>
      <c r="G8" s="140"/>
      <c r="H8" s="140">
        <v>4453282.8492913172</v>
      </c>
      <c r="J8" s="140">
        <v>5777490.7287107557</v>
      </c>
      <c r="L8" s="140">
        <v>3385384.9156705281</v>
      </c>
      <c r="O8" t="s">
        <v>43</v>
      </c>
      <c r="P8" s="300">
        <v>184000</v>
      </c>
      <c r="Q8" s="300">
        <v>215400</v>
      </c>
      <c r="R8" s="300">
        <v>256300</v>
      </c>
      <c r="S8" s="300">
        <v>257500</v>
      </c>
    </row>
    <row r="9" spans="2:19" ht="19">
      <c r="B9" s="183"/>
      <c r="C9" s="137" t="s">
        <v>118</v>
      </c>
      <c r="D9" s="695"/>
      <c r="E9" s="140">
        <v>76069.001851851906</v>
      </c>
      <c r="F9" s="695"/>
      <c r="G9" s="140"/>
      <c r="H9" s="140">
        <v>122919.33236221835</v>
      </c>
      <c r="J9" s="140">
        <v>122919.33236221835</v>
      </c>
      <c r="L9" s="140">
        <v>122919.33236221835</v>
      </c>
      <c r="O9" s="35" t="s">
        <v>45</v>
      </c>
      <c r="P9" s="35">
        <v>1.520538001451788</v>
      </c>
      <c r="Q9" s="35">
        <v>1.4174952439068165</v>
      </c>
      <c r="R9" s="35">
        <v>1.3046263481910469</v>
      </c>
      <c r="S9" s="35">
        <v>1.1596724667349028</v>
      </c>
    </row>
    <row r="10" spans="2:19" ht="19">
      <c r="B10" s="183"/>
      <c r="C10" s="137" t="s">
        <v>119</v>
      </c>
      <c r="D10" s="696"/>
      <c r="E10" s="141">
        <v>406120.3305531604</v>
      </c>
      <c r="F10" s="696"/>
      <c r="G10" s="141"/>
      <c r="H10" s="141">
        <v>375000</v>
      </c>
      <c r="J10" s="141">
        <v>435000</v>
      </c>
      <c r="L10" s="141">
        <v>330000</v>
      </c>
      <c r="O10" s="687" t="s">
        <v>74</v>
      </c>
      <c r="P10" s="687">
        <v>121009.80036297641</v>
      </c>
      <c r="Q10" s="687">
        <v>151958.18181818182</v>
      </c>
      <c r="R10" s="687">
        <v>196454.71698113208</v>
      </c>
      <c r="S10" s="687">
        <v>222045.45454545456</v>
      </c>
    </row>
    <row r="11" spans="2:19" ht="19">
      <c r="B11" s="183"/>
      <c r="C11" s="519" t="s">
        <v>93</v>
      </c>
      <c r="D11" s="697"/>
      <c r="E11" s="522">
        <v>3697088.7764494563</v>
      </c>
      <c r="F11" s="697"/>
      <c r="G11" s="743"/>
      <c r="H11" s="520">
        <v>4951202.1816535359</v>
      </c>
      <c r="J11" s="520">
        <v>6335410.0610729745</v>
      </c>
      <c r="L11" s="520">
        <v>3838304.2480327464</v>
      </c>
      <c r="O11" s="688" t="s">
        <v>75</v>
      </c>
      <c r="P11" s="688">
        <v>4.5931873946403835E-2</v>
      </c>
      <c r="Q11" s="688">
        <v>4.9039807602570082E-2</v>
      </c>
      <c r="R11" s="688">
        <v>4.8983874530594218E-2</v>
      </c>
      <c r="S11" s="688">
        <v>4.7679972705561249E-2</v>
      </c>
    </row>
    <row r="12" spans="2:19" ht="20" thickBot="1">
      <c r="B12" s="103"/>
      <c r="C12" s="187" t="s">
        <v>69</v>
      </c>
      <c r="D12" s="696"/>
      <c r="E12" s="149">
        <v>-986264.46341065376</v>
      </c>
      <c r="F12" s="696"/>
      <c r="G12" s="141"/>
      <c r="H12" s="149">
        <v>-1207326.4800097712</v>
      </c>
      <c r="J12" s="149">
        <v>-1587831.1148227435</v>
      </c>
      <c r="L12" s="149">
        <v>-886703.43036018137</v>
      </c>
      <c r="O12" s="687" t="s">
        <v>55</v>
      </c>
      <c r="P12" s="687">
        <v>5558.2068965517255</v>
      </c>
      <c r="Q12" s="687">
        <v>7452</v>
      </c>
      <c r="R12" s="687">
        <v>9623.1132075471705</v>
      </c>
      <c r="S12" s="687">
        <v>10587.121212121214</v>
      </c>
    </row>
    <row r="13" spans="2:19" ht="20" thickTop="1">
      <c r="B13" s="103"/>
      <c r="C13" s="143" t="s">
        <v>94</v>
      </c>
      <c r="D13" s="698"/>
      <c r="E13" s="74">
        <v>2710824.3130388032</v>
      </c>
      <c r="F13" s="698"/>
      <c r="G13" s="74"/>
      <c r="H13" s="74">
        <v>3743875.701643764</v>
      </c>
      <c r="J13" s="74">
        <v>4747578.9462502291</v>
      </c>
      <c r="L13" s="74">
        <v>2951600.8176725651</v>
      </c>
      <c r="O13" s="300" t="s">
        <v>76</v>
      </c>
      <c r="P13" s="686">
        <v>33.104201305308081</v>
      </c>
      <c r="Q13" s="686">
        <v>28.904991948470208</v>
      </c>
      <c r="R13" s="686">
        <v>26.633792461153863</v>
      </c>
      <c r="S13" s="686">
        <v>24.322003577817526</v>
      </c>
    </row>
    <row r="14" spans="2:19" ht="19">
      <c r="B14" s="103"/>
      <c r="C14" s="152" t="s">
        <v>95</v>
      </c>
      <c r="D14" s="698"/>
      <c r="E14" s="153">
        <f>E13/E11</f>
        <v>0.73323213938134746</v>
      </c>
      <c r="F14" s="698"/>
      <c r="G14" s="74"/>
      <c r="H14" s="153">
        <f>H13/H11</f>
        <v>0.75615488204390691</v>
      </c>
      <c r="J14" s="153">
        <f>J13/J11</f>
        <v>0.74937200599232756</v>
      </c>
      <c r="L14" s="153">
        <f>L13/L11</f>
        <v>0.76898563191944846</v>
      </c>
      <c r="O14" t="s">
        <v>77</v>
      </c>
      <c r="P14" s="687">
        <v>318408.27586206904</v>
      </c>
      <c r="Q14" s="687">
        <v>431460</v>
      </c>
      <c r="R14" s="687">
        <v>556484.4339622641</v>
      </c>
      <c r="S14" s="687">
        <v>609602.27272727271</v>
      </c>
    </row>
    <row r="15" spans="2:19" ht="11" customHeight="1">
      <c r="B15" s="103"/>
      <c r="C15" s="134"/>
      <c r="D15" s="699"/>
      <c r="E15" s="52"/>
      <c r="F15" s="699"/>
      <c r="G15" s="153"/>
      <c r="H15" s="52"/>
      <c r="J15" s="52"/>
      <c r="L15" s="52"/>
      <c r="O15" t="s">
        <v>78</v>
      </c>
      <c r="P15" s="687">
        <v>2282.1692041879646</v>
      </c>
      <c r="Q15" s="687">
        <v>1485.7468015444531</v>
      </c>
      <c r="R15" s="687">
        <v>1717.1839461848081</v>
      </c>
      <c r="S15" s="687">
        <v>1963.3389977703662</v>
      </c>
    </row>
    <row r="16" spans="2:19" ht="19">
      <c r="B16" s="103"/>
      <c r="C16" s="134" t="s">
        <v>96</v>
      </c>
      <c r="D16" s="700"/>
      <c r="E16" s="52"/>
      <c r="F16" s="700"/>
      <c r="G16" s="52"/>
      <c r="H16" s="52"/>
      <c r="J16" s="52"/>
      <c r="L16" s="52"/>
      <c r="O16" t="s">
        <v>79</v>
      </c>
      <c r="P16" s="687">
        <v>48640.336854372377</v>
      </c>
      <c r="Q16" s="687">
        <v>32036.808703270577</v>
      </c>
      <c r="R16" s="687">
        <v>37026.564164451214</v>
      </c>
      <c r="S16" s="687">
        <v>41920.306587900071</v>
      </c>
    </row>
    <row r="17" spans="2:19" ht="20" thickBot="1">
      <c r="B17" s="103"/>
      <c r="C17" s="146" t="s">
        <v>97</v>
      </c>
      <c r="D17" s="700"/>
      <c r="E17" s="149">
        <v>-122745.12898412699</v>
      </c>
      <c r="F17" s="700"/>
      <c r="G17" s="52"/>
      <c r="H17" s="149">
        <v>-86707.692307692312</v>
      </c>
      <c r="J17" s="149">
        <v>-86707.692307692312</v>
      </c>
      <c r="L17" s="149">
        <v>-86707.692307692312</v>
      </c>
      <c r="O17" t="s">
        <v>80</v>
      </c>
      <c r="P17" s="300">
        <v>367048.61271644139</v>
      </c>
      <c r="Q17" s="300">
        <v>463496.80870327057</v>
      </c>
      <c r="R17" s="300">
        <v>593510.99812671531</v>
      </c>
      <c r="S17" s="300">
        <v>651522.57931517274</v>
      </c>
    </row>
    <row r="18" spans="2:19" ht="20" thickTop="1">
      <c r="B18" s="103"/>
      <c r="C18" s="143" t="s">
        <v>98</v>
      </c>
      <c r="D18" s="701"/>
      <c r="E18" s="74">
        <v>2588079.184054676</v>
      </c>
      <c r="F18" s="701"/>
      <c r="G18" s="161"/>
      <c r="H18" s="74">
        <v>3657168.009336072</v>
      </c>
      <c r="J18" s="74">
        <v>4660871.2539425371</v>
      </c>
      <c r="L18" s="74">
        <v>2864893.1253648726</v>
      </c>
      <c r="O18" t="s">
        <v>81</v>
      </c>
      <c r="P18" s="686">
        <v>7.2044813096094824</v>
      </c>
      <c r="Q18" s="686">
        <v>7.2052536231884066</v>
      </c>
      <c r="R18" s="686">
        <v>7.2079385405944141</v>
      </c>
      <c r="S18" s="686">
        <v>7.2176282051282037</v>
      </c>
    </row>
    <row r="19" spans="2:19" ht="19">
      <c r="B19" s="103"/>
      <c r="C19" s="152" t="s">
        <v>99</v>
      </c>
      <c r="D19" s="699"/>
      <c r="E19" s="153">
        <f>E18/E13</f>
        <v>0.95472036738281596</v>
      </c>
      <c r="F19" s="699"/>
      <c r="G19" s="153"/>
      <c r="H19" s="153">
        <v>0.97684012525586184</v>
      </c>
      <c r="J19" s="153">
        <v>0.98173644013309647</v>
      </c>
      <c r="L19" s="153">
        <v>0.97062350308736378</v>
      </c>
      <c r="O19" t="s">
        <v>82</v>
      </c>
      <c r="P19" s="689">
        <v>3.134990048389553</v>
      </c>
      <c r="Q19" s="689">
        <v>3.5990369130526854</v>
      </c>
      <c r="R19" s="689">
        <v>3.864390928197643</v>
      </c>
      <c r="S19" s="689">
        <v>4.1646807369180214</v>
      </c>
    </row>
    <row r="20" spans="2:19" ht="19">
      <c r="B20" s="103"/>
      <c r="C20" s="152"/>
      <c r="D20" s="699"/>
      <c r="E20" s="153"/>
      <c r="F20" s="699"/>
      <c r="G20" s="153"/>
      <c r="H20" s="153"/>
      <c r="J20" s="153"/>
      <c r="L20" s="153"/>
      <c r="O20" t="s">
        <v>47</v>
      </c>
      <c r="P20" s="300">
        <v>57.286150333771744</v>
      </c>
      <c r="Q20" s="300">
        <v>57.89855072463768</v>
      </c>
      <c r="R20" s="300">
        <v>57.827900593108168</v>
      </c>
      <c r="S20" s="300">
        <v>57.579606440071544</v>
      </c>
    </row>
    <row r="21" spans="2:19" ht="19">
      <c r="B21" s="103"/>
      <c r="C21" s="137" t="s">
        <v>43</v>
      </c>
      <c r="D21" s="700"/>
      <c r="E21" s="161">
        <v>-1882276.0537460318</v>
      </c>
      <c r="F21" s="700"/>
      <c r="G21" s="52"/>
      <c r="H21" s="161">
        <v>-2175591.3020034442</v>
      </c>
      <c r="J21" s="161">
        <v>-2536191.3020034442</v>
      </c>
      <c r="L21" s="161">
        <v>-1993691.3020034444</v>
      </c>
      <c r="O21" t="s">
        <v>83</v>
      </c>
      <c r="P21" s="689">
        <v>1.7304797601199404</v>
      </c>
      <c r="Q21" s="689">
        <v>2.0030640668523678</v>
      </c>
      <c r="R21" s="689">
        <v>2.1712229183077021</v>
      </c>
      <c r="S21" s="689">
        <v>2.3673874669020298</v>
      </c>
    </row>
    <row r="22" spans="2:19" ht="19">
      <c r="B22" s="103"/>
      <c r="C22" s="137"/>
      <c r="D22" s="700"/>
      <c r="E22" s="161"/>
      <c r="F22" s="700"/>
      <c r="G22" s="52"/>
      <c r="H22" s="161"/>
      <c r="J22" s="161"/>
      <c r="L22" s="161"/>
      <c r="P22" s="689"/>
      <c r="Q22" s="689"/>
      <c r="R22" s="689"/>
      <c r="S22" s="689"/>
    </row>
    <row r="23" spans="2:19" ht="19">
      <c r="B23" s="103"/>
      <c r="C23" s="706" t="s">
        <v>105</v>
      </c>
      <c r="D23" s="701"/>
      <c r="E23" s="518">
        <v>705803.13030864415</v>
      </c>
      <c r="F23" s="701"/>
      <c r="G23" s="161"/>
      <c r="H23" s="518">
        <v>1481576.7073326276</v>
      </c>
      <c r="J23" s="518">
        <v>2124679.9519390929</v>
      </c>
      <c r="L23" s="518">
        <v>871201.82336142869</v>
      </c>
      <c r="O23" t="s">
        <v>51</v>
      </c>
      <c r="P23" s="688">
        <v>6.9419812799932978E-2</v>
      </c>
      <c r="Q23" s="688">
        <v>6.9261217070649653E-2</v>
      </c>
      <c r="R23" s="688">
        <v>7.0032077478180133E-2</v>
      </c>
      <c r="S23" s="688">
        <v>7.1254688317581388E-2</v>
      </c>
    </row>
    <row r="24" spans="2:19" ht="19">
      <c r="B24" s="103"/>
      <c r="C24" s="152" t="s">
        <v>106</v>
      </c>
      <c r="D24" s="701"/>
      <c r="E24" s="153">
        <f>E23/E18</f>
        <v>0.27271311274289561</v>
      </c>
      <c r="F24" s="701"/>
      <c r="G24" s="161"/>
      <c r="H24" s="153">
        <v>0.29923575183872425</v>
      </c>
      <c r="J24" s="153">
        <v>0.33536581396583726</v>
      </c>
      <c r="L24" s="153">
        <v>0.22697570777719028</v>
      </c>
    </row>
    <row r="25" spans="2:19" ht="19">
      <c r="B25" s="103"/>
      <c r="C25" s="152"/>
      <c r="D25" s="701"/>
      <c r="E25" s="153"/>
      <c r="F25" s="701"/>
      <c r="G25" s="161"/>
      <c r="H25" s="153"/>
      <c r="J25" s="153"/>
      <c r="L25" s="153"/>
    </row>
    <row r="26" spans="2:19" ht="19">
      <c r="B26" s="103"/>
      <c r="C26" s="134" t="s">
        <v>100</v>
      </c>
      <c r="D26" s="701"/>
      <c r="E26" s="52"/>
      <c r="F26" s="701"/>
      <c r="G26" s="161"/>
      <c r="H26" s="52"/>
      <c r="J26" s="52"/>
      <c r="L26" s="52"/>
    </row>
    <row r="27" spans="2:19" ht="19">
      <c r="B27" s="103"/>
      <c r="C27" s="137" t="s">
        <v>120</v>
      </c>
      <c r="D27" s="701"/>
      <c r="E27" s="161">
        <v>-1287341.4796296295</v>
      </c>
      <c r="F27" s="701"/>
      <c r="G27" s="161"/>
      <c r="H27" s="161">
        <v>-1081535.6670342654</v>
      </c>
      <c r="J27" s="161">
        <v>-1081535.6670342654</v>
      </c>
      <c r="L27" s="161">
        <v>-1081535.6670342654</v>
      </c>
    </row>
    <row r="28" spans="2:19" ht="19">
      <c r="B28" s="103"/>
      <c r="C28" s="137" t="s">
        <v>121</v>
      </c>
      <c r="D28" s="701"/>
      <c r="E28" s="161">
        <v>-413350.16037037037</v>
      </c>
      <c r="F28" s="701"/>
      <c r="G28" s="161"/>
      <c r="H28" s="161">
        <v>-135490.20477575756</v>
      </c>
      <c r="J28" s="161">
        <v>-135490.20477575756</v>
      </c>
      <c r="L28" s="161">
        <v>-135490.20477575756</v>
      </c>
    </row>
    <row r="29" spans="2:19" ht="19">
      <c r="B29" s="103"/>
      <c r="C29" s="137" t="s">
        <v>122</v>
      </c>
      <c r="D29" s="699"/>
      <c r="E29" s="161">
        <v>-104489.41148148148</v>
      </c>
      <c r="F29" s="699"/>
      <c r="G29" s="153"/>
      <c r="H29" s="161">
        <v>-64835.514050116544</v>
      </c>
      <c r="J29" s="161">
        <v>-64835.514050116544</v>
      </c>
      <c r="L29" s="161">
        <v>-64835.514050116544</v>
      </c>
    </row>
    <row r="30" spans="2:19" ht="19">
      <c r="B30" s="103"/>
      <c r="C30" s="137" t="s">
        <v>123</v>
      </c>
      <c r="D30" s="702"/>
      <c r="E30" s="161">
        <v>-92756.73</v>
      </c>
      <c r="F30" s="702"/>
      <c r="G30" s="166"/>
      <c r="H30" s="161">
        <v>-248740.85102564105</v>
      </c>
      <c r="J30" s="161">
        <v>-248740.85102564105</v>
      </c>
      <c r="L30" s="161">
        <v>-248740.85102564105</v>
      </c>
    </row>
    <row r="31" spans="2:19" ht="19">
      <c r="B31" s="103"/>
      <c r="C31" s="137" t="s">
        <v>731</v>
      </c>
      <c r="D31" s="699"/>
      <c r="E31" s="161"/>
      <c r="F31" s="699"/>
      <c r="G31" s="153"/>
      <c r="H31" s="161">
        <v>55863.101333333332</v>
      </c>
      <c r="J31" s="161">
        <v>55863.101333333332</v>
      </c>
      <c r="L31" s="161">
        <v>55863.101333333332</v>
      </c>
    </row>
    <row r="32" spans="2:19" ht="20" thickBot="1">
      <c r="B32" s="103"/>
      <c r="C32" s="163" t="s">
        <v>102</v>
      </c>
      <c r="D32" s="703"/>
      <c r="E32" s="164">
        <v>-1897937.7814814816</v>
      </c>
      <c r="F32" s="703"/>
      <c r="G32" s="518"/>
      <c r="H32" s="164">
        <v>-1474739.1355524473</v>
      </c>
      <c r="J32" s="164">
        <v>-1474739.1355524473</v>
      </c>
      <c r="L32" s="164">
        <v>-1474739.1355524473</v>
      </c>
    </row>
    <row r="33" spans="2:12" ht="20" thickTop="1">
      <c r="B33" s="103"/>
      <c r="C33" s="143" t="s">
        <v>103</v>
      </c>
      <c r="D33" s="699"/>
      <c r="E33" s="166">
        <v>-1192134.6511728372</v>
      </c>
      <c r="F33" s="699"/>
      <c r="G33" s="153"/>
      <c r="H33" s="166">
        <v>6837.5717801805295</v>
      </c>
      <c r="J33" s="166">
        <v>649940.81638664613</v>
      </c>
      <c r="L33" s="166">
        <v>-603537.3121910186</v>
      </c>
    </row>
    <row r="34" spans="2:12" ht="18" customHeight="1">
      <c r="B34" s="103"/>
      <c r="C34" s="152" t="s">
        <v>104</v>
      </c>
      <c r="D34" s="699"/>
      <c r="E34" s="153">
        <f>E33/E11</f>
        <v>-0.32245226535179877</v>
      </c>
      <c r="F34" s="699"/>
      <c r="G34" s="153"/>
      <c r="H34" s="744">
        <v>1.3809922377068047E-3</v>
      </c>
      <c r="J34" s="153">
        <v>0.10258859491670713</v>
      </c>
      <c r="L34" s="153">
        <v>-0.15724061283061413</v>
      </c>
    </row>
    <row r="35" spans="2:12" ht="19" hidden="1">
      <c r="B35" s="103"/>
      <c r="C35" s="170"/>
      <c r="D35" s="701"/>
      <c r="E35" s="52"/>
      <c r="F35" s="701"/>
      <c r="G35" s="161"/>
      <c r="H35" s="52"/>
      <c r="J35" s="52"/>
      <c r="L35" s="52"/>
    </row>
    <row r="36" spans="2:12" ht="20" thickBot="1">
      <c r="B36" s="103"/>
      <c r="C36" s="171" t="s">
        <v>107</v>
      </c>
      <c r="D36" s="700"/>
      <c r="E36" s="164">
        <v>-1192134.65117284</v>
      </c>
      <c r="F36" s="700"/>
      <c r="G36" s="52"/>
      <c r="H36" s="164">
        <v>6837.5717801805295</v>
      </c>
      <c r="J36" s="164">
        <v>649940.81638664613</v>
      </c>
      <c r="K36" s="705"/>
      <c r="L36" s="164">
        <v>-603537.3121910186</v>
      </c>
    </row>
    <row r="37" spans="2:12" ht="20" thickTop="1">
      <c r="B37" s="103"/>
      <c r="C37" s="134" t="s">
        <v>108</v>
      </c>
      <c r="D37" s="704"/>
      <c r="E37" s="172">
        <f>E36/E11</f>
        <v>-0.32245226535179955</v>
      </c>
      <c r="F37" s="704"/>
      <c r="H37" s="634">
        <v>1.3809922377068047E-3</v>
      </c>
      <c r="J37" s="172">
        <v>0.10258859491670713</v>
      </c>
      <c r="L37" s="172">
        <v>-0.15724061283061413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5AC82-811B-F249-B52B-ACF0EC0109C6}">
  <sheetPr codeName="Sheet2"/>
  <dimension ref="A1:K85"/>
  <sheetViews>
    <sheetView showGridLines="0" zoomScale="125" workbookViewId="0">
      <selection activeCell="K14" sqref="K14"/>
    </sheetView>
  </sheetViews>
  <sheetFormatPr baseColWidth="10" defaultColWidth="11" defaultRowHeight="16"/>
  <cols>
    <col min="1" max="1" width="1.5" customWidth="1"/>
    <col min="2" max="2" width="3.33203125" customWidth="1"/>
    <col min="3" max="3" width="26.33203125" bestFit="1" customWidth="1"/>
    <col min="4" max="7" width="13.33203125" customWidth="1"/>
    <col min="8" max="8" width="5.5" customWidth="1"/>
  </cols>
  <sheetData>
    <row r="1" spans="1:11" s="1" customFormat="1"/>
    <row r="2" spans="1:11" s="3" customFormat="1" ht="17">
      <c r="C2" s="2" t="s">
        <v>700</v>
      </c>
    </row>
    <row r="3" spans="1:11">
      <c r="C3" s="4"/>
    </row>
    <row r="4" spans="1:11" s="531" customFormat="1" ht="17">
      <c r="A4" s="530"/>
      <c r="C4" s="532" t="s">
        <v>754</v>
      </c>
    </row>
    <row r="5" spans="1:11" ht="17" thickBot="1">
      <c r="C5" s="4"/>
    </row>
    <row r="6" spans="1:11">
      <c r="C6" s="400"/>
      <c r="D6" s="369" t="s">
        <v>0</v>
      </c>
      <c r="E6" s="369" t="s">
        <v>1</v>
      </c>
      <c r="F6" s="369" t="s">
        <v>2</v>
      </c>
      <c r="G6" s="369" t="s">
        <v>3</v>
      </c>
    </row>
    <row r="7" spans="1:11">
      <c r="C7" s="401" t="s">
        <v>735</v>
      </c>
      <c r="D7" s="370">
        <v>180000</v>
      </c>
      <c r="E7" s="370">
        <v>210000</v>
      </c>
      <c r="F7" s="370">
        <v>250000</v>
      </c>
      <c r="G7" s="370">
        <v>250000</v>
      </c>
    </row>
    <row r="8" spans="1:11">
      <c r="C8" s="401" t="s">
        <v>736</v>
      </c>
      <c r="D8" s="370">
        <v>4000</v>
      </c>
      <c r="E8" s="370">
        <v>5400</v>
      </c>
      <c r="F8" s="370">
        <v>6300</v>
      </c>
      <c r="G8" s="370">
        <v>7500</v>
      </c>
    </row>
    <row r="9" spans="1:11" ht="17" thickBot="1">
      <c r="C9" s="402"/>
      <c r="D9" s="399">
        <v>1</v>
      </c>
      <c r="E9" s="399">
        <v>1</v>
      </c>
      <c r="F9" s="399">
        <v>1</v>
      </c>
      <c r="G9" s="399">
        <v>1</v>
      </c>
    </row>
    <row r="10" spans="1:11" ht="17" thickBot="1"/>
    <row r="11" spans="1:11">
      <c r="C11" s="378" t="s">
        <v>5</v>
      </c>
      <c r="D11" s="379">
        <v>0.88</v>
      </c>
      <c r="E11" s="379">
        <v>0.88</v>
      </c>
      <c r="F11" s="379">
        <v>0.85</v>
      </c>
      <c r="G11" s="379">
        <v>0.8</v>
      </c>
    </row>
    <row r="12" spans="1:11">
      <c r="C12" s="380" t="s">
        <v>7</v>
      </c>
      <c r="D12" s="371">
        <v>1.8</v>
      </c>
      <c r="E12" s="371">
        <v>1.75</v>
      </c>
      <c r="F12" s="371">
        <v>1.7</v>
      </c>
      <c r="G12" s="371">
        <v>1.65</v>
      </c>
    </row>
    <row r="13" spans="1:11">
      <c r="C13" s="381" t="s">
        <v>11</v>
      </c>
      <c r="D13" s="372">
        <v>5.7000000000000002E-2</v>
      </c>
      <c r="E13" s="372">
        <v>0.06</v>
      </c>
      <c r="F13" s="372">
        <v>6.2E-2</v>
      </c>
      <c r="G13" s="372">
        <v>6.5000000000000002E-2</v>
      </c>
      <c r="K13" s="8"/>
    </row>
    <row r="14" spans="1:11">
      <c r="C14" s="380" t="s">
        <v>17</v>
      </c>
      <c r="D14" s="371">
        <v>60</v>
      </c>
      <c r="E14" s="371">
        <v>60</v>
      </c>
      <c r="F14" s="371">
        <v>60</v>
      </c>
      <c r="G14" s="371">
        <f>+F14</f>
        <v>60</v>
      </c>
    </row>
    <row r="15" spans="1:11" ht="17" thickBot="1">
      <c r="C15" s="382" t="s">
        <v>23</v>
      </c>
      <c r="D15" s="383">
        <v>9.5000000000000001E-2</v>
      </c>
      <c r="E15" s="383">
        <f>+D15</f>
        <v>9.5000000000000001E-2</v>
      </c>
      <c r="F15" s="383">
        <f>+E15</f>
        <v>9.5000000000000001E-2</v>
      </c>
      <c r="G15" s="383">
        <f>+F15</f>
        <v>9.5000000000000001E-2</v>
      </c>
    </row>
    <row r="16" spans="1:11" ht="17" thickBot="1"/>
    <row r="17" spans="1:7">
      <c r="C17" s="384" t="s">
        <v>6</v>
      </c>
      <c r="D17" s="385">
        <v>0.12</v>
      </c>
      <c r="E17" s="385">
        <v>0.12</v>
      </c>
      <c r="F17" s="385">
        <v>0.15</v>
      </c>
      <c r="G17" s="385">
        <v>0.2</v>
      </c>
    </row>
    <row r="18" spans="1:7">
      <c r="C18" s="386" t="s">
        <v>8</v>
      </c>
      <c r="D18" s="373">
        <v>0.57999999999999996</v>
      </c>
      <c r="E18" s="373">
        <v>0.55000000000000004</v>
      </c>
      <c r="F18" s="545">
        <v>0.53</v>
      </c>
      <c r="G18" s="545">
        <v>0.5</v>
      </c>
    </row>
    <row r="19" spans="1:7">
      <c r="C19" s="387" t="s">
        <v>13</v>
      </c>
      <c r="D19" s="374">
        <v>1.95E-2</v>
      </c>
      <c r="E19" s="374">
        <v>2.1999999999999999E-2</v>
      </c>
      <c r="F19" s="594">
        <v>2.4E-2</v>
      </c>
      <c r="G19" s="374">
        <v>2.5000000000000001E-2</v>
      </c>
    </row>
    <row r="20" spans="1:7">
      <c r="C20" s="386" t="s">
        <v>19</v>
      </c>
      <c r="D20" s="373">
        <v>40</v>
      </c>
      <c r="E20" s="373">
        <v>45</v>
      </c>
      <c r="F20" s="373">
        <v>48</v>
      </c>
      <c r="G20" s="373">
        <v>50</v>
      </c>
    </row>
    <row r="21" spans="1:7" ht="17" thickBot="1">
      <c r="C21" s="388" t="s">
        <v>24</v>
      </c>
      <c r="D21" s="389">
        <v>0.12</v>
      </c>
      <c r="E21" s="389">
        <f>+D21</f>
        <v>0.12</v>
      </c>
      <c r="F21" s="389">
        <f>+E21</f>
        <v>0.12</v>
      </c>
      <c r="G21" s="389">
        <f>+F21</f>
        <v>0.12</v>
      </c>
    </row>
    <row r="22" spans="1:7" ht="17" thickBot="1"/>
    <row r="23" spans="1:7">
      <c r="C23" s="390" t="s">
        <v>9</v>
      </c>
      <c r="D23" s="391">
        <v>10</v>
      </c>
      <c r="E23" s="391">
        <f>+D23</f>
        <v>10</v>
      </c>
      <c r="F23" s="391">
        <v>9</v>
      </c>
      <c r="G23" s="391">
        <v>9</v>
      </c>
    </row>
    <row r="24" spans="1:7">
      <c r="C24" s="392" t="s">
        <v>15</v>
      </c>
      <c r="D24" s="375">
        <v>0.2</v>
      </c>
      <c r="E24" s="375">
        <v>0.2</v>
      </c>
      <c r="F24" s="375">
        <v>0.25</v>
      </c>
      <c r="G24" s="375">
        <v>0.25</v>
      </c>
    </row>
    <row r="25" spans="1:7">
      <c r="C25" s="393" t="s">
        <v>21</v>
      </c>
      <c r="D25" s="376">
        <v>53</v>
      </c>
      <c r="E25" s="376">
        <v>55</v>
      </c>
      <c r="F25" s="376">
        <v>57</v>
      </c>
      <c r="G25" s="376">
        <v>57</v>
      </c>
    </row>
    <row r="26" spans="1:7" ht="17" thickBot="1">
      <c r="C26" s="394" t="s">
        <v>26</v>
      </c>
      <c r="D26" s="395">
        <v>0.06</v>
      </c>
      <c r="E26" s="395">
        <f>+D26</f>
        <v>0.06</v>
      </c>
      <c r="F26" s="395">
        <f>+E26</f>
        <v>0.06</v>
      </c>
      <c r="G26" s="395">
        <f>+F26</f>
        <v>0.06</v>
      </c>
    </row>
    <row r="27" spans="1:7" ht="17" thickBot="1"/>
    <row r="28" spans="1:7">
      <c r="C28" s="396" t="s">
        <v>28</v>
      </c>
      <c r="D28" s="397">
        <v>25000</v>
      </c>
      <c r="E28" s="397">
        <v>30000</v>
      </c>
      <c r="F28" s="397">
        <v>40000</v>
      </c>
      <c r="G28" s="397">
        <v>50000</v>
      </c>
    </row>
    <row r="29" spans="1:7" ht="17" thickBot="1">
      <c r="C29" s="398" t="s">
        <v>29</v>
      </c>
      <c r="D29" s="377">
        <v>1500</v>
      </c>
      <c r="E29" s="377">
        <v>2000</v>
      </c>
      <c r="F29" s="377">
        <v>3000</v>
      </c>
      <c r="G29" s="377">
        <v>4000</v>
      </c>
    </row>
    <row r="32" spans="1:7" s="540" customFormat="1">
      <c r="A32" s="539"/>
      <c r="C32" s="541" t="s">
        <v>704</v>
      </c>
    </row>
    <row r="33" spans="3:7" ht="17" thickBot="1">
      <c r="C33" s="529"/>
    </row>
    <row r="34" spans="3:7">
      <c r="C34" s="400"/>
      <c r="D34" s="369" t="s">
        <v>0</v>
      </c>
      <c r="E34" s="369" t="s">
        <v>1</v>
      </c>
      <c r="F34" s="369" t="s">
        <v>2</v>
      </c>
      <c r="G34" s="369" t="s">
        <v>3</v>
      </c>
    </row>
    <row r="35" spans="3:7">
      <c r="C35" s="401" t="s">
        <v>735</v>
      </c>
      <c r="D35" s="370">
        <v>180000</v>
      </c>
      <c r="E35" s="370">
        <v>210000</v>
      </c>
      <c r="F35" s="370">
        <v>250000</v>
      </c>
      <c r="G35" s="370">
        <v>250000</v>
      </c>
    </row>
    <row r="36" spans="3:7">
      <c r="C36" s="401" t="s">
        <v>736</v>
      </c>
      <c r="D36" s="370">
        <v>4000</v>
      </c>
      <c r="E36" s="370">
        <v>5400</v>
      </c>
      <c r="F36" s="370">
        <v>6300</v>
      </c>
      <c r="G36" s="370">
        <v>7500</v>
      </c>
    </row>
    <row r="37" spans="3:7" ht="17" thickBot="1">
      <c r="C37" s="402"/>
      <c r="D37" s="399">
        <v>0.82</v>
      </c>
      <c r="E37" s="399">
        <v>0.82</v>
      </c>
      <c r="F37" s="399">
        <v>0.85</v>
      </c>
      <c r="G37" s="399">
        <v>0.85</v>
      </c>
    </row>
    <row r="38" spans="3:7" ht="17" thickBot="1"/>
    <row r="39" spans="3:7">
      <c r="C39" s="378" t="s">
        <v>5</v>
      </c>
      <c r="D39" s="379">
        <v>0.88</v>
      </c>
      <c r="E39" s="379">
        <v>0.88</v>
      </c>
      <c r="F39" s="379">
        <v>0.85</v>
      </c>
      <c r="G39" s="379">
        <v>0.8</v>
      </c>
    </row>
    <row r="40" spans="3:7">
      <c r="C40" s="380" t="s">
        <v>7</v>
      </c>
      <c r="D40" s="371">
        <v>1.85</v>
      </c>
      <c r="E40" s="533">
        <v>1.8</v>
      </c>
      <c r="F40" s="534">
        <v>1.8</v>
      </c>
      <c r="G40" s="534">
        <v>1.75</v>
      </c>
    </row>
    <row r="41" spans="3:7">
      <c r="C41" s="381" t="s">
        <v>11</v>
      </c>
      <c r="D41" s="372">
        <v>5.5E-2</v>
      </c>
      <c r="E41" s="372">
        <v>5.5E-2</v>
      </c>
      <c r="F41" s="372">
        <v>0.06</v>
      </c>
      <c r="G41" s="372">
        <v>6.5000000000000002E-2</v>
      </c>
    </row>
    <row r="42" spans="3:7">
      <c r="C42" s="380" t="s">
        <v>17</v>
      </c>
      <c r="D42" s="371">
        <v>57</v>
      </c>
      <c r="E42" s="371">
        <v>58</v>
      </c>
      <c r="F42" s="371">
        <v>60</v>
      </c>
      <c r="G42" s="371">
        <v>60</v>
      </c>
    </row>
    <row r="43" spans="3:7" ht="17" thickBot="1">
      <c r="C43" s="382" t="s">
        <v>23</v>
      </c>
      <c r="D43" s="383">
        <v>9.7000000000000003E-2</v>
      </c>
      <c r="E43" s="383">
        <f>+D43</f>
        <v>9.7000000000000003E-2</v>
      </c>
      <c r="F43" s="383">
        <f>+E43</f>
        <v>9.7000000000000003E-2</v>
      </c>
      <c r="G43" s="383">
        <f>+F43</f>
        <v>9.7000000000000003E-2</v>
      </c>
    </row>
    <row r="44" spans="3:7" ht="17" thickBot="1"/>
    <row r="45" spans="3:7">
      <c r="C45" s="384" t="s">
        <v>6</v>
      </c>
      <c r="D45" s="385">
        <v>0.12</v>
      </c>
      <c r="E45" s="385">
        <v>0.12</v>
      </c>
      <c r="F45" s="385">
        <v>0.15</v>
      </c>
      <c r="G45" s="385">
        <v>0.2</v>
      </c>
    </row>
    <row r="46" spans="3:7">
      <c r="C46" s="386" t="s">
        <v>8</v>
      </c>
      <c r="D46" s="373">
        <v>0.65</v>
      </c>
      <c r="E46" s="373">
        <v>0.6</v>
      </c>
      <c r="F46" s="373">
        <v>0.6</v>
      </c>
      <c r="G46" s="373">
        <v>0.55000000000000004</v>
      </c>
    </row>
    <row r="47" spans="3:7">
      <c r="C47" s="387" t="s">
        <v>13</v>
      </c>
      <c r="D47" s="374">
        <v>1.7999999999999999E-2</v>
      </c>
      <c r="E47" s="374">
        <v>0.02</v>
      </c>
      <c r="F47" s="374">
        <v>2.5000000000000001E-2</v>
      </c>
      <c r="G47" s="374">
        <v>2.5000000000000001E-2</v>
      </c>
    </row>
    <row r="48" spans="3:7">
      <c r="C48" s="386" t="s">
        <v>19</v>
      </c>
      <c r="D48" s="373">
        <v>40</v>
      </c>
      <c r="E48" s="373">
        <v>45</v>
      </c>
      <c r="F48" s="373">
        <v>45</v>
      </c>
      <c r="G48" s="373">
        <v>48</v>
      </c>
    </row>
    <row r="49" spans="1:7" ht="17" thickBot="1">
      <c r="C49" s="388" t="s">
        <v>24</v>
      </c>
      <c r="D49" s="389">
        <v>0.11</v>
      </c>
      <c r="E49" s="389">
        <f>+D49</f>
        <v>0.11</v>
      </c>
      <c r="F49" s="389">
        <f>+E49</f>
        <v>0.11</v>
      </c>
      <c r="G49" s="389">
        <f>+F49</f>
        <v>0.11</v>
      </c>
    </row>
    <row r="50" spans="1:7" ht="17" thickBot="1"/>
    <row r="51" spans="1:7">
      <c r="C51" s="390" t="s">
        <v>9</v>
      </c>
      <c r="D51" s="391">
        <v>12</v>
      </c>
      <c r="E51" s="391">
        <v>12</v>
      </c>
      <c r="F51" s="391">
        <v>11</v>
      </c>
      <c r="G51" s="391">
        <v>10</v>
      </c>
    </row>
    <row r="52" spans="1:7">
      <c r="C52" s="392" t="s">
        <v>15</v>
      </c>
      <c r="D52" s="375">
        <v>7.0000000000000007E-2</v>
      </c>
      <c r="E52" s="375">
        <v>0.19</v>
      </c>
      <c r="F52" s="375">
        <v>0.2</v>
      </c>
      <c r="G52" s="375">
        <v>0.22</v>
      </c>
    </row>
    <row r="53" spans="1:7">
      <c r="C53" s="393" t="s">
        <v>21</v>
      </c>
      <c r="D53" s="376">
        <v>53</v>
      </c>
      <c r="E53" s="376">
        <v>55</v>
      </c>
      <c r="F53" s="376">
        <v>57</v>
      </c>
      <c r="G53" s="376">
        <v>57</v>
      </c>
    </row>
    <row r="54" spans="1:7" ht="17" thickBot="1">
      <c r="C54" s="394" t="s">
        <v>26</v>
      </c>
      <c r="D54" s="395">
        <v>0.06</v>
      </c>
      <c r="E54" s="395">
        <f>+D54</f>
        <v>0.06</v>
      </c>
      <c r="F54" s="395">
        <f>+E54</f>
        <v>0.06</v>
      </c>
      <c r="G54" s="395">
        <f>+F54</f>
        <v>0.06</v>
      </c>
    </row>
    <row r="55" spans="1:7" ht="17" thickBot="1"/>
    <row r="56" spans="1:7">
      <c r="C56" s="396" t="s">
        <v>28</v>
      </c>
      <c r="D56" s="397">
        <v>25000</v>
      </c>
      <c r="E56" s="397">
        <v>30000</v>
      </c>
      <c r="F56" s="397">
        <v>30000</v>
      </c>
      <c r="G56" s="397">
        <v>40000</v>
      </c>
    </row>
    <row r="57" spans="1:7" ht="17" thickBot="1">
      <c r="C57" s="398" t="s">
        <v>29</v>
      </c>
      <c r="D57" s="377">
        <v>1500</v>
      </c>
      <c r="E57" s="377">
        <v>2000</v>
      </c>
      <c r="F57" s="535">
        <v>3000</v>
      </c>
      <c r="G57" s="377">
        <v>4000</v>
      </c>
    </row>
    <row r="60" spans="1:7" s="537" customFormat="1">
      <c r="A60" s="536"/>
      <c r="C60" s="538" t="s">
        <v>705</v>
      </c>
    </row>
    <row r="61" spans="1:7" ht="17" thickBot="1"/>
    <row r="62" spans="1:7">
      <c r="C62" s="400"/>
      <c r="D62" s="369" t="s">
        <v>0</v>
      </c>
      <c r="E62" s="369" t="s">
        <v>1</v>
      </c>
      <c r="F62" s="369" t="s">
        <v>2</v>
      </c>
      <c r="G62" s="369" t="s">
        <v>3</v>
      </c>
    </row>
    <row r="63" spans="1:7">
      <c r="C63" s="401" t="s">
        <v>735</v>
      </c>
      <c r="D63" s="370">
        <v>180000</v>
      </c>
      <c r="E63" s="370">
        <v>210000</v>
      </c>
      <c r="F63" s="370">
        <v>250000</v>
      </c>
      <c r="G63" s="370">
        <v>250000</v>
      </c>
    </row>
    <row r="64" spans="1:7">
      <c r="C64" s="401" t="s">
        <v>736</v>
      </c>
      <c r="D64" s="370">
        <v>4000</v>
      </c>
      <c r="E64" s="370">
        <v>5400</v>
      </c>
      <c r="F64" s="370">
        <v>6300</v>
      </c>
      <c r="G64" s="370">
        <v>7500</v>
      </c>
    </row>
    <row r="65" spans="3:7" ht="17" thickBot="1">
      <c r="C65" s="402"/>
      <c r="D65" s="399">
        <v>0.75</v>
      </c>
      <c r="E65" s="399">
        <v>0.75</v>
      </c>
      <c r="F65" s="399">
        <v>0.75</v>
      </c>
      <c r="G65" s="399">
        <v>0.75</v>
      </c>
    </row>
    <row r="66" spans="3:7" ht="17" thickBot="1"/>
    <row r="67" spans="3:7">
      <c r="C67" s="378" t="s">
        <v>5</v>
      </c>
      <c r="D67" s="379">
        <v>0.88</v>
      </c>
      <c r="E67" s="379">
        <v>0.88</v>
      </c>
      <c r="F67" s="379">
        <v>0.85</v>
      </c>
      <c r="G67" s="379">
        <v>0.8</v>
      </c>
    </row>
    <row r="68" spans="3:7">
      <c r="C68" s="380" t="s">
        <v>7</v>
      </c>
      <c r="D68" s="371">
        <v>2.2000000000000002</v>
      </c>
      <c r="E68" s="371">
        <v>2.2000000000000002</v>
      </c>
      <c r="F68" s="534">
        <v>2</v>
      </c>
      <c r="G68" s="534">
        <v>1.8</v>
      </c>
    </row>
    <row r="69" spans="3:7">
      <c r="C69" s="381" t="s">
        <v>11</v>
      </c>
      <c r="D69" s="372">
        <v>0.05</v>
      </c>
      <c r="E69" s="372">
        <v>0.05</v>
      </c>
      <c r="F69" s="372">
        <v>5.5E-2</v>
      </c>
      <c r="G69" s="372">
        <v>0.06</v>
      </c>
    </row>
    <row r="70" spans="3:7">
      <c r="C70" s="380" t="s">
        <v>17</v>
      </c>
      <c r="D70" s="371">
        <v>57</v>
      </c>
      <c r="E70" s="371">
        <v>58</v>
      </c>
      <c r="F70" s="371">
        <v>60</v>
      </c>
      <c r="G70" s="371">
        <v>60</v>
      </c>
    </row>
    <row r="71" spans="3:7" ht="17" thickBot="1">
      <c r="C71" s="382" t="s">
        <v>23</v>
      </c>
      <c r="D71" s="383">
        <v>9.7000000000000003E-2</v>
      </c>
      <c r="E71" s="383">
        <f>+D71</f>
        <v>9.7000000000000003E-2</v>
      </c>
      <c r="F71" s="383">
        <f>+E71</f>
        <v>9.7000000000000003E-2</v>
      </c>
      <c r="G71" s="383">
        <f>+F71</f>
        <v>9.7000000000000003E-2</v>
      </c>
    </row>
    <row r="72" spans="3:7" ht="17" thickBot="1"/>
    <row r="73" spans="3:7">
      <c r="C73" s="384" t="s">
        <v>6</v>
      </c>
      <c r="D73" s="385">
        <v>0.12</v>
      </c>
      <c r="E73" s="385">
        <v>0.12</v>
      </c>
      <c r="F73" s="385">
        <v>0.15</v>
      </c>
      <c r="G73" s="385">
        <v>0.2</v>
      </c>
    </row>
    <row r="74" spans="3:7">
      <c r="C74" s="386" t="s">
        <v>8</v>
      </c>
      <c r="D74" s="373">
        <v>0.75</v>
      </c>
      <c r="E74" s="373">
        <v>0.7</v>
      </c>
      <c r="F74" s="373">
        <v>0.7</v>
      </c>
      <c r="G74" s="373">
        <v>0.65</v>
      </c>
    </row>
    <row r="75" spans="3:7">
      <c r="C75" s="387" t="s">
        <v>13</v>
      </c>
      <c r="D75" s="374">
        <v>1.7999999999999999E-2</v>
      </c>
      <c r="E75" s="374">
        <v>0.02</v>
      </c>
      <c r="F75" s="595">
        <v>2.5000000000000001E-2</v>
      </c>
      <c r="G75" s="374">
        <v>2.5000000000000001E-2</v>
      </c>
    </row>
    <row r="76" spans="3:7">
      <c r="C76" s="386" t="s">
        <v>19</v>
      </c>
      <c r="D76" s="373">
        <v>40</v>
      </c>
      <c r="E76" s="373">
        <v>45</v>
      </c>
      <c r="F76" s="373">
        <v>45</v>
      </c>
      <c r="G76" s="373">
        <v>48</v>
      </c>
    </row>
    <row r="77" spans="3:7" ht="17" thickBot="1">
      <c r="C77" s="388" t="s">
        <v>24</v>
      </c>
      <c r="D77" s="389">
        <v>0.11</v>
      </c>
      <c r="E77" s="389">
        <f>+D77</f>
        <v>0.11</v>
      </c>
      <c r="F77" s="389">
        <f>+E77</f>
        <v>0.11</v>
      </c>
      <c r="G77" s="389">
        <f>+F77</f>
        <v>0.11</v>
      </c>
    </row>
    <row r="78" spans="3:7" ht="17" thickBot="1"/>
    <row r="79" spans="3:7">
      <c r="C79" s="390" t="s">
        <v>9</v>
      </c>
      <c r="D79" s="391">
        <v>12</v>
      </c>
      <c r="E79" s="391">
        <v>12</v>
      </c>
      <c r="F79" s="391">
        <v>11</v>
      </c>
      <c r="G79" s="391">
        <v>10</v>
      </c>
    </row>
    <row r="80" spans="3:7">
      <c r="C80" s="392" t="s">
        <v>15</v>
      </c>
      <c r="D80" s="375">
        <v>7.0000000000000007E-2</v>
      </c>
      <c r="E80" s="375">
        <v>0.19</v>
      </c>
      <c r="F80" s="375">
        <v>0.2</v>
      </c>
      <c r="G80" s="375">
        <v>0.22</v>
      </c>
    </row>
    <row r="81" spans="3:7">
      <c r="C81" s="393" t="s">
        <v>21</v>
      </c>
      <c r="D81" s="376">
        <v>53</v>
      </c>
      <c r="E81" s="376">
        <v>55</v>
      </c>
      <c r="F81" s="376">
        <v>57</v>
      </c>
      <c r="G81" s="376">
        <v>57</v>
      </c>
    </row>
    <row r="82" spans="3:7" ht="17" thickBot="1">
      <c r="C82" s="394" t="s">
        <v>26</v>
      </c>
      <c r="D82" s="395">
        <v>0.06</v>
      </c>
      <c r="E82" s="395">
        <f>+D82</f>
        <v>0.06</v>
      </c>
      <c r="F82" s="395">
        <f>+E82</f>
        <v>0.06</v>
      </c>
      <c r="G82" s="395">
        <f>+F82</f>
        <v>0.06</v>
      </c>
    </row>
    <row r="83" spans="3:7" ht="17" thickBot="1"/>
    <row r="84" spans="3:7">
      <c r="C84" s="396" t="s">
        <v>28</v>
      </c>
      <c r="D84" s="397">
        <v>25000</v>
      </c>
      <c r="E84" s="397">
        <v>25000</v>
      </c>
      <c r="F84" s="397">
        <v>30000</v>
      </c>
      <c r="G84" s="397">
        <v>30000</v>
      </c>
    </row>
    <row r="85" spans="3:7" ht="17" thickBot="1">
      <c r="C85" s="398" t="s">
        <v>29</v>
      </c>
      <c r="D85" s="377">
        <v>1500</v>
      </c>
      <c r="E85" s="377">
        <v>2000</v>
      </c>
      <c r="F85" s="377">
        <v>3000</v>
      </c>
      <c r="G85" s="377">
        <v>4000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AC545-E18B-9F47-A12C-02DF746250D4}">
  <sheetPr codeName="Sheet3"/>
  <dimension ref="C1:P28"/>
  <sheetViews>
    <sheetView showGridLines="0" zoomScale="115" workbookViewId="0">
      <selection activeCell="K32" sqref="K32"/>
    </sheetView>
  </sheetViews>
  <sheetFormatPr baseColWidth="10" defaultColWidth="11" defaultRowHeight="16"/>
  <cols>
    <col min="1" max="1" width="1.5" customWidth="1"/>
    <col min="2" max="2" width="3.33203125" customWidth="1"/>
    <col min="3" max="3" width="27.5" bestFit="1" customWidth="1"/>
    <col min="4" max="4" width="8" bestFit="1" customWidth="1"/>
    <col min="5" max="5" width="13" customWidth="1"/>
    <col min="6" max="6" width="8" bestFit="1" customWidth="1"/>
    <col min="7" max="11" width="13.33203125" customWidth="1"/>
    <col min="12" max="12" width="18.6640625" bestFit="1" customWidth="1"/>
  </cols>
  <sheetData>
    <row r="1" spans="3:16" s="1" customFormat="1"/>
    <row r="2" spans="3:16" s="3" customFormat="1" ht="17">
      <c r="C2" s="2" t="s">
        <v>700</v>
      </c>
      <c r="D2" s="2"/>
      <c r="E2" s="2"/>
      <c r="F2" s="2"/>
    </row>
    <row r="3" spans="3:16">
      <c r="C3" s="4"/>
      <c r="D3" s="4"/>
      <c r="E3" s="4"/>
      <c r="F3" s="4"/>
    </row>
    <row r="4" spans="3:16" ht="17" customHeight="1" thickBot="1">
      <c r="C4" s="4"/>
      <c r="D4" s="766" t="s">
        <v>755</v>
      </c>
      <c r="E4" s="766"/>
      <c r="F4" s="766"/>
    </row>
    <row r="5" spans="3:16" ht="17" thickBot="1">
      <c r="C5" s="400"/>
      <c r="D5" s="603" t="s">
        <v>720</v>
      </c>
      <c r="E5" s="596" t="s">
        <v>718</v>
      </c>
      <c r="F5" s="603" t="s">
        <v>721</v>
      </c>
      <c r="G5" s="369" t="s">
        <v>0</v>
      </c>
      <c r="H5" s="369" t="s">
        <v>1</v>
      </c>
      <c r="I5" s="369" t="s">
        <v>2</v>
      </c>
      <c r="J5" s="369" t="s">
        <v>3</v>
      </c>
      <c r="L5" s="126" t="s">
        <v>85</v>
      </c>
      <c r="M5" s="127">
        <v>2</v>
      </c>
    </row>
    <row r="6" spans="3:16">
      <c r="C6" s="401" t="s">
        <v>751</v>
      </c>
      <c r="D6" s="401"/>
      <c r="E6" s="370">
        <v>150000</v>
      </c>
      <c r="F6" s="370"/>
      <c r="G6" s="370">
        <v>180000</v>
      </c>
      <c r="H6" s="370">
        <v>210000</v>
      </c>
      <c r="I6" s="370">
        <v>250000</v>
      </c>
      <c r="J6" s="370">
        <v>250000</v>
      </c>
    </row>
    <row r="7" spans="3:16">
      <c r="C7" s="401" t="s">
        <v>752</v>
      </c>
      <c r="D7" s="401"/>
      <c r="E7" s="370">
        <v>4000</v>
      </c>
      <c r="F7" s="370"/>
      <c r="G7" s="370">
        <v>4000</v>
      </c>
      <c r="H7" s="370">
        <v>5400</v>
      </c>
      <c r="I7" s="370">
        <v>6300</v>
      </c>
      <c r="J7" s="370">
        <v>7500</v>
      </c>
      <c r="L7" s="5" t="s">
        <v>4</v>
      </c>
    </row>
    <row r="8" spans="3:16" ht="17" thickBot="1">
      <c r="C8" s="402"/>
      <c r="D8" s="402"/>
      <c r="E8" s="399">
        <v>1</v>
      </c>
      <c r="F8" s="399"/>
      <c r="G8" s="399">
        <v>0.82</v>
      </c>
      <c r="H8" s="399">
        <v>0.82</v>
      </c>
      <c r="I8" s="399">
        <v>0.85</v>
      </c>
      <c r="J8" s="399">
        <v>0.85</v>
      </c>
      <c r="L8" s="9" t="s">
        <v>25</v>
      </c>
      <c r="M8" s="19">
        <v>19.5</v>
      </c>
    </row>
    <row r="9" spans="3:16" ht="17" thickBot="1">
      <c r="L9" s="17" t="s">
        <v>27</v>
      </c>
      <c r="M9" s="20">
        <v>5.5</v>
      </c>
    </row>
    <row r="10" spans="3:16">
      <c r="C10" s="378" t="s">
        <v>5</v>
      </c>
      <c r="D10" s="378"/>
      <c r="E10" s="597">
        <v>0.82069999999999999</v>
      </c>
      <c r="F10" s="597"/>
      <c r="G10" s="379">
        <v>0.88</v>
      </c>
      <c r="H10" s="379">
        <v>0.88</v>
      </c>
      <c r="I10" s="379">
        <v>0.85</v>
      </c>
      <c r="J10" s="379">
        <v>0.8</v>
      </c>
    </row>
    <row r="11" spans="3:16">
      <c r="C11" s="380" t="s">
        <v>7</v>
      </c>
      <c r="D11" s="371">
        <v>1.6</v>
      </c>
      <c r="E11" s="371">
        <v>1.97</v>
      </c>
      <c r="F11" s="371">
        <v>2.5499999999999998</v>
      </c>
      <c r="G11" s="371">
        <v>1.85</v>
      </c>
      <c r="H11" s="371">
        <v>1.8</v>
      </c>
      <c r="I11" s="371">
        <v>1.8</v>
      </c>
      <c r="J11" s="371">
        <v>1.75</v>
      </c>
      <c r="L11" s="5" t="s">
        <v>10</v>
      </c>
    </row>
    <row r="12" spans="3:16">
      <c r="C12" s="381" t="s">
        <v>11</v>
      </c>
      <c r="D12" s="604">
        <v>4.9500000000000002E-2</v>
      </c>
      <c r="E12" s="372">
        <v>6.0499999999999998E-2</v>
      </c>
      <c r="F12" s="606">
        <v>8.8999999999999996E-2</v>
      </c>
      <c r="G12" s="372">
        <v>5.5E-2</v>
      </c>
      <c r="H12" s="372">
        <v>5.5E-2</v>
      </c>
      <c r="I12" s="372">
        <v>0.06</v>
      </c>
      <c r="J12" s="372">
        <v>6.5000000000000002E-2</v>
      </c>
      <c r="L12" s="9" t="s">
        <v>12</v>
      </c>
      <c r="M12" s="13">
        <v>60.750016870000003</v>
      </c>
      <c r="P12" s="8"/>
    </row>
    <row r="13" spans="3:16">
      <c r="C13" s="380" t="s">
        <v>17</v>
      </c>
      <c r="D13" s="371">
        <v>57.32</v>
      </c>
      <c r="E13" s="371">
        <v>61</v>
      </c>
      <c r="F13" s="607">
        <v>68.84</v>
      </c>
      <c r="G13" s="371">
        <v>57</v>
      </c>
      <c r="H13" s="371">
        <v>58</v>
      </c>
      <c r="I13" s="371">
        <v>60</v>
      </c>
      <c r="J13" s="371">
        <v>60</v>
      </c>
      <c r="L13" s="10" t="s">
        <v>14</v>
      </c>
      <c r="M13" s="14">
        <v>12.32258635</v>
      </c>
    </row>
    <row r="14" spans="3:16" ht="17" thickBot="1">
      <c r="C14" s="382" t="s">
        <v>23</v>
      </c>
      <c r="D14" s="382"/>
      <c r="E14" s="383">
        <v>9.5000000000000001E-2</v>
      </c>
      <c r="F14" s="383"/>
      <c r="G14" s="383">
        <v>9.7000000000000003E-2</v>
      </c>
      <c r="H14" s="383">
        <v>9.7000000000000003E-2</v>
      </c>
      <c r="I14" s="383">
        <v>9.7000000000000003E-2</v>
      </c>
      <c r="J14" s="383">
        <v>9.7000000000000003E-2</v>
      </c>
      <c r="L14" s="15" t="s">
        <v>16</v>
      </c>
      <c r="M14" s="16">
        <v>53.872855000000001</v>
      </c>
    </row>
    <row r="15" spans="3:16" ht="17" thickBot="1">
      <c r="L15" s="10" t="s">
        <v>18</v>
      </c>
      <c r="M15" s="14">
        <v>10.522214659999999</v>
      </c>
    </row>
    <row r="16" spans="3:16">
      <c r="C16" s="384" t="s">
        <v>6</v>
      </c>
      <c r="D16" s="384"/>
      <c r="E16" s="598">
        <v>0.17929999999999999</v>
      </c>
      <c r="F16" s="598"/>
      <c r="G16" s="385">
        <v>0.12</v>
      </c>
      <c r="H16" s="385">
        <v>0.12</v>
      </c>
      <c r="I16" s="385">
        <v>0.15</v>
      </c>
      <c r="J16" s="385">
        <v>0.2</v>
      </c>
      <c r="L16" s="15" t="s">
        <v>20</v>
      </c>
      <c r="M16" s="16">
        <v>57.311435935000006</v>
      </c>
    </row>
    <row r="17" spans="3:13">
      <c r="C17" s="386" t="s">
        <v>8</v>
      </c>
      <c r="D17" s="373">
        <v>0.27</v>
      </c>
      <c r="E17" s="373">
        <v>0.41</v>
      </c>
      <c r="F17" s="373">
        <v>0.5</v>
      </c>
      <c r="G17" s="373">
        <v>0.65</v>
      </c>
      <c r="H17" s="373">
        <v>0.6</v>
      </c>
      <c r="I17" s="373">
        <v>0.6</v>
      </c>
      <c r="J17" s="373">
        <v>0.55000000000000004</v>
      </c>
      <c r="L17" s="17" t="s">
        <v>22</v>
      </c>
      <c r="M17" s="18">
        <v>11.422400504999999</v>
      </c>
    </row>
    <row r="18" spans="3:13">
      <c r="C18" s="387" t="s">
        <v>13</v>
      </c>
      <c r="D18" s="599">
        <v>7.1999999999999998E-3</v>
      </c>
      <c r="E18" s="599">
        <v>1.3100000000000001E-2</v>
      </c>
      <c r="F18" s="599">
        <v>1.8800000000000001E-2</v>
      </c>
      <c r="G18" s="374">
        <v>1.7999999999999999E-2</v>
      </c>
      <c r="H18" s="374">
        <v>0.02</v>
      </c>
      <c r="I18" s="594">
        <v>2.5000000000000001E-2</v>
      </c>
      <c r="J18" s="374">
        <v>2.5000000000000001E-2</v>
      </c>
    </row>
    <row r="19" spans="3:13">
      <c r="C19" s="386" t="s">
        <v>19</v>
      </c>
      <c r="D19" s="373">
        <v>34.56</v>
      </c>
      <c r="E19" s="373">
        <v>45</v>
      </c>
      <c r="F19" s="373">
        <v>53</v>
      </c>
      <c r="G19" s="373">
        <v>40</v>
      </c>
      <c r="H19" s="373">
        <v>45</v>
      </c>
      <c r="I19" s="373">
        <v>45</v>
      </c>
      <c r="J19" s="373">
        <v>48</v>
      </c>
    </row>
    <row r="20" spans="3:13" ht="17" thickBot="1">
      <c r="C20" s="388" t="s">
        <v>24</v>
      </c>
      <c r="D20" s="388"/>
      <c r="E20" s="389">
        <v>0.124</v>
      </c>
      <c r="F20" s="389"/>
      <c r="G20" s="389">
        <v>0.11</v>
      </c>
      <c r="H20" s="389">
        <v>0.11</v>
      </c>
      <c r="I20" s="389">
        <v>0.11</v>
      </c>
      <c r="J20" s="389">
        <v>0.11</v>
      </c>
    </row>
    <row r="21" spans="3:13" ht="17" thickBot="1">
      <c r="E21" s="600"/>
      <c r="F21" s="600"/>
    </row>
    <row r="22" spans="3:13">
      <c r="C22" s="390" t="s">
        <v>9</v>
      </c>
      <c r="D22" s="391">
        <v>12.69</v>
      </c>
      <c r="E22" s="391">
        <v>22.76</v>
      </c>
      <c r="F22" s="391">
        <v>36.83</v>
      </c>
      <c r="G22" s="391">
        <v>12</v>
      </c>
      <c r="H22" s="391">
        <v>12</v>
      </c>
      <c r="I22" s="391">
        <v>11</v>
      </c>
      <c r="J22" s="391">
        <v>10</v>
      </c>
    </row>
    <row r="23" spans="3:13">
      <c r="C23" s="392" t="s">
        <v>15</v>
      </c>
      <c r="D23" s="605">
        <v>9.7600000000000006E-2</v>
      </c>
      <c r="E23" s="375">
        <v>0.1512</v>
      </c>
      <c r="F23" s="742">
        <v>0.31</v>
      </c>
      <c r="G23" s="375">
        <v>7.0000000000000007E-2</v>
      </c>
      <c r="H23" s="375">
        <v>0.19</v>
      </c>
      <c r="I23" s="375">
        <v>0.2</v>
      </c>
      <c r="J23" s="375">
        <v>0.22</v>
      </c>
    </row>
    <row r="24" spans="3:13">
      <c r="C24" s="393" t="s">
        <v>21</v>
      </c>
      <c r="D24" s="376">
        <v>41</v>
      </c>
      <c r="E24" s="376">
        <v>50</v>
      </c>
      <c r="F24" s="376">
        <v>60.14</v>
      </c>
      <c r="G24" s="376">
        <v>53</v>
      </c>
      <c r="H24" s="376">
        <v>55</v>
      </c>
      <c r="I24" s="376">
        <v>57</v>
      </c>
      <c r="J24" s="376">
        <v>57</v>
      </c>
    </row>
    <row r="25" spans="3:13" ht="17" thickBot="1">
      <c r="C25" s="394" t="s">
        <v>26</v>
      </c>
      <c r="D25" s="394"/>
      <c r="E25" s="395">
        <v>9.2999999999999999E-2</v>
      </c>
      <c r="F25" s="395"/>
      <c r="G25" s="395">
        <v>0.06</v>
      </c>
      <c r="H25" s="395">
        <v>0.06</v>
      </c>
      <c r="I25" s="395">
        <v>0.06</v>
      </c>
      <c r="J25" s="395">
        <v>0.06</v>
      </c>
    </row>
    <row r="26" spans="3:13" ht="17" thickBot="1"/>
    <row r="27" spans="3:13">
      <c r="C27" s="396" t="s">
        <v>28</v>
      </c>
      <c r="D27" s="396"/>
      <c r="E27" s="397">
        <v>25000</v>
      </c>
      <c r="F27" s="397"/>
      <c r="G27" s="397">
        <v>25000</v>
      </c>
      <c r="H27" s="397">
        <v>30000</v>
      </c>
      <c r="I27" s="397">
        <v>30000</v>
      </c>
      <c r="J27" s="397">
        <v>40000</v>
      </c>
    </row>
    <row r="28" spans="3:13" ht="17" thickBot="1">
      <c r="C28" s="398" t="s">
        <v>29</v>
      </c>
      <c r="D28" s="398"/>
      <c r="E28" s="377">
        <v>0</v>
      </c>
      <c r="F28" s="377"/>
      <c r="G28" s="377">
        <v>1500</v>
      </c>
      <c r="H28" s="377">
        <v>2000</v>
      </c>
      <c r="I28" s="377">
        <v>3000</v>
      </c>
      <c r="J28" s="377">
        <v>4000</v>
      </c>
    </row>
  </sheetData>
  <mergeCells count="1">
    <mergeCell ref="D4:F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3B8EC-53E7-844E-9CF9-430B7FBF0D15}">
  <sheetPr codeName="Sheet4"/>
  <dimension ref="A3:Y207"/>
  <sheetViews>
    <sheetView showGridLines="0" zoomScale="125" workbookViewId="0">
      <pane xSplit="1" ySplit="4" topLeftCell="O168" activePane="bottomRight" state="frozen"/>
      <selection pane="topRight" activeCell="B1" sqref="B1"/>
      <selection pane="bottomLeft" activeCell="A5" sqref="A5"/>
      <selection pane="bottomRight" activeCell="T177" sqref="T177"/>
    </sheetView>
  </sheetViews>
  <sheetFormatPr baseColWidth="10" defaultColWidth="10.1640625" defaultRowHeight="16"/>
  <cols>
    <col min="1" max="1" width="30.6640625" bestFit="1" customWidth="1"/>
    <col min="2" max="2" width="13.33203125" bestFit="1" customWidth="1"/>
    <col min="3" max="11" width="12.33203125" bestFit="1" customWidth="1"/>
    <col min="12" max="12" width="13.6640625" bestFit="1" customWidth="1"/>
    <col min="13" max="13" width="12.33203125" style="21" bestFit="1" customWidth="1"/>
    <col min="14" max="24" width="13.33203125" bestFit="1" customWidth="1"/>
    <col min="25" max="25" width="13.33203125" style="21" bestFit="1" customWidth="1"/>
  </cols>
  <sheetData>
    <row r="3" spans="1:25" s="22" customFormat="1" ht="22">
      <c r="A3"/>
      <c r="B3" s="768">
        <v>2024</v>
      </c>
      <c r="C3" s="769"/>
      <c r="D3" s="769"/>
      <c r="E3" s="769"/>
      <c r="F3" s="769"/>
      <c r="G3" s="769"/>
      <c r="H3" s="769"/>
      <c r="I3" s="769"/>
      <c r="J3" s="769"/>
      <c r="K3" s="769"/>
      <c r="L3" s="769"/>
      <c r="M3" s="770"/>
      <c r="N3" s="768">
        <v>2025</v>
      </c>
      <c r="O3" s="769"/>
      <c r="P3" s="769"/>
      <c r="Q3" s="769"/>
      <c r="R3" s="769"/>
      <c r="S3" s="769"/>
      <c r="T3" s="769"/>
      <c r="U3" s="769"/>
      <c r="V3" s="769"/>
      <c r="W3" s="769"/>
      <c r="X3" s="769"/>
      <c r="Y3" s="770"/>
    </row>
    <row r="4" spans="1:25">
      <c r="B4" s="23" t="s">
        <v>30</v>
      </c>
      <c r="C4" s="23" t="s">
        <v>31</v>
      </c>
      <c r="D4" s="23" t="s">
        <v>32</v>
      </c>
      <c r="E4" s="23" t="s">
        <v>33</v>
      </c>
      <c r="F4" s="23" t="s">
        <v>34</v>
      </c>
      <c r="G4" s="23" t="s">
        <v>35</v>
      </c>
      <c r="H4" s="23" t="s">
        <v>36</v>
      </c>
      <c r="I4" s="23" t="s">
        <v>37</v>
      </c>
      <c r="J4" s="23" t="s">
        <v>38</v>
      </c>
      <c r="K4" s="23" t="s">
        <v>39</v>
      </c>
      <c r="L4" s="23" t="s">
        <v>40</v>
      </c>
      <c r="M4" s="24" t="s">
        <v>41</v>
      </c>
      <c r="N4" s="23" t="s">
        <v>30</v>
      </c>
      <c r="O4" s="23" t="s">
        <v>31</v>
      </c>
      <c r="P4" s="23" t="s">
        <v>32</v>
      </c>
      <c r="Q4" s="23" t="s">
        <v>33</v>
      </c>
      <c r="R4" s="23" t="s">
        <v>34</v>
      </c>
      <c r="S4" s="23" t="s">
        <v>35</v>
      </c>
      <c r="T4" s="23" t="s">
        <v>36</v>
      </c>
      <c r="U4" s="23" t="s">
        <v>37</v>
      </c>
      <c r="V4" s="23" t="s">
        <v>38</v>
      </c>
      <c r="W4" s="23" t="s">
        <v>39</v>
      </c>
      <c r="X4" s="23" t="s">
        <v>40</v>
      </c>
      <c r="Y4" s="25" t="s">
        <v>41</v>
      </c>
    </row>
    <row r="5" spans="1:25" s="26" customFormat="1">
      <c r="A5" s="771" t="s">
        <v>42</v>
      </c>
      <c r="M5" s="27"/>
      <c r="Y5" s="27"/>
    </row>
    <row r="6" spans="1:25" s="26" customFormat="1">
      <c r="A6" s="771"/>
      <c r="M6" s="27"/>
      <c r="Y6" s="27"/>
    </row>
    <row r="7" spans="1:25">
      <c r="A7" s="28" t="s">
        <v>43</v>
      </c>
      <c r="N7" s="29"/>
    </row>
    <row r="8" spans="1:25">
      <c r="A8" s="30" t="s">
        <v>44</v>
      </c>
      <c r="B8" s="31">
        <v>132217.42000000001</v>
      </c>
      <c r="C8" s="31">
        <v>128554.14</v>
      </c>
      <c r="D8" s="31">
        <v>140847.47999999998</v>
      </c>
      <c r="E8" s="31">
        <v>134397.11000000002</v>
      </c>
      <c r="F8" s="31">
        <v>132917.930005</v>
      </c>
      <c r="G8" s="31">
        <v>143607.28999899997</v>
      </c>
      <c r="H8" s="31">
        <v>155557.66999900001</v>
      </c>
      <c r="I8" s="31">
        <v>144227.56000300002</v>
      </c>
      <c r="J8" s="31">
        <v>126653.89051099999</v>
      </c>
      <c r="K8" s="31">
        <v>118788</v>
      </c>
      <c r="L8" s="12">
        <f>+AVERAGE(I8:K8)</f>
        <v>129889.81683800001</v>
      </c>
      <c r="M8" s="32">
        <f>+AVERAGE(J8:L8)</f>
        <v>125110.56911633334</v>
      </c>
      <c r="N8" s="359">
        <f>+Supuestos!$G$6*Supuestos!$G$8*Supuestos!$G$10</f>
        <v>129888</v>
      </c>
      <c r="O8" s="359">
        <f>+Supuestos!$G$6*Supuestos!$G$8*Supuestos!$G$10</f>
        <v>129888</v>
      </c>
      <c r="P8" s="359">
        <f>+Supuestos!$G$6*Supuestos!$G$8*Supuestos!$G$10</f>
        <v>129888</v>
      </c>
      <c r="Q8" s="359">
        <f>+Supuestos!$H$6*Supuestos!$H$10*Supuestos!$H$8</f>
        <v>151536</v>
      </c>
      <c r="R8" s="359">
        <f>+Supuestos!$H$6*Supuestos!$H$10*Supuestos!$H$8</f>
        <v>151536</v>
      </c>
      <c r="S8" s="359">
        <f>+Supuestos!$H$6*Supuestos!$H$10*Supuestos!$H$8</f>
        <v>151536</v>
      </c>
      <c r="T8" s="359">
        <f>+Supuestos!$I$6*Supuestos!$I$10*Supuestos!$I$8</f>
        <v>180625</v>
      </c>
      <c r="U8" s="359">
        <f>+Supuestos!$I$6*Supuestos!$I$10*Supuestos!$I$8</f>
        <v>180625</v>
      </c>
      <c r="V8" s="359">
        <f>+Supuestos!$I$6*Supuestos!$I$10*Supuestos!$I$8</f>
        <v>180625</v>
      </c>
      <c r="W8" s="359">
        <f>+Supuestos!$J$6*Supuestos!$J$10*Supuestos!$J$8</f>
        <v>170000</v>
      </c>
      <c r="X8" s="359">
        <f>+Supuestos!$J$6*Supuestos!$J$10*Supuestos!$J$8</f>
        <v>170000</v>
      </c>
      <c r="Y8" s="360">
        <f>+Supuestos!$J$6*Supuestos!$J$10*Supuestos!$J$8</f>
        <v>170000</v>
      </c>
    </row>
    <row r="9" spans="1:25">
      <c r="A9" s="30" t="s">
        <v>45</v>
      </c>
      <c r="B9" s="33">
        <v>2.2098850075213106</v>
      </c>
      <c r="C9" s="33">
        <v>2.4688241055481939</v>
      </c>
      <c r="D9" s="33">
        <v>2.8129552036108723</v>
      </c>
      <c r="E9" s="33">
        <v>2.9471757817639581</v>
      </c>
      <c r="F9" s="33">
        <v>2.7825726428780775</v>
      </c>
      <c r="G9" s="33">
        <v>2.7018737182555355</v>
      </c>
      <c r="H9" s="33">
        <v>2.4913941830135493</v>
      </c>
      <c r="I9" s="33">
        <v>2.3816040555986726</v>
      </c>
      <c r="J9" s="33">
        <v>2.3620643511935842</v>
      </c>
      <c r="K9" s="33">
        <v>1.8</v>
      </c>
      <c r="L9" s="7">
        <v>1.94</v>
      </c>
      <c r="M9" s="34">
        <f>L9</f>
        <v>1.94</v>
      </c>
      <c r="N9" s="421">
        <f>+Supuestos!$G$11</f>
        <v>1.85</v>
      </c>
      <c r="O9" s="421">
        <f>+Supuestos!$G$11</f>
        <v>1.85</v>
      </c>
      <c r="P9" s="421">
        <f>+Supuestos!$G$11</f>
        <v>1.85</v>
      </c>
      <c r="Q9" s="421">
        <f>+Supuestos!$H$11</f>
        <v>1.8</v>
      </c>
      <c r="R9" s="421">
        <f>+Supuestos!$H$11</f>
        <v>1.8</v>
      </c>
      <c r="S9" s="421">
        <f>+Supuestos!$H$11</f>
        <v>1.8</v>
      </c>
      <c r="T9" s="421">
        <f>+Supuestos!$I$11</f>
        <v>1.8</v>
      </c>
      <c r="U9" s="421">
        <f>+Supuestos!$I$11</f>
        <v>1.8</v>
      </c>
      <c r="V9" s="421">
        <f>+Supuestos!$I$11</f>
        <v>1.8</v>
      </c>
      <c r="W9" s="421">
        <f>+Supuestos!$J$11</f>
        <v>1.75</v>
      </c>
      <c r="X9" s="421">
        <f>+Supuestos!$J$11</f>
        <v>1.75</v>
      </c>
      <c r="Y9" s="425">
        <f>+Supuestos!$J$11</f>
        <v>1.75</v>
      </c>
    </row>
    <row r="10" spans="1:25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713"/>
      <c r="M10" s="24"/>
      <c r="N10" s="422"/>
      <c r="O10" s="422"/>
      <c r="P10" s="422"/>
      <c r="Q10" s="422"/>
      <c r="R10" s="422"/>
      <c r="S10" s="422"/>
      <c r="T10" s="422"/>
      <c r="U10" s="422"/>
      <c r="V10" s="422"/>
      <c r="W10" s="422"/>
      <c r="X10" s="422"/>
      <c r="Y10" s="423"/>
    </row>
    <row r="11" spans="1:25">
      <c r="A11" s="28" t="s">
        <v>46</v>
      </c>
      <c r="B11" s="36">
        <v>6.964733411332108E-2</v>
      </c>
      <c r="C11" s="36">
        <v>7.6299667761325879E-2</v>
      </c>
      <c r="D11" s="36">
        <v>8.8015018673483658E-2</v>
      </c>
      <c r="E11" s="36">
        <v>7.977720275426517E-2</v>
      </c>
      <c r="F11" s="36">
        <v>7.1763523697873047E-2</v>
      </c>
      <c r="G11" s="36">
        <v>6.8841602227615664E-2</v>
      </c>
      <c r="H11" s="36">
        <v>6.8708158493225285E-2</v>
      </c>
      <c r="I11" s="36">
        <v>7.2227084330983002E-2</v>
      </c>
      <c r="J11" s="36">
        <v>6.49011562849683E-2</v>
      </c>
      <c r="K11" s="36">
        <v>5.57E-2</v>
      </c>
      <c r="L11" s="37">
        <v>5.8799999999999998E-2</v>
      </c>
      <c r="M11" s="38">
        <f>L11</f>
        <v>5.8799999999999998E-2</v>
      </c>
      <c r="N11" s="424">
        <f>+Supuestos!$G$12</f>
        <v>5.5E-2</v>
      </c>
      <c r="O11" s="424">
        <f>+Supuestos!$G$12</f>
        <v>5.5E-2</v>
      </c>
      <c r="P11" s="424">
        <f>+Supuestos!$G$12</f>
        <v>5.5E-2</v>
      </c>
      <c r="Q11" s="424">
        <f>+Supuestos!$H$12</f>
        <v>5.5E-2</v>
      </c>
      <c r="R11" s="424">
        <f>+Supuestos!$H$12</f>
        <v>5.5E-2</v>
      </c>
      <c r="S11" s="424">
        <f>+Supuestos!$H$12</f>
        <v>5.5E-2</v>
      </c>
      <c r="T11" s="424">
        <f>+Supuestos!$I$12</f>
        <v>0.06</v>
      </c>
      <c r="U11" s="424">
        <f>+Supuestos!$I$12</f>
        <v>0.06</v>
      </c>
      <c r="V11" s="424">
        <f>+Supuestos!$I$12</f>
        <v>0.06</v>
      </c>
      <c r="W11" s="424">
        <f>+Supuestos!$J$12</f>
        <v>6.5000000000000002E-2</v>
      </c>
      <c r="X11" s="424">
        <f>+Supuestos!$J$12</f>
        <v>6.5000000000000002E-2</v>
      </c>
      <c r="Y11" s="426">
        <f>+Supuestos!$J$12</f>
        <v>6.5000000000000002E-2</v>
      </c>
    </row>
    <row r="12" spans="1:25">
      <c r="A12" t="s">
        <v>47</v>
      </c>
      <c r="B12" s="31">
        <v>62.603796496280282</v>
      </c>
      <c r="C12" s="31">
        <v>60.937065190032712</v>
      </c>
      <c r="D12" s="31">
        <v>60.650642160199673</v>
      </c>
      <c r="E12" s="31">
        <v>60.558441451346887</v>
      </c>
      <c r="F12" s="31">
        <v>59.557456242707104</v>
      </c>
      <c r="G12" s="31">
        <v>59.562456955452291</v>
      </c>
      <c r="H12" s="31">
        <v>58.551766899766889</v>
      </c>
      <c r="I12" s="31">
        <v>58.355317786922726</v>
      </c>
      <c r="J12" s="31">
        <v>59.97645977011495</v>
      </c>
      <c r="K12" s="31">
        <v>60</v>
      </c>
      <c r="L12" s="12">
        <f t="shared" ref="L12:M14" si="0">+AVERAGE(I12:K12)</f>
        <v>59.443925852345892</v>
      </c>
      <c r="M12" s="32">
        <f t="shared" si="0"/>
        <v>59.80679520748695</v>
      </c>
      <c r="N12" s="421">
        <f>+Supuestos!$G$13</f>
        <v>57</v>
      </c>
      <c r="O12" s="421">
        <f>+Supuestos!$G$13</f>
        <v>57</v>
      </c>
      <c r="P12" s="421">
        <f>+Supuestos!$G$13</f>
        <v>57</v>
      </c>
      <c r="Q12" s="421">
        <f>+Supuestos!$H$13</f>
        <v>58</v>
      </c>
      <c r="R12" s="421">
        <f>+Supuestos!$H$13</f>
        <v>58</v>
      </c>
      <c r="S12" s="421">
        <f>+Supuestos!$H$13</f>
        <v>58</v>
      </c>
      <c r="T12" s="421">
        <f>+Supuestos!$I$13</f>
        <v>60</v>
      </c>
      <c r="U12" s="421">
        <f>+Supuestos!$I$13</f>
        <v>60</v>
      </c>
      <c r="V12" s="421">
        <f>+Supuestos!$I$13</f>
        <v>60</v>
      </c>
      <c r="W12" s="421">
        <f>+Supuestos!$J$13</f>
        <v>60</v>
      </c>
      <c r="X12" s="421">
        <f>+Supuestos!$J$13</f>
        <v>60</v>
      </c>
      <c r="Y12" s="425">
        <f>+Supuestos!$J$13</f>
        <v>60</v>
      </c>
    </row>
    <row r="13" spans="1:25">
      <c r="A13" s="612" t="s">
        <v>722</v>
      </c>
      <c r="B13" s="31">
        <v>74</v>
      </c>
      <c r="C13" s="31">
        <v>72.805659298780384</v>
      </c>
      <c r="D13" s="31">
        <v>72.746155454862205</v>
      </c>
      <c r="E13" s="31">
        <v>72.861952259164426</v>
      </c>
      <c r="F13" s="31">
        <v>71.703877176901855</v>
      </c>
      <c r="G13" s="31">
        <v>71.800644481887019</v>
      </c>
      <c r="H13" s="31">
        <v>70.628594154642897</v>
      </c>
      <c r="I13" s="31">
        <v>70.352617594254852</v>
      </c>
      <c r="J13" s="31">
        <v>71.213159982371025</v>
      </c>
      <c r="K13" s="97">
        <v>72.228694410444646</v>
      </c>
      <c r="L13" s="12">
        <f t="shared" si="0"/>
        <v>71.264823995690165</v>
      </c>
      <c r="M13" s="32">
        <f t="shared" si="0"/>
        <v>71.568892796168612</v>
      </c>
      <c r="N13" s="614">
        <v>72</v>
      </c>
      <c r="O13" s="614">
        <v>72</v>
      </c>
      <c r="P13" s="614">
        <v>72</v>
      </c>
      <c r="Q13" s="614">
        <v>72</v>
      </c>
      <c r="R13" s="614">
        <v>72</v>
      </c>
      <c r="S13" s="614">
        <v>72</v>
      </c>
      <c r="T13" s="614">
        <v>72</v>
      </c>
      <c r="U13" s="614">
        <v>72</v>
      </c>
      <c r="V13" s="614">
        <v>72</v>
      </c>
      <c r="W13" s="614">
        <v>72</v>
      </c>
      <c r="X13" s="614">
        <v>72</v>
      </c>
      <c r="Y13" s="615">
        <v>72</v>
      </c>
    </row>
    <row r="14" spans="1:25">
      <c r="A14" s="612" t="s">
        <v>723</v>
      </c>
      <c r="B14" s="31">
        <v>11.999065040650406</v>
      </c>
      <c r="C14" s="31">
        <v>11.801579617834397</v>
      </c>
      <c r="D14" s="31">
        <v>11.889049217002235</v>
      </c>
      <c r="E14" s="31">
        <v>11.831211717709717</v>
      </c>
      <c r="F14" s="31">
        <v>11.438174037089871</v>
      </c>
      <c r="G14" s="31">
        <v>11.299947089947091</v>
      </c>
      <c r="H14" s="31">
        <v>11.245593607305935</v>
      </c>
      <c r="I14" s="31">
        <v>11.414972796517956</v>
      </c>
      <c r="J14" s="31">
        <v>12.555669642857145</v>
      </c>
      <c r="K14" s="613">
        <v>12.111391184573003</v>
      </c>
      <c r="L14" s="12">
        <f t="shared" si="0"/>
        <v>12.027344541316035</v>
      </c>
      <c r="M14" s="32">
        <f t="shared" si="0"/>
        <v>12.231468456248727</v>
      </c>
      <c r="N14" s="614">
        <v>12</v>
      </c>
      <c r="O14" s="614">
        <v>12</v>
      </c>
      <c r="P14" s="614">
        <v>12</v>
      </c>
      <c r="Q14" s="614">
        <v>12</v>
      </c>
      <c r="R14" s="614">
        <v>12</v>
      </c>
      <c r="S14" s="614">
        <v>12</v>
      </c>
      <c r="T14" s="614">
        <v>12</v>
      </c>
      <c r="U14" s="614">
        <v>12</v>
      </c>
      <c r="V14" s="614">
        <v>12</v>
      </c>
      <c r="W14" s="614">
        <v>12</v>
      </c>
      <c r="X14" s="614">
        <v>12</v>
      </c>
      <c r="Y14" s="615">
        <v>12</v>
      </c>
    </row>
    <row r="16" spans="1:25">
      <c r="A16" s="5" t="s">
        <v>48</v>
      </c>
    </row>
    <row r="17" spans="1:25">
      <c r="A17" t="s">
        <v>49</v>
      </c>
      <c r="B17" s="40">
        <v>0.3</v>
      </c>
      <c r="C17" s="40">
        <v>0.3</v>
      </c>
      <c r="D17" s="40">
        <v>0.3</v>
      </c>
      <c r="E17" s="40">
        <v>0.3</v>
      </c>
      <c r="F17" s="40">
        <v>0.3</v>
      </c>
      <c r="G17" s="40">
        <v>0.3</v>
      </c>
      <c r="H17" s="40">
        <v>0.3</v>
      </c>
      <c r="I17" s="40">
        <v>0.3</v>
      </c>
      <c r="J17" s="40">
        <v>0.3</v>
      </c>
      <c r="K17" s="40">
        <v>0.3</v>
      </c>
      <c r="L17" s="40">
        <v>0.3</v>
      </c>
      <c r="M17" s="41">
        <v>0.3</v>
      </c>
      <c r="N17" s="40">
        <v>0.35</v>
      </c>
      <c r="O17" s="40">
        <v>0.35</v>
      </c>
      <c r="P17" s="40">
        <v>0.35</v>
      </c>
      <c r="Q17" s="40">
        <v>0.35</v>
      </c>
      <c r="R17" s="40">
        <v>0.35</v>
      </c>
      <c r="S17" s="40">
        <v>0.35</v>
      </c>
      <c r="T17" s="40">
        <v>0.35</v>
      </c>
      <c r="U17" s="40">
        <v>0.35</v>
      </c>
      <c r="V17" s="40">
        <v>0.35</v>
      </c>
      <c r="W17" s="40">
        <v>0.35</v>
      </c>
      <c r="X17" s="40">
        <v>0.35</v>
      </c>
      <c r="Y17" s="40">
        <v>0.35</v>
      </c>
    </row>
    <row r="18" spans="1:25">
      <c r="A18" t="s">
        <v>50</v>
      </c>
      <c r="B18" s="40">
        <v>0.15</v>
      </c>
      <c r="C18" s="40">
        <v>0.15</v>
      </c>
      <c r="D18" s="40">
        <v>0.15</v>
      </c>
      <c r="E18" s="40">
        <v>0.15</v>
      </c>
      <c r="F18" s="40">
        <v>0.15</v>
      </c>
      <c r="G18" s="40">
        <v>0.15</v>
      </c>
      <c r="H18" s="40">
        <v>0.15</v>
      </c>
      <c r="I18" s="40">
        <v>0.15</v>
      </c>
      <c r="J18" s="40">
        <v>0.15</v>
      </c>
      <c r="K18" s="40">
        <v>0.15</v>
      </c>
      <c r="L18" s="40">
        <v>0.15</v>
      </c>
      <c r="M18" s="41">
        <v>0.15</v>
      </c>
      <c r="N18" s="40">
        <v>0.2</v>
      </c>
      <c r="O18" s="40">
        <v>0.2</v>
      </c>
      <c r="P18" s="40">
        <v>0.2</v>
      </c>
      <c r="Q18" s="40">
        <v>0.2</v>
      </c>
      <c r="R18" s="40">
        <v>0.2</v>
      </c>
      <c r="S18" s="40">
        <v>0.2</v>
      </c>
      <c r="T18" s="40">
        <v>0.2</v>
      </c>
      <c r="U18" s="40">
        <v>0.2</v>
      </c>
      <c r="V18" s="40">
        <v>0.2</v>
      </c>
      <c r="W18" s="40">
        <v>0.2</v>
      </c>
      <c r="X18" s="40">
        <v>0.2</v>
      </c>
      <c r="Y18" s="40">
        <v>0.2</v>
      </c>
    </row>
    <row r="20" spans="1:25">
      <c r="A20" t="s">
        <v>51</v>
      </c>
      <c r="B20" s="36">
        <v>9.2232400000000006E-2</v>
      </c>
      <c r="C20" s="36">
        <v>9.2596300000000006E-2</v>
      </c>
      <c r="D20" s="36">
        <v>9.8093399999999997E-2</v>
      </c>
      <c r="E20" s="36">
        <v>9.6376900000000001E-2</v>
      </c>
      <c r="F20" s="36">
        <v>9.8910600000000001E-2</v>
      </c>
      <c r="G20" s="36">
        <v>9.80124E-2</v>
      </c>
      <c r="H20" s="36">
        <v>9.7507700000000003E-2</v>
      </c>
      <c r="I20" s="36">
        <v>0.1008405</v>
      </c>
      <c r="J20" s="36">
        <v>9.9122399999999999E-2</v>
      </c>
      <c r="K20" s="36">
        <v>9.5179100000000003E-2</v>
      </c>
      <c r="L20" s="37">
        <f>+AVERAGE(I20:K20)</f>
        <v>9.8380666666666672E-2</v>
      </c>
      <c r="M20" s="38">
        <f>+AVERAGE(J20:L20)</f>
        <v>9.7560722222222229E-2</v>
      </c>
      <c r="N20" s="427">
        <f>+Supuestos!$G$14</f>
        <v>9.7000000000000003E-2</v>
      </c>
      <c r="O20" s="427">
        <f>+Supuestos!$G$14</f>
        <v>9.7000000000000003E-2</v>
      </c>
      <c r="P20" s="427">
        <f>+Supuestos!$G$14</f>
        <v>9.7000000000000003E-2</v>
      </c>
      <c r="Q20" s="427">
        <f>+Supuestos!$H$14</f>
        <v>9.7000000000000003E-2</v>
      </c>
      <c r="R20" s="427">
        <f>+Supuestos!$H$14</f>
        <v>9.7000000000000003E-2</v>
      </c>
      <c r="S20" s="427">
        <f>+Supuestos!$H$14</f>
        <v>9.7000000000000003E-2</v>
      </c>
      <c r="T20" s="427">
        <f>+Supuestos!$I$14</f>
        <v>9.7000000000000003E-2</v>
      </c>
      <c r="U20" s="427">
        <f>+Supuestos!$I$14</f>
        <v>9.7000000000000003E-2</v>
      </c>
      <c r="V20" s="427">
        <f>+Supuestos!$I$14</f>
        <v>9.7000000000000003E-2</v>
      </c>
      <c r="W20" s="427">
        <f>+Supuestos!$J$14</f>
        <v>9.7000000000000003E-2</v>
      </c>
      <c r="X20" s="427">
        <f>+Supuestos!$J$14</f>
        <v>9.7000000000000003E-2</v>
      </c>
      <c r="Y20" s="428">
        <f>+Supuestos!$J$14</f>
        <v>9.7000000000000003E-2</v>
      </c>
    </row>
    <row r="21" spans="1:25">
      <c r="A21" t="s">
        <v>52</v>
      </c>
      <c r="B21" s="42">
        <v>0.8</v>
      </c>
      <c r="C21" s="42">
        <v>0.77</v>
      </c>
      <c r="D21" s="42">
        <v>0.81</v>
      </c>
      <c r="E21" s="42">
        <v>0.79</v>
      </c>
      <c r="F21" s="42">
        <v>0.82</v>
      </c>
      <c r="G21" s="42">
        <v>0.82</v>
      </c>
      <c r="H21" s="42">
        <v>0.81</v>
      </c>
      <c r="I21" s="42">
        <v>0.82</v>
      </c>
      <c r="J21" s="42">
        <v>0.81</v>
      </c>
      <c r="K21" s="42">
        <v>0.73</v>
      </c>
      <c r="L21" s="43">
        <f>1-(1-L20)^12</f>
        <v>0.71141178759045598</v>
      </c>
      <c r="M21" s="44">
        <f>1-(1-M20)^12</f>
        <v>0.70824663655142461</v>
      </c>
      <c r="N21" s="43">
        <f>1-(1-N20)^12</f>
        <v>0.70606384843664283</v>
      </c>
      <c r="O21" s="43">
        <f t="shared" ref="O21:Y21" si="1">1-(1-O20)^12</f>
        <v>0.70606384843664283</v>
      </c>
      <c r="P21" s="43">
        <f t="shared" si="1"/>
        <v>0.70606384843664283</v>
      </c>
      <c r="Q21" s="43">
        <f t="shared" si="1"/>
        <v>0.70606384843664283</v>
      </c>
      <c r="R21" s="43">
        <f t="shared" si="1"/>
        <v>0.70606384843664283</v>
      </c>
      <c r="S21" s="43">
        <f t="shared" si="1"/>
        <v>0.70606384843664283</v>
      </c>
      <c r="T21" s="43">
        <f t="shared" si="1"/>
        <v>0.70606384843664283</v>
      </c>
      <c r="U21" s="43">
        <f t="shared" si="1"/>
        <v>0.70606384843664283</v>
      </c>
      <c r="V21" s="43">
        <f t="shared" si="1"/>
        <v>0.70606384843664283</v>
      </c>
      <c r="W21" s="43">
        <f t="shared" si="1"/>
        <v>0.70606384843664283</v>
      </c>
      <c r="X21" s="43">
        <f t="shared" si="1"/>
        <v>0.70606384843664283</v>
      </c>
      <c r="Y21" s="44">
        <f t="shared" si="1"/>
        <v>0.70606384843664283</v>
      </c>
    </row>
    <row r="22" spans="1:25">
      <c r="A22" t="s">
        <v>53</v>
      </c>
      <c r="B22" s="91">
        <v>0.38526912181303113</v>
      </c>
      <c r="C22" s="91">
        <v>0.38400000000000001</v>
      </c>
      <c r="D22" s="91">
        <v>0.43337195828505215</v>
      </c>
      <c r="E22" s="91">
        <v>0.4592696629213483</v>
      </c>
      <c r="F22" s="91">
        <v>0.41877794336810731</v>
      </c>
      <c r="G22" s="91">
        <v>0.46482758620689657</v>
      </c>
      <c r="H22" s="91">
        <v>0.51820388349514568</v>
      </c>
      <c r="I22" s="91">
        <v>0.53469852104664395</v>
      </c>
      <c r="J22" s="91">
        <v>0.51718750000000002</v>
      </c>
      <c r="K22" s="46">
        <f>+AVERAGE(H22:J22)</f>
        <v>0.52336330151392996</v>
      </c>
      <c r="L22" s="46">
        <f>+AVERAGE(I22:K22)</f>
        <v>0.52508310752019138</v>
      </c>
      <c r="M22" s="11">
        <f>+AVERAGE(J22:L22)</f>
        <v>0.52187796967804045</v>
      </c>
      <c r="N22" s="91">
        <v>0.45</v>
      </c>
      <c r="O22" s="91">
        <v>0.45</v>
      </c>
      <c r="P22" s="91">
        <v>0.45</v>
      </c>
      <c r="Q22" s="91">
        <v>0.45</v>
      </c>
      <c r="R22" s="91">
        <v>0.45</v>
      </c>
      <c r="S22" s="91">
        <v>0.45</v>
      </c>
      <c r="T22" s="91">
        <v>0.45</v>
      </c>
      <c r="U22" s="91">
        <v>0.45</v>
      </c>
      <c r="V22" s="91">
        <v>0.45</v>
      </c>
      <c r="W22" s="91">
        <v>0.45</v>
      </c>
      <c r="X22" s="91">
        <v>0.45</v>
      </c>
      <c r="Y22" s="618">
        <v>0.45</v>
      </c>
    </row>
    <row r="23" spans="1:25">
      <c r="B23" s="45"/>
      <c r="C23" s="45"/>
      <c r="D23" s="45"/>
      <c r="E23" s="45"/>
      <c r="F23" s="45"/>
      <c r="G23" s="45"/>
      <c r="H23" s="45"/>
      <c r="I23" s="45"/>
      <c r="J23" s="45"/>
    </row>
    <row r="24" spans="1:25">
      <c r="A24" s="28" t="s">
        <v>54</v>
      </c>
      <c r="B24" s="47">
        <f t="shared" ref="B24:Y24" si="2">+B8/B9</f>
        <v>59830</v>
      </c>
      <c r="C24" s="47">
        <f t="shared" si="2"/>
        <v>52071</v>
      </c>
      <c r="D24" s="47">
        <f t="shared" si="2"/>
        <v>50071</v>
      </c>
      <c r="E24" s="47">
        <f t="shared" si="2"/>
        <v>45602</v>
      </c>
      <c r="F24" s="47">
        <f t="shared" si="2"/>
        <v>47768</v>
      </c>
      <c r="G24" s="47">
        <f t="shared" si="2"/>
        <v>53151</v>
      </c>
      <c r="H24" s="47">
        <f t="shared" si="2"/>
        <v>62438.000000000007</v>
      </c>
      <c r="I24" s="47">
        <f t="shared" si="2"/>
        <v>60559</v>
      </c>
      <c r="J24" s="47">
        <f t="shared" si="2"/>
        <v>53620</v>
      </c>
      <c r="K24" s="48">
        <f t="shared" si="2"/>
        <v>65993.333333333328</v>
      </c>
      <c r="L24" s="48">
        <f t="shared" si="2"/>
        <v>66953.513834020632</v>
      </c>
      <c r="M24" s="49">
        <f t="shared" si="2"/>
        <v>64489.984080584196</v>
      </c>
      <c r="N24" s="50">
        <f>+N8/N9</f>
        <v>70209.729729729719</v>
      </c>
      <c r="O24" s="50">
        <f t="shared" si="2"/>
        <v>70209.729729729719</v>
      </c>
      <c r="P24" s="50">
        <f t="shared" si="2"/>
        <v>70209.729729729719</v>
      </c>
      <c r="Q24" s="50">
        <f t="shared" si="2"/>
        <v>84186.666666666672</v>
      </c>
      <c r="R24" s="50">
        <f t="shared" si="2"/>
        <v>84186.666666666672</v>
      </c>
      <c r="S24" s="50">
        <f t="shared" si="2"/>
        <v>84186.666666666672</v>
      </c>
      <c r="T24" s="50">
        <f t="shared" si="2"/>
        <v>100347.22222222222</v>
      </c>
      <c r="U24" s="50">
        <f t="shared" si="2"/>
        <v>100347.22222222222</v>
      </c>
      <c r="V24" s="50">
        <f t="shared" si="2"/>
        <v>100347.22222222222</v>
      </c>
      <c r="W24" s="50">
        <f t="shared" si="2"/>
        <v>97142.857142857145</v>
      </c>
      <c r="X24" s="50">
        <f t="shared" si="2"/>
        <v>97142.857142857145</v>
      </c>
      <c r="Y24" s="51">
        <f t="shared" si="2"/>
        <v>97142.857142857145</v>
      </c>
    </row>
    <row r="25" spans="1:25">
      <c r="A25" s="52"/>
      <c r="B25" s="53"/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4"/>
    </row>
    <row r="26" spans="1:25">
      <c r="A26" s="55" t="s">
        <v>55</v>
      </c>
      <c r="B26" s="56">
        <f>+B24*B11</f>
        <v>4167</v>
      </c>
      <c r="C26" s="56">
        <f t="shared" ref="C26:M26" si="3">+C24*C11</f>
        <v>3973</v>
      </c>
      <c r="D26" s="56">
        <f t="shared" si="3"/>
        <v>4407</v>
      </c>
      <c r="E26" s="56">
        <f t="shared" si="3"/>
        <v>3638.0000000000005</v>
      </c>
      <c r="F26" s="56">
        <f t="shared" si="3"/>
        <v>3427.9999999999995</v>
      </c>
      <c r="G26" s="56">
        <f t="shared" si="3"/>
        <v>3659</v>
      </c>
      <c r="H26" s="56">
        <f t="shared" si="3"/>
        <v>4290.0000000000009</v>
      </c>
      <c r="I26" s="56">
        <f t="shared" si="3"/>
        <v>4374</v>
      </c>
      <c r="J26" s="56">
        <f t="shared" si="3"/>
        <v>3480.0000000000005</v>
      </c>
      <c r="K26" s="57">
        <f t="shared" si="3"/>
        <v>3675.8286666666663</v>
      </c>
      <c r="L26" s="57">
        <f t="shared" si="3"/>
        <v>3936.8666134404129</v>
      </c>
      <c r="M26" s="58">
        <f t="shared" si="3"/>
        <v>3792.0110639383506</v>
      </c>
      <c r="N26" s="59">
        <f t="shared" ref="N26:Y26" si="4">+N24*N11</f>
        <v>3861.5351351351346</v>
      </c>
      <c r="O26" s="59">
        <f t="shared" si="4"/>
        <v>3861.5351351351346</v>
      </c>
      <c r="P26" s="59">
        <f t="shared" si="4"/>
        <v>3861.5351351351346</v>
      </c>
      <c r="Q26" s="59">
        <f t="shared" si="4"/>
        <v>4630.2666666666673</v>
      </c>
      <c r="R26" s="59">
        <f t="shared" si="4"/>
        <v>4630.2666666666673</v>
      </c>
      <c r="S26" s="59">
        <f t="shared" si="4"/>
        <v>4630.2666666666673</v>
      </c>
      <c r="T26" s="59">
        <f t="shared" si="4"/>
        <v>6020.833333333333</v>
      </c>
      <c r="U26" s="59">
        <f t="shared" si="4"/>
        <v>6020.833333333333</v>
      </c>
      <c r="V26" s="59">
        <f t="shared" si="4"/>
        <v>6020.833333333333</v>
      </c>
      <c r="W26" s="59">
        <f t="shared" si="4"/>
        <v>6314.2857142857147</v>
      </c>
      <c r="X26" s="59">
        <f t="shared" si="4"/>
        <v>6314.2857142857147</v>
      </c>
      <c r="Y26" s="60">
        <f t="shared" si="4"/>
        <v>6314.2857142857147</v>
      </c>
    </row>
    <row r="27" spans="1:25">
      <c r="A27" s="61" t="s">
        <v>56</v>
      </c>
      <c r="B27" s="626">
        <f>B26-B28</f>
        <v>3410</v>
      </c>
      <c r="C27" s="626">
        <f t="shared" ref="C27:M27" si="5">C26-C28</f>
        <v>3170</v>
      </c>
      <c r="D27" s="626">
        <f t="shared" si="5"/>
        <v>3490</v>
      </c>
      <c r="E27" s="626">
        <f t="shared" si="5"/>
        <v>2866.0000000000005</v>
      </c>
      <c r="F27" s="626">
        <f t="shared" si="5"/>
        <v>2701.9999999999995</v>
      </c>
      <c r="G27" s="626">
        <f t="shared" si="5"/>
        <v>2883</v>
      </c>
      <c r="H27" s="626">
        <f t="shared" si="5"/>
        <v>3386.0000000000009</v>
      </c>
      <c r="I27" s="626">
        <f t="shared" si="5"/>
        <v>3428</v>
      </c>
      <c r="J27" s="626">
        <f t="shared" si="5"/>
        <v>2782.0000000000005</v>
      </c>
      <c r="K27" s="626">
        <f t="shared" si="5"/>
        <v>2932.8286666666663</v>
      </c>
      <c r="L27" s="626">
        <f t="shared" si="5"/>
        <v>3141.1999467737464</v>
      </c>
      <c r="M27" s="627">
        <f t="shared" si="5"/>
        <v>3046.455508382795</v>
      </c>
      <c r="N27" s="616">
        <v>0.8</v>
      </c>
      <c r="O27" s="616">
        <v>0.8</v>
      </c>
      <c r="P27" s="616">
        <v>0.8</v>
      </c>
      <c r="Q27" s="616">
        <v>0.8</v>
      </c>
      <c r="R27" s="616">
        <v>0.8</v>
      </c>
      <c r="S27" s="616">
        <v>0.8</v>
      </c>
      <c r="T27" s="616">
        <v>0.8</v>
      </c>
      <c r="U27" s="616">
        <v>0.8</v>
      </c>
      <c r="V27" s="616">
        <v>0.8</v>
      </c>
      <c r="W27" s="616">
        <v>0.8</v>
      </c>
      <c r="X27" s="616">
        <v>0.8</v>
      </c>
      <c r="Y27" s="617">
        <v>0.8</v>
      </c>
    </row>
    <row r="28" spans="1:25">
      <c r="A28" s="61" t="s">
        <v>57</v>
      </c>
      <c r="B28" s="628">
        <v>757</v>
      </c>
      <c r="C28" s="623">
        <v>803</v>
      </c>
      <c r="D28" s="623">
        <v>917</v>
      </c>
      <c r="E28" s="623">
        <v>772</v>
      </c>
      <c r="F28" s="623">
        <v>726</v>
      </c>
      <c r="G28" s="623">
        <v>776</v>
      </c>
      <c r="H28" s="623">
        <v>904</v>
      </c>
      <c r="I28" s="623">
        <v>946</v>
      </c>
      <c r="J28" s="623">
        <v>698</v>
      </c>
      <c r="K28" s="624">
        <v>743</v>
      </c>
      <c r="L28" s="629">
        <f>+AVERAGE(I28:K28)</f>
        <v>795.66666666666663</v>
      </c>
      <c r="M28" s="625">
        <f>+AVERAGE(J28:L28)</f>
        <v>745.55555555555554</v>
      </c>
      <c r="N28" s="616">
        <v>0.2</v>
      </c>
      <c r="O28" s="616">
        <v>0.2</v>
      </c>
      <c r="P28" s="616">
        <v>0.2</v>
      </c>
      <c r="Q28" s="616">
        <v>0.2</v>
      </c>
      <c r="R28" s="616">
        <v>0.2</v>
      </c>
      <c r="S28" s="616">
        <v>0.2</v>
      </c>
      <c r="T28" s="616">
        <v>0.2</v>
      </c>
      <c r="U28" s="616">
        <v>0.2</v>
      </c>
      <c r="V28" s="616">
        <v>0.2</v>
      </c>
      <c r="W28" s="616">
        <v>0.2</v>
      </c>
      <c r="X28" s="616">
        <v>0.2</v>
      </c>
      <c r="Y28" s="617">
        <v>0.2</v>
      </c>
    </row>
    <row r="29" spans="1:25">
      <c r="A29" s="62"/>
      <c r="B29" s="47"/>
      <c r="C29" s="63"/>
      <c r="D29" s="63"/>
      <c r="E29" s="63"/>
      <c r="F29" s="63"/>
      <c r="G29" s="63"/>
      <c r="H29" s="63"/>
      <c r="I29" s="63"/>
      <c r="J29" s="63"/>
      <c r="K29" s="64"/>
      <c r="L29" s="64"/>
      <c r="M29" s="65"/>
      <c r="N29" s="66"/>
    </row>
    <row r="30" spans="1:25">
      <c r="A30" s="67" t="s">
        <v>58</v>
      </c>
      <c r="B30" s="68">
        <f t="shared" ref="B30:Y30" si="6">+B8/B26</f>
        <v>31.729642428605715</v>
      </c>
      <c r="C30" s="68">
        <f t="shared" si="6"/>
        <v>32.356944374528062</v>
      </c>
      <c r="D30" s="68">
        <f t="shared" si="6"/>
        <v>31.959945541184474</v>
      </c>
      <c r="E30" s="68">
        <f t="shared" si="6"/>
        <v>36.942581088510167</v>
      </c>
      <c r="F30" s="68">
        <f t="shared" si="6"/>
        <v>38.774191950116695</v>
      </c>
      <c r="G30" s="68">
        <f t="shared" si="6"/>
        <v>39.247687892593596</v>
      </c>
      <c r="H30" s="68">
        <f t="shared" si="6"/>
        <v>36.260529137296032</v>
      </c>
      <c r="I30" s="68">
        <f t="shared" si="6"/>
        <v>32.973836306127119</v>
      </c>
      <c r="J30" s="68">
        <f t="shared" si="6"/>
        <v>36.394796123850568</v>
      </c>
      <c r="K30" s="68">
        <f t="shared" si="6"/>
        <v>32.315978456014363</v>
      </c>
      <c r="L30" s="68">
        <f t="shared" si="6"/>
        <v>32.993197278911566</v>
      </c>
      <c r="M30" s="69">
        <f t="shared" si="6"/>
        <v>32.993197278911566</v>
      </c>
      <c r="N30" s="35">
        <f t="shared" si="6"/>
        <v>33.63636363636364</v>
      </c>
      <c r="O30" s="35">
        <f t="shared" si="6"/>
        <v>33.63636363636364</v>
      </c>
      <c r="P30" s="35">
        <f t="shared" si="6"/>
        <v>33.63636363636364</v>
      </c>
      <c r="Q30" s="35">
        <f t="shared" si="6"/>
        <v>32.72727272727272</v>
      </c>
      <c r="R30" s="35">
        <f t="shared" si="6"/>
        <v>32.72727272727272</v>
      </c>
      <c r="S30" s="35">
        <f t="shared" si="6"/>
        <v>32.72727272727272</v>
      </c>
      <c r="T30" s="35">
        <f t="shared" si="6"/>
        <v>30</v>
      </c>
      <c r="U30" s="35">
        <f t="shared" si="6"/>
        <v>30</v>
      </c>
      <c r="V30" s="35">
        <f t="shared" si="6"/>
        <v>30</v>
      </c>
      <c r="W30" s="35">
        <f t="shared" si="6"/>
        <v>26.92307692307692</v>
      </c>
      <c r="X30" s="35">
        <f t="shared" si="6"/>
        <v>26.92307692307692</v>
      </c>
      <c r="Y30" s="39">
        <f t="shared" si="6"/>
        <v>26.92307692307692</v>
      </c>
    </row>
    <row r="31" spans="1:25">
      <c r="A31" s="67" t="s">
        <v>59</v>
      </c>
      <c r="B31" s="68">
        <f t="shared" ref="B31:Y31" si="7">+B12/B30</f>
        <v>1.9730381972360367</v>
      </c>
      <c r="C31" s="68">
        <f t="shared" si="7"/>
        <v>1.8832762601033306</v>
      </c>
      <c r="D31" s="68">
        <f t="shared" si="7"/>
        <v>1.8977079320126991</v>
      </c>
      <c r="E31" s="68">
        <f t="shared" si="7"/>
        <v>1.6392585376277808</v>
      </c>
      <c r="F31" s="68">
        <f t="shared" si="7"/>
        <v>1.5360076702392211</v>
      </c>
      <c r="G31" s="68">
        <f t="shared" si="7"/>
        <v>1.5176042246986039</v>
      </c>
      <c r="H31" s="68">
        <f t="shared" si="7"/>
        <v>1.6147521366295519</v>
      </c>
      <c r="I31" s="68">
        <f t="shared" si="7"/>
        <v>1.7697460873267961</v>
      </c>
      <c r="J31" s="68">
        <f t="shared" si="7"/>
        <v>1.6479405343010187</v>
      </c>
      <c r="K31" s="68">
        <f t="shared" si="7"/>
        <v>1.8566666666666667</v>
      </c>
      <c r="L31" s="68">
        <f t="shared" si="7"/>
        <v>1.8017024949061538</v>
      </c>
      <c r="M31" s="69">
        <f t="shared" si="7"/>
        <v>1.8127008031959961</v>
      </c>
      <c r="N31" s="68">
        <f t="shared" si="7"/>
        <v>1.6945945945945944</v>
      </c>
      <c r="O31" s="68">
        <f t="shared" si="7"/>
        <v>1.6945945945945944</v>
      </c>
      <c r="P31" s="68">
        <f t="shared" si="7"/>
        <v>1.6945945945945944</v>
      </c>
      <c r="Q31" s="68">
        <f t="shared" si="7"/>
        <v>1.7722222222222226</v>
      </c>
      <c r="R31" s="68">
        <f t="shared" si="7"/>
        <v>1.7722222222222226</v>
      </c>
      <c r="S31" s="68">
        <f t="shared" si="7"/>
        <v>1.7722222222222226</v>
      </c>
      <c r="T31" s="68">
        <f t="shared" si="7"/>
        <v>2</v>
      </c>
      <c r="U31" s="68">
        <f t="shared" si="7"/>
        <v>2</v>
      </c>
      <c r="V31" s="68">
        <f t="shared" si="7"/>
        <v>2</v>
      </c>
      <c r="W31" s="68">
        <f t="shared" si="7"/>
        <v>2.2285714285714286</v>
      </c>
      <c r="X31" s="68">
        <f t="shared" si="7"/>
        <v>2.2285714285714286</v>
      </c>
      <c r="Y31" s="69">
        <f t="shared" si="7"/>
        <v>2.2285714285714286</v>
      </c>
    </row>
    <row r="32" spans="1:25">
      <c r="A32" s="52"/>
      <c r="B32" s="53"/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4"/>
    </row>
    <row r="33" spans="1:25">
      <c r="A33" s="55" t="s">
        <v>60</v>
      </c>
      <c r="B33" s="70">
        <f>+(B27*B13)+(B14*B28)</f>
        <v>261423.29223577236</v>
      </c>
      <c r="C33" s="70">
        <f t="shared" ref="C33:M33" si="8">+(C27*C13)+(C14*C28)</f>
        <v>240270.60841025485</v>
      </c>
      <c r="D33" s="70">
        <f t="shared" si="8"/>
        <v>264786.34066946013</v>
      </c>
      <c r="E33" s="70">
        <f t="shared" si="8"/>
        <v>217956.0506208372</v>
      </c>
      <c r="F33" s="70">
        <f t="shared" si="8"/>
        <v>202047.99048291601</v>
      </c>
      <c r="G33" s="70">
        <f t="shared" si="8"/>
        <v>215770.0169830792</v>
      </c>
      <c r="H33" s="70">
        <f t="shared" si="8"/>
        <v>249314.43642862549</v>
      </c>
      <c r="I33" s="70">
        <f t="shared" si="8"/>
        <v>251967.33737861161</v>
      </c>
      <c r="J33" s="70">
        <f t="shared" si="8"/>
        <v>206878.86848167051</v>
      </c>
      <c r="K33" s="70">
        <f t="shared" si="8"/>
        <v>220833.14917299623</v>
      </c>
      <c r="L33" s="70">
        <f t="shared" si="8"/>
        <v>233426.81848214281</v>
      </c>
      <c r="M33" s="71">
        <f t="shared" si="8"/>
        <v>227150.68694790435</v>
      </c>
      <c r="N33" s="70">
        <f t="shared" ref="N33:Y33" si="9">+N26*N12</f>
        <v>220107.50270270268</v>
      </c>
      <c r="O33" s="70">
        <f t="shared" si="9"/>
        <v>220107.50270270268</v>
      </c>
      <c r="P33" s="70">
        <f t="shared" si="9"/>
        <v>220107.50270270268</v>
      </c>
      <c r="Q33" s="70">
        <f t="shared" si="9"/>
        <v>268555.46666666673</v>
      </c>
      <c r="R33" s="70">
        <f t="shared" si="9"/>
        <v>268555.46666666673</v>
      </c>
      <c r="S33" s="70">
        <f t="shared" si="9"/>
        <v>268555.46666666673</v>
      </c>
      <c r="T33" s="70">
        <f t="shared" si="9"/>
        <v>361250</v>
      </c>
      <c r="U33" s="70">
        <f t="shared" si="9"/>
        <v>361250</v>
      </c>
      <c r="V33" s="70">
        <f t="shared" si="9"/>
        <v>361250</v>
      </c>
      <c r="W33" s="70">
        <f t="shared" si="9"/>
        <v>378857.1428571429</v>
      </c>
      <c r="X33" s="70">
        <f t="shared" si="9"/>
        <v>378857.1428571429</v>
      </c>
      <c r="Y33" s="71">
        <f t="shared" si="9"/>
        <v>378857.1428571429</v>
      </c>
    </row>
    <row r="34" spans="1:25">
      <c r="A34" s="72" t="s">
        <v>56</v>
      </c>
      <c r="B34" s="70">
        <f>(B27*B13)/12</f>
        <v>21028.333333333332</v>
      </c>
      <c r="C34" s="70">
        <f t="shared" ref="C34:L34" si="10">(C27*C13)/12</f>
        <v>19232.82833142782</v>
      </c>
      <c r="D34" s="70">
        <f t="shared" si="10"/>
        <v>21157.006878122425</v>
      </c>
      <c r="E34" s="70">
        <f t="shared" si="10"/>
        <v>17401.86293123044</v>
      </c>
      <c r="F34" s="70">
        <f t="shared" si="10"/>
        <v>16145.323010999064</v>
      </c>
      <c r="G34" s="70">
        <f t="shared" si="10"/>
        <v>17250.104836773357</v>
      </c>
      <c r="H34" s="70">
        <f t="shared" si="10"/>
        <v>19929.03498396841</v>
      </c>
      <c r="I34" s="70">
        <f t="shared" si="10"/>
        <v>20097.397759425468</v>
      </c>
      <c r="J34" s="70">
        <f t="shared" si="10"/>
        <v>16509.584255913018</v>
      </c>
      <c r="K34" s="70">
        <f t="shared" si="10"/>
        <v>17652.865460238205</v>
      </c>
      <c r="L34" s="70">
        <f t="shared" si="10"/>
        <v>18654.755111841863</v>
      </c>
      <c r="M34" s="71">
        <f>(M27*M13)/12</f>
        <v>18169.287307312134</v>
      </c>
      <c r="N34" s="70">
        <f>+(N26*N27*N13)/12</f>
        <v>18535.368648648648</v>
      </c>
      <c r="O34" s="70">
        <f t="shared" ref="O34:Y34" si="11">+(O26*O27*O13)/12</f>
        <v>18535.368648648648</v>
      </c>
      <c r="P34" s="70">
        <f t="shared" si="11"/>
        <v>18535.368648648648</v>
      </c>
      <c r="Q34" s="70">
        <f t="shared" si="11"/>
        <v>22225.280000000002</v>
      </c>
      <c r="R34" s="70">
        <f t="shared" si="11"/>
        <v>22225.280000000002</v>
      </c>
      <c r="S34" s="70">
        <f t="shared" si="11"/>
        <v>22225.280000000002</v>
      </c>
      <c r="T34" s="70">
        <f t="shared" si="11"/>
        <v>28900</v>
      </c>
      <c r="U34" s="70">
        <f t="shared" si="11"/>
        <v>28900</v>
      </c>
      <c r="V34" s="70">
        <f t="shared" si="11"/>
        <v>28900</v>
      </c>
      <c r="W34" s="70">
        <f t="shared" si="11"/>
        <v>30308.571428571435</v>
      </c>
      <c r="X34" s="70">
        <f t="shared" si="11"/>
        <v>30308.571428571435</v>
      </c>
      <c r="Y34" s="70">
        <f t="shared" si="11"/>
        <v>30308.571428571435</v>
      </c>
    </row>
    <row r="35" spans="1:25">
      <c r="A35" s="72" t="s">
        <v>57</v>
      </c>
      <c r="B35" s="70">
        <f>B28*B14</f>
        <v>9083.2922357723564</v>
      </c>
      <c r="C35" s="70">
        <f t="shared" ref="C35:M35" si="12">C28*C14</f>
        <v>9476.6684331210217</v>
      </c>
      <c r="D35" s="70">
        <f t="shared" si="12"/>
        <v>10902.25813199105</v>
      </c>
      <c r="E35" s="70">
        <f t="shared" si="12"/>
        <v>9133.6954460719007</v>
      </c>
      <c r="F35" s="70">
        <f t="shared" si="12"/>
        <v>8304.1143509272461</v>
      </c>
      <c r="G35" s="70">
        <f t="shared" si="12"/>
        <v>8768.758941798942</v>
      </c>
      <c r="H35" s="70">
        <f t="shared" si="12"/>
        <v>10166.016621004565</v>
      </c>
      <c r="I35" s="70">
        <f t="shared" si="12"/>
        <v>10798.564265505987</v>
      </c>
      <c r="J35" s="70">
        <f t="shared" si="12"/>
        <v>8763.8574107142867</v>
      </c>
      <c r="K35" s="70">
        <f t="shared" si="12"/>
        <v>8998.7636501377419</v>
      </c>
      <c r="L35" s="70">
        <f t="shared" si="12"/>
        <v>9569.7571400404577</v>
      </c>
      <c r="M35" s="71">
        <f t="shared" si="12"/>
        <v>9119.2392601587726</v>
      </c>
      <c r="N35" s="70">
        <f>N26*N28*N14</f>
        <v>9267.6843243243238</v>
      </c>
      <c r="O35" s="70">
        <f t="shared" ref="O35:Y35" si="13">O26*O28*O14</f>
        <v>9267.6843243243238</v>
      </c>
      <c r="P35" s="70">
        <f t="shared" si="13"/>
        <v>9267.6843243243238</v>
      </c>
      <c r="Q35" s="70">
        <f t="shared" si="13"/>
        <v>11112.640000000003</v>
      </c>
      <c r="R35" s="70">
        <f t="shared" si="13"/>
        <v>11112.640000000003</v>
      </c>
      <c r="S35" s="70">
        <f t="shared" si="13"/>
        <v>11112.640000000003</v>
      </c>
      <c r="T35" s="70">
        <f t="shared" si="13"/>
        <v>14450</v>
      </c>
      <c r="U35" s="70">
        <f t="shared" si="13"/>
        <v>14450</v>
      </c>
      <c r="V35" s="70">
        <f t="shared" si="13"/>
        <v>14450</v>
      </c>
      <c r="W35" s="70">
        <f t="shared" si="13"/>
        <v>15154.285714285717</v>
      </c>
      <c r="X35" s="70">
        <f t="shared" si="13"/>
        <v>15154.285714285717</v>
      </c>
      <c r="Y35" s="70">
        <f t="shared" si="13"/>
        <v>15154.285714285717</v>
      </c>
    </row>
    <row r="36" spans="1:25">
      <c r="A36" s="73" t="s">
        <v>61</v>
      </c>
      <c r="B36" s="74">
        <f>+B34+B35</f>
        <v>30111.625569105687</v>
      </c>
      <c r="C36" s="74">
        <f>+C34+C35</f>
        <v>28709.496764548843</v>
      </c>
      <c r="D36" s="74">
        <f t="shared" ref="D36:M36" si="14">+D34+D35</f>
        <v>32059.265010113475</v>
      </c>
      <c r="E36" s="74">
        <f t="shared" si="14"/>
        <v>26535.558377302339</v>
      </c>
      <c r="F36" s="74">
        <f t="shared" si="14"/>
        <v>24449.43736192631</v>
      </c>
      <c r="G36" s="74">
        <f t="shared" si="14"/>
        <v>26018.863778572297</v>
      </c>
      <c r="H36" s="74">
        <f t="shared" si="14"/>
        <v>30095.051604972974</v>
      </c>
      <c r="I36" s="74">
        <f t="shared" si="14"/>
        <v>30895.962024931454</v>
      </c>
      <c r="J36" s="74">
        <f t="shared" si="14"/>
        <v>25273.441666627303</v>
      </c>
      <c r="K36" s="74">
        <f t="shared" si="14"/>
        <v>26651.629110375947</v>
      </c>
      <c r="L36" s="74">
        <f t="shared" si="14"/>
        <v>28224.512251882319</v>
      </c>
      <c r="M36" s="75">
        <f t="shared" si="14"/>
        <v>27288.526567470908</v>
      </c>
      <c r="N36" s="74">
        <f>+N34+N35</f>
        <v>27803.052972972971</v>
      </c>
      <c r="O36" s="74">
        <f t="shared" ref="O36:Y36" si="15">+O34+O35</f>
        <v>27803.052972972971</v>
      </c>
      <c r="P36" s="74">
        <f t="shared" si="15"/>
        <v>27803.052972972971</v>
      </c>
      <c r="Q36" s="74">
        <f t="shared" si="15"/>
        <v>33337.920000000006</v>
      </c>
      <c r="R36" s="74">
        <f t="shared" si="15"/>
        <v>33337.920000000006</v>
      </c>
      <c r="S36" s="74">
        <f t="shared" si="15"/>
        <v>33337.920000000006</v>
      </c>
      <c r="T36" s="74">
        <f t="shared" si="15"/>
        <v>43350</v>
      </c>
      <c r="U36" s="74">
        <f t="shared" si="15"/>
        <v>43350</v>
      </c>
      <c r="V36" s="74">
        <f t="shared" si="15"/>
        <v>43350</v>
      </c>
      <c r="W36" s="74">
        <f t="shared" si="15"/>
        <v>45462.857142857152</v>
      </c>
      <c r="X36" s="74">
        <f t="shared" si="15"/>
        <v>45462.857142857152</v>
      </c>
      <c r="Y36" s="75">
        <f t="shared" si="15"/>
        <v>45462.857142857152</v>
      </c>
    </row>
    <row r="37" spans="1:25">
      <c r="A37" s="52"/>
      <c r="B37" s="53"/>
      <c r="C37" s="52"/>
      <c r="D37" s="52"/>
      <c r="E37" s="52"/>
      <c r="F37" s="52"/>
      <c r="G37" s="52"/>
      <c r="H37" s="52"/>
      <c r="I37" s="52"/>
      <c r="J37" s="52"/>
      <c r="K37" s="52"/>
      <c r="L37" s="52"/>
      <c r="M37" s="54"/>
    </row>
    <row r="38" spans="1:25">
      <c r="A38" s="55" t="s">
        <v>62</v>
      </c>
      <c r="B38" s="76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7"/>
      <c r="N38" s="76">
        <f>+((M28)*(1-N22))+((M41*M42)*(1-N20))</f>
        <v>2399.9008557423194</v>
      </c>
      <c r="O38" s="76">
        <f>+((N26*N28)*(1-O22))+((N41*N42)*(1-O20))</f>
        <v>1701.573766718333</v>
      </c>
      <c r="P38" s="76">
        <f t="shared" ref="P38:Y38" si="16">+((O26*O28)*(1-P22))+((O41*O42)*(1-P20))</f>
        <v>1394.754337094419</v>
      </c>
      <c r="Q38" s="76">
        <f t="shared" si="16"/>
        <v>1278.8241948828227</v>
      </c>
      <c r="R38" s="76">
        <f t="shared" si="16"/>
        <v>1300.2354585932126</v>
      </c>
      <c r="S38" s="76">
        <f t="shared" si="16"/>
        <v>1310.9699106956155</v>
      </c>
      <c r="T38" s="76">
        <f t="shared" si="16"/>
        <v>1327.2988723464448</v>
      </c>
      <c r="U38" s="76">
        <f t="shared" si="16"/>
        <v>1525.6213549743359</v>
      </c>
      <c r="V38" s="76">
        <f t="shared" si="16"/>
        <v>1598.2200850540089</v>
      </c>
      <c r="W38" s="76">
        <f t="shared" si="16"/>
        <v>1582.1435869221259</v>
      </c>
      <c r="X38" s="76">
        <f t="shared" si="16"/>
        <v>1623.4503967548239</v>
      </c>
      <c r="Y38" s="76">
        <f t="shared" si="16"/>
        <v>1650.3939972776909</v>
      </c>
    </row>
    <row r="39" spans="1:25">
      <c r="A39" s="55" t="s">
        <v>63</v>
      </c>
      <c r="B39" s="78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7"/>
      <c r="N39" s="76">
        <f>+((B27*(1-N21)+(B41*B43)*(1-N20)))</f>
        <v>1522.4502768310481</v>
      </c>
      <c r="O39" s="76">
        <f>+((C27*(1-O21)+(C41*C43)*(1-O20)))</f>
        <v>1384.1806004558423</v>
      </c>
      <c r="P39" s="76">
        <f>+((D27*(1-P21)+(D41*D43)*(1-P20)))</f>
        <v>1412.3211689561165</v>
      </c>
      <c r="Q39" s="76">
        <f>+((E27*(1-Q21)+(E41*E43)*(1-Q20)))</f>
        <v>1331.8470103805817</v>
      </c>
      <c r="R39" s="76">
        <f>+((F27*(1-R21)+(F41*F43)*(1-R20)))</f>
        <v>1342.336481524191</v>
      </c>
      <c r="S39" s="76">
        <f t="shared" ref="S39:Y39" si="17">+((G27*(1-S21)+(G41*G43)*(1-S20)))</f>
        <v>1399.1509249571586</v>
      </c>
      <c r="T39" s="76">
        <f t="shared" si="17"/>
        <v>1582.2178091935277</v>
      </c>
      <c r="U39" s="76">
        <f t="shared" si="17"/>
        <v>1553.0251275591884</v>
      </c>
      <c r="V39" s="76">
        <f t="shared" si="17"/>
        <v>1341.4703736492597</v>
      </c>
      <c r="W39" s="76">
        <f t="shared" si="17"/>
        <v>1414.0643277462686</v>
      </c>
      <c r="X39" s="76">
        <f t="shared" si="17"/>
        <v>1463.6621653411328</v>
      </c>
      <c r="Y39" s="76">
        <f t="shared" si="17"/>
        <v>1434.1155018645072</v>
      </c>
    </row>
    <row r="40" spans="1:25">
      <c r="A40" s="55"/>
      <c r="B40" s="53"/>
      <c r="C40" s="79"/>
      <c r="D40" s="79"/>
      <c r="E40" s="79"/>
      <c r="F40" s="79"/>
      <c r="G40" s="79"/>
      <c r="H40" s="79"/>
      <c r="I40" s="79"/>
      <c r="J40" s="79"/>
      <c r="K40" s="79"/>
      <c r="L40" s="79"/>
      <c r="M40" s="80"/>
    </row>
    <row r="41" spans="1:25">
      <c r="A41" s="55" t="s">
        <v>64</v>
      </c>
      <c r="B41" s="81">
        <v>2303</v>
      </c>
      <c r="C41" s="81">
        <v>2314</v>
      </c>
      <c r="D41" s="81">
        <v>2428</v>
      </c>
      <c r="E41" s="81">
        <v>2666</v>
      </c>
      <c r="F41" s="81">
        <v>2747</v>
      </c>
      <c r="G41" s="81">
        <v>2736</v>
      </c>
      <c r="H41" s="81">
        <v>2808</v>
      </c>
      <c r="I41" s="81">
        <v>2844</v>
      </c>
      <c r="J41" s="81">
        <v>2772</v>
      </c>
      <c r="K41" s="64">
        <f t="shared" ref="K41:M43" si="18">+AVERAGE(H41:J41)</f>
        <v>2808</v>
      </c>
      <c r="L41" s="64">
        <f t="shared" si="18"/>
        <v>2808</v>
      </c>
      <c r="M41" s="65">
        <f t="shared" si="18"/>
        <v>2796</v>
      </c>
      <c r="N41" s="82">
        <f>+N38*(1-N22)+N39*(1-N21)</f>
        <v>1767.4486459765617</v>
      </c>
      <c r="O41" s="82">
        <f t="shared" ref="O41:Y41" si="19">+O38*(1-O22)+O39*(1-O21)</f>
        <v>1342.7262904617305</v>
      </c>
      <c r="P41" s="82">
        <f t="shared" si="19"/>
        <v>1182.2471345763533</v>
      </c>
      <c r="Q41" s="82">
        <f t="shared" si="19"/>
        <v>1094.8312918879833</v>
      </c>
      <c r="R41" s="82">
        <f t="shared" si="19"/>
        <v>1109.690721708585</v>
      </c>
      <c r="S41" s="82">
        <f t="shared" si="19"/>
        <v>1132.2944892208075</v>
      </c>
      <c r="T41" s="82">
        <f t="shared" si="19"/>
        <v>1195.0853935598964</v>
      </c>
      <c r="U41" s="82">
        <f t="shared" si="19"/>
        <v>1295.5819745118245</v>
      </c>
      <c r="V41" s="82">
        <f t="shared" si="19"/>
        <v>1273.3276858464271</v>
      </c>
      <c r="W41" s="82">
        <f t="shared" si="19"/>
        <v>1285.8235993679332</v>
      </c>
      <c r="X41" s="82">
        <f t="shared" si="19"/>
        <v>1323.1209422844158</v>
      </c>
      <c r="Y41" s="361">
        <f t="shared" si="19"/>
        <v>1329.2550900181359</v>
      </c>
    </row>
    <row r="42" spans="1:25">
      <c r="A42" s="52" t="s">
        <v>65</v>
      </c>
      <c r="B42" s="83">
        <v>0.75249674337820238</v>
      </c>
      <c r="C42" s="83">
        <v>0.78565254969749354</v>
      </c>
      <c r="D42" s="83">
        <v>0.82413509060955514</v>
      </c>
      <c r="E42" s="83">
        <v>0.79744936234058517</v>
      </c>
      <c r="F42" s="83">
        <v>0.78012377138696765</v>
      </c>
      <c r="G42" s="83">
        <v>0.77850877192982459</v>
      </c>
      <c r="H42" s="83">
        <v>0.76958689458689455</v>
      </c>
      <c r="I42" s="83">
        <v>0.78938115330520398</v>
      </c>
      <c r="J42" s="83">
        <v>0.79220779220779225</v>
      </c>
      <c r="K42" s="619">
        <f t="shared" si="18"/>
        <v>0.78372528003329689</v>
      </c>
      <c r="L42" s="619">
        <f t="shared" si="18"/>
        <v>0.78843807518209774</v>
      </c>
      <c r="M42" s="44">
        <f t="shared" si="18"/>
        <v>0.78812371580772889</v>
      </c>
      <c r="N42" s="83">
        <v>0.8</v>
      </c>
      <c r="O42" s="83">
        <v>0.8</v>
      </c>
      <c r="P42" s="83">
        <v>0.8</v>
      </c>
      <c r="Q42" s="83">
        <v>0.8</v>
      </c>
      <c r="R42" s="83">
        <v>0.8</v>
      </c>
      <c r="S42" s="83">
        <v>0.8</v>
      </c>
      <c r="T42" s="83">
        <v>0.8</v>
      </c>
      <c r="U42" s="83">
        <v>0.8</v>
      </c>
      <c r="V42" s="83">
        <v>0.8</v>
      </c>
      <c r="W42" s="83">
        <v>0.8</v>
      </c>
      <c r="X42" s="83">
        <v>0.8</v>
      </c>
      <c r="Y42" s="84">
        <v>0.8</v>
      </c>
    </row>
    <row r="43" spans="1:25">
      <c r="A43" s="52" t="s">
        <v>66</v>
      </c>
      <c r="B43" s="83">
        <v>0.25010855405992183</v>
      </c>
      <c r="C43" s="83">
        <v>0.21650821089023337</v>
      </c>
      <c r="D43" s="83">
        <v>0.17627677100494232</v>
      </c>
      <c r="E43" s="83">
        <v>0.20330082520630155</v>
      </c>
      <c r="F43" s="83">
        <v>0.22096832908627595</v>
      </c>
      <c r="G43" s="83">
        <v>0.22331871345029239</v>
      </c>
      <c r="H43" s="83">
        <v>0.23148148148148148</v>
      </c>
      <c r="I43" s="83">
        <v>0.21237693389592124</v>
      </c>
      <c r="J43" s="83">
        <v>0.20923520923520925</v>
      </c>
      <c r="K43" s="619">
        <f t="shared" si="18"/>
        <v>0.21769787487087067</v>
      </c>
      <c r="L43" s="619">
        <f t="shared" si="18"/>
        <v>0.21310333933400039</v>
      </c>
      <c r="M43" s="44">
        <f t="shared" si="18"/>
        <v>0.21334547448002675</v>
      </c>
      <c r="N43" s="83">
        <v>0.2</v>
      </c>
      <c r="O43" s="83">
        <v>0.2</v>
      </c>
      <c r="P43" s="83">
        <v>0.2</v>
      </c>
      <c r="Q43" s="83">
        <v>0.2</v>
      </c>
      <c r="R43" s="83">
        <v>0.2</v>
      </c>
      <c r="S43" s="83">
        <v>0.2</v>
      </c>
      <c r="T43" s="83">
        <v>0.2</v>
      </c>
      <c r="U43" s="83">
        <v>0.2</v>
      </c>
      <c r="V43" s="83">
        <v>0.2</v>
      </c>
      <c r="W43" s="83">
        <v>0.2</v>
      </c>
      <c r="X43" s="83">
        <v>0.2</v>
      </c>
      <c r="Y43" s="84">
        <v>0.2</v>
      </c>
    </row>
    <row r="44" spans="1:25">
      <c r="A44" s="55"/>
      <c r="B44" s="53"/>
      <c r="C44" s="79"/>
      <c r="D44" s="79"/>
      <c r="E44" s="79"/>
      <c r="F44" s="79"/>
      <c r="G44" s="79"/>
      <c r="H44" s="79"/>
      <c r="I44" s="79"/>
      <c r="J44" s="79"/>
      <c r="K44" s="79"/>
      <c r="L44" s="79"/>
      <c r="M44" s="80"/>
    </row>
    <row r="45" spans="1:25">
      <c r="A45" s="55" t="s">
        <v>67</v>
      </c>
      <c r="B45" s="85">
        <v>30407.310000000005</v>
      </c>
      <c r="C45" s="85">
        <v>31167.150000000005</v>
      </c>
      <c r="D45" s="85">
        <v>33062.86</v>
      </c>
      <c r="E45" s="85">
        <v>34231.749999999993</v>
      </c>
      <c r="F45" s="85">
        <v>36286.82</v>
      </c>
      <c r="G45" s="85">
        <v>34611.620000000003</v>
      </c>
      <c r="H45" s="85">
        <v>31084.01</v>
      </c>
      <c r="I45" s="85">
        <v>33123.03</v>
      </c>
      <c r="J45" s="85">
        <v>31812.85</v>
      </c>
      <c r="K45" s="74">
        <f>+AVERAGE(H45:J45)</f>
        <v>32006.629999999994</v>
      </c>
      <c r="L45" s="74">
        <f>+AVERAGE(I45:K45)</f>
        <v>32314.17</v>
      </c>
      <c r="M45" s="75">
        <f>+AVERAGE(J45:L45)</f>
        <v>32044.55</v>
      </c>
      <c r="N45" s="74">
        <f>((N41*N42)*Supuestos!$M$13)+((N41*N43)*Supuestos!$M$12)</f>
        <v>38898.137859376366</v>
      </c>
      <c r="O45" s="74">
        <f>((O41*O42)*Supuestos!$M$13)+((O41*O43)*Supuestos!$M$12)</f>
        <v>29550.817486372416</v>
      </c>
      <c r="P45" s="74">
        <f>((P41*P42)*Supuestos!$M$13)+((P41*P43)*Supuestos!$M$12)</f>
        <v>26018.980596290276</v>
      </c>
      <c r="Q45" s="74">
        <f>((Q41*Q42)*Supuestos!$M$13)+((Q41*Q43)*Supuestos!$M$12)</f>
        <v>24095.126396777159</v>
      </c>
      <c r="R45" s="74">
        <f>((R41*R42)*Supuestos!$M$13)+((R41*R43)*Supuestos!$M$12)</f>
        <v>24422.153804894093</v>
      </c>
      <c r="S45" s="74">
        <f>((S41*S42)*Supuestos!$M$13)+((S41*S43)*Supuestos!$M$12)</f>
        <v>24919.619158036454</v>
      </c>
      <c r="T45" s="74">
        <f>((T41*T42)*Supuestos!$M$13)+((T41*T43)*Supuestos!$M$12)</f>
        <v>26301.525930183307</v>
      </c>
      <c r="U45" s="74">
        <f>((U41*U42)*Supuestos!$M$13)+((U41*U43)*Supuestos!$M$12)</f>
        <v>28513.261965152618</v>
      </c>
      <c r="V45" s="74">
        <f>((V41*V42)*Supuestos!$M$13)+((V41*V43)*Supuestos!$M$12)</f>
        <v>28023.487967792324</v>
      </c>
      <c r="W45" s="74">
        <f>((W41*W42)*Supuestos!$M$13)+((W41*W43)*Supuestos!$M$12)</f>
        <v>28298.498937952543</v>
      </c>
      <c r="X45" s="74">
        <f>((X41*X42)*Supuestos!$M$13)+((X41*X43)*Supuestos!$M$12)</f>
        <v>29119.341563200178</v>
      </c>
      <c r="Y45" s="75">
        <f>((Y41*Y42)*Supuestos!$M$13)+((Y41*Y43)*Supuestos!$M$12)</f>
        <v>29254.342330967429</v>
      </c>
    </row>
    <row r="47" spans="1:25">
      <c r="A47" t="s">
        <v>68</v>
      </c>
      <c r="B47" s="12">
        <f>+B33+B45</f>
        <v>291830.60223577236</v>
      </c>
      <c r="C47" s="12">
        <f t="shared" ref="C47:J47" si="20">+C33+C45</f>
        <v>271437.75841025484</v>
      </c>
      <c r="D47" s="12">
        <f t="shared" si="20"/>
        <v>297849.20066946012</v>
      </c>
      <c r="E47" s="12">
        <f>+E33+E45</f>
        <v>252187.8006208372</v>
      </c>
      <c r="F47" s="12">
        <f t="shared" si="20"/>
        <v>238334.81048291601</v>
      </c>
      <c r="G47" s="12">
        <f t="shared" si="20"/>
        <v>250381.6369830792</v>
      </c>
      <c r="H47" s="12">
        <f t="shared" si="20"/>
        <v>280398.4464286255</v>
      </c>
      <c r="I47" s="12">
        <f>+I33+I45</f>
        <v>285090.36737861158</v>
      </c>
      <c r="J47" s="12">
        <f t="shared" si="20"/>
        <v>238691.71848167051</v>
      </c>
      <c r="K47" s="12">
        <f>+K33+K45</f>
        <v>252839.77917299623</v>
      </c>
      <c r="L47" s="12">
        <f>+L33+L45</f>
        <v>265740.9884821428</v>
      </c>
      <c r="M47" s="548">
        <f>+M33+M45</f>
        <v>259195.23694790434</v>
      </c>
      <c r="N47" s="549">
        <f t="shared" ref="N47:Y47" si="21">+N33+N45</f>
        <v>259005.64056207903</v>
      </c>
      <c r="O47" s="12">
        <f t="shared" si="21"/>
        <v>249658.32018907511</v>
      </c>
      <c r="P47" s="12">
        <f t="shared" si="21"/>
        <v>246126.48329899297</v>
      </c>
      <c r="Q47" s="12">
        <f t="shared" si="21"/>
        <v>292650.5930634439</v>
      </c>
      <c r="R47" s="12">
        <f t="shared" si="21"/>
        <v>292977.6204715608</v>
      </c>
      <c r="S47" s="12">
        <f t="shared" si="21"/>
        <v>293475.08582470322</v>
      </c>
      <c r="T47" s="12">
        <f t="shared" si="21"/>
        <v>387551.5259301833</v>
      </c>
      <c r="U47" s="12">
        <f t="shared" si="21"/>
        <v>389763.26196515263</v>
      </c>
      <c r="V47" s="12">
        <f t="shared" si="21"/>
        <v>389273.48796779232</v>
      </c>
      <c r="W47" s="12">
        <f t="shared" si="21"/>
        <v>407155.64179509546</v>
      </c>
      <c r="X47" s="12">
        <f t="shared" si="21"/>
        <v>407976.48442034307</v>
      </c>
      <c r="Y47" s="32">
        <f t="shared" si="21"/>
        <v>408111.48518811032</v>
      </c>
    </row>
    <row r="48" spans="1:25">
      <c r="A48" t="s">
        <v>69</v>
      </c>
      <c r="B48" s="86">
        <f>+-((B34*(B17))+(B35*(B17))+(B45*(B18)))</f>
        <v>-13594.584170731705</v>
      </c>
      <c r="C48" s="86">
        <f t="shared" ref="C48:M48" si="22">+-(C33*C17)+(C45*(C18))</f>
        <v>-67406.110023076457</v>
      </c>
      <c r="D48" s="86">
        <f t="shared" si="22"/>
        <v>-74476.473200838038</v>
      </c>
      <c r="E48" s="86">
        <f t="shared" si="22"/>
        <v>-60252.052686251162</v>
      </c>
      <c r="F48" s="86">
        <f t="shared" si="22"/>
        <v>-55171.374144874797</v>
      </c>
      <c r="G48" s="86">
        <f t="shared" si="22"/>
        <v>-59539.262094923753</v>
      </c>
      <c r="H48" s="86">
        <f t="shared" si="22"/>
        <v>-70131.729428587641</v>
      </c>
      <c r="I48" s="86">
        <f t="shared" si="22"/>
        <v>-70621.746713583474</v>
      </c>
      <c r="J48" s="86">
        <f t="shared" si="22"/>
        <v>-57291.733044501154</v>
      </c>
      <c r="K48" s="86">
        <f t="shared" si="22"/>
        <v>-61448.950251898859</v>
      </c>
      <c r="L48" s="86">
        <f t="shared" si="22"/>
        <v>-65180.920044642837</v>
      </c>
      <c r="M48" s="87">
        <f t="shared" si="22"/>
        <v>-63338.523584371294</v>
      </c>
      <c r="N48" s="86">
        <f>+-(N33*N17)+(N45*(N18))</f>
        <v>-69257.998374070667</v>
      </c>
      <c r="O48" s="86">
        <f t="shared" ref="O48:Y48" si="23">+-(O33*O17)+(O45*(O18))</f>
        <v>-71127.46244867146</v>
      </c>
      <c r="P48" s="86">
        <f>+-(P33*P17)+(P45*(P18))</f>
        <v>-71833.829826687885</v>
      </c>
      <c r="Q48" s="86">
        <f t="shared" si="23"/>
        <v>-89175.38805397792</v>
      </c>
      <c r="R48" s="86">
        <f t="shared" si="23"/>
        <v>-89109.982572354522</v>
      </c>
      <c r="S48" s="86">
        <f t="shared" si="23"/>
        <v>-89010.489501726057</v>
      </c>
      <c r="T48" s="86">
        <f t="shared" si="23"/>
        <v>-121177.19481396332</v>
      </c>
      <c r="U48" s="86">
        <f t="shared" si="23"/>
        <v>-120734.84760696946</v>
      </c>
      <c r="V48" s="86">
        <f t="shared" si="23"/>
        <v>-120832.80240644152</v>
      </c>
      <c r="W48" s="86">
        <f t="shared" si="23"/>
        <v>-126940.30021240949</v>
      </c>
      <c r="X48" s="86">
        <f t="shared" si="23"/>
        <v>-126776.13168735997</v>
      </c>
      <c r="Y48" s="87">
        <f t="shared" si="23"/>
        <v>-126749.13153380652</v>
      </c>
    </row>
    <row r="49" spans="1:25">
      <c r="A49" t="s">
        <v>70</v>
      </c>
      <c r="B49" s="12">
        <f>+SUM(B47:B48)</f>
        <v>278236.01806504064</v>
      </c>
      <c r="C49" s="12">
        <f t="shared" ref="C49:Y49" si="24">+SUM(C47:C48)</f>
        <v>204031.64838717837</v>
      </c>
      <c r="D49" s="12">
        <f t="shared" si="24"/>
        <v>223372.72746862209</v>
      </c>
      <c r="E49" s="12">
        <f t="shared" si="24"/>
        <v>191935.74793458602</v>
      </c>
      <c r="F49" s="12">
        <f t="shared" si="24"/>
        <v>183163.43633804121</v>
      </c>
      <c r="G49" s="12">
        <f t="shared" si="24"/>
        <v>190842.37488815543</v>
      </c>
      <c r="H49" s="12">
        <f t="shared" si="24"/>
        <v>210266.71700003784</v>
      </c>
      <c r="I49" s="12">
        <f t="shared" si="24"/>
        <v>214468.62066502811</v>
      </c>
      <c r="J49" s="12">
        <f t="shared" si="24"/>
        <v>181399.98543716935</v>
      </c>
      <c r="K49" s="12">
        <f t="shared" si="24"/>
        <v>191390.82892109739</v>
      </c>
      <c r="L49" s="12">
        <f t="shared" si="24"/>
        <v>200560.06843749995</v>
      </c>
      <c r="M49" s="32">
        <f t="shared" si="24"/>
        <v>195856.71336353305</v>
      </c>
      <c r="N49" s="12">
        <f t="shared" si="24"/>
        <v>189747.64218800835</v>
      </c>
      <c r="O49" s="12">
        <f t="shared" si="24"/>
        <v>178530.85774040365</v>
      </c>
      <c r="P49" s="12">
        <f t="shared" si="24"/>
        <v>174292.6534723051</v>
      </c>
      <c r="Q49" s="12">
        <f t="shared" si="24"/>
        <v>203475.20500946598</v>
      </c>
      <c r="R49" s="12">
        <f t="shared" si="24"/>
        <v>203867.63789920628</v>
      </c>
      <c r="S49" s="12">
        <f t="shared" si="24"/>
        <v>204464.59632297716</v>
      </c>
      <c r="T49" s="12">
        <f t="shared" si="24"/>
        <v>266374.33111621998</v>
      </c>
      <c r="U49" s="12">
        <f t="shared" si="24"/>
        <v>269028.41435818316</v>
      </c>
      <c r="V49" s="12">
        <f t="shared" si="24"/>
        <v>268440.68556135078</v>
      </c>
      <c r="W49" s="12">
        <f t="shared" si="24"/>
        <v>280215.34158268594</v>
      </c>
      <c r="X49" s="12">
        <f t="shared" si="24"/>
        <v>281200.35273298307</v>
      </c>
      <c r="Y49" s="32">
        <f t="shared" si="24"/>
        <v>281362.35365430382</v>
      </c>
    </row>
    <row r="51" spans="1:25">
      <c r="A51" s="529" t="s">
        <v>706</v>
      </c>
      <c r="B51" s="29">
        <f>B49-B8</f>
        <v>146018.59806504063</v>
      </c>
      <c r="C51" s="29">
        <f t="shared" ref="C51:L51" si="25">C49-C8</f>
        <v>75477.508387178372</v>
      </c>
      <c r="D51" s="29">
        <f t="shared" si="25"/>
        <v>82525.24746862211</v>
      </c>
      <c r="E51" s="29">
        <f t="shared" si="25"/>
        <v>57538.637934586004</v>
      </c>
      <c r="F51" s="29">
        <f t="shared" si="25"/>
        <v>50245.506333041209</v>
      </c>
      <c r="G51" s="29">
        <f t="shared" si="25"/>
        <v>47235.084889155463</v>
      </c>
      <c r="H51" s="29">
        <f t="shared" si="25"/>
        <v>54709.047001037834</v>
      </c>
      <c r="I51" s="29">
        <f t="shared" si="25"/>
        <v>70241.060662028089</v>
      </c>
      <c r="J51" s="29">
        <f t="shared" si="25"/>
        <v>54746.09492616936</v>
      </c>
      <c r="K51" s="29">
        <f t="shared" si="25"/>
        <v>72602.828921097389</v>
      </c>
      <c r="L51" s="29">
        <f t="shared" si="25"/>
        <v>70670.251599499941</v>
      </c>
      <c r="M51" s="362">
        <f>M49-M8</f>
        <v>70746.144247199714</v>
      </c>
      <c r="N51" s="29">
        <f>N49-N8</f>
        <v>59859.642188008351</v>
      </c>
      <c r="O51" s="29">
        <f t="shared" ref="O51:Y51" si="26">O49-O8</f>
        <v>48642.857740403648</v>
      </c>
      <c r="P51" s="29">
        <f t="shared" si="26"/>
        <v>44404.653472305101</v>
      </c>
      <c r="Q51" s="551">
        <f t="shared" si="26"/>
        <v>51939.205009465979</v>
      </c>
      <c r="R51" s="551">
        <f t="shared" si="26"/>
        <v>52331.637899206282</v>
      </c>
      <c r="S51" s="551">
        <f t="shared" si="26"/>
        <v>52928.596322977159</v>
      </c>
      <c r="T51" s="29">
        <f t="shared" si="26"/>
        <v>85749.331116219983</v>
      </c>
      <c r="U51" s="29">
        <f t="shared" si="26"/>
        <v>88403.414358183159</v>
      </c>
      <c r="V51" s="29">
        <f t="shared" si="26"/>
        <v>87815.68556135078</v>
      </c>
      <c r="W51" s="29">
        <f t="shared" si="26"/>
        <v>110215.34158268594</v>
      </c>
      <c r="X51" s="29">
        <f t="shared" si="26"/>
        <v>111200.35273298307</v>
      </c>
      <c r="Y51" s="362">
        <f t="shared" si="26"/>
        <v>111362.35365430382</v>
      </c>
    </row>
    <row r="54" spans="1:25" s="89" customFormat="1">
      <c r="A54" s="772" t="s">
        <v>71</v>
      </c>
      <c r="M54" s="90"/>
      <c r="Y54" s="90"/>
    </row>
    <row r="55" spans="1:25" s="89" customFormat="1">
      <c r="A55" s="772"/>
      <c r="M55" s="90"/>
      <c r="Y55" s="90"/>
    </row>
    <row r="56" spans="1:25">
      <c r="A56" s="28" t="s">
        <v>43</v>
      </c>
    </row>
    <row r="57" spans="1:25">
      <c r="A57" s="30" t="s">
        <v>44</v>
      </c>
      <c r="B57" s="31">
        <v>19973.990000000002</v>
      </c>
      <c r="C57" s="31">
        <v>18756.680001000001</v>
      </c>
      <c r="D57" s="31">
        <v>18112.150000000001</v>
      </c>
      <c r="E57" s="31">
        <v>18294.52</v>
      </c>
      <c r="F57" s="31">
        <v>13806.050000000001</v>
      </c>
      <c r="G57" s="31">
        <v>16704.619999999995</v>
      </c>
      <c r="H57" s="31">
        <v>17896.179999999997</v>
      </c>
      <c r="I57" s="31">
        <v>23103.840000999997</v>
      </c>
      <c r="J57" s="31">
        <v>23327.840633999993</v>
      </c>
      <c r="K57" s="31">
        <v>25944</v>
      </c>
      <c r="L57" s="12">
        <f>+AVERAGE(I57:K57)</f>
        <v>24125.226878333331</v>
      </c>
      <c r="M57" s="32">
        <f>+AVERAGE(J57:L57)</f>
        <v>24465.689170777772</v>
      </c>
      <c r="N57" s="359">
        <f>+Supuestos!$G$6*Supuestos!$G$8*Supuestos!$G$16</f>
        <v>17712</v>
      </c>
      <c r="O57" s="359">
        <f>+Supuestos!$G$6*Supuestos!$G$8*Supuestos!$G$16</f>
        <v>17712</v>
      </c>
      <c r="P57" s="359">
        <f>+Supuestos!$G$6*Supuestos!$G$8*Supuestos!$G$16</f>
        <v>17712</v>
      </c>
      <c r="Q57" s="359">
        <f>+Supuestos!$H$6*Supuestos!$H$16*Supuestos!$H$8</f>
        <v>20664</v>
      </c>
      <c r="R57" s="359">
        <f>+Supuestos!$H$6*Supuestos!$H$16*Supuestos!$H$8</f>
        <v>20664</v>
      </c>
      <c r="S57" s="359">
        <f>+Supuestos!$H$6*Supuestos!$H$16*Supuestos!$H$8</f>
        <v>20664</v>
      </c>
      <c r="T57" s="359">
        <f>+Supuestos!$I$6*Supuestos!$I$16*Supuestos!$I$8</f>
        <v>31875</v>
      </c>
      <c r="U57" s="359">
        <f>+Supuestos!$I$6*Supuestos!$I$16*Supuestos!$I$8</f>
        <v>31875</v>
      </c>
      <c r="V57" s="359">
        <f>+Supuestos!$I$6*Supuestos!$I$16*Supuestos!$I$8</f>
        <v>31875</v>
      </c>
      <c r="W57" s="359">
        <f>+Supuestos!$J$6*Supuestos!$J$16*Supuestos!$J$8</f>
        <v>42500</v>
      </c>
      <c r="X57" s="359">
        <f>+Supuestos!$J$6*Supuestos!$J$16*Supuestos!$J$8</f>
        <v>42500</v>
      </c>
      <c r="Y57" s="360">
        <f>+Supuestos!$J$6*Supuestos!$J$16*Supuestos!$J$8</f>
        <v>42500</v>
      </c>
    </row>
    <row r="58" spans="1:25">
      <c r="A58" s="30" t="s">
        <v>45</v>
      </c>
      <c r="B58" s="33">
        <v>0.41380575524663865</v>
      </c>
      <c r="C58" s="33">
        <v>0.47155772327534196</v>
      </c>
      <c r="D58" s="33">
        <v>0.56252406981800118</v>
      </c>
      <c r="E58" s="33">
        <v>0.58889203630979203</v>
      </c>
      <c r="F58" s="33">
        <v>0.50621677116562169</v>
      </c>
      <c r="G58" s="33">
        <v>0.53441103077612118</v>
      </c>
      <c r="H58" s="33">
        <v>0.61330294722412604</v>
      </c>
      <c r="I58" s="33">
        <v>0.64838324028288374</v>
      </c>
      <c r="J58" s="33">
        <v>0.76688387632729516</v>
      </c>
      <c r="K58" s="33">
        <v>0.49</v>
      </c>
      <c r="L58" s="7">
        <f>+AVERAGE(I58:K58)</f>
        <v>0.63508903887005963</v>
      </c>
      <c r="M58" s="34">
        <f>+AVERAGE(J58:L58)</f>
        <v>0.63065763839911826</v>
      </c>
      <c r="N58" s="421">
        <f>+Supuestos!$G$17</f>
        <v>0.65</v>
      </c>
      <c r="O58" s="421">
        <f>+Supuestos!$G$17</f>
        <v>0.65</v>
      </c>
      <c r="P58" s="421">
        <f>+Supuestos!$G$17</f>
        <v>0.65</v>
      </c>
      <c r="Q58" s="421">
        <f>+Supuestos!$H$17</f>
        <v>0.6</v>
      </c>
      <c r="R58" s="421">
        <f>+Supuestos!$H$17</f>
        <v>0.6</v>
      </c>
      <c r="S58" s="421">
        <f>+Supuestos!$H$17</f>
        <v>0.6</v>
      </c>
      <c r="T58" s="421">
        <f>+Supuestos!$I$17</f>
        <v>0.6</v>
      </c>
      <c r="U58" s="421">
        <f>+Supuestos!$I$17</f>
        <v>0.6</v>
      </c>
      <c r="V58" s="421">
        <f>+Supuestos!$I$17</f>
        <v>0.6</v>
      </c>
      <c r="W58" s="421">
        <f>+Supuestos!$J$17</f>
        <v>0.55000000000000004</v>
      </c>
      <c r="X58" s="421">
        <f>+Supuestos!$J$17</f>
        <v>0.55000000000000004</v>
      </c>
      <c r="Y58" s="425">
        <f>+Supuestos!$J$17</f>
        <v>0.55000000000000004</v>
      </c>
    </row>
    <row r="59" spans="1:25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4"/>
    </row>
    <row r="60" spans="1:25">
      <c r="A60" s="28" t="s">
        <v>46</v>
      </c>
      <c r="B60" s="36">
        <v>1.6118005345045476E-2</v>
      </c>
      <c r="C60" s="36">
        <v>1.7196299275945293E-2</v>
      </c>
      <c r="D60" s="36">
        <v>2.1957885582955462E-2</v>
      </c>
      <c r="E60" s="36">
        <v>1.9957509817807251E-2</v>
      </c>
      <c r="F60" s="36">
        <v>2.3136435302313643E-2</v>
      </c>
      <c r="G60" s="36">
        <v>2.2618209738306992E-2</v>
      </c>
      <c r="H60" s="36">
        <v>2.6696367374914324E-2</v>
      </c>
      <c r="I60" s="36">
        <v>2.494878343108916E-2</v>
      </c>
      <c r="J60" s="36">
        <v>2.6003484664190144E-2</v>
      </c>
      <c r="K60" s="36">
        <v>1.78E-2</v>
      </c>
      <c r="L60" s="37">
        <f t="shared" ref="L60:M63" si="27">+AVERAGE(I60:K60)</f>
        <v>2.2917422698426435E-2</v>
      </c>
      <c r="M60" s="38">
        <f t="shared" si="27"/>
        <v>2.2240302454205524E-2</v>
      </c>
      <c r="N60" s="424">
        <f>+Supuestos!$G$18</f>
        <v>1.7999999999999999E-2</v>
      </c>
      <c r="O60" s="424">
        <f>+Supuestos!$G$18</f>
        <v>1.7999999999999999E-2</v>
      </c>
      <c r="P60" s="424">
        <f>+Supuestos!$G$18</f>
        <v>1.7999999999999999E-2</v>
      </c>
      <c r="Q60" s="424">
        <f>+Supuestos!$H$18</f>
        <v>0.02</v>
      </c>
      <c r="R60" s="424">
        <f>+Supuestos!$H$18</f>
        <v>0.02</v>
      </c>
      <c r="S60" s="424">
        <f>+Supuestos!$H$18</f>
        <v>0.02</v>
      </c>
      <c r="T60" s="424">
        <f>+Supuestos!$I$18</f>
        <v>2.5000000000000001E-2</v>
      </c>
      <c r="U60" s="424">
        <f>+Supuestos!$I$18</f>
        <v>2.5000000000000001E-2</v>
      </c>
      <c r="V60" s="424">
        <f>+Supuestos!$I$18</f>
        <v>2.5000000000000001E-2</v>
      </c>
      <c r="W60" s="424">
        <f>+Supuestos!$J$18</f>
        <v>2.5000000000000001E-2</v>
      </c>
      <c r="X60" s="424">
        <f>+Supuestos!$J$18</f>
        <v>2.5000000000000001E-2</v>
      </c>
      <c r="Y60" s="426">
        <f>+Supuestos!$J$18</f>
        <v>2.5000000000000001E-2</v>
      </c>
    </row>
    <row r="61" spans="1:25">
      <c r="A61" t="s">
        <v>47</v>
      </c>
      <c r="B61" s="31">
        <v>44.973457583547557</v>
      </c>
      <c r="C61" s="31">
        <v>42.043538011695908</v>
      </c>
      <c r="D61" s="31">
        <v>39.861329561527583</v>
      </c>
      <c r="E61" s="31">
        <v>40.25980645161291</v>
      </c>
      <c r="F61" s="31">
        <v>36.881822503961963</v>
      </c>
      <c r="G61" s="31">
        <v>33.734766619519093</v>
      </c>
      <c r="H61" s="31">
        <v>36.623260590500649</v>
      </c>
      <c r="I61" s="31">
        <v>37.001912260967373</v>
      </c>
      <c r="J61" s="31">
        <v>36.933577749683948</v>
      </c>
      <c r="K61" s="31">
        <v>43</v>
      </c>
      <c r="L61" s="12">
        <f t="shared" si="27"/>
        <v>38.978496670217105</v>
      </c>
      <c r="M61" s="32">
        <f t="shared" si="27"/>
        <v>39.637358139967013</v>
      </c>
      <c r="N61" s="421">
        <f>+Supuestos!$G$19</f>
        <v>40</v>
      </c>
      <c r="O61" s="421">
        <f>+Supuestos!$G$19</f>
        <v>40</v>
      </c>
      <c r="P61" s="421">
        <f>+Supuestos!$G$19</f>
        <v>40</v>
      </c>
      <c r="Q61" s="421">
        <f>+Supuestos!$H$19</f>
        <v>45</v>
      </c>
      <c r="R61" s="421">
        <f>+Supuestos!$H$19</f>
        <v>45</v>
      </c>
      <c r="S61" s="421">
        <f>+Supuestos!$H$19</f>
        <v>45</v>
      </c>
      <c r="T61" s="421">
        <f>+Supuestos!$I$19</f>
        <v>45</v>
      </c>
      <c r="U61" s="421">
        <f>+Supuestos!$I$19</f>
        <v>45</v>
      </c>
      <c r="V61" s="421">
        <f>+Supuestos!$I$19</f>
        <v>45</v>
      </c>
      <c r="W61" s="421">
        <f>+Supuestos!$J$19</f>
        <v>48</v>
      </c>
      <c r="X61" s="421">
        <f>+Supuestos!$J$19</f>
        <v>48</v>
      </c>
      <c r="Y61" s="425">
        <f>+Supuestos!$J$19</f>
        <v>48</v>
      </c>
    </row>
    <row r="62" spans="1:25">
      <c r="A62" s="612" t="s">
        <v>56</v>
      </c>
      <c r="B62" s="31">
        <v>65.117248322147674</v>
      </c>
      <c r="C62" s="31">
        <v>63.752638522427461</v>
      </c>
      <c r="D62" s="31">
        <v>61.500749354005173</v>
      </c>
      <c r="E62" s="31">
        <v>60.127202216066486</v>
      </c>
      <c r="F62" s="31">
        <v>58.782185628742525</v>
      </c>
      <c r="G62" s="31">
        <v>56.986568914956017</v>
      </c>
      <c r="H62" s="31">
        <v>55.705440414507791</v>
      </c>
      <c r="I62" s="31">
        <v>55.576097560975604</v>
      </c>
      <c r="J62" s="31">
        <v>54.154237668161436</v>
      </c>
      <c r="K62" s="31">
        <v>62.445652985074631</v>
      </c>
      <c r="L62" s="12">
        <f t="shared" si="27"/>
        <v>57.391996071403888</v>
      </c>
      <c r="M62" s="32">
        <f t="shared" si="27"/>
        <v>57.997295574879985</v>
      </c>
      <c r="N62" s="31">
        <v>60</v>
      </c>
      <c r="O62" s="31">
        <v>60</v>
      </c>
      <c r="P62" s="31">
        <v>60</v>
      </c>
      <c r="Q62" s="31">
        <v>60</v>
      </c>
      <c r="R62" s="31">
        <v>60</v>
      </c>
      <c r="S62" s="31">
        <v>60</v>
      </c>
      <c r="T62" s="31">
        <v>60</v>
      </c>
      <c r="U62" s="31">
        <v>60</v>
      </c>
      <c r="V62" s="31">
        <v>60</v>
      </c>
      <c r="W62" s="31">
        <v>60</v>
      </c>
      <c r="X62" s="31">
        <v>60</v>
      </c>
      <c r="Y62" s="31">
        <v>60</v>
      </c>
    </row>
    <row r="63" spans="1:25">
      <c r="A63" s="612" t="s">
        <v>723</v>
      </c>
      <c r="B63" s="31">
        <v>11.055666666666669</v>
      </c>
      <c r="C63" s="31">
        <v>10.7852140077821</v>
      </c>
      <c r="D63" s="31">
        <v>10.773222222222222</v>
      </c>
      <c r="E63" s="31">
        <v>10.80410714285714</v>
      </c>
      <c r="F63" s="31">
        <v>10.448620689655172</v>
      </c>
      <c r="G63" s="31">
        <v>10.169396825396827</v>
      </c>
      <c r="H63" s="31">
        <v>9.8006168831168807</v>
      </c>
      <c r="I63" s="31">
        <v>9.7663322884012533</v>
      </c>
      <c r="J63" s="31">
        <v>10.056857142857146</v>
      </c>
      <c r="K63" s="31">
        <v>10.439465875370919</v>
      </c>
      <c r="L63" s="12">
        <f t="shared" si="27"/>
        <v>10.087551768876439</v>
      </c>
      <c r="M63" s="32">
        <f t="shared" si="27"/>
        <v>10.194624929034836</v>
      </c>
      <c r="N63" s="31">
        <v>11</v>
      </c>
      <c r="O63" s="31">
        <v>11</v>
      </c>
      <c r="P63" s="31">
        <v>11</v>
      </c>
      <c r="Q63" s="31">
        <v>11</v>
      </c>
      <c r="R63" s="31">
        <v>11</v>
      </c>
      <c r="S63" s="31">
        <v>11</v>
      </c>
      <c r="T63" s="31">
        <v>11</v>
      </c>
      <c r="U63" s="31">
        <v>11</v>
      </c>
      <c r="V63" s="31">
        <v>11</v>
      </c>
      <c r="W63" s="31">
        <v>11</v>
      </c>
      <c r="X63" s="31">
        <v>11</v>
      </c>
      <c r="Y63" s="31">
        <v>11</v>
      </c>
    </row>
    <row r="65" spans="1:25">
      <c r="A65" s="5" t="s">
        <v>48</v>
      </c>
    </row>
    <row r="66" spans="1:25">
      <c r="A66" t="s">
        <v>49</v>
      </c>
      <c r="B66" s="40">
        <v>0.3</v>
      </c>
      <c r="C66" s="40">
        <v>0.3</v>
      </c>
      <c r="D66" s="40">
        <v>0.3</v>
      </c>
      <c r="E66" s="40">
        <v>0.3</v>
      </c>
      <c r="F66" s="40">
        <v>0.3</v>
      </c>
      <c r="G66" s="40">
        <v>0.3</v>
      </c>
      <c r="H66" s="40">
        <v>0.3</v>
      </c>
      <c r="I66" s="40">
        <v>0.3</v>
      </c>
      <c r="J66" s="40">
        <v>0.3</v>
      </c>
      <c r="K66" s="40">
        <v>0.3</v>
      </c>
      <c r="L66" s="40">
        <v>0.3</v>
      </c>
      <c r="M66" s="41">
        <v>0.3</v>
      </c>
      <c r="N66" s="40">
        <v>0.35</v>
      </c>
      <c r="O66" s="40">
        <v>0.35</v>
      </c>
      <c r="P66" s="40">
        <v>0.35</v>
      </c>
      <c r="Q66" s="40">
        <v>0.35</v>
      </c>
      <c r="R66" s="40">
        <v>0.35</v>
      </c>
      <c r="S66" s="40">
        <v>0.35</v>
      </c>
      <c r="T66" s="40">
        <v>0.35</v>
      </c>
      <c r="U66" s="40">
        <v>0.35</v>
      </c>
      <c r="V66" s="40">
        <v>0.35</v>
      </c>
      <c r="W66" s="40">
        <v>0.35</v>
      </c>
      <c r="X66" s="40">
        <v>0.35</v>
      </c>
      <c r="Y66" s="40">
        <v>0.35</v>
      </c>
    </row>
    <row r="67" spans="1:25">
      <c r="A67" t="s">
        <v>50</v>
      </c>
      <c r="B67" s="40">
        <v>0.15</v>
      </c>
      <c r="C67" s="40">
        <v>0.15</v>
      </c>
      <c r="D67" s="40">
        <v>0.15</v>
      </c>
      <c r="E67" s="40">
        <v>0.15</v>
      </c>
      <c r="F67" s="40">
        <v>0.15</v>
      </c>
      <c r="G67" s="40">
        <v>0.15</v>
      </c>
      <c r="H67" s="40">
        <v>0.15</v>
      </c>
      <c r="I67" s="40">
        <v>0.15</v>
      </c>
      <c r="J67" s="40">
        <v>0.15</v>
      </c>
      <c r="K67" s="40">
        <v>0.15</v>
      </c>
      <c r="L67" s="40">
        <v>0.15</v>
      </c>
      <c r="M67" s="41">
        <v>0.15</v>
      </c>
      <c r="N67" s="40">
        <v>0.2</v>
      </c>
      <c r="O67" s="40">
        <v>0.2</v>
      </c>
      <c r="P67" s="40">
        <v>0.2</v>
      </c>
      <c r="Q67" s="40">
        <v>0.2</v>
      </c>
      <c r="R67" s="40">
        <v>0.2</v>
      </c>
      <c r="S67" s="40">
        <v>0.2</v>
      </c>
      <c r="T67" s="40">
        <v>0.2</v>
      </c>
      <c r="U67" s="40">
        <v>0.2</v>
      </c>
      <c r="V67" s="40">
        <v>0.2</v>
      </c>
      <c r="W67" s="40">
        <v>0.2</v>
      </c>
      <c r="X67" s="40">
        <v>0.2</v>
      </c>
      <c r="Y67" s="40">
        <v>0.2</v>
      </c>
    </row>
    <row r="69" spans="1:25">
      <c r="A69" t="s">
        <v>51</v>
      </c>
      <c r="B69" s="36">
        <v>0.1179873</v>
      </c>
      <c r="C69" s="36">
        <v>0.12528310000000001</v>
      </c>
      <c r="D69" s="36">
        <v>0.13060479999999999</v>
      </c>
      <c r="E69" s="36">
        <v>0.12914870000000001</v>
      </c>
      <c r="F69" s="36">
        <v>0.123183</v>
      </c>
      <c r="G69" s="36">
        <v>0.15451380000000001</v>
      </c>
      <c r="H69" s="36">
        <v>0.1399707</v>
      </c>
      <c r="I69" s="36">
        <v>0.12469470000000001</v>
      </c>
      <c r="J69" s="36">
        <v>0.12872130000000001</v>
      </c>
      <c r="K69" s="42">
        <v>0.12870000000000001</v>
      </c>
      <c r="L69" s="42">
        <v>0.12870000000000001</v>
      </c>
      <c r="M69" s="84">
        <v>0.12870000000000001</v>
      </c>
      <c r="N69" s="424">
        <f>+Supuestos!$G$20</f>
        <v>0.11</v>
      </c>
      <c r="O69" s="424">
        <f>+Supuestos!$G$20</f>
        <v>0.11</v>
      </c>
      <c r="P69" s="424">
        <f>+Supuestos!$G$20</f>
        <v>0.11</v>
      </c>
      <c r="Q69" s="424">
        <f>+Supuestos!$H$20</f>
        <v>0.11</v>
      </c>
      <c r="R69" s="424">
        <f>+Supuestos!$H$20</f>
        <v>0.11</v>
      </c>
      <c r="S69" s="424">
        <f>+Supuestos!$H$20</f>
        <v>0.11</v>
      </c>
      <c r="T69" s="424">
        <f>+Supuestos!$I$20</f>
        <v>0.11</v>
      </c>
      <c r="U69" s="424">
        <f>+Supuestos!$I$20</f>
        <v>0.11</v>
      </c>
      <c r="V69" s="424">
        <f>+Supuestos!$I$20</f>
        <v>0.11</v>
      </c>
      <c r="W69" s="424">
        <f>+Supuestos!$J$20</f>
        <v>0.11</v>
      </c>
      <c r="X69" s="424">
        <f>+Supuestos!$J$20</f>
        <v>0.11</v>
      </c>
      <c r="Y69" s="426">
        <f>+Supuestos!$J$20</f>
        <v>0.11</v>
      </c>
    </row>
    <row r="70" spans="1:25">
      <c r="A70" t="s">
        <v>52</v>
      </c>
      <c r="B70" s="91">
        <v>0.77</v>
      </c>
      <c r="C70" s="91">
        <v>0.75</v>
      </c>
      <c r="D70" s="91">
        <v>0.81</v>
      </c>
      <c r="E70" s="91">
        <v>0.81</v>
      </c>
      <c r="F70" s="91">
        <v>0.68</v>
      </c>
      <c r="G70" s="91">
        <v>0.82</v>
      </c>
      <c r="H70" s="91">
        <v>0.76</v>
      </c>
      <c r="I70" s="91">
        <v>0.78</v>
      </c>
      <c r="J70" s="91">
        <v>0.78</v>
      </c>
      <c r="K70" s="91">
        <v>0.71</v>
      </c>
      <c r="L70" s="46">
        <f>1-(1-L69)^12</f>
        <v>0.80856886759343893</v>
      </c>
      <c r="M70" s="11">
        <f>1-(1-M69)^12</f>
        <v>0.80856886759343893</v>
      </c>
      <c r="N70" s="43">
        <f>1-(1-M69)^12</f>
        <v>0.80856886759343893</v>
      </c>
      <c r="O70" s="43">
        <f t="shared" ref="O70:Y70" si="28">1-(1-N69)^12</f>
        <v>0.75300959643473775</v>
      </c>
      <c r="P70" s="43">
        <f t="shared" si="28"/>
        <v>0.75300959643473775</v>
      </c>
      <c r="Q70" s="43">
        <f t="shared" si="28"/>
        <v>0.75300959643473775</v>
      </c>
      <c r="R70" s="43">
        <f t="shared" si="28"/>
        <v>0.75300959643473775</v>
      </c>
      <c r="S70" s="43">
        <f t="shared" si="28"/>
        <v>0.75300959643473775</v>
      </c>
      <c r="T70" s="43">
        <f t="shared" si="28"/>
        <v>0.75300959643473775</v>
      </c>
      <c r="U70" s="43">
        <f t="shared" si="28"/>
        <v>0.75300959643473775</v>
      </c>
      <c r="V70" s="43">
        <f t="shared" si="28"/>
        <v>0.75300959643473775</v>
      </c>
      <c r="W70" s="43">
        <f t="shared" si="28"/>
        <v>0.75300959643473775</v>
      </c>
      <c r="X70" s="43">
        <f t="shared" si="28"/>
        <v>0.75300959643473775</v>
      </c>
      <c r="Y70" s="44">
        <f t="shared" si="28"/>
        <v>0.75300959643473775</v>
      </c>
    </row>
    <row r="71" spans="1:25">
      <c r="A71" t="s">
        <v>53</v>
      </c>
      <c r="B71" s="40">
        <v>0.40520400000000001</v>
      </c>
      <c r="C71" s="40">
        <v>0.403922</v>
      </c>
      <c r="D71" s="40">
        <v>0.47037000000000001</v>
      </c>
      <c r="E71" s="40">
        <v>0.45777800000000002</v>
      </c>
      <c r="F71" s="40">
        <v>0.47509600000000002</v>
      </c>
      <c r="G71" s="40">
        <v>0.47770699999999999</v>
      </c>
      <c r="H71" s="40">
        <v>0.40453099999999997</v>
      </c>
      <c r="I71" s="40">
        <v>0.52664599999999995</v>
      </c>
      <c r="J71" s="40">
        <v>0.49110300000000001</v>
      </c>
      <c r="K71" s="46">
        <f>+AVERAGE(H71:J71)</f>
        <v>0.47409333333333331</v>
      </c>
      <c r="L71" s="46">
        <f>+AVERAGE(I71:K71)</f>
        <v>0.49728077777777774</v>
      </c>
      <c r="M71" s="11">
        <f>+AVERAGE(J71:L71)</f>
        <v>0.48749237037037035</v>
      </c>
      <c r="N71" s="91">
        <v>0.45</v>
      </c>
      <c r="O71" s="91">
        <v>0.45</v>
      </c>
      <c r="P71" s="91">
        <v>0.45</v>
      </c>
      <c r="Q71" s="91">
        <v>0.45</v>
      </c>
      <c r="R71" s="91">
        <v>0.45</v>
      </c>
      <c r="S71" s="91">
        <v>0.45</v>
      </c>
      <c r="T71" s="91">
        <v>0.45</v>
      </c>
      <c r="U71" s="91">
        <v>0.45</v>
      </c>
      <c r="V71" s="91">
        <v>0.45</v>
      </c>
      <c r="W71" s="91">
        <v>0.45</v>
      </c>
      <c r="X71" s="91">
        <v>0.45</v>
      </c>
      <c r="Y71" s="618">
        <v>0.45</v>
      </c>
    </row>
    <row r="73" spans="1:25">
      <c r="A73" s="28" t="s">
        <v>54</v>
      </c>
      <c r="B73" s="47">
        <f>+B57/B58</f>
        <v>48269</v>
      </c>
      <c r="C73" s="47">
        <f t="shared" ref="C73:Y73" si="29">+C57/C58</f>
        <v>39776</v>
      </c>
      <c r="D73" s="47">
        <f t="shared" si="29"/>
        <v>32198</v>
      </c>
      <c r="E73" s="47">
        <f t="shared" si="29"/>
        <v>31066.000000000004</v>
      </c>
      <c r="F73" s="47">
        <f t="shared" si="29"/>
        <v>27273</v>
      </c>
      <c r="G73" s="47">
        <f t="shared" si="29"/>
        <v>31258</v>
      </c>
      <c r="H73" s="47">
        <f t="shared" si="29"/>
        <v>29179.999999999996</v>
      </c>
      <c r="I73" s="47">
        <f t="shared" si="29"/>
        <v>35633</v>
      </c>
      <c r="J73" s="47">
        <f t="shared" si="29"/>
        <v>30419.000000000004</v>
      </c>
      <c r="K73" s="47">
        <f t="shared" si="29"/>
        <v>52946.938775510207</v>
      </c>
      <c r="L73" s="47">
        <f t="shared" si="29"/>
        <v>37987.156763493433</v>
      </c>
      <c r="M73" s="92">
        <f t="shared" si="29"/>
        <v>38793.931415597006</v>
      </c>
      <c r="N73" s="47">
        <f>+N57/N58</f>
        <v>27249.23076923077</v>
      </c>
      <c r="O73" s="47">
        <f t="shared" si="29"/>
        <v>27249.23076923077</v>
      </c>
      <c r="P73" s="47">
        <f t="shared" si="29"/>
        <v>27249.23076923077</v>
      </c>
      <c r="Q73" s="47">
        <f t="shared" si="29"/>
        <v>34440</v>
      </c>
      <c r="R73" s="47">
        <f t="shared" si="29"/>
        <v>34440</v>
      </c>
      <c r="S73" s="47">
        <f t="shared" si="29"/>
        <v>34440</v>
      </c>
      <c r="T73" s="47">
        <f t="shared" si="29"/>
        <v>53125</v>
      </c>
      <c r="U73" s="47">
        <f t="shared" si="29"/>
        <v>53125</v>
      </c>
      <c r="V73" s="47">
        <f t="shared" si="29"/>
        <v>53125</v>
      </c>
      <c r="W73" s="47">
        <f t="shared" si="29"/>
        <v>77272.727272727265</v>
      </c>
      <c r="X73" s="47">
        <f t="shared" si="29"/>
        <v>77272.727272727265</v>
      </c>
      <c r="Y73" s="92">
        <f t="shared" si="29"/>
        <v>77272.727272727265</v>
      </c>
    </row>
    <row r="74" spans="1:25">
      <c r="A74" s="52"/>
      <c r="B74" s="53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4"/>
    </row>
    <row r="75" spans="1:25">
      <c r="A75" s="55" t="s">
        <v>55</v>
      </c>
      <c r="B75" s="56">
        <f t="shared" ref="B75:M75" si="30">+B73*B60</f>
        <v>778.00000000000011</v>
      </c>
      <c r="C75" s="56">
        <f t="shared" si="30"/>
        <v>684</v>
      </c>
      <c r="D75" s="56">
        <f t="shared" si="30"/>
        <v>707</v>
      </c>
      <c r="E75" s="56">
        <f t="shared" si="30"/>
        <v>620.00000000000011</v>
      </c>
      <c r="F75" s="56">
        <f t="shared" si="30"/>
        <v>631</v>
      </c>
      <c r="G75" s="56">
        <f t="shared" si="30"/>
        <v>707</v>
      </c>
      <c r="H75" s="56">
        <f t="shared" si="30"/>
        <v>778.99999999999989</v>
      </c>
      <c r="I75" s="56">
        <f t="shared" si="30"/>
        <v>889</v>
      </c>
      <c r="J75" s="56">
        <f t="shared" si="30"/>
        <v>791.00000000000011</v>
      </c>
      <c r="K75" s="56">
        <f t="shared" si="30"/>
        <v>942.45551020408163</v>
      </c>
      <c r="L75" s="56">
        <f t="shared" si="30"/>
        <v>870.56772866036761</v>
      </c>
      <c r="M75" s="60">
        <f t="shared" si="30"/>
        <v>862.78876807058282</v>
      </c>
      <c r="N75" s="56">
        <f>+N73*N60</f>
        <v>490.4861538461538</v>
      </c>
      <c r="O75" s="56">
        <f t="shared" ref="O75:Y75" si="31">+O73*O60</f>
        <v>490.4861538461538</v>
      </c>
      <c r="P75" s="56">
        <f t="shared" si="31"/>
        <v>490.4861538461538</v>
      </c>
      <c r="Q75" s="56">
        <f t="shared" si="31"/>
        <v>688.80000000000007</v>
      </c>
      <c r="R75" s="56">
        <f t="shared" si="31"/>
        <v>688.80000000000007</v>
      </c>
      <c r="S75" s="56">
        <f t="shared" si="31"/>
        <v>688.80000000000007</v>
      </c>
      <c r="T75" s="56">
        <f t="shared" si="31"/>
        <v>1328.125</v>
      </c>
      <c r="U75" s="56">
        <f t="shared" si="31"/>
        <v>1328.125</v>
      </c>
      <c r="V75" s="56">
        <f t="shared" si="31"/>
        <v>1328.125</v>
      </c>
      <c r="W75" s="56">
        <f t="shared" si="31"/>
        <v>1931.8181818181818</v>
      </c>
      <c r="X75" s="56">
        <f t="shared" si="31"/>
        <v>1931.8181818181818</v>
      </c>
      <c r="Y75" s="60">
        <f t="shared" si="31"/>
        <v>1931.8181818181818</v>
      </c>
    </row>
    <row r="76" spans="1:25">
      <c r="A76" s="61" t="s">
        <v>56</v>
      </c>
      <c r="B76" s="620">
        <f>B75-B77</f>
        <v>483.00000000000011</v>
      </c>
      <c r="C76" s="620">
        <f t="shared" ref="C76:M76" si="32">C75-C77</f>
        <v>402</v>
      </c>
      <c r="D76" s="620">
        <f t="shared" si="32"/>
        <v>404</v>
      </c>
      <c r="E76" s="620">
        <f t="shared" si="32"/>
        <v>371.00000000000011</v>
      </c>
      <c r="F76" s="620">
        <f t="shared" si="32"/>
        <v>348</v>
      </c>
      <c r="G76" s="620">
        <f t="shared" si="32"/>
        <v>360</v>
      </c>
      <c r="H76" s="620">
        <f t="shared" si="32"/>
        <v>429.99999999999989</v>
      </c>
      <c r="I76" s="620">
        <f t="shared" si="32"/>
        <v>533</v>
      </c>
      <c r="J76" s="620">
        <f t="shared" si="32"/>
        <v>479.00000000000011</v>
      </c>
      <c r="K76" s="620">
        <f t="shared" si="32"/>
        <v>579.45551020408163</v>
      </c>
      <c r="L76" s="620">
        <f t="shared" si="32"/>
        <v>526.90106199370098</v>
      </c>
      <c r="M76" s="621">
        <f t="shared" si="32"/>
        <v>523.23321251502716</v>
      </c>
      <c r="N76" s="83">
        <v>0.6</v>
      </c>
      <c r="O76" s="83">
        <v>0.6</v>
      </c>
      <c r="P76" s="83">
        <v>0.6</v>
      </c>
      <c r="Q76" s="83">
        <v>0.6</v>
      </c>
      <c r="R76" s="83">
        <v>0.6</v>
      </c>
      <c r="S76" s="83">
        <v>0.6</v>
      </c>
      <c r="T76" s="83">
        <v>0.6</v>
      </c>
      <c r="U76" s="83">
        <v>0.6</v>
      </c>
      <c r="V76" s="83">
        <v>0.6</v>
      </c>
      <c r="W76" s="83">
        <v>0.6</v>
      </c>
      <c r="X76" s="83">
        <v>0.6</v>
      </c>
      <c r="Y76" s="83">
        <v>0.6</v>
      </c>
    </row>
    <row r="77" spans="1:25">
      <c r="A77" s="61" t="s">
        <v>57</v>
      </c>
      <c r="B77" s="622">
        <v>295</v>
      </c>
      <c r="C77" s="623">
        <v>282</v>
      </c>
      <c r="D77" s="623">
        <v>303</v>
      </c>
      <c r="E77" s="623">
        <v>249</v>
      </c>
      <c r="F77" s="623">
        <v>283</v>
      </c>
      <c r="G77" s="623">
        <v>347</v>
      </c>
      <c r="H77" s="623">
        <v>349</v>
      </c>
      <c r="I77" s="623">
        <v>356</v>
      </c>
      <c r="J77" s="623">
        <v>312</v>
      </c>
      <c r="K77" s="624">
        <v>363</v>
      </c>
      <c r="L77" s="141">
        <f>+AVERAGE(I77:K77)</f>
        <v>343.66666666666669</v>
      </c>
      <c r="M77" s="625">
        <f>+AVERAGE(J77:L77)</f>
        <v>339.5555555555556</v>
      </c>
      <c r="N77" s="83">
        <v>0.4</v>
      </c>
      <c r="O77" s="83">
        <v>0.4</v>
      </c>
      <c r="P77" s="83">
        <v>0.4</v>
      </c>
      <c r="Q77" s="83">
        <v>0.4</v>
      </c>
      <c r="R77" s="83">
        <v>0.4</v>
      </c>
      <c r="S77" s="83">
        <v>0.4</v>
      </c>
      <c r="T77" s="83">
        <v>0.4</v>
      </c>
      <c r="U77" s="83">
        <v>0.4</v>
      </c>
      <c r="V77" s="83">
        <v>0.4</v>
      </c>
      <c r="W77" s="83">
        <v>0.4</v>
      </c>
      <c r="X77" s="83">
        <v>0.4</v>
      </c>
      <c r="Y77" s="83">
        <v>0.4</v>
      </c>
    </row>
    <row r="78" spans="1:25">
      <c r="A78" s="62"/>
      <c r="B78" s="47"/>
      <c r="C78" s="63"/>
      <c r="D78" s="63"/>
      <c r="E78" s="63"/>
      <c r="F78" s="63"/>
      <c r="G78" s="63"/>
      <c r="H78" s="63"/>
      <c r="I78" s="63"/>
      <c r="J78" s="63"/>
      <c r="K78" s="63"/>
      <c r="L78" s="63"/>
      <c r="M78" s="93"/>
    </row>
    <row r="79" spans="1:25">
      <c r="A79" s="67" t="s">
        <v>58</v>
      </c>
      <c r="B79" s="68">
        <f t="shared" ref="B79:Y79" si="33">+B57/B75</f>
        <v>25.673508997429305</v>
      </c>
      <c r="C79" s="68">
        <f t="shared" si="33"/>
        <v>27.422046785087719</v>
      </c>
      <c r="D79" s="68">
        <f t="shared" si="33"/>
        <v>25.61831683168317</v>
      </c>
      <c r="E79" s="68">
        <f t="shared" si="33"/>
        <v>29.507290322580641</v>
      </c>
      <c r="F79" s="68">
        <f t="shared" si="33"/>
        <v>21.879635499207609</v>
      </c>
      <c r="G79" s="68">
        <f t="shared" si="33"/>
        <v>23.627468175388962</v>
      </c>
      <c r="H79" s="68">
        <f t="shared" si="33"/>
        <v>22.973273427471117</v>
      </c>
      <c r="I79" s="68">
        <f t="shared" si="33"/>
        <v>25.988571429696286</v>
      </c>
      <c r="J79" s="68">
        <f t="shared" si="33"/>
        <v>29.491581079646004</v>
      </c>
      <c r="K79" s="68">
        <f t="shared" si="33"/>
        <v>27.528089887640448</v>
      </c>
      <c r="L79" s="68">
        <f t="shared" si="33"/>
        <v>27.712062007464148</v>
      </c>
      <c r="M79" s="69">
        <f t="shared" si="33"/>
        <v>28.356522565180505</v>
      </c>
      <c r="N79" s="68">
        <f t="shared" si="33"/>
        <v>36.111111111111114</v>
      </c>
      <c r="O79" s="68">
        <f t="shared" si="33"/>
        <v>36.111111111111114</v>
      </c>
      <c r="P79" s="68">
        <f t="shared" si="33"/>
        <v>36.111111111111114</v>
      </c>
      <c r="Q79" s="68">
        <f t="shared" si="33"/>
        <v>29.999999999999996</v>
      </c>
      <c r="R79" s="68">
        <f t="shared" si="33"/>
        <v>29.999999999999996</v>
      </c>
      <c r="S79" s="68">
        <f t="shared" si="33"/>
        <v>29.999999999999996</v>
      </c>
      <c r="T79" s="68">
        <f t="shared" si="33"/>
        <v>24</v>
      </c>
      <c r="U79" s="68">
        <f t="shared" si="33"/>
        <v>24</v>
      </c>
      <c r="V79" s="68">
        <f t="shared" si="33"/>
        <v>24</v>
      </c>
      <c r="W79" s="68">
        <f t="shared" si="33"/>
        <v>22</v>
      </c>
      <c r="X79" s="68">
        <f t="shared" si="33"/>
        <v>22</v>
      </c>
      <c r="Y79" s="69">
        <f t="shared" si="33"/>
        <v>22</v>
      </c>
    </row>
    <row r="80" spans="1:25">
      <c r="A80" s="67" t="s">
        <v>59</v>
      </c>
      <c r="B80" s="68">
        <f t="shared" ref="B80:Y80" si="34">+B61/B79</f>
        <v>1.7517456452115976</v>
      </c>
      <c r="C80" s="68">
        <f t="shared" si="34"/>
        <v>1.5332020378055604</v>
      </c>
      <c r="D80" s="68">
        <f t="shared" si="34"/>
        <v>1.5559698876168759</v>
      </c>
      <c r="E80" s="68">
        <f t="shared" si="34"/>
        <v>1.3644020176533742</v>
      </c>
      <c r="F80" s="68">
        <f t="shared" si="34"/>
        <v>1.6856689639686946</v>
      </c>
      <c r="G80" s="68">
        <f t="shared" si="34"/>
        <v>1.4277774651563462</v>
      </c>
      <c r="H80" s="68">
        <f t="shared" si="34"/>
        <v>1.5941681409105186</v>
      </c>
      <c r="I80" s="68">
        <f t="shared" si="34"/>
        <v>1.4237763072535223</v>
      </c>
      <c r="J80" s="68">
        <f t="shared" si="34"/>
        <v>1.2523430890307246</v>
      </c>
      <c r="K80" s="68">
        <f t="shared" si="34"/>
        <v>1.5620408163265307</v>
      </c>
      <c r="L80" s="68">
        <f t="shared" si="34"/>
        <v>1.406553458913248</v>
      </c>
      <c r="M80" s="69">
        <f t="shared" si="34"/>
        <v>1.3978215434863812</v>
      </c>
      <c r="N80" s="68">
        <f t="shared" si="34"/>
        <v>1.1076923076923075</v>
      </c>
      <c r="O80" s="68">
        <f t="shared" si="34"/>
        <v>1.1076923076923075</v>
      </c>
      <c r="P80" s="68">
        <f t="shared" si="34"/>
        <v>1.1076923076923075</v>
      </c>
      <c r="Q80" s="68">
        <f t="shared" si="34"/>
        <v>1.5000000000000002</v>
      </c>
      <c r="R80" s="68">
        <f t="shared" si="34"/>
        <v>1.5000000000000002</v>
      </c>
      <c r="S80" s="68">
        <f t="shared" si="34"/>
        <v>1.5000000000000002</v>
      </c>
      <c r="T80" s="68">
        <f t="shared" si="34"/>
        <v>1.875</v>
      </c>
      <c r="U80" s="68">
        <f t="shared" si="34"/>
        <v>1.875</v>
      </c>
      <c r="V80" s="68">
        <f t="shared" si="34"/>
        <v>1.875</v>
      </c>
      <c r="W80" s="68">
        <f t="shared" si="34"/>
        <v>2.1818181818181817</v>
      </c>
      <c r="X80" s="68">
        <f t="shared" si="34"/>
        <v>2.1818181818181817</v>
      </c>
      <c r="Y80" s="69">
        <f t="shared" si="34"/>
        <v>2.1818181818181817</v>
      </c>
    </row>
    <row r="81" spans="1:25">
      <c r="A81" s="52"/>
      <c r="B81" s="53"/>
      <c r="C81" s="52"/>
      <c r="D81" s="52"/>
      <c r="E81" s="52"/>
      <c r="F81" s="52"/>
      <c r="G81" s="52"/>
      <c r="H81" s="52"/>
      <c r="I81" s="52"/>
      <c r="J81" s="52"/>
      <c r="K81" s="52"/>
      <c r="L81" s="52"/>
      <c r="M81" s="54"/>
    </row>
    <row r="82" spans="1:25">
      <c r="A82" s="55" t="s">
        <v>60</v>
      </c>
      <c r="B82" s="70">
        <f>(B62*B76)+(B63*B77)</f>
        <v>34713.052606263998</v>
      </c>
      <c r="C82" s="70">
        <f t="shared" ref="C82:M82" si="35">(C62*C76)+(C63*C77)</f>
        <v>28669.991036210391</v>
      </c>
      <c r="D82" s="70">
        <f t="shared" si="35"/>
        <v>28110.589072351424</v>
      </c>
      <c r="E82" s="70">
        <f t="shared" si="35"/>
        <v>24997.414700732101</v>
      </c>
      <c r="F82" s="70">
        <f t="shared" si="35"/>
        <v>23413.160253974813</v>
      </c>
      <c r="G82" s="70">
        <f t="shared" si="35"/>
        <v>24043.945507796863</v>
      </c>
      <c r="H82" s="70">
        <f t="shared" si="35"/>
        <v>27373.754670446135</v>
      </c>
      <c r="I82" s="70">
        <f t="shared" si="35"/>
        <v>33098.874294670844</v>
      </c>
      <c r="J82" s="70">
        <f t="shared" si="35"/>
        <v>29077.619271620762</v>
      </c>
      <c r="K82" s="70">
        <f t="shared" si="35"/>
        <v>39974.003823253101</v>
      </c>
      <c r="L82" s="70">
        <f t="shared" si="35"/>
        <v>33706.658971198223</v>
      </c>
      <c r="M82" s="71">
        <f t="shared" si="35"/>
        <v>33807.752812286963</v>
      </c>
      <c r="N82" s="70">
        <f>+N75*N61</f>
        <v>19619.446153846151</v>
      </c>
      <c r="O82" s="70">
        <f t="shared" ref="O82:Y82" si="36">+O75*O61</f>
        <v>19619.446153846151</v>
      </c>
      <c r="P82" s="70">
        <f t="shared" si="36"/>
        <v>19619.446153846151</v>
      </c>
      <c r="Q82" s="70">
        <f t="shared" si="36"/>
        <v>30996.000000000004</v>
      </c>
      <c r="R82" s="70">
        <f t="shared" si="36"/>
        <v>30996.000000000004</v>
      </c>
      <c r="S82" s="70">
        <f t="shared" si="36"/>
        <v>30996.000000000004</v>
      </c>
      <c r="T82" s="70">
        <f t="shared" si="36"/>
        <v>59765.625</v>
      </c>
      <c r="U82" s="70">
        <f t="shared" si="36"/>
        <v>59765.625</v>
      </c>
      <c r="V82" s="70">
        <f t="shared" si="36"/>
        <v>59765.625</v>
      </c>
      <c r="W82" s="70">
        <f t="shared" si="36"/>
        <v>92727.272727272721</v>
      </c>
      <c r="X82" s="70">
        <f t="shared" si="36"/>
        <v>92727.272727272721</v>
      </c>
      <c r="Y82" s="71">
        <f t="shared" si="36"/>
        <v>92727.272727272721</v>
      </c>
    </row>
    <row r="83" spans="1:25">
      <c r="A83" s="72" t="s">
        <v>56</v>
      </c>
      <c r="B83" s="70">
        <f>+(B62*B76)/12</f>
        <v>2620.9692449664444</v>
      </c>
      <c r="C83" s="70">
        <f>+(C62*C76)/12</f>
        <v>2135.7133905013202</v>
      </c>
      <c r="D83" s="70">
        <f t="shared" ref="D83:M83" si="37">+(D62*D76)/12</f>
        <v>2070.5252282515075</v>
      </c>
      <c r="E83" s="70">
        <f t="shared" si="37"/>
        <v>1858.9326685133894</v>
      </c>
      <c r="F83" s="70">
        <f t="shared" si="37"/>
        <v>1704.6833832335333</v>
      </c>
      <c r="G83" s="70">
        <f t="shared" si="37"/>
        <v>1709.5970674486805</v>
      </c>
      <c r="H83" s="70">
        <f t="shared" si="37"/>
        <v>1996.1116148531953</v>
      </c>
      <c r="I83" s="70">
        <f t="shared" si="37"/>
        <v>2468.5049999999997</v>
      </c>
      <c r="J83" s="70">
        <f t="shared" si="37"/>
        <v>2161.6566535874445</v>
      </c>
      <c r="K83" s="70">
        <f t="shared" si="37"/>
        <v>3015.3731425411211</v>
      </c>
      <c r="L83" s="70">
        <f t="shared" si="37"/>
        <v>2519.9919733300853</v>
      </c>
      <c r="M83" s="71">
        <f t="shared" si="37"/>
        <v>2528.8426067356686</v>
      </c>
      <c r="N83" s="70">
        <f>+(N75*N76*N62)/12</f>
        <v>1471.4584615384613</v>
      </c>
      <c r="O83" s="70">
        <f t="shared" ref="O83:Y83" si="38">+(O75*O76*O62)/12</f>
        <v>1471.4584615384613</v>
      </c>
      <c r="P83" s="70">
        <f t="shared" si="38"/>
        <v>1471.4584615384613</v>
      </c>
      <c r="Q83" s="70">
        <f t="shared" si="38"/>
        <v>2066.4</v>
      </c>
      <c r="R83" s="70">
        <f t="shared" si="38"/>
        <v>2066.4</v>
      </c>
      <c r="S83" s="70">
        <f t="shared" si="38"/>
        <v>2066.4</v>
      </c>
      <c r="T83" s="70">
        <f t="shared" si="38"/>
        <v>3984.375</v>
      </c>
      <c r="U83" s="70">
        <f t="shared" si="38"/>
        <v>3984.375</v>
      </c>
      <c r="V83" s="70">
        <f t="shared" si="38"/>
        <v>3984.375</v>
      </c>
      <c r="W83" s="70">
        <f t="shared" si="38"/>
        <v>5795.454545454545</v>
      </c>
      <c r="X83" s="70">
        <f t="shared" si="38"/>
        <v>5795.454545454545</v>
      </c>
      <c r="Y83" s="70">
        <f t="shared" si="38"/>
        <v>5795.454545454545</v>
      </c>
    </row>
    <row r="84" spans="1:25">
      <c r="A84" s="72" t="s">
        <v>57</v>
      </c>
      <c r="B84" s="70">
        <f>+B77*B63</f>
        <v>3261.4216666666675</v>
      </c>
      <c r="C84" s="70">
        <f>+C77*C63</f>
        <v>3041.4303501945524</v>
      </c>
      <c r="D84" s="70">
        <f t="shared" ref="D84:M84" si="39">+D77*D63</f>
        <v>3264.286333333333</v>
      </c>
      <c r="E84" s="70">
        <f t="shared" si="39"/>
        <v>2690.2226785714279</v>
      </c>
      <c r="F84" s="70">
        <f t="shared" si="39"/>
        <v>2956.9596551724135</v>
      </c>
      <c r="G84" s="70">
        <f t="shared" si="39"/>
        <v>3528.7806984126992</v>
      </c>
      <c r="H84" s="70">
        <f t="shared" si="39"/>
        <v>3420.4152922077915</v>
      </c>
      <c r="I84" s="70">
        <f t="shared" si="39"/>
        <v>3476.8142946708463</v>
      </c>
      <c r="J84" s="70">
        <f t="shared" si="39"/>
        <v>3137.7394285714295</v>
      </c>
      <c r="K84" s="70">
        <f t="shared" si="39"/>
        <v>3789.5261127596436</v>
      </c>
      <c r="L84" s="70">
        <f t="shared" si="39"/>
        <v>3466.755291237203</v>
      </c>
      <c r="M84" s="71">
        <f t="shared" si="39"/>
        <v>3461.6415314589403</v>
      </c>
      <c r="N84" s="70">
        <f>N75*N77*N63</f>
        <v>2158.1390769230766</v>
      </c>
      <c r="O84" s="70">
        <f t="shared" ref="O84:Y84" si="40">O75*O77*O63</f>
        <v>2158.1390769230766</v>
      </c>
      <c r="P84" s="70">
        <f t="shared" si="40"/>
        <v>2158.1390769230766</v>
      </c>
      <c r="Q84" s="70">
        <f t="shared" si="40"/>
        <v>3030.7200000000003</v>
      </c>
      <c r="R84" s="70">
        <f t="shared" si="40"/>
        <v>3030.7200000000003</v>
      </c>
      <c r="S84" s="70">
        <f t="shared" si="40"/>
        <v>3030.7200000000003</v>
      </c>
      <c r="T84" s="70">
        <f t="shared" si="40"/>
        <v>5843.75</v>
      </c>
      <c r="U84" s="70">
        <f t="shared" si="40"/>
        <v>5843.75</v>
      </c>
      <c r="V84" s="70">
        <f t="shared" si="40"/>
        <v>5843.75</v>
      </c>
      <c r="W84" s="70">
        <f t="shared" si="40"/>
        <v>8500</v>
      </c>
      <c r="X84" s="70">
        <f t="shared" si="40"/>
        <v>8500</v>
      </c>
      <c r="Y84" s="70">
        <f t="shared" si="40"/>
        <v>8500</v>
      </c>
    </row>
    <row r="85" spans="1:25">
      <c r="A85" s="73" t="s">
        <v>61</v>
      </c>
      <c r="B85" s="74">
        <f>+B83+B84</f>
        <v>5882.3909116331124</v>
      </c>
      <c r="C85" s="74">
        <f t="shared" ref="C85:M85" si="41">+C83+C84</f>
        <v>5177.1437406958721</v>
      </c>
      <c r="D85" s="74">
        <f t="shared" si="41"/>
        <v>5334.8115615848401</v>
      </c>
      <c r="E85" s="74">
        <f t="shared" si="41"/>
        <v>4549.1553470848175</v>
      </c>
      <c r="F85" s="74">
        <f t="shared" si="41"/>
        <v>4661.6430384059468</v>
      </c>
      <c r="G85" s="74">
        <f t="shared" si="41"/>
        <v>5238.3777658613799</v>
      </c>
      <c r="H85" s="74">
        <f t="shared" si="41"/>
        <v>5416.5269070609866</v>
      </c>
      <c r="I85" s="74">
        <f t="shared" si="41"/>
        <v>5945.3192946708459</v>
      </c>
      <c r="J85" s="74">
        <f t="shared" si="41"/>
        <v>5299.3960821588735</v>
      </c>
      <c r="K85" s="74">
        <f t="shared" si="41"/>
        <v>6804.8992553007647</v>
      </c>
      <c r="L85" s="74">
        <f t="shared" si="41"/>
        <v>5986.7472645672879</v>
      </c>
      <c r="M85" s="75">
        <f t="shared" si="41"/>
        <v>5990.4841381946089</v>
      </c>
      <c r="N85" s="74">
        <f t="shared" ref="N85:Y85" si="42">+N83+N84</f>
        <v>3629.5975384615376</v>
      </c>
      <c r="O85" s="74">
        <f t="shared" si="42"/>
        <v>3629.5975384615376</v>
      </c>
      <c r="P85" s="74">
        <f t="shared" si="42"/>
        <v>3629.5975384615376</v>
      </c>
      <c r="Q85" s="74">
        <f t="shared" si="42"/>
        <v>5097.1200000000008</v>
      </c>
      <c r="R85" s="74">
        <f t="shared" si="42"/>
        <v>5097.1200000000008</v>
      </c>
      <c r="S85" s="74">
        <f t="shared" si="42"/>
        <v>5097.1200000000008</v>
      </c>
      <c r="T85" s="74">
        <f t="shared" si="42"/>
        <v>9828.125</v>
      </c>
      <c r="U85" s="74">
        <f t="shared" si="42"/>
        <v>9828.125</v>
      </c>
      <c r="V85" s="74">
        <f t="shared" si="42"/>
        <v>9828.125</v>
      </c>
      <c r="W85" s="74">
        <f t="shared" si="42"/>
        <v>14295.454545454544</v>
      </c>
      <c r="X85" s="74">
        <f t="shared" si="42"/>
        <v>14295.454545454544</v>
      </c>
      <c r="Y85" s="75">
        <f t="shared" si="42"/>
        <v>14295.454545454544</v>
      </c>
    </row>
    <row r="86" spans="1:25">
      <c r="A86" s="52"/>
      <c r="B86" s="53"/>
      <c r="C86" s="52"/>
      <c r="D86" s="52"/>
      <c r="E86" s="52"/>
      <c r="F86" s="52"/>
      <c r="G86" s="52"/>
      <c r="H86" s="52"/>
      <c r="I86" s="52"/>
      <c r="J86" s="52"/>
      <c r="K86" s="52"/>
      <c r="L86" s="52"/>
      <c r="M86" s="54"/>
    </row>
    <row r="87" spans="1:25">
      <c r="A87" s="55" t="s">
        <v>62</v>
      </c>
      <c r="B87" s="76"/>
      <c r="C87" s="76"/>
      <c r="D87" s="76"/>
      <c r="E87" s="76"/>
      <c r="F87" s="76"/>
      <c r="G87" s="76"/>
      <c r="H87" s="76"/>
      <c r="I87" s="76"/>
      <c r="J87" s="76"/>
      <c r="K87" s="76"/>
      <c r="L87" s="76"/>
      <c r="M87" s="77"/>
      <c r="N87" s="76">
        <f>+((M77)*(1-N71))+((M90*M91)*(1-N69))</f>
        <v>747.5774984812399</v>
      </c>
      <c r="O87" s="76">
        <f>+((N75*N77)*(1-O71))+((N90*N91)*(1-O69))</f>
        <v>448.78695444102431</v>
      </c>
      <c r="P87" s="76">
        <f t="shared" ref="P87:Y87" si="43">+((O75*O77)*(1-P71))+((O90*O91)*(1-P69))</f>
        <v>332.72041083207802</v>
      </c>
      <c r="Q87" s="76">
        <f t="shared" si="43"/>
        <v>282.47212281102287</v>
      </c>
      <c r="R87" s="76">
        <f t="shared" si="43"/>
        <v>306.99213676746717</v>
      </c>
      <c r="S87" s="76">
        <f t="shared" si="43"/>
        <v>325.63857680400986</v>
      </c>
      <c r="T87" s="76">
        <f t="shared" si="43"/>
        <v>319.30206569604547</v>
      </c>
      <c r="U87" s="76">
        <f t="shared" si="43"/>
        <v>463.26282155713295</v>
      </c>
      <c r="V87" s="76">
        <f t="shared" si="43"/>
        <v>529.71692226919231</v>
      </c>
      <c r="W87" s="76">
        <f t="shared" si="43"/>
        <v>547.52034070689251</v>
      </c>
      <c r="X87" s="76">
        <f t="shared" si="43"/>
        <v>695.63242245818515</v>
      </c>
      <c r="Y87" s="76">
        <f t="shared" si="43"/>
        <v>753.53503724146492</v>
      </c>
    </row>
    <row r="88" spans="1:25">
      <c r="A88" s="55" t="s">
        <v>63</v>
      </c>
      <c r="B88" s="76"/>
      <c r="C88" s="76"/>
      <c r="D88" s="76"/>
      <c r="E88" s="76"/>
      <c r="F88" s="76"/>
      <c r="G88" s="76"/>
      <c r="H88" s="76"/>
      <c r="I88" s="76"/>
      <c r="J88" s="76"/>
      <c r="L88" s="76"/>
      <c r="M88" s="77"/>
      <c r="N88" s="76">
        <f>+((B76*(1-N70)+(B90*B92)*(1-N69)))</f>
        <v>259.781236952369</v>
      </c>
      <c r="O88" s="76">
        <f t="shared" ref="O88:Y88" si="44">+((C76*(1-O70)+(C90*C92)*(1-O69)))</f>
        <v>229.23014223323543</v>
      </c>
      <c r="P88" s="76">
        <f t="shared" si="44"/>
        <v>211.92412304036594</v>
      </c>
      <c r="Q88" s="76">
        <f t="shared" si="44"/>
        <v>220.68343972271234</v>
      </c>
      <c r="R88" s="76">
        <f t="shared" si="44"/>
        <v>267.51266044071127</v>
      </c>
      <c r="S88" s="76">
        <f t="shared" si="44"/>
        <v>191.26654528349442</v>
      </c>
      <c r="T88" s="76">
        <f t="shared" si="44"/>
        <v>223.68587353306276</v>
      </c>
      <c r="U88" s="76">
        <f t="shared" si="44"/>
        <v>266.03588510028476</v>
      </c>
      <c r="V88" s="76">
        <f t="shared" si="44"/>
        <v>215.31840330776066</v>
      </c>
      <c r="W88" s="76">
        <f t="shared" si="44"/>
        <v>259.31697148290039</v>
      </c>
      <c r="X88" s="76">
        <f t="shared" si="44"/>
        <v>245.78750788181591</v>
      </c>
      <c r="Y88" s="76">
        <f t="shared" si="44"/>
        <v>238.82522116746802</v>
      </c>
    </row>
    <row r="89" spans="1:25">
      <c r="A89" s="55"/>
      <c r="B89" s="53"/>
      <c r="C89" s="79"/>
      <c r="D89" s="79"/>
      <c r="E89" s="79"/>
      <c r="F89" s="79"/>
      <c r="G89" s="79"/>
      <c r="H89" s="79"/>
      <c r="I89" s="79"/>
      <c r="J89" s="79"/>
      <c r="K89" s="79"/>
      <c r="L89" s="79"/>
      <c r="M89" s="80"/>
    </row>
    <row r="90" spans="1:25">
      <c r="A90" s="55" t="s">
        <v>64</v>
      </c>
      <c r="B90" s="81">
        <v>575</v>
      </c>
      <c r="C90" s="81">
        <v>607</v>
      </c>
      <c r="D90" s="81">
        <v>652</v>
      </c>
      <c r="E90" s="81">
        <v>717</v>
      </c>
      <c r="F90" s="81">
        <v>776</v>
      </c>
      <c r="G90" s="81">
        <v>689</v>
      </c>
      <c r="H90" s="81">
        <v>718</v>
      </c>
      <c r="I90" s="81">
        <v>782</v>
      </c>
      <c r="J90" s="81">
        <v>749</v>
      </c>
      <c r="K90" s="94">
        <f>AVERAGE(H90:J90)</f>
        <v>749.66666666666663</v>
      </c>
      <c r="L90" s="94">
        <f>AVERAGE(I90:K90)</f>
        <v>760.22222222222217</v>
      </c>
      <c r="M90" s="58">
        <f>AVERAGE(J90:L90)</f>
        <v>752.96296296296293</v>
      </c>
      <c r="N90" s="82">
        <f>+N87*(1-N71)+N88*(1-N70)</f>
        <v>460.89784053245114</v>
      </c>
      <c r="O90" s="82">
        <f t="shared" ref="O90:Y90" si="45">+O87*(1-O71)+O88*(1-O70)</f>
        <v>303.45047028207267</v>
      </c>
      <c r="P90" s="82">
        <f t="shared" si="45"/>
        <v>235.33945063259722</v>
      </c>
      <c r="Q90" s="82">
        <f t="shared" si="45"/>
        <v>209.86635938334553</v>
      </c>
      <c r="R90" s="82">
        <f t="shared" si="45"/>
        <v>234.91873518317522</v>
      </c>
      <c r="S90" s="82">
        <f t="shared" si="45"/>
        <v>226.34221845030925</v>
      </c>
      <c r="T90" s="82">
        <f t="shared" si="45"/>
        <v>230.86440030860442</v>
      </c>
      <c r="U90" s="82">
        <f t="shared" si="45"/>
        <v>320.50286248018421</v>
      </c>
      <c r="V90" s="82">
        <f t="shared" si="45"/>
        <v>344.52588657606748</v>
      </c>
      <c r="W90" s="82">
        <f t="shared" si="45"/>
        <v>365.1849908266741</v>
      </c>
      <c r="X90" s="82">
        <f t="shared" si="45"/>
        <v>443.30498811503168</v>
      </c>
      <c r="Y90" s="361">
        <f t="shared" si="45"/>
        <v>473.43180824052166</v>
      </c>
    </row>
    <row r="91" spans="1:25">
      <c r="A91" s="52" t="s">
        <v>65</v>
      </c>
      <c r="B91" s="83">
        <v>0.67304347826086952</v>
      </c>
      <c r="C91" s="83">
        <v>0.76276771004942334</v>
      </c>
      <c r="D91" s="83">
        <v>0.80674846625766872</v>
      </c>
      <c r="E91" s="83">
        <v>0.79776847977684795</v>
      </c>
      <c r="F91" s="83">
        <v>0.73840206185567014</v>
      </c>
      <c r="G91" s="83">
        <v>0.83309143686502174</v>
      </c>
      <c r="H91" s="83">
        <v>0.81894150417827294</v>
      </c>
      <c r="I91" s="83">
        <v>0.80690537084398972</v>
      </c>
      <c r="J91" s="83">
        <v>0.85447263017356478</v>
      </c>
      <c r="K91" s="83">
        <f t="shared" ref="K91:Y92" si="46">+AVERAGE(H91:J91)</f>
        <v>0.82677316839860915</v>
      </c>
      <c r="L91" s="83">
        <f t="shared" si="46"/>
        <v>0.82938372313872122</v>
      </c>
      <c r="M91" s="84">
        <f t="shared" si="46"/>
        <v>0.83687650723696505</v>
      </c>
      <c r="N91" s="83">
        <f t="shared" si="46"/>
        <v>0.83101113292476514</v>
      </c>
      <c r="O91" s="83">
        <f t="shared" si="46"/>
        <v>0.83242378776681714</v>
      </c>
      <c r="P91" s="83">
        <f t="shared" si="46"/>
        <v>0.83343714264284907</v>
      </c>
      <c r="Q91" s="83">
        <f t="shared" si="46"/>
        <v>0.83229068777814375</v>
      </c>
      <c r="R91" s="83">
        <f t="shared" si="46"/>
        <v>0.83271720606260324</v>
      </c>
      <c r="S91" s="83">
        <f t="shared" si="46"/>
        <v>0.83281501216119869</v>
      </c>
      <c r="T91" s="83">
        <f t="shared" si="46"/>
        <v>0.83260763533398185</v>
      </c>
      <c r="U91" s="83">
        <f t="shared" si="46"/>
        <v>0.83271328451926119</v>
      </c>
      <c r="V91" s="83">
        <f t="shared" si="46"/>
        <v>0.83271197733814717</v>
      </c>
      <c r="W91" s="83">
        <f t="shared" si="46"/>
        <v>0.83267763239713011</v>
      </c>
      <c r="X91" s="83">
        <f t="shared" si="46"/>
        <v>0.83270096475151278</v>
      </c>
      <c r="Y91" s="84">
        <f t="shared" si="46"/>
        <v>0.83269685816226335</v>
      </c>
    </row>
    <row r="92" spans="1:25">
      <c r="A92" s="52" t="s">
        <v>66</v>
      </c>
      <c r="B92" s="83">
        <v>0.32695652173913042</v>
      </c>
      <c r="C92" s="83">
        <v>0.24052718286655683</v>
      </c>
      <c r="D92" s="83">
        <v>0.19325153374233128</v>
      </c>
      <c r="E92" s="83">
        <v>0.20223152022315202</v>
      </c>
      <c r="F92" s="83">
        <v>0.26288659793814434</v>
      </c>
      <c r="G92" s="83">
        <v>0.16690856313497823</v>
      </c>
      <c r="H92" s="83">
        <v>0.18384401114206128</v>
      </c>
      <c r="I92" s="83">
        <v>0.19309462915601022</v>
      </c>
      <c r="J92" s="83">
        <v>0.14552736982643524</v>
      </c>
      <c r="K92" s="83">
        <f t="shared" si="46"/>
        <v>0.17415533670816893</v>
      </c>
      <c r="L92" s="83">
        <f t="shared" si="46"/>
        <v>0.17092577856353816</v>
      </c>
      <c r="M92" s="84">
        <f t="shared" si="46"/>
        <v>0.16353616169938079</v>
      </c>
      <c r="N92" s="83">
        <f t="shared" si="46"/>
        <v>0.16953909232369599</v>
      </c>
      <c r="O92" s="83">
        <f t="shared" si="46"/>
        <v>0.16800034419553833</v>
      </c>
      <c r="P92" s="83">
        <f t="shared" si="46"/>
        <v>0.16702519940620505</v>
      </c>
      <c r="Q92" s="83">
        <f t="shared" si="46"/>
        <v>0.16818821197514647</v>
      </c>
      <c r="R92" s="83">
        <f t="shared" si="46"/>
        <v>0.16773791852562994</v>
      </c>
      <c r="S92" s="83">
        <f t="shared" si="46"/>
        <v>0.16765044330232715</v>
      </c>
      <c r="T92" s="83">
        <f t="shared" si="46"/>
        <v>0.16785885793436783</v>
      </c>
      <c r="U92" s="83">
        <f t="shared" si="46"/>
        <v>0.16774907325410829</v>
      </c>
      <c r="V92" s="83">
        <f t="shared" si="46"/>
        <v>0.16775279149693442</v>
      </c>
      <c r="W92" s="83">
        <f t="shared" si="46"/>
        <v>0.16778690756180351</v>
      </c>
      <c r="X92" s="83">
        <f t="shared" si="46"/>
        <v>0.16776292410428206</v>
      </c>
      <c r="Y92" s="84">
        <f t="shared" si="46"/>
        <v>0.16776754105434</v>
      </c>
    </row>
    <row r="93" spans="1:25">
      <c r="A93" s="55"/>
      <c r="B93" s="53"/>
      <c r="C93" s="79"/>
      <c r="D93" s="79"/>
      <c r="E93" s="79"/>
      <c r="F93" s="79"/>
      <c r="G93" s="79"/>
      <c r="H93" s="79"/>
      <c r="I93" s="79"/>
      <c r="J93" s="79"/>
      <c r="K93" s="79"/>
      <c r="L93" s="79"/>
      <c r="M93" s="80"/>
    </row>
    <row r="94" spans="1:25">
      <c r="A94" s="55" t="s">
        <v>67</v>
      </c>
      <c r="B94" s="85">
        <v>14169.06</v>
      </c>
      <c r="C94" s="85">
        <v>12790.190000000002</v>
      </c>
      <c r="D94" s="85">
        <v>12450.03</v>
      </c>
      <c r="E94" s="85">
        <v>13470.029999999999</v>
      </c>
      <c r="F94" s="85">
        <v>17221.86</v>
      </c>
      <c r="G94" s="85">
        <v>11919.02</v>
      </c>
      <c r="H94" s="85">
        <v>12302.43</v>
      </c>
      <c r="I94" s="85">
        <v>13753.57</v>
      </c>
      <c r="J94" s="85">
        <v>12183</v>
      </c>
      <c r="K94" s="630">
        <f>+AVERAGE(H94:J94)</f>
        <v>12746.333333333334</v>
      </c>
      <c r="L94" s="630">
        <f>+AVERAGE(I94:K94)</f>
        <v>12894.301111111112</v>
      </c>
      <c r="M94" s="631">
        <f>+AVERAGE(J94:L94)</f>
        <v>12607.878148148149</v>
      </c>
      <c r="N94" s="74">
        <f>((N90*N91)*Supuestos!$M$15)+((N90*N92)*Supuestos!$M$14)</f>
        <v>8239.762196061929</v>
      </c>
      <c r="O94" s="74">
        <f>((O90*O91)*Supuestos!$M$15)+((O90*O92)*Supuestos!$M$14)</f>
        <v>5404.3314851482064</v>
      </c>
      <c r="P94" s="74">
        <f>((P90*P91)*Supuestos!$M$15)+((P90*P92)*Supuestos!$M$14)</f>
        <v>4181.4475511280471</v>
      </c>
      <c r="Q94" s="74">
        <f>((Q90*Q91)*Supuestos!$M$15)+((Q90*Q92)*Supuestos!$M$14)</f>
        <v>3739.4660395506871</v>
      </c>
      <c r="R94" s="74">
        <f>((R90*R91)*Supuestos!$M$15)+((R90*R92)*Supuestos!$M$14)</f>
        <v>4181.2127967741526</v>
      </c>
      <c r="S94" s="74">
        <f>((S90*S91)*Supuestos!$M$15)+((S90*S92)*Supuestos!$M$14)</f>
        <v>4027.7295273065315</v>
      </c>
      <c r="T94" s="74">
        <f>((T90*T91)*Supuestos!$M$15)+((T90*T92)*Supuestos!$M$14)</f>
        <v>4110.2895086988729</v>
      </c>
      <c r="U94" s="74">
        <f>((U90*U91)*Supuestos!$M$15)+((U90*U92)*Supuestos!$M$14)</f>
        <v>5704.6655218323613</v>
      </c>
      <c r="V94" s="74">
        <f>((V90*V91)*Supuestos!$M$15)+((V90*V92)*Supuestos!$M$14)</f>
        <v>6132.3182305799946</v>
      </c>
      <c r="W94" s="74">
        <f>((W90*W91)*Supuestos!$M$15)+((W90*W92)*Supuestos!$M$14)</f>
        <v>6500.5749540393454</v>
      </c>
      <c r="X94" s="74">
        <f>((X90*X91)*Supuestos!$M$15)+((X90*X92)*Supuestos!$M$14)</f>
        <v>7890.7073155000144</v>
      </c>
      <c r="Y94" s="75">
        <f>((Y90*Y91)*Supuestos!$M$15)+((Y90*Y92)*Supuestos!$M$14)</f>
        <v>8427.0537571790192</v>
      </c>
    </row>
    <row r="96" spans="1:25">
      <c r="A96" t="s">
        <v>68</v>
      </c>
      <c r="B96" s="12">
        <f>+B82+B94</f>
        <v>48882.112606263996</v>
      </c>
      <c r="C96" s="12">
        <f>+C82+C94</f>
        <v>41460.181036210393</v>
      </c>
      <c r="D96" s="12">
        <f>+D82+D94</f>
        <v>40560.619072351423</v>
      </c>
      <c r="E96" s="12">
        <f>+E82+E94</f>
        <v>38467.4447007321</v>
      </c>
      <c r="F96" s="12">
        <f t="shared" ref="F96:M96" si="47">+F82+F94</f>
        <v>40635.020253974813</v>
      </c>
      <c r="G96" s="12">
        <f t="shared" si="47"/>
        <v>35962.965507796864</v>
      </c>
      <c r="H96" s="12">
        <f t="shared" si="47"/>
        <v>39676.184670446135</v>
      </c>
      <c r="I96" s="12">
        <f t="shared" si="47"/>
        <v>46852.444294670844</v>
      </c>
      <c r="J96" s="12">
        <f t="shared" si="47"/>
        <v>41260.619271620759</v>
      </c>
      <c r="K96" s="549">
        <f t="shared" si="47"/>
        <v>52720.337156586436</v>
      </c>
      <c r="L96" s="12">
        <f t="shared" si="47"/>
        <v>46600.960082309335</v>
      </c>
      <c r="M96" s="32">
        <f t="shared" si="47"/>
        <v>46415.630960435112</v>
      </c>
      <c r="N96" s="12">
        <f>+N82+N94</f>
        <v>27859.20834990808</v>
      </c>
      <c r="O96" s="12">
        <f t="shared" ref="O96:Y96" si="48">+O82+O94</f>
        <v>25023.777638994357</v>
      </c>
      <c r="P96" s="12">
        <f t="shared" si="48"/>
        <v>23800.893704974198</v>
      </c>
      <c r="Q96" s="12">
        <f t="shared" si="48"/>
        <v>34735.466039550694</v>
      </c>
      <c r="R96" s="12">
        <f t="shared" si="48"/>
        <v>35177.212796774154</v>
      </c>
      <c r="S96" s="12">
        <f t="shared" si="48"/>
        <v>35023.729527306532</v>
      </c>
      <c r="T96" s="12">
        <f t="shared" si="48"/>
        <v>63875.914508698872</v>
      </c>
      <c r="U96" s="12">
        <f t="shared" si="48"/>
        <v>65470.290521832358</v>
      </c>
      <c r="V96" s="12">
        <f t="shared" si="48"/>
        <v>65897.94323058</v>
      </c>
      <c r="W96" s="12">
        <f t="shared" si="48"/>
        <v>99227.847681312065</v>
      </c>
      <c r="X96" s="12">
        <f t="shared" si="48"/>
        <v>100617.98004277273</v>
      </c>
      <c r="Y96" s="32">
        <f t="shared" si="48"/>
        <v>101154.32648445174</v>
      </c>
    </row>
    <row r="97" spans="1:25">
      <c r="A97" t="s">
        <v>69</v>
      </c>
      <c r="B97" s="86">
        <f>+-((B83*(B66))+(B84*(B66))+(B94*(B67)))</f>
        <v>-3890.0762734899336</v>
      </c>
      <c r="C97" s="86">
        <f t="shared" ref="C97:Y97" si="49">+-((C83*(C66))+(C84*(C66))+(C94*(C67)))</f>
        <v>-3471.6716222087621</v>
      </c>
      <c r="D97" s="86">
        <f t="shared" si="49"/>
        <v>-3467.9479684754519</v>
      </c>
      <c r="E97" s="86">
        <f t="shared" si="49"/>
        <v>-3385.2511041254447</v>
      </c>
      <c r="F97" s="86">
        <f t="shared" si="49"/>
        <v>-3981.7719115217842</v>
      </c>
      <c r="G97" s="86">
        <f t="shared" si="49"/>
        <v>-3359.3663297584139</v>
      </c>
      <c r="H97" s="86">
        <f t="shared" si="49"/>
        <v>-3470.3225721182962</v>
      </c>
      <c r="I97" s="86">
        <f t="shared" si="49"/>
        <v>-3846.6312884012536</v>
      </c>
      <c r="J97" s="86">
        <f t="shared" si="49"/>
        <v>-3417.2688246476619</v>
      </c>
      <c r="K97" s="86">
        <f t="shared" si="49"/>
        <v>-3953.419776590229</v>
      </c>
      <c r="L97" s="86">
        <f t="shared" si="49"/>
        <v>-3730.1693460368529</v>
      </c>
      <c r="M97" s="87">
        <f t="shared" si="49"/>
        <v>-3688.3269636806053</v>
      </c>
      <c r="N97" s="86">
        <f t="shared" si="49"/>
        <v>-2918.3115776739241</v>
      </c>
      <c r="O97" s="86">
        <f t="shared" si="49"/>
        <v>-2351.2254354911793</v>
      </c>
      <c r="P97" s="86">
        <f t="shared" si="49"/>
        <v>-2106.6486486871477</v>
      </c>
      <c r="Q97" s="86">
        <f t="shared" si="49"/>
        <v>-2531.8852079101375</v>
      </c>
      <c r="R97" s="86">
        <f t="shared" si="49"/>
        <v>-2620.2345593548307</v>
      </c>
      <c r="S97" s="86">
        <f t="shared" si="49"/>
        <v>-2589.5379054613063</v>
      </c>
      <c r="T97" s="86">
        <f t="shared" si="49"/>
        <v>-4261.9016517397749</v>
      </c>
      <c r="U97" s="86">
        <f t="shared" si="49"/>
        <v>-4580.7768543664724</v>
      </c>
      <c r="V97" s="86">
        <f t="shared" si="49"/>
        <v>-4666.3073961159989</v>
      </c>
      <c r="W97" s="86">
        <f t="shared" si="49"/>
        <v>-6303.5240817169597</v>
      </c>
      <c r="X97" s="86">
        <f t="shared" si="49"/>
        <v>-6581.5505540090926</v>
      </c>
      <c r="Y97" s="87">
        <f t="shared" si="49"/>
        <v>-6688.8198423448939</v>
      </c>
    </row>
    <row r="98" spans="1:25">
      <c r="A98" t="s">
        <v>70</v>
      </c>
      <c r="B98" s="12">
        <f>+SUM(B96:B97)</f>
        <v>44992.036332774063</v>
      </c>
      <c r="C98" s="12">
        <f t="shared" ref="C98:Y98" si="50">+SUM(C96:C97)</f>
        <v>37988.50941400163</v>
      </c>
      <c r="D98" s="12">
        <f t="shared" si="50"/>
        <v>37092.671103875968</v>
      </c>
      <c r="E98" s="12">
        <f t="shared" si="50"/>
        <v>35082.193596606652</v>
      </c>
      <c r="F98" s="12">
        <f t="shared" si="50"/>
        <v>36653.248342453029</v>
      </c>
      <c r="G98" s="12">
        <f t="shared" si="50"/>
        <v>32603.59917803845</v>
      </c>
      <c r="H98" s="12">
        <f t="shared" si="50"/>
        <v>36205.862098327838</v>
      </c>
      <c r="I98" s="12">
        <f t="shared" si="50"/>
        <v>43005.813006269593</v>
      </c>
      <c r="J98" s="12">
        <f t="shared" si="50"/>
        <v>37843.350446973098</v>
      </c>
      <c r="K98" s="12">
        <f t="shared" si="50"/>
        <v>48766.917379996208</v>
      </c>
      <c r="L98" s="12">
        <f t="shared" si="50"/>
        <v>42870.79073627248</v>
      </c>
      <c r="M98" s="32">
        <f t="shared" si="50"/>
        <v>42727.303996754505</v>
      </c>
      <c r="N98" s="12">
        <f t="shared" si="50"/>
        <v>24940.896772234155</v>
      </c>
      <c r="O98" s="12">
        <f t="shared" si="50"/>
        <v>22672.552203503179</v>
      </c>
      <c r="P98" s="12">
        <f>+SUM(P96:P97)</f>
        <v>21694.245056287051</v>
      </c>
      <c r="Q98" s="12">
        <f t="shared" si="50"/>
        <v>32203.580831640556</v>
      </c>
      <c r="R98" s="12">
        <f t="shared" si="50"/>
        <v>32556.978237419324</v>
      </c>
      <c r="S98" s="12">
        <f t="shared" si="50"/>
        <v>32434.191621845224</v>
      </c>
      <c r="T98" s="12">
        <f t="shared" si="50"/>
        <v>59614.012856959096</v>
      </c>
      <c r="U98" s="12">
        <f t="shared" si="50"/>
        <v>60889.513667465886</v>
      </c>
      <c r="V98" s="12">
        <f t="shared" si="50"/>
        <v>61231.635834464003</v>
      </c>
      <c r="W98" s="12">
        <f t="shared" si="50"/>
        <v>92924.323599595111</v>
      </c>
      <c r="X98" s="12">
        <f t="shared" si="50"/>
        <v>94036.429488763635</v>
      </c>
      <c r="Y98" s="32">
        <f t="shared" si="50"/>
        <v>94465.506642106848</v>
      </c>
    </row>
    <row r="99" spans="1:25"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3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32"/>
    </row>
    <row r="100" spans="1:25">
      <c r="A100" s="529" t="s">
        <v>706</v>
      </c>
      <c r="B100" s="29">
        <f>B98-B57</f>
        <v>25018.046332774062</v>
      </c>
      <c r="C100" s="29">
        <f t="shared" ref="C100:L100" si="51">C98-C57</f>
        <v>19231.829413001629</v>
      </c>
      <c r="D100" s="29">
        <f t="shared" si="51"/>
        <v>18980.521103875966</v>
      </c>
      <c r="E100" s="29">
        <f t="shared" si="51"/>
        <v>16787.673596606652</v>
      </c>
      <c r="F100" s="29">
        <f t="shared" si="51"/>
        <v>22847.198342453026</v>
      </c>
      <c r="G100" s="29">
        <f t="shared" si="51"/>
        <v>15898.979178038455</v>
      </c>
      <c r="H100" s="29">
        <f t="shared" si="51"/>
        <v>18309.682098327841</v>
      </c>
      <c r="I100" s="29">
        <f t="shared" si="51"/>
        <v>19901.973005269596</v>
      </c>
      <c r="J100" s="29">
        <f t="shared" si="51"/>
        <v>14515.509812973105</v>
      </c>
      <c r="K100" s="29">
        <f t="shared" si="51"/>
        <v>22822.917379996208</v>
      </c>
      <c r="L100" s="29">
        <f t="shared" si="51"/>
        <v>18745.563857939149</v>
      </c>
      <c r="M100" s="362">
        <f>M98-M57</f>
        <v>18261.614825976732</v>
      </c>
      <c r="N100" s="29">
        <f>N98-N57</f>
        <v>7228.8967722341549</v>
      </c>
      <c r="O100" s="29">
        <f t="shared" ref="O100:Y100" si="52">O98-O57</f>
        <v>4960.552203503179</v>
      </c>
      <c r="P100" s="29">
        <f t="shared" si="52"/>
        <v>3982.2450562870508</v>
      </c>
      <c r="Q100" s="551">
        <f t="shared" si="52"/>
        <v>11539.580831640556</v>
      </c>
      <c r="R100" s="551">
        <f t="shared" si="52"/>
        <v>11892.978237419324</v>
      </c>
      <c r="S100" s="551">
        <f t="shared" si="52"/>
        <v>11770.191621845224</v>
      </c>
      <c r="T100" s="29">
        <f t="shared" si="52"/>
        <v>27739.012856959096</v>
      </c>
      <c r="U100" s="29">
        <f t="shared" si="52"/>
        <v>29014.513667465886</v>
      </c>
      <c r="V100" s="29">
        <f t="shared" si="52"/>
        <v>29356.635834464003</v>
      </c>
      <c r="W100" s="29">
        <f t="shared" si="52"/>
        <v>50424.323599595111</v>
      </c>
      <c r="X100" s="29">
        <f t="shared" si="52"/>
        <v>51536.429488763635</v>
      </c>
      <c r="Y100" s="362">
        <f t="shared" si="52"/>
        <v>51965.506642106848</v>
      </c>
    </row>
    <row r="101" spans="1:25">
      <c r="A101" s="529"/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362"/>
      <c r="N101" s="29"/>
      <c r="O101" s="29"/>
      <c r="P101" s="29"/>
      <c r="Q101" s="551"/>
      <c r="R101" s="551"/>
      <c r="S101" s="551"/>
      <c r="T101" s="29"/>
      <c r="U101" s="29"/>
      <c r="V101" s="29"/>
      <c r="W101" s="29"/>
      <c r="X101" s="29"/>
      <c r="Y101" s="362"/>
    </row>
    <row r="102" spans="1:25"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3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32"/>
    </row>
    <row r="103" spans="1:25" s="95" customFormat="1">
      <c r="A103" s="773" t="s">
        <v>72</v>
      </c>
      <c r="M103" s="96"/>
      <c r="Y103" s="96"/>
    </row>
    <row r="104" spans="1:25" s="95" customFormat="1">
      <c r="A104" s="773"/>
      <c r="M104" s="96"/>
      <c r="Y104" s="96"/>
    </row>
    <row r="105" spans="1:25">
      <c r="A105" s="28" t="s">
        <v>43</v>
      </c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3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32"/>
    </row>
    <row r="106" spans="1:25">
      <c r="A106" s="30" t="s">
        <v>44</v>
      </c>
      <c r="B106" s="97">
        <v>0</v>
      </c>
      <c r="C106" s="97">
        <v>0</v>
      </c>
      <c r="D106" s="97">
        <v>0</v>
      </c>
      <c r="E106" s="97">
        <v>0</v>
      </c>
      <c r="F106" s="97">
        <v>0</v>
      </c>
      <c r="G106" s="97">
        <v>0</v>
      </c>
      <c r="H106" s="97">
        <v>0</v>
      </c>
      <c r="I106" s="97">
        <v>1965.37</v>
      </c>
      <c r="J106" s="97">
        <v>7785.9172029999991</v>
      </c>
      <c r="K106" s="97">
        <v>3897.4800000000005</v>
      </c>
      <c r="L106" s="632">
        <v>4000</v>
      </c>
      <c r="M106" s="633">
        <v>4000</v>
      </c>
      <c r="N106" s="359">
        <f>+[2]Supuestos!$G$7*[2]Supuestos!$G$8</f>
        <v>4000</v>
      </c>
      <c r="O106" s="359">
        <f>+[2]Supuestos!$G$7*[2]Supuestos!$G$8</f>
        <v>4000</v>
      </c>
      <c r="P106" s="359">
        <f>+[2]Supuestos!$G$7*[2]Supuestos!$G$8</f>
        <v>4000</v>
      </c>
      <c r="Q106" s="359">
        <f>[2]Supuestos!$H$7*[2]Supuestos!$H$8</f>
        <v>5400</v>
      </c>
      <c r="R106" s="359">
        <f>[2]Supuestos!$H$7*[2]Supuestos!$H$8</f>
        <v>5400</v>
      </c>
      <c r="S106" s="359">
        <f>[2]Supuestos!$H$7*[2]Supuestos!$H$8</f>
        <v>5400</v>
      </c>
      <c r="T106" s="359">
        <f>[2]Supuestos!$I$7*[2]Supuestos!$I$8</f>
        <v>6300</v>
      </c>
      <c r="U106" s="359">
        <f>[2]Supuestos!$I$7*[2]Supuestos!$I$8</f>
        <v>6300</v>
      </c>
      <c r="V106" s="359">
        <f>[2]Supuestos!$I$7*[2]Supuestos!$I$8</f>
        <v>6300</v>
      </c>
      <c r="W106" s="359">
        <f>[2]Supuestos!$J$7*[2]Supuestos!$J$8</f>
        <v>7500</v>
      </c>
      <c r="X106" s="359">
        <f>[2]Supuestos!$J$7*[2]Supuestos!$J$8</f>
        <v>7500</v>
      </c>
      <c r="Y106" s="360">
        <f>[2]Supuestos!$J$7*[2]Supuestos!$J$8</f>
        <v>7500</v>
      </c>
    </row>
    <row r="107" spans="1:25">
      <c r="A107" s="30" t="s">
        <v>45</v>
      </c>
      <c r="B107" s="98">
        <v>0</v>
      </c>
      <c r="C107" s="98">
        <v>0</v>
      </c>
      <c r="D107" s="98">
        <v>0</v>
      </c>
      <c r="E107" s="98">
        <v>0</v>
      </c>
      <c r="F107" s="98">
        <v>0</v>
      </c>
      <c r="G107" s="98">
        <v>0</v>
      </c>
      <c r="H107" s="98">
        <v>0</v>
      </c>
      <c r="I107" s="98">
        <f>I106/I122</f>
        <v>11.516672731851523</v>
      </c>
      <c r="J107" s="98">
        <f>J106/J122</f>
        <v>70.852355109903939</v>
      </c>
      <c r="K107" s="98">
        <f>K106/K122</f>
        <v>25.632588701167649</v>
      </c>
      <c r="L107" s="98">
        <f>L106/L122</f>
        <v>26.904191419836831</v>
      </c>
      <c r="M107" s="546">
        <f>M106/M122</f>
        <v>29.124257800435622</v>
      </c>
      <c r="N107" s="645">
        <f>+[2]Supuestos!$G$22</f>
        <v>10</v>
      </c>
      <c r="O107" s="645">
        <f>+[2]Supuestos!$G$22</f>
        <v>10</v>
      </c>
      <c r="P107" s="645">
        <f>+[2]Supuestos!$G$22</f>
        <v>10</v>
      </c>
      <c r="Q107" s="645">
        <f>+[2]Supuestos!$H$22</f>
        <v>10</v>
      </c>
      <c r="R107" s="645">
        <f>+[2]Supuestos!$H$22</f>
        <v>10</v>
      </c>
      <c r="S107" s="645">
        <f>+[2]Supuestos!$H$22</f>
        <v>10</v>
      </c>
      <c r="T107" s="645">
        <f>+[2]Supuestos!$I$22</f>
        <v>9</v>
      </c>
      <c r="U107" s="645">
        <f>+[2]Supuestos!$I$22</f>
        <v>9</v>
      </c>
      <c r="V107" s="645">
        <f>+[2]Supuestos!$I$22</f>
        <v>9</v>
      </c>
      <c r="W107" s="645">
        <f>+[2]Supuestos!$J$22</f>
        <v>9</v>
      </c>
      <c r="X107" s="645">
        <f>+[2]Supuestos!$J$22</f>
        <v>9</v>
      </c>
      <c r="Y107" s="646">
        <f>+[2]Supuestos!$J$22</f>
        <v>9</v>
      </c>
    </row>
    <row r="108" spans="1:25"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32"/>
    </row>
    <row r="109" spans="1:25">
      <c r="A109" s="28" t="s">
        <v>46</v>
      </c>
      <c r="B109" s="36">
        <v>0.11330049261083744</v>
      </c>
      <c r="C109" s="36">
        <v>8.6956521739130432E-2</v>
      </c>
      <c r="D109" s="36">
        <v>9.2592592592592587E-2</v>
      </c>
      <c r="E109" s="36">
        <v>0.10666666666666667</v>
      </c>
      <c r="F109" s="36">
        <v>0.10144927536231885</v>
      </c>
      <c r="G109" s="36">
        <v>8.5714285714285715E-2</v>
      </c>
      <c r="H109" s="36">
        <v>0.152</v>
      </c>
      <c r="I109" s="36">
        <v>0.11764705882352941</v>
      </c>
      <c r="J109" s="36">
        <v>0.21296296296296297</v>
      </c>
      <c r="K109" s="584">
        <v>0.11594202898550725</v>
      </c>
      <c r="L109" s="634">
        <f>+AVERAGE(I109:K109)</f>
        <v>0.14885068359066653</v>
      </c>
      <c r="M109" s="586">
        <f>+AVERAGE(J109:L109)</f>
        <v>0.15925189184637892</v>
      </c>
      <c r="N109" s="647">
        <f>+[2]Supuestos!$G$23</f>
        <v>0.2</v>
      </c>
      <c r="O109" s="647">
        <f>+[2]Supuestos!$G$23</f>
        <v>0.2</v>
      </c>
      <c r="P109" s="647">
        <f>+[2]Supuestos!$G$23</f>
        <v>0.2</v>
      </c>
      <c r="Q109" s="647">
        <f>+[2]Supuestos!$H$23</f>
        <v>0.2</v>
      </c>
      <c r="R109" s="647">
        <f>+[2]Supuestos!$H$23</f>
        <v>0.2</v>
      </c>
      <c r="S109" s="647">
        <f>+[2]Supuestos!$H$23</f>
        <v>0.2</v>
      </c>
      <c r="T109" s="647">
        <f>+[2]Supuestos!$I$23</f>
        <v>0.25</v>
      </c>
      <c r="U109" s="647">
        <f>+[2]Supuestos!$I$23</f>
        <v>0.25</v>
      </c>
      <c r="V109" s="647">
        <f>+[2]Supuestos!$I$23</f>
        <v>0.25</v>
      </c>
      <c r="W109" s="647">
        <f>+[2]Supuestos!$J$23</f>
        <v>0.25</v>
      </c>
      <c r="X109" s="647">
        <f>+[2]Supuestos!$J$23</f>
        <v>0.25</v>
      </c>
      <c r="Y109" s="648">
        <f>+[2]Supuestos!$J$23</f>
        <v>0.25</v>
      </c>
    </row>
    <row r="110" spans="1:25">
      <c r="A110" t="s">
        <v>47</v>
      </c>
      <c r="B110" s="97">
        <v>54.671304347826087</v>
      </c>
      <c r="C110" s="97">
        <v>61.105714285714285</v>
      </c>
      <c r="D110" s="97">
        <v>61.924666666666667</v>
      </c>
      <c r="E110" s="97">
        <v>65.236249999999998</v>
      </c>
      <c r="F110" s="97">
        <v>61.045714285714283</v>
      </c>
      <c r="G110" s="97">
        <v>46.17499999999999</v>
      </c>
      <c r="H110" s="97">
        <v>56.51736842105263</v>
      </c>
      <c r="I110" s="97">
        <v>50.997142857142855</v>
      </c>
      <c r="J110" s="97">
        <v>47.556521739130432</v>
      </c>
      <c r="K110" s="97">
        <v>48</v>
      </c>
      <c r="L110" s="97">
        <v>48</v>
      </c>
      <c r="M110" s="542">
        <v>48</v>
      </c>
      <c r="N110" s="649">
        <f>+[2]Supuestos!$G$24</f>
        <v>53</v>
      </c>
      <c r="O110" s="649">
        <f>+[2]Supuestos!$G$24</f>
        <v>53</v>
      </c>
      <c r="P110" s="649">
        <f>+[2]Supuestos!$G$24</f>
        <v>53</v>
      </c>
      <c r="Q110" s="649">
        <f>+[2]Supuestos!$H$24</f>
        <v>55</v>
      </c>
      <c r="R110" s="649">
        <f>+[2]Supuestos!$H$24</f>
        <v>55</v>
      </c>
      <c r="S110" s="649">
        <f>+[2]Supuestos!$H$24</f>
        <v>55</v>
      </c>
      <c r="T110" s="649">
        <f>+[2]Supuestos!$I$24</f>
        <v>57</v>
      </c>
      <c r="U110" s="649">
        <f>+[2]Supuestos!$I$24</f>
        <v>57</v>
      </c>
      <c r="V110" s="649">
        <f>+[2]Supuestos!$I$24</f>
        <v>57</v>
      </c>
      <c r="W110" s="649">
        <f>+[2]Supuestos!$J$24</f>
        <v>57</v>
      </c>
      <c r="X110" s="649">
        <f>+[2]Supuestos!$J$24</f>
        <v>57</v>
      </c>
      <c r="Y110" s="650">
        <f>+[2]Supuestos!$J$24</f>
        <v>57</v>
      </c>
    </row>
    <row r="111" spans="1:25">
      <c r="B111" s="97">
        <v>68.010000000000005</v>
      </c>
      <c r="C111" s="97">
        <v>62.31454545454546</v>
      </c>
      <c r="D111" s="97">
        <v>65.556923076923084</v>
      </c>
      <c r="E111" s="97">
        <v>64.908181818181816</v>
      </c>
      <c r="F111" s="97">
        <v>70.124545454545469</v>
      </c>
      <c r="G111" s="97">
        <v>59.697500000000005</v>
      </c>
      <c r="H111" s="97">
        <v>80.878749999999997</v>
      </c>
      <c r="I111" s="97">
        <v>58.395000000000003</v>
      </c>
      <c r="J111" s="97">
        <v>61.25615384615385</v>
      </c>
      <c r="K111" s="97">
        <v>65.481428571428566</v>
      </c>
      <c r="L111" s="635">
        <f>AVERAGE(I111:K111)</f>
        <v>61.710860805860797</v>
      </c>
      <c r="M111" s="611">
        <f>+AVERAGE(J111:L111)</f>
        <v>62.816147741147738</v>
      </c>
      <c r="N111" s="632">
        <v>65</v>
      </c>
      <c r="O111" s="632">
        <v>65</v>
      </c>
      <c r="P111" s="632">
        <v>65</v>
      </c>
      <c r="Q111" s="632">
        <v>65</v>
      </c>
      <c r="R111" s="632">
        <v>65</v>
      </c>
      <c r="S111" s="632">
        <v>65</v>
      </c>
      <c r="T111" s="632">
        <v>65</v>
      </c>
      <c r="U111" s="632">
        <v>65</v>
      </c>
      <c r="V111" s="632">
        <v>65</v>
      </c>
      <c r="W111" s="632">
        <v>65</v>
      </c>
      <c r="X111" s="632">
        <v>65</v>
      </c>
      <c r="Y111" s="633">
        <v>65</v>
      </c>
    </row>
    <row r="112" spans="1:25">
      <c r="B112" s="97">
        <v>10.841666666666667</v>
      </c>
      <c r="C112" s="97">
        <v>10.693333333333333</v>
      </c>
      <c r="D112" s="97">
        <v>12.99</v>
      </c>
      <c r="E112" s="97">
        <v>12.65</v>
      </c>
      <c r="F112" s="97">
        <v>8.74</v>
      </c>
      <c r="G112" s="97">
        <v>10.4</v>
      </c>
      <c r="H112" s="97">
        <v>11.07</v>
      </c>
      <c r="I112" s="97">
        <v>8.9600000000000009</v>
      </c>
      <c r="J112" s="97">
        <v>11.770000000000001</v>
      </c>
      <c r="K112" s="97">
        <v>9.8659999999999997</v>
      </c>
      <c r="L112" s="635">
        <f>AVERAGE(I112:K112)</f>
        <v>10.198666666666668</v>
      </c>
      <c r="M112" s="611">
        <f>+AVERAGE(J112:L112)</f>
        <v>10.611555555555556</v>
      </c>
      <c r="N112" s="632">
        <v>11</v>
      </c>
      <c r="O112" s="632">
        <v>11</v>
      </c>
      <c r="P112" s="632">
        <v>11</v>
      </c>
      <c r="Q112" s="632">
        <v>11</v>
      </c>
      <c r="R112" s="632">
        <v>11</v>
      </c>
      <c r="S112" s="632">
        <v>11</v>
      </c>
      <c r="T112" s="632">
        <v>11</v>
      </c>
      <c r="U112" s="632">
        <v>11</v>
      </c>
      <c r="V112" s="632">
        <v>11</v>
      </c>
      <c r="W112" s="632">
        <v>11</v>
      </c>
      <c r="X112" s="632">
        <v>11</v>
      </c>
      <c r="Y112" s="633">
        <v>11</v>
      </c>
    </row>
    <row r="113" spans="1:25">
      <c r="B113" s="97"/>
      <c r="C113" s="97"/>
      <c r="D113" s="97"/>
      <c r="E113" s="97"/>
      <c r="F113" s="97"/>
      <c r="G113" s="97"/>
      <c r="H113" s="97"/>
      <c r="I113" s="97"/>
      <c r="J113" s="97"/>
      <c r="K113" s="97"/>
      <c r="L113" s="97"/>
      <c r="M113" s="542"/>
      <c r="N113" s="359"/>
      <c r="O113" s="359"/>
      <c r="P113" s="359"/>
      <c r="Q113" s="359"/>
      <c r="R113" s="359"/>
      <c r="S113" s="359"/>
      <c r="T113" s="359"/>
      <c r="U113" s="359"/>
      <c r="V113" s="359"/>
      <c r="W113" s="359"/>
      <c r="X113" s="359"/>
      <c r="Y113" s="360"/>
    </row>
    <row r="114" spans="1:25">
      <c r="A114" s="5" t="s">
        <v>48</v>
      </c>
    </row>
    <row r="115" spans="1:25">
      <c r="A115" t="s">
        <v>49</v>
      </c>
      <c r="B115" s="40">
        <v>0.04</v>
      </c>
      <c r="C115" s="40">
        <v>0.04</v>
      </c>
      <c r="D115" s="40">
        <v>0.04</v>
      </c>
      <c r="E115" s="40">
        <v>0.04</v>
      </c>
      <c r="F115" s="40">
        <v>0.04</v>
      </c>
      <c r="G115" s="40">
        <v>0.04</v>
      </c>
      <c r="H115" s="40">
        <v>0.04</v>
      </c>
      <c r="I115" s="40">
        <v>0.04</v>
      </c>
      <c r="J115" s="40">
        <v>0.04</v>
      </c>
      <c r="K115" s="42">
        <v>0.04</v>
      </c>
      <c r="L115" s="42">
        <v>0.04</v>
      </c>
      <c r="M115" s="84">
        <v>0.04</v>
      </c>
      <c r="N115" s="42">
        <v>0.04</v>
      </c>
      <c r="O115" s="42">
        <v>0.04</v>
      </c>
      <c r="P115" s="42">
        <v>0.04</v>
      </c>
      <c r="Q115" s="42">
        <v>0.04</v>
      </c>
      <c r="R115" s="42">
        <v>0.04</v>
      </c>
      <c r="S115" s="42">
        <v>0.04</v>
      </c>
      <c r="T115" s="42">
        <v>0.04</v>
      </c>
      <c r="U115" s="42">
        <v>0.04</v>
      </c>
      <c r="V115" s="42">
        <v>0.04</v>
      </c>
      <c r="W115" s="42">
        <v>0.04</v>
      </c>
      <c r="X115" s="42">
        <v>0.04</v>
      </c>
      <c r="Y115" s="84">
        <v>0.04</v>
      </c>
    </row>
    <row r="116" spans="1:25">
      <c r="A116" t="s">
        <v>50</v>
      </c>
      <c r="B116" s="40">
        <v>0.04</v>
      </c>
      <c r="C116" s="40">
        <v>0.04</v>
      </c>
      <c r="D116" s="40">
        <v>0.04</v>
      </c>
      <c r="E116" s="40">
        <v>0.04</v>
      </c>
      <c r="F116" s="40">
        <v>0.04</v>
      </c>
      <c r="G116" s="40">
        <v>0.04</v>
      </c>
      <c r="H116" s="40">
        <v>0.04</v>
      </c>
      <c r="I116" s="40">
        <v>0.04</v>
      </c>
      <c r="J116" s="40">
        <v>0.04</v>
      </c>
      <c r="K116" s="42">
        <v>0.04</v>
      </c>
      <c r="L116" s="42">
        <v>0.04</v>
      </c>
      <c r="M116" s="84">
        <v>0.04</v>
      </c>
      <c r="N116" s="42">
        <v>0.04</v>
      </c>
      <c r="O116" s="42">
        <v>0.04</v>
      </c>
      <c r="P116" s="42">
        <v>0.04</v>
      </c>
      <c r="Q116" s="42">
        <v>0.04</v>
      </c>
      <c r="R116" s="42">
        <v>0.04</v>
      </c>
      <c r="S116" s="42">
        <v>0.04</v>
      </c>
      <c r="T116" s="42">
        <v>0.04</v>
      </c>
      <c r="U116" s="42">
        <v>0.04</v>
      </c>
      <c r="V116" s="42">
        <v>0.04</v>
      </c>
      <c r="W116" s="42">
        <v>0.04</v>
      </c>
      <c r="X116" s="42">
        <v>0.04</v>
      </c>
      <c r="Y116" s="84">
        <v>0.04</v>
      </c>
    </row>
    <row r="117" spans="1:25"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32"/>
    </row>
    <row r="118" spans="1:25">
      <c r="A118" t="s">
        <v>51</v>
      </c>
      <c r="B118" s="584">
        <v>0.10208252256064568</v>
      </c>
      <c r="C118" s="584">
        <v>6.7058530645866657E-2</v>
      </c>
      <c r="D118" s="584">
        <v>5.9673869934775012E-2</v>
      </c>
      <c r="E118" s="584">
        <v>7.807696049620548E-2</v>
      </c>
      <c r="F118" s="584">
        <v>6.1918426074695644E-2</v>
      </c>
      <c r="G118" s="584">
        <v>8.0561758295960517E-2</v>
      </c>
      <c r="H118" s="584">
        <v>8.1587532838575769E-2</v>
      </c>
      <c r="I118" s="584">
        <v>7.4928834374271017E-2</v>
      </c>
      <c r="J118" s="584">
        <v>6.5261209291283484E-2</v>
      </c>
      <c r="K118" s="585">
        <f>+AVERAGE(H118:J118)</f>
        <v>7.392585883471009E-2</v>
      </c>
      <c r="L118" s="585">
        <f>+AVERAGE(I118:K118)</f>
        <v>7.1371967500088188E-2</v>
      </c>
      <c r="M118" s="586">
        <f>+AVERAGE(J118:L118)</f>
        <v>7.018634520869392E-2</v>
      </c>
      <c r="N118" s="651">
        <f>[2]Supuestos!$G$25</f>
        <v>0.06</v>
      </c>
      <c r="O118" s="651">
        <f>[2]Supuestos!$G$25</f>
        <v>0.06</v>
      </c>
      <c r="P118" s="651">
        <f>[2]Supuestos!$G$25</f>
        <v>0.06</v>
      </c>
      <c r="Q118" s="651">
        <f>[2]Supuestos!$H$25</f>
        <v>0.06</v>
      </c>
      <c r="R118" s="651">
        <f>[2]Supuestos!$H$25</f>
        <v>0.06</v>
      </c>
      <c r="S118" s="651">
        <f>[2]Supuestos!$H$25</f>
        <v>0.06</v>
      </c>
      <c r="T118" s="651">
        <f>[2]Supuestos!$I$25</f>
        <v>0.06</v>
      </c>
      <c r="U118" s="651">
        <f>[2]Supuestos!$I$25</f>
        <v>0.06</v>
      </c>
      <c r="V118" s="651">
        <f>[2]Supuestos!$I$25</f>
        <v>0.06</v>
      </c>
      <c r="W118" s="651">
        <f>[2]Supuestos!$J$25</f>
        <v>0.06</v>
      </c>
      <c r="X118" s="651">
        <f>[2]Supuestos!$J$25</f>
        <v>0.06</v>
      </c>
      <c r="Y118" s="652">
        <f>[2]Supuestos!$J$25</f>
        <v>0.06</v>
      </c>
    </row>
    <row r="119" spans="1:25">
      <c r="A119" t="s">
        <v>52</v>
      </c>
      <c r="B119" s="42">
        <v>0.79</v>
      </c>
      <c r="C119" s="42">
        <v>0.77</v>
      </c>
      <c r="D119" s="42">
        <v>0.81</v>
      </c>
      <c r="E119" s="42">
        <v>0.79</v>
      </c>
      <c r="F119" s="42">
        <v>0.8</v>
      </c>
      <c r="G119" s="42">
        <v>0.82</v>
      </c>
      <c r="H119" s="42">
        <v>0.8</v>
      </c>
      <c r="I119" s="42">
        <v>0.81</v>
      </c>
      <c r="J119" s="42">
        <v>0.81</v>
      </c>
      <c r="K119" s="484">
        <f>1-(1-K68)^12</f>
        <v>0</v>
      </c>
      <c r="L119" s="484">
        <f>1-(1-L68)^12</f>
        <v>0</v>
      </c>
      <c r="M119" s="587">
        <f>1-(1-M68)^12</f>
        <v>0</v>
      </c>
      <c r="N119" s="43">
        <f>1-(1-M118)^12</f>
        <v>0.58240908973091576</v>
      </c>
      <c r="O119" s="43">
        <f t="shared" ref="O119:Y119" si="53">1-(1-N118)^12</f>
        <v>0.52407968518574677</v>
      </c>
      <c r="P119" s="43">
        <f t="shared" si="53"/>
        <v>0.52407968518574677</v>
      </c>
      <c r="Q119" s="43">
        <f t="shared" si="53"/>
        <v>0.52407968518574677</v>
      </c>
      <c r="R119" s="43">
        <f t="shared" si="53"/>
        <v>0.52407968518574677</v>
      </c>
      <c r="S119" s="43">
        <f t="shared" si="53"/>
        <v>0.52407968518574677</v>
      </c>
      <c r="T119" s="43">
        <f t="shared" si="53"/>
        <v>0.52407968518574677</v>
      </c>
      <c r="U119" s="43">
        <f t="shared" si="53"/>
        <v>0.52407968518574677</v>
      </c>
      <c r="V119" s="43">
        <f t="shared" si="53"/>
        <v>0.52407968518574677</v>
      </c>
      <c r="W119" s="43">
        <f t="shared" si="53"/>
        <v>0.52407968518574677</v>
      </c>
      <c r="X119" s="43">
        <f t="shared" si="53"/>
        <v>0.52407968518574677</v>
      </c>
      <c r="Y119" s="44">
        <f t="shared" si="53"/>
        <v>0.52407968518574677</v>
      </c>
    </row>
    <row r="120" spans="1:25">
      <c r="A120" t="s">
        <v>53</v>
      </c>
      <c r="B120" s="40">
        <v>0.4</v>
      </c>
      <c r="C120" s="40">
        <v>0.4</v>
      </c>
      <c r="D120" s="40">
        <v>0.4</v>
      </c>
      <c r="E120" s="40">
        <v>0.4</v>
      </c>
      <c r="F120" s="40">
        <v>0.4</v>
      </c>
      <c r="G120" s="40">
        <v>0.4</v>
      </c>
      <c r="H120" s="40">
        <v>0.4</v>
      </c>
      <c r="I120" s="40">
        <v>0.4</v>
      </c>
      <c r="J120" s="40">
        <v>0.4</v>
      </c>
      <c r="K120" s="42">
        <v>0.4</v>
      </c>
      <c r="L120" s="42">
        <v>0.4</v>
      </c>
      <c r="M120" s="84">
        <v>0.4</v>
      </c>
      <c r="N120" s="42">
        <v>0.4</v>
      </c>
      <c r="O120" s="42">
        <v>0.4</v>
      </c>
      <c r="P120" s="42">
        <v>0.4</v>
      </c>
      <c r="Q120" s="42">
        <v>0.4</v>
      </c>
      <c r="R120" s="42">
        <v>0.4</v>
      </c>
      <c r="S120" s="42">
        <v>0.4</v>
      </c>
      <c r="T120" s="42">
        <v>0.4</v>
      </c>
      <c r="U120" s="42">
        <v>0.4</v>
      </c>
      <c r="V120" s="42">
        <v>0.4</v>
      </c>
      <c r="W120" s="42">
        <v>0.4</v>
      </c>
      <c r="X120" s="42">
        <v>0.4</v>
      </c>
      <c r="Y120" s="84">
        <v>0.4</v>
      </c>
    </row>
    <row r="121" spans="1:25"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32"/>
    </row>
    <row r="122" spans="1:25">
      <c r="A122" s="28" t="s">
        <v>54</v>
      </c>
      <c r="B122" s="636">
        <f>B124*B109+B124</f>
        <v>130.26547173489402</v>
      </c>
      <c r="C122" s="636">
        <f t="shared" ref="C122:M122" si="54">C124*C109+C124</f>
        <v>122.59580687983964</v>
      </c>
      <c r="D122" s="636">
        <f t="shared" si="54"/>
        <v>88.238729136836525</v>
      </c>
      <c r="E122" s="636">
        <f t="shared" si="54"/>
        <v>95.270240088907627</v>
      </c>
      <c r="F122" s="636">
        <f t="shared" si="54"/>
        <v>104.1791563733251</v>
      </c>
      <c r="G122" s="636">
        <f t="shared" si="54"/>
        <v>137.96601129244337</v>
      </c>
      <c r="H122" s="636">
        <f t="shared" si="54"/>
        <v>105.44633634746654</v>
      </c>
      <c r="I122" s="636">
        <f t="shared" si="54"/>
        <v>170.65432401881142</v>
      </c>
      <c r="J122" s="636">
        <f t="shared" si="54"/>
        <v>109.88932112309789</v>
      </c>
      <c r="K122" s="588">
        <f t="shared" si="54"/>
        <v>152.05175120772947</v>
      </c>
      <c r="L122" s="588">
        <f t="shared" si="54"/>
        <v>148.6757188714746</v>
      </c>
      <c r="M122" s="589">
        <f t="shared" si="54"/>
        <v>137.34255572824145</v>
      </c>
      <c r="N122" s="48">
        <f>+N106/N107</f>
        <v>400</v>
      </c>
      <c r="O122" s="48">
        <f t="shared" ref="O122:Y122" si="55">+O106/O107</f>
        <v>400</v>
      </c>
      <c r="P122" s="48">
        <f t="shared" si="55"/>
        <v>400</v>
      </c>
      <c r="Q122" s="48">
        <f t="shared" si="55"/>
        <v>540</v>
      </c>
      <c r="R122" s="48">
        <f t="shared" si="55"/>
        <v>540</v>
      </c>
      <c r="S122" s="48">
        <f t="shared" si="55"/>
        <v>540</v>
      </c>
      <c r="T122" s="48">
        <f t="shared" si="55"/>
        <v>700</v>
      </c>
      <c r="U122" s="48">
        <f t="shared" si="55"/>
        <v>700</v>
      </c>
      <c r="V122" s="48">
        <f t="shared" si="55"/>
        <v>700</v>
      </c>
      <c r="W122" s="48">
        <f t="shared" si="55"/>
        <v>833.33333333333337</v>
      </c>
      <c r="X122" s="48">
        <f t="shared" si="55"/>
        <v>833.33333333333337</v>
      </c>
      <c r="Y122" s="49">
        <f t="shared" si="55"/>
        <v>833.33333333333337</v>
      </c>
    </row>
    <row r="123" spans="1:25">
      <c r="B123" s="40"/>
      <c r="C123" s="40"/>
      <c r="D123" s="40"/>
      <c r="E123" s="40"/>
      <c r="F123" s="40"/>
      <c r="G123" s="40"/>
      <c r="H123" s="40"/>
      <c r="I123" s="40"/>
      <c r="J123" s="40"/>
      <c r="K123" s="42"/>
      <c r="L123" s="42"/>
      <c r="M123" s="84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84"/>
    </row>
    <row r="124" spans="1:25">
      <c r="A124" s="55" t="s">
        <v>55</v>
      </c>
      <c r="B124" s="543">
        <v>117.0083662043517</v>
      </c>
      <c r="C124" s="543">
        <v>112.78814232945247</v>
      </c>
      <c r="D124" s="543">
        <v>80.760870735409696</v>
      </c>
      <c r="E124" s="543">
        <v>86.087566345398457</v>
      </c>
      <c r="F124" s="543">
        <v>94.583707759992521</v>
      </c>
      <c r="G124" s="543">
        <v>127.07395776935574</v>
      </c>
      <c r="H124" s="543">
        <v>91.533278079398045</v>
      </c>
      <c r="I124" s="543">
        <v>152.6907109641997</v>
      </c>
      <c r="J124" s="543">
        <v>90.595776193088327</v>
      </c>
      <c r="K124" s="637">
        <v>136.25416666666666</v>
      </c>
      <c r="L124" s="637">
        <v>129.41256944444444</v>
      </c>
      <c r="M124" s="77">
        <v>118.47516203703702</v>
      </c>
      <c r="N124" s="57">
        <f>+N122*N109</f>
        <v>80</v>
      </c>
      <c r="O124" s="57">
        <f t="shared" ref="O124:Y124" si="56">+O122*O109</f>
        <v>80</v>
      </c>
      <c r="P124" s="57">
        <f t="shared" si="56"/>
        <v>80</v>
      </c>
      <c r="Q124" s="57">
        <f t="shared" si="56"/>
        <v>108</v>
      </c>
      <c r="R124" s="57">
        <f t="shared" si="56"/>
        <v>108</v>
      </c>
      <c r="S124" s="57">
        <f t="shared" si="56"/>
        <v>108</v>
      </c>
      <c r="T124" s="57">
        <f t="shared" si="56"/>
        <v>175</v>
      </c>
      <c r="U124" s="57">
        <f t="shared" si="56"/>
        <v>175</v>
      </c>
      <c r="V124" s="57">
        <f t="shared" si="56"/>
        <v>175</v>
      </c>
      <c r="W124" s="57">
        <f t="shared" si="56"/>
        <v>208.33333333333334</v>
      </c>
      <c r="X124" s="57">
        <f t="shared" si="56"/>
        <v>208.33333333333334</v>
      </c>
      <c r="Y124" s="58">
        <f t="shared" si="56"/>
        <v>208.33333333333334</v>
      </c>
    </row>
    <row r="125" spans="1:25">
      <c r="A125" s="61" t="s">
        <v>56</v>
      </c>
      <c r="B125" s="638">
        <f>B124-B126</f>
        <v>111.0083662043517</v>
      </c>
      <c r="C125" s="638">
        <f t="shared" ref="C125:M125" si="57">C124-C126</f>
        <v>109.78814232945247</v>
      </c>
      <c r="D125" s="638">
        <f t="shared" si="57"/>
        <v>79.760870735409696</v>
      </c>
      <c r="E125" s="638">
        <f t="shared" si="57"/>
        <v>85.087566345398457</v>
      </c>
      <c r="F125" s="638">
        <f t="shared" si="57"/>
        <v>92.583707759992521</v>
      </c>
      <c r="G125" s="638">
        <f t="shared" si="57"/>
        <v>125.07395776935574</v>
      </c>
      <c r="H125" s="638">
        <f t="shared" si="57"/>
        <v>90.533278079398045</v>
      </c>
      <c r="I125" s="638">
        <f t="shared" si="57"/>
        <v>151.6907109641997</v>
      </c>
      <c r="J125" s="638">
        <f t="shared" si="57"/>
        <v>86.595776193088327</v>
      </c>
      <c r="K125" s="639">
        <f t="shared" si="57"/>
        <v>130.25416666666666</v>
      </c>
      <c r="L125" s="639">
        <f t="shared" si="57"/>
        <v>125.74590277777777</v>
      </c>
      <c r="M125" s="640">
        <f t="shared" si="57"/>
        <v>113.91960648148147</v>
      </c>
      <c r="N125" s="83">
        <v>0.95</v>
      </c>
      <c r="O125" s="83">
        <v>0.95</v>
      </c>
      <c r="P125" s="83">
        <v>0.95</v>
      </c>
      <c r="Q125" s="83">
        <v>0.95</v>
      </c>
      <c r="R125" s="83">
        <v>0.95</v>
      </c>
      <c r="S125" s="83">
        <v>0.95</v>
      </c>
      <c r="T125" s="83">
        <v>0.95</v>
      </c>
      <c r="U125" s="83">
        <v>0.95</v>
      </c>
      <c r="V125" s="83">
        <v>0.95</v>
      </c>
      <c r="W125" s="83">
        <v>0.95</v>
      </c>
      <c r="X125" s="83">
        <v>0.95</v>
      </c>
      <c r="Y125" s="83">
        <v>0.95</v>
      </c>
    </row>
    <row r="126" spans="1:25">
      <c r="A126" s="61" t="s">
        <v>57</v>
      </c>
      <c r="B126" s="641">
        <v>6</v>
      </c>
      <c r="C126" s="641">
        <v>3</v>
      </c>
      <c r="D126" s="641">
        <v>1</v>
      </c>
      <c r="E126" s="641">
        <v>1</v>
      </c>
      <c r="F126" s="641">
        <v>2</v>
      </c>
      <c r="G126" s="641">
        <v>2</v>
      </c>
      <c r="H126" s="641">
        <v>1</v>
      </c>
      <c r="I126" s="641">
        <v>1</v>
      </c>
      <c r="J126" s="641">
        <v>4</v>
      </c>
      <c r="K126" s="624">
        <v>6</v>
      </c>
      <c r="L126" s="629">
        <f>AVERAGE(I126:K126)</f>
        <v>3.6666666666666665</v>
      </c>
      <c r="M126" s="642">
        <f>+AVERAGE(J126:L126)</f>
        <v>4.5555555555555554</v>
      </c>
      <c r="N126" s="83">
        <v>0.05</v>
      </c>
      <c r="O126" s="83">
        <v>0.05</v>
      </c>
      <c r="P126" s="83">
        <v>0.05</v>
      </c>
      <c r="Q126" s="83">
        <v>0.05</v>
      </c>
      <c r="R126" s="83">
        <v>0.05</v>
      </c>
      <c r="S126" s="83">
        <v>0.05</v>
      </c>
      <c r="T126" s="83">
        <v>0.05</v>
      </c>
      <c r="U126" s="83">
        <v>0.05</v>
      </c>
      <c r="V126" s="83">
        <v>0.05</v>
      </c>
      <c r="W126" s="83">
        <v>0.05</v>
      </c>
      <c r="X126" s="83">
        <v>0.05</v>
      </c>
      <c r="Y126" s="83">
        <v>0.05</v>
      </c>
    </row>
    <row r="127" spans="1:25">
      <c r="A127" s="62"/>
      <c r="L127" s="12"/>
      <c r="M127" s="32"/>
    </row>
    <row r="128" spans="1:25">
      <c r="A128" s="67" t="s">
        <v>58</v>
      </c>
      <c r="B128" s="68">
        <f>+B106/B124</f>
        <v>0</v>
      </c>
      <c r="C128" s="68">
        <f t="shared" ref="C128:M128" si="58">+C106/C124</f>
        <v>0</v>
      </c>
      <c r="D128" s="68">
        <f t="shared" si="58"/>
        <v>0</v>
      </c>
      <c r="E128" s="68">
        <f t="shared" si="58"/>
        <v>0</v>
      </c>
      <c r="F128" s="68">
        <f t="shared" si="58"/>
        <v>0</v>
      </c>
      <c r="G128" s="68">
        <f t="shared" si="58"/>
        <v>0</v>
      </c>
      <c r="H128" s="68">
        <f t="shared" si="58"/>
        <v>0</v>
      </c>
      <c r="I128" s="68">
        <f t="shared" si="58"/>
        <v>12.871575406186995</v>
      </c>
      <c r="J128" s="68">
        <f t="shared" si="58"/>
        <v>85.94128258701312</v>
      </c>
      <c r="K128" s="608">
        <f t="shared" si="58"/>
        <v>28.604483043332014</v>
      </c>
      <c r="L128" s="608">
        <f t="shared" si="58"/>
        <v>30.908898704133691</v>
      </c>
      <c r="M128" s="609">
        <f t="shared" si="58"/>
        <v>33.762350953776647</v>
      </c>
      <c r="N128" s="610">
        <f>+N106/N124</f>
        <v>50</v>
      </c>
      <c r="O128" s="610">
        <f t="shared" ref="O128:Y128" si="59">+O106/O124</f>
        <v>50</v>
      </c>
      <c r="P128" s="610">
        <f t="shared" si="59"/>
        <v>50</v>
      </c>
      <c r="Q128" s="610">
        <f t="shared" si="59"/>
        <v>50</v>
      </c>
      <c r="R128" s="610">
        <f t="shared" si="59"/>
        <v>50</v>
      </c>
      <c r="S128" s="610">
        <f t="shared" si="59"/>
        <v>50</v>
      </c>
      <c r="T128" s="610">
        <f t="shared" si="59"/>
        <v>36</v>
      </c>
      <c r="U128" s="610">
        <f t="shared" si="59"/>
        <v>36</v>
      </c>
      <c r="V128" s="610">
        <f t="shared" si="59"/>
        <v>36</v>
      </c>
      <c r="W128" s="610">
        <f t="shared" si="59"/>
        <v>36</v>
      </c>
      <c r="X128" s="610">
        <f t="shared" si="59"/>
        <v>36</v>
      </c>
      <c r="Y128" s="611">
        <f t="shared" si="59"/>
        <v>36</v>
      </c>
    </row>
    <row r="129" spans="1:25">
      <c r="A129" s="67" t="s">
        <v>59</v>
      </c>
      <c r="B129" s="101">
        <v>0</v>
      </c>
      <c r="C129" s="101">
        <v>0</v>
      </c>
      <c r="D129" s="101">
        <v>0</v>
      </c>
      <c r="E129" s="101">
        <v>0</v>
      </c>
      <c r="F129" s="101">
        <v>0</v>
      </c>
      <c r="G129" s="101">
        <v>0</v>
      </c>
      <c r="H129" s="101">
        <v>0</v>
      </c>
      <c r="I129" s="68">
        <f t="shared" ref="I129:Y129" si="60">+I110/I128</f>
        <v>3.9619969776683277</v>
      </c>
      <c r="J129" s="68">
        <f t="shared" si="60"/>
        <v>0.55336062376054018</v>
      </c>
      <c r="K129" s="608">
        <f t="shared" si="60"/>
        <v>1.6780586430206181</v>
      </c>
      <c r="L129" s="608">
        <f t="shared" si="60"/>
        <v>1.5529508333333333</v>
      </c>
      <c r="M129" s="609">
        <f t="shared" si="60"/>
        <v>1.4217019444444443</v>
      </c>
      <c r="N129" s="608">
        <f t="shared" si="60"/>
        <v>1.06</v>
      </c>
      <c r="O129" s="608">
        <f t="shared" si="60"/>
        <v>1.06</v>
      </c>
      <c r="P129" s="608">
        <f t="shared" si="60"/>
        <v>1.06</v>
      </c>
      <c r="Q129" s="608">
        <f t="shared" si="60"/>
        <v>1.1000000000000001</v>
      </c>
      <c r="R129" s="608">
        <f t="shared" si="60"/>
        <v>1.1000000000000001</v>
      </c>
      <c r="S129" s="608">
        <f t="shared" si="60"/>
        <v>1.1000000000000001</v>
      </c>
      <c r="T129" s="608">
        <f t="shared" si="60"/>
        <v>1.5833333333333333</v>
      </c>
      <c r="U129" s="608">
        <f t="shared" si="60"/>
        <v>1.5833333333333333</v>
      </c>
      <c r="V129" s="608">
        <f t="shared" si="60"/>
        <v>1.5833333333333333</v>
      </c>
      <c r="W129" s="608">
        <f t="shared" si="60"/>
        <v>1.5833333333333333</v>
      </c>
      <c r="X129" s="608">
        <f t="shared" si="60"/>
        <v>1.5833333333333333</v>
      </c>
      <c r="Y129" s="609">
        <f t="shared" si="60"/>
        <v>1.5833333333333333</v>
      </c>
    </row>
    <row r="130" spans="1:25">
      <c r="A130" s="52"/>
      <c r="B130" s="52"/>
      <c r="C130" s="52"/>
      <c r="D130" s="52"/>
      <c r="E130" s="52"/>
      <c r="F130" s="52"/>
      <c r="G130" s="52"/>
      <c r="H130" s="52"/>
      <c r="I130" s="52"/>
      <c r="J130" s="52"/>
      <c r="K130" s="52"/>
      <c r="L130" s="52"/>
      <c r="M130" s="54"/>
    </row>
    <row r="131" spans="1:25">
      <c r="A131" s="55" t="s">
        <v>60</v>
      </c>
      <c r="B131" s="97">
        <f>(B125*B111)+(B112*B126)</f>
        <v>7614.7289855579602</v>
      </c>
      <c r="C131" s="97">
        <f t="shared" ref="C131:M131" si="61">(C125*C111)+(C112*C126)</f>
        <v>6873.4781855587726</v>
      </c>
      <c r="D131" s="97">
        <f t="shared" si="61"/>
        <v>5241.8672673496585</v>
      </c>
      <c r="E131" s="97">
        <f t="shared" si="61"/>
        <v>5535.5292268137309</v>
      </c>
      <c r="F131" s="97">
        <f t="shared" si="61"/>
        <v>6509.8704231659494</v>
      </c>
      <c r="G131" s="97">
        <f t="shared" si="61"/>
        <v>7487.4025939361154</v>
      </c>
      <c r="H131" s="97">
        <f t="shared" si="61"/>
        <v>7333.2883644641142</v>
      </c>
      <c r="I131" s="97">
        <f t="shared" si="61"/>
        <v>8866.9390667544412</v>
      </c>
      <c r="J131" s="97">
        <f t="shared" si="61"/>
        <v>5351.6041889109256</v>
      </c>
      <c r="K131" s="97">
        <f t="shared" si="61"/>
        <v>8588.4249107142841</v>
      </c>
      <c r="L131" s="97">
        <f t="shared" si="61"/>
        <v>7797.2830143378596</v>
      </c>
      <c r="M131" s="542">
        <f t="shared" si="61"/>
        <v>7204.3323622183489</v>
      </c>
      <c r="N131" s="70">
        <f>+N124*N110</f>
        <v>4240</v>
      </c>
      <c r="O131" s="70">
        <f>+O124*O110</f>
        <v>4240</v>
      </c>
      <c r="P131" s="70">
        <f>+P124*P110</f>
        <v>4240</v>
      </c>
      <c r="Q131" s="70">
        <f t="shared" ref="Q131:Y131" si="62">+Q124*Q110</f>
        <v>5940</v>
      </c>
      <c r="R131" s="70">
        <f t="shared" si="62"/>
        <v>5940</v>
      </c>
      <c r="S131" s="70">
        <f t="shared" si="62"/>
        <v>5940</v>
      </c>
      <c r="T131" s="70">
        <f t="shared" si="62"/>
        <v>9975</v>
      </c>
      <c r="U131" s="70">
        <f t="shared" si="62"/>
        <v>9975</v>
      </c>
      <c r="V131" s="70">
        <f t="shared" si="62"/>
        <v>9975</v>
      </c>
      <c r="W131" s="70">
        <f t="shared" si="62"/>
        <v>11875</v>
      </c>
      <c r="X131" s="70">
        <f t="shared" si="62"/>
        <v>11875</v>
      </c>
      <c r="Y131" s="71">
        <f t="shared" si="62"/>
        <v>11875</v>
      </c>
    </row>
    <row r="132" spans="1:25">
      <c r="A132" s="72" t="s">
        <v>56</v>
      </c>
      <c r="B132" s="70">
        <f>+(B111*B125)/12</f>
        <v>629.13991546316333</v>
      </c>
      <c r="C132" s="70">
        <f t="shared" ref="C132:M132" si="63">+(C111*C125)/12</f>
        <v>570.11651546323105</v>
      </c>
      <c r="D132" s="70">
        <f t="shared" si="63"/>
        <v>435.73977227913821</v>
      </c>
      <c r="E132" s="70">
        <f t="shared" si="63"/>
        <v>460.23993556781096</v>
      </c>
      <c r="F132" s="70">
        <f t="shared" si="63"/>
        <v>541.03253526382912</v>
      </c>
      <c r="G132" s="70">
        <f t="shared" si="63"/>
        <v>622.2168828280096</v>
      </c>
      <c r="H132" s="70">
        <f t="shared" si="63"/>
        <v>610.18486370534288</v>
      </c>
      <c r="I132" s="70">
        <f t="shared" si="63"/>
        <v>738.16492222953684</v>
      </c>
      <c r="J132" s="70">
        <f t="shared" si="63"/>
        <v>442.04368240924379</v>
      </c>
      <c r="K132" s="70">
        <f t="shared" si="63"/>
        <v>710.76907589285702</v>
      </c>
      <c r="L132" s="70">
        <f t="shared" si="63"/>
        <v>646.65732526889576</v>
      </c>
      <c r="M132" s="71">
        <f t="shared" si="63"/>
        <v>596.33256927951254</v>
      </c>
      <c r="N132" s="70">
        <f>(N124*N125*N111)/12</f>
        <v>411.66666666666669</v>
      </c>
      <c r="O132" s="70">
        <f>+(O124*O125*O111)/12</f>
        <v>411.66666666666669</v>
      </c>
      <c r="P132" s="70">
        <f t="shared" ref="P132:Y132" si="64">+(P124*P125*P111)/12</f>
        <v>411.66666666666669</v>
      </c>
      <c r="Q132" s="70">
        <f t="shared" si="64"/>
        <v>555.75</v>
      </c>
      <c r="R132" s="70">
        <f t="shared" si="64"/>
        <v>555.75</v>
      </c>
      <c r="S132" s="70">
        <f t="shared" si="64"/>
        <v>555.75</v>
      </c>
      <c r="T132" s="70">
        <f t="shared" si="64"/>
        <v>900.52083333333337</v>
      </c>
      <c r="U132" s="70">
        <f t="shared" si="64"/>
        <v>900.52083333333337</v>
      </c>
      <c r="V132" s="70">
        <f t="shared" si="64"/>
        <v>900.52083333333337</v>
      </c>
      <c r="W132" s="70">
        <f t="shared" si="64"/>
        <v>1072.0486111111111</v>
      </c>
      <c r="X132" s="70">
        <f t="shared" si="64"/>
        <v>1072.0486111111111</v>
      </c>
      <c r="Y132" s="70">
        <f t="shared" si="64"/>
        <v>1072.0486111111111</v>
      </c>
    </row>
    <row r="133" spans="1:25">
      <c r="A133" s="72" t="s">
        <v>57</v>
      </c>
      <c r="B133" s="70">
        <f>+B112*B126</f>
        <v>65.05</v>
      </c>
      <c r="C133" s="70">
        <f t="shared" ref="C133:M133" si="65">+C112*C126</f>
        <v>32.08</v>
      </c>
      <c r="D133" s="70">
        <f t="shared" si="65"/>
        <v>12.99</v>
      </c>
      <c r="E133" s="70">
        <f t="shared" si="65"/>
        <v>12.65</v>
      </c>
      <c r="F133" s="70">
        <f t="shared" si="65"/>
        <v>17.48</v>
      </c>
      <c r="G133" s="70">
        <f t="shared" si="65"/>
        <v>20.8</v>
      </c>
      <c r="H133" s="70">
        <f t="shared" si="65"/>
        <v>11.07</v>
      </c>
      <c r="I133" s="70">
        <f t="shared" si="65"/>
        <v>8.9600000000000009</v>
      </c>
      <c r="J133" s="70">
        <f t="shared" si="65"/>
        <v>47.080000000000005</v>
      </c>
      <c r="K133" s="70">
        <f t="shared" si="65"/>
        <v>59.195999999999998</v>
      </c>
      <c r="L133" s="70">
        <f t="shared" si="65"/>
        <v>37.395111111111113</v>
      </c>
      <c r="M133" s="71">
        <f t="shared" si="65"/>
        <v>48.34153086419753</v>
      </c>
      <c r="N133" s="70">
        <f>N124*N126*N112</f>
        <v>44</v>
      </c>
      <c r="O133" s="70">
        <f>O124*O126*O112</f>
        <v>44</v>
      </c>
      <c r="P133" s="70">
        <f t="shared" ref="P133:Y133" si="66">P124*P126*P112</f>
        <v>44</v>
      </c>
      <c r="Q133" s="70">
        <f t="shared" si="66"/>
        <v>59.400000000000006</v>
      </c>
      <c r="R133" s="70">
        <f t="shared" si="66"/>
        <v>59.400000000000006</v>
      </c>
      <c r="S133" s="70">
        <f t="shared" si="66"/>
        <v>59.400000000000006</v>
      </c>
      <c r="T133" s="70">
        <f t="shared" si="66"/>
        <v>96.25</v>
      </c>
      <c r="U133" s="70">
        <f t="shared" si="66"/>
        <v>96.25</v>
      </c>
      <c r="V133" s="70">
        <f t="shared" si="66"/>
        <v>96.25</v>
      </c>
      <c r="W133" s="70">
        <f t="shared" si="66"/>
        <v>114.58333333333334</v>
      </c>
      <c r="X133" s="70">
        <f t="shared" si="66"/>
        <v>114.58333333333334</v>
      </c>
      <c r="Y133" s="70">
        <f t="shared" si="66"/>
        <v>114.58333333333334</v>
      </c>
    </row>
    <row r="134" spans="1:25">
      <c r="A134" s="73" t="s">
        <v>61</v>
      </c>
      <c r="B134" s="74">
        <f>+B132+B133</f>
        <v>694.18991546316329</v>
      </c>
      <c r="C134" s="74">
        <f>+C132+C133</f>
        <v>602.19651546323109</v>
      </c>
      <c r="D134" s="74">
        <f t="shared" ref="D134:M134" si="67">+D132+D133</f>
        <v>448.72977227913822</v>
      </c>
      <c r="E134" s="74">
        <f t="shared" si="67"/>
        <v>472.88993556781094</v>
      </c>
      <c r="F134" s="74">
        <f t="shared" si="67"/>
        <v>558.51253526382914</v>
      </c>
      <c r="G134" s="74">
        <f t="shared" si="67"/>
        <v>643.01688282800956</v>
      </c>
      <c r="H134" s="74">
        <f t="shared" si="67"/>
        <v>621.25486370534293</v>
      </c>
      <c r="I134" s="74">
        <f t="shared" si="67"/>
        <v>747.12492222953688</v>
      </c>
      <c r="J134" s="74">
        <f t="shared" si="67"/>
        <v>489.12368240924377</v>
      </c>
      <c r="K134" s="74">
        <f t="shared" si="67"/>
        <v>769.96507589285704</v>
      </c>
      <c r="L134" s="74">
        <f t="shared" si="67"/>
        <v>684.05243638000684</v>
      </c>
      <c r="M134" s="75">
        <f t="shared" si="67"/>
        <v>644.67410014371012</v>
      </c>
      <c r="N134" s="74">
        <f>+N132+N133</f>
        <v>455.66666666666669</v>
      </c>
      <c r="O134" s="74">
        <f>+O132+O133</f>
        <v>455.66666666666669</v>
      </c>
      <c r="P134" s="74">
        <f t="shared" ref="P134:Y134" si="68">+P132+P133</f>
        <v>455.66666666666669</v>
      </c>
      <c r="Q134" s="74">
        <f t="shared" si="68"/>
        <v>615.15</v>
      </c>
      <c r="R134" s="74">
        <f t="shared" si="68"/>
        <v>615.15</v>
      </c>
      <c r="S134" s="74">
        <f t="shared" si="68"/>
        <v>615.15</v>
      </c>
      <c r="T134" s="74">
        <f t="shared" si="68"/>
        <v>996.77083333333337</v>
      </c>
      <c r="U134" s="74">
        <f t="shared" si="68"/>
        <v>996.77083333333337</v>
      </c>
      <c r="V134" s="74">
        <f t="shared" si="68"/>
        <v>996.77083333333337</v>
      </c>
      <c r="W134" s="74">
        <f t="shared" si="68"/>
        <v>1186.6319444444443</v>
      </c>
      <c r="X134" s="74">
        <f t="shared" si="68"/>
        <v>1186.6319444444443</v>
      </c>
      <c r="Y134" s="75">
        <f t="shared" si="68"/>
        <v>1186.6319444444443</v>
      </c>
    </row>
    <row r="135" spans="1:25">
      <c r="A135" s="5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32"/>
    </row>
    <row r="136" spans="1:25">
      <c r="A136" s="55" t="s">
        <v>62</v>
      </c>
      <c r="B136" s="53"/>
      <c r="C136" s="53"/>
      <c r="D136" s="53"/>
      <c r="E136" s="53"/>
      <c r="F136" s="53"/>
      <c r="G136" s="53"/>
      <c r="H136" s="53"/>
      <c r="I136" s="53"/>
      <c r="J136" s="53"/>
      <c r="K136" s="53"/>
      <c r="L136" s="53"/>
      <c r="M136" s="643"/>
      <c r="N136" s="76">
        <f>+((M126)*(1-N120))+((M139*M140)*(1-N118))</f>
        <v>18.369053497942389</v>
      </c>
      <c r="O136" s="76">
        <f>+((N124*N126)*(1-O120))+((N139*N140)*(1-O118))</f>
        <v>21.303368991034905</v>
      </c>
      <c r="P136" s="76">
        <f t="shared" ref="P136:Y136" si="69">+((O124*O126)*(1-P120))+((O139*O140)*(1-P118))</f>
        <v>25.497438016552678</v>
      </c>
      <c r="Q136" s="76">
        <f t="shared" si="69"/>
        <v>24.204817978164691</v>
      </c>
      <c r="R136" s="76">
        <f t="shared" si="69"/>
        <v>24.125242900578705</v>
      </c>
      <c r="S136" s="76">
        <f t="shared" si="69"/>
        <v>26.015473320328795</v>
      </c>
      <c r="T136" s="76">
        <f t="shared" si="69"/>
        <v>30.615242990356506</v>
      </c>
      <c r="U136" s="76">
        <f t="shared" si="69"/>
        <v>30.126250618841201</v>
      </c>
      <c r="V136" s="76">
        <f t="shared" si="69"/>
        <v>35.571509078260739</v>
      </c>
      <c r="W136" s="76">
        <f t="shared" si="69"/>
        <v>30.740510613253164</v>
      </c>
      <c r="X136" s="76">
        <f t="shared" si="69"/>
        <v>35.679083294523991</v>
      </c>
      <c r="Y136" s="76">
        <f t="shared" si="69"/>
        <v>36.128338057370065</v>
      </c>
    </row>
    <row r="137" spans="1:25">
      <c r="A137" s="55" t="s">
        <v>63</v>
      </c>
      <c r="B137" s="53"/>
      <c r="C137" s="53"/>
      <c r="D137" s="53"/>
      <c r="E137" s="53"/>
      <c r="F137" s="53"/>
      <c r="G137" s="53"/>
      <c r="H137" s="53"/>
      <c r="I137" s="53"/>
      <c r="J137" s="53"/>
      <c r="K137" s="53"/>
      <c r="L137" s="53"/>
      <c r="M137" s="643"/>
      <c r="N137" s="76">
        <f>+((B125*(1-N119)+(B139*B141)*(1-N118)))</f>
        <v>56.696084690759072</v>
      </c>
      <c r="O137" s="76">
        <f t="shared" ref="O137:Y137" si="70">+((C125*(1-O119)+(C139*C141)*(1-O118)))</f>
        <v>61.650407260305059</v>
      </c>
      <c r="P137" s="76">
        <f t="shared" si="70"/>
        <v>52.059818710255144</v>
      </c>
      <c r="Q137" s="76">
        <f t="shared" si="70"/>
        <v>49.894901361880692</v>
      </c>
      <c r="R137" s="76">
        <f t="shared" si="70"/>
        <v>57.222467343806457</v>
      </c>
      <c r="S137" s="76">
        <f t="shared" si="70"/>
        <v>72.685237356656401</v>
      </c>
      <c r="T137" s="76">
        <f t="shared" si="70"/>
        <v>57.186626204713448</v>
      </c>
      <c r="U137" s="76">
        <f t="shared" si="70"/>
        <v>78.772690916479817</v>
      </c>
      <c r="V137" s="76">
        <f t="shared" si="70"/>
        <v>53.328244622954763</v>
      </c>
      <c r="W137" s="76">
        <f t="shared" si="70"/>
        <v>74.569556751717499</v>
      </c>
      <c r="X137" s="76">
        <f t="shared" si="70"/>
        <v>70.076983659590979</v>
      </c>
      <c r="Y137" s="76">
        <f t="shared" si="70"/>
        <v>65.840934815573448</v>
      </c>
    </row>
    <row r="138" spans="1:25">
      <c r="A138" s="55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32"/>
    </row>
    <row r="139" spans="1:25">
      <c r="A139" s="55" t="s">
        <v>64</v>
      </c>
      <c r="B139" s="100">
        <v>21</v>
      </c>
      <c r="C139" s="100">
        <v>24</v>
      </c>
      <c r="D139" s="100">
        <v>27</v>
      </c>
      <c r="E139" s="100">
        <v>23</v>
      </c>
      <c r="F139" s="100">
        <v>26</v>
      </c>
      <c r="G139" s="100">
        <v>24</v>
      </c>
      <c r="H139" s="100">
        <v>29</v>
      </c>
      <c r="I139" s="100">
        <v>21</v>
      </c>
      <c r="J139" s="100">
        <v>29</v>
      </c>
      <c r="K139" s="644">
        <v>31</v>
      </c>
      <c r="L139" s="64">
        <f t="shared" ref="L139:Y141" si="71">+AVERAGE(I139:K139)</f>
        <v>27</v>
      </c>
      <c r="M139" s="65">
        <f t="shared" si="71"/>
        <v>29</v>
      </c>
      <c r="N139" s="82">
        <f>+N136*(1-N120)+N137*(1-N119)</f>
        <v>34.697201713472602</v>
      </c>
      <c r="O139" s="82">
        <f t="shared" ref="O139:Y139" si="72">+O136*(1-O120)+O137*(1-O119)</f>
        <v>42.122702626372252</v>
      </c>
      <c r="P139" s="82">
        <f t="shared" si="72"/>
        <v>40.074788119689188</v>
      </c>
      <c r="Q139" s="82">
        <f t="shared" si="72"/>
        <v>38.268887950671186</v>
      </c>
      <c r="R139" s="82">
        <f t="shared" si="72"/>
        <v>41.708480413059917</v>
      </c>
      <c r="S139" s="82">
        <f t="shared" si="72"/>
        <v>50.20166503732591</v>
      </c>
      <c r="T139" s="82">
        <f t="shared" si="72"/>
        <v>45.585422940726147</v>
      </c>
      <c r="U139" s="82">
        <f t="shared" si="72"/>
        <v>55.565274231041663</v>
      </c>
      <c r="V139" s="82">
        <f t="shared" si="72"/>
        <v>46.722900416404585</v>
      </c>
      <c r="W139" s="82">
        <f t="shared" si="72"/>
        <v>53.933473292788619</v>
      </c>
      <c r="X139" s="82">
        <f t="shared" si="72"/>
        <v>54.75851010122021</v>
      </c>
      <c r="Y139" s="361">
        <f t="shared" si="72"/>
        <v>53.012041259514476</v>
      </c>
    </row>
    <row r="140" spans="1:25">
      <c r="A140" s="52" t="s">
        <v>65</v>
      </c>
      <c r="B140" s="40">
        <v>0.47619047619047616</v>
      </c>
      <c r="C140" s="40">
        <v>0.58333333333333337</v>
      </c>
      <c r="D140" s="40">
        <v>0.44444444444444442</v>
      </c>
      <c r="E140" s="40">
        <v>0.56521739130434778</v>
      </c>
      <c r="F140" s="40">
        <v>0.46153846153846156</v>
      </c>
      <c r="G140" s="40">
        <v>0.41666666666666669</v>
      </c>
      <c r="H140" s="40">
        <v>0.48275862068965519</v>
      </c>
      <c r="I140" s="40">
        <v>0.66666666666666663</v>
      </c>
      <c r="J140" s="40">
        <v>0.55555555555555558</v>
      </c>
      <c r="K140" s="585">
        <f>+AVERAGE(H140:J140)</f>
        <v>0.56832694763729241</v>
      </c>
      <c r="L140" s="634">
        <f t="shared" si="71"/>
        <v>0.59684972328650499</v>
      </c>
      <c r="M140" s="586">
        <f t="shared" si="71"/>
        <v>0.57357740882645103</v>
      </c>
      <c r="N140" s="83">
        <f t="shared" si="71"/>
        <v>0.57958469325008277</v>
      </c>
      <c r="O140" s="83">
        <f t="shared" si="71"/>
        <v>0.58333727512101297</v>
      </c>
      <c r="P140" s="83">
        <f t="shared" si="71"/>
        <v>0.57883312573251555</v>
      </c>
      <c r="Q140" s="83">
        <f t="shared" si="71"/>
        <v>0.58058503136787032</v>
      </c>
      <c r="R140" s="83">
        <f t="shared" si="71"/>
        <v>0.58091847740713298</v>
      </c>
      <c r="S140" s="83">
        <f t="shared" si="71"/>
        <v>0.58011221150250625</v>
      </c>
      <c r="T140" s="83">
        <f t="shared" si="71"/>
        <v>0.58053857342583648</v>
      </c>
      <c r="U140" s="83">
        <f t="shared" si="71"/>
        <v>0.58052308744515857</v>
      </c>
      <c r="V140" s="83">
        <f t="shared" si="71"/>
        <v>0.58039129079116714</v>
      </c>
      <c r="W140" s="83">
        <f t="shared" si="71"/>
        <v>0.58048431722072069</v>
      </c>
      <c r="X140" s="83">
        <f t="shared" si="71"/>
        <v>0.58046623181901547</v>
      </c>
      <c r="Y140" s="84">
        <f t="shared" si="71"/>
        <v>0.58044727994363443</v>
      </c>
    </row>
    <row r="141" spans="1:25">
      <c r="A141" s="52" t="s">
        <v>66</v>
      </c>
      <c r="B141" s="40">
        <v>0.52380952380952372</v>
      </c>
      <c r="C141" s="40">
        <v>0.41666666666666669</v>
      </c>
      <c r="D141" s="40">
        <v>0.55555555555555558</v>
      </c>
      <c r="E141" s="40">
        <v>0.43478260869565222</v>
      </c>
      <c r="F141" s="40">
        <v>0.53846153846153844</v>
      </c>
      <c r="G141" s="40">
        <v>0.58333333333333337</v>
      </c>
      <c r="H141" s="40">
        <v>0.51724137931034486</v>
      </c>
      <c r="I141" s="40">
        <v>0.33333333333333331</v>
      </c>
      <c r="J141" s="40">
        <v>0.44444444444444442</v>
      </c>
      <c r="K141" s="585">
        <f>+AVERAGE(H141:J141)</f>
        <v>0.43167305236270753</v>
      </c>
      <c r="L141" s="634">
        <f t="shared" si="71"/>
        <v>0.40315027671349507</v>
      </c>
      <c r="M141" s="586">
        <f t="shared" si="71"/>
        <v>0.42642259117354903</v>
      </c>
      <c r="N141" s="83">
        <f t="shared" si="71"/>
        <v>0.42041530674991723</v>
      </c>
      <c r="O141" s="83">
        <f t="shared" si="71"/>
        <v>0.41666272487898715</v>
      </c>
      <c r="P141" s="83">
        <f t="shared" si="71"/>
        <v>0.4211668742674845</v>
      </c>
      <c r="Q141" s="83">
        <f t="shared" si="71"/>
        <v>0.41941496863212963</v>
      </c>
      <c r="R141" s="83">
        <f t="shared" si="71"/>
        <v>0.41908152259286707</v>
      </c>
      <c r="S141" s="83">
        <f t="shared" si="71"/>
        <v>0.4198877884974937</v>
      </c>
      <c r="T141" s="83">
        <f t="shared" si="71"/>
        <v>0.41946142657416347</v>
      </c>
      <c r="U141" s="83">
        <f t="shared" si="71"/>
        <v>0.41947691255484143</v>
      </c>
      <c r="V141" s="83">
        <f t="shared" si="71"/>
        <v>0.41960870920883292</v>
      </c>
      <c r="W141" s="83">
        <f t="shared" si="71"/>
        <v>0.41951568277927925</v>
      </c>
      <c r="X141" s="83">
        <f t="shared" si="71"/>
        <v>0.41953376818098453</v>
      </c>
      <c r="Y141" s="84">
        <f t="shared" si="71"/>
        <v>0.41955272005636557</v>
      </c>
    </row>
    <row r="142" spans="1:25">
      <c r="A142" s="55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32"/>
    </row>
    <row r="143" spans="1:25">
      <c r="A143" s="55" t="s">
        <v>67</v>
      </c>
      <c r="B143" s="97">
        <v>644.96</v>
      </c>
      <c r="C143" s="97">
        <v>618.83000000000004</v>
      </c>
      <c r="D143" s="97">
        <v>898.08</v>
      </c>
      <c r="E143" s="97">
        <v>561.23</v>
      </c>
      <c r="F143" s="97">
        <v>754.41</v>
      </c>
      <c r="G143" s="97">
        <v>905.00000000000011</v>
      </c>
      <c r="H143" s="97">
        <v>803.03</v>
      </c>
      <c r="I143" s="97">
        <v>501.23</v>
      </c>
      <c r="J143" s="97">
        <v>788.36</v>
      </c>
      <c r="K143" s="97">
        <v>1043.9000000000001</v>
      </c>
      <c r="L143" s="140">
        <f>+AVERAGE(I143:K143)</f>
        <v>777.83</v>
      </c>
      <c r="M143" s="631">
        <f>+AVERAGE(J143:L143)</f>
        <v>870.03000000000009</v>
      </c>
      <c r="N143" s="74">
        <f>((N139*N140)*[2]Supuestos!$M$17)+((N139*N141)*[2]Supuestos!$M$16)</f>
        <v>1065.7194644276228</v>
      </c>
      <c r="O143" s="74">
        <f>((O139*O140)*[2]Supuestos!$M$17)+((O139*O141)*[2]Supuestos!$M$16)</f>
        <v>1286.5390075720761</v>
      </c>
      <c r="P143" s="74">
        <f>((P139*P140)*[2]Supuestos!$M$17)+((P139*P141)*[2]Supuestos!$M$16)</f>
        <v>1232.2733702869677</v>
      </c>
      <c r="Q143" s="74">
        <f>((Q139*Q140)*[2]Supuestos!$M$17)+((Q139*Q141)*[2]Supuestos!$M$16)</f>
        <v>1173.666567504742</v>
      </c>
      <c r="R143" s="74">
        <f>((R139*R140)*[2]Supuestos!$M$17)+((R139*R141)*[2]Supuestos!$M$16)</f>
        <v>1278.5170498078096</v>
      </c>
      <c r="S143" s="74">
        <f>((S139*S140)*[2]Supuestos!$M$17)+((S139*S141)*[2]Supuestos!$M$16)</f>
        <v>1540.721535692215</v>
      </c>
      <c r="T143" s="74">
        <f>((T139*T140)*[2]Supuestos!$M$17)+((T139*T141)*[2]Supuestos!$M$16)</f>
        <v>1398.1541889760683</v>
      </c>
      <c r="U143" s="74">
        <f>((U139*U140)*[2]Supuestos!$M$17)+((U139*U141)*[2]Supuestos!$M$16)</f>
        <v>1704.2865007037169</v>
      </c>
      <c r="V143" s="74">
        <f>((V139*V140)*[2]Supuestos!$M$17)+((V139*V141)*[2]Supuestos!$M$16)</f>
        <v>1433.3576366138955</v>
      </c>
      <c r="W143" s="74">
        <f>((W139*W140)*[2]Supuestos!$M$17)+((W139*W141)*[2]Supuestos!$M$16)</f>
        <v>1654.3321972708027</v>
      </c>
      <c r="X143" s="74">
        <f>((X139*X140)*[2]Supuestos!$M$17)+((X139*X141)*[2]Supuestos!$M$16)</f>
        <v>1679.6844672810983</v>
      </c>
      <c r="Y143" s="75">
        <f>((Y139*Y140)*[2]Supuestos!$M$17)+((Y139*Y141)*[2]Supuestos!$M$16)</f>
        <v>1626.1586863306673</v>
      </c>
    </row>
    <row r="145" spans="1:25">
      <c r="A145" t="s">
        <v>68</v>
      </c>
      <c r="B145" s="12">
        <f>+B131+B143</f>
        <v>8259.6889855579611</v>
      </c>
      <c r="C145" s="12">
        <f>+C131+C143</f>
        <v>7492.3081855587725</v>
      </c>
      <c r="D145" s="12">
        <f>+D131+D143</f>
        <v>6139.9472673496584</v>
      </c>
      <c r="E145" s="12">
        <f>+E131+E143</f>
        <v>6096.7592268137305</v>
      </c>
      <c r="F145" s="12">
        <f t="shared" ref="F145:M145" si="73">+F131+F143</f>
        <v>7264.2804231659493</v>
      </c>
      <c r="G145" s="12">
        <f t="shared" si="73"/>
        <v>8392.4025939361163</v>
      </c>
      <c r="H145" s="12">
        <f t="shared" si="73"/>
        <v>8136.318364464114</v>
      </c>
      <c r="I145" s="12">
        <f t="shared" si="73"/>
        <v>9368.1690667544408</v>
      </c>
      <c r="J145" s="12">
        <f t="shared" si="73"/>
        <v>6139.9641889109253</v>
      </c>
      <c r="K145" s="12">
        <f t="shared" si="73"/>
        <v>9632.3249107142838</v>
      </c>
      <c r="L145" s="12">
        <f t="shared" si="73"/>
        <v>8575.1130143378596</v>
      </c>
      <c r="M145" s="32">
        <f t="shared" si="73"/>
        <v>8074.3623622183486</v>
      </c>
      <c r="N145" s="12">
        <f>+N131+N143</f>
        <v>5305.7194644276224</v>
      </c>
      <c r="O145" s="12">
        <f t="shared" ref="O145:Y145" si="74">+O131+O143</f>
        <v>5526.5390075720761</v>
      </c>
      <c r="P145" s="12">
        <f t="shared" si="74"/>
        <v>5472.2733702869682</v>
      </c>
      <c r="Q145" s="12">
        <f t="shared" si="74"/>
        <v>7113.6665675047425</v>
      </c>
      <c r="R145" s="12">
        <f t="shared" si="74"/>
        <v>7218.5170498078096</v>
      </c>
      <c r="S145" s="12">
        <f t="shared" si="74"/>
        <v>7480.7215356922152</v>
      </c>
      <c r="T145" s="12">
        <f t="shared" si="74"/>
        <v>11373.154188976068</v>
      </c>
      <c r="U145" s="12">
        <f t="shared" si="74"/>
        <v>11679.286500703716</v>
      </c>
      <c r="V145" s="12">
        <f t="shared" si="74"/>
        <v>11408.357636613895</v>
      </c>
      <c r="W145" s="12">
        <f t="shared" si="74"/>
        <v>13529.332197270804</v>
      </c>
      <c r="X145" s="12">
        <f t="shared" si="74"/>
        <v>13554.684467281098</v>
      </c>
      <c r="Y145" s="32">
        <f t="shared" si="74"/>
        <v>13501.158686330667</v>
      </c>
    </row>
    <row r="146" spans="1:25">
      <c r="A146" t="s">
        <v>69</v>
      </c>
      <c r="B146" s="86">
        <f>+-((B132*(B115))+(B133*(B115))+(B143*(B116)))</f>
        <v>-53.56599661852654</v>
      </c>
      <c r="C146" s="86">
        <f>+-((C132*(C115))+(C133*(C115))+(C143*(C116)))</f>
        <v>-48.841060618529248</v>
      </c>
      <c r="D146" s="86">
        <f t="shared" ref="D146:M146" si="75">+-((D132*(D115))+(D133*(D115))+(D143*(D116)))</f>
        <v>-53.87239089116553</v>
      </c>
      <c r="E146" s="86">
        <f t="shared" si="75"/>
        <v>-41.364797422712442</v>
      </c>
      <c r="F146" s="86">
        <f t="shared" si="75"/>
        <v>-52.516901410553167</v>
      </c>
      <c r="G146" s="86">
        <f t="shared" si="75"/>
        <v>-61.920675313120384</v>
      </c>
      <c r="H146" s="86">
        <f t="shared" si="75"/>
        <v>-56.971394548213716</v>
      </c>
      <c r="I146" s="86">
        <f t="shared" si="75"/>
        <v>-49.934196889181479</v>
      </c>
      <c r="J146" s="86">
        <f t="shared" si="75"/>
        <v>-51.099347296369757</v>
      </c>
      <c r="K146" s="86">
        <f t="shared" si="75"/>
        <v>-72.554603035714294</v>
      </c>
      <c r="L146" s="86">
        <f t="shared" si="75"/>
        <v>-58.475297455200277</v>
      </c>
      <c r="M146" s="87">
        <f t="shared" si="75"/>
        <v>-60.588164005748403</v>
      </c>
      <c r="N146" s="86">
        <f>+-(N131*N115)+(N143*(N116))</f>
        <v>-126.97122142289507</v>
      </c>
      <c r="O146" s="86">
        <f t="shared" ref="O146:Y146" si="76">+-(O131*O115)+(O143*(O116))</f>
        <v>-118.13843969711695</v>
      </c>
      <c r="P146" s="86">
        <f>+-(P131*P115)+(P143*(P116))</f>
        <v>-120.30906518852129</v>
      </c>
      <c r="Q146" s="86">
        <f>+-(Q131*Q115)+(Q143*(Q116))</f>
        <v>-190.65333729981032</v>
      </c>
      <c r="R146" s="86">
        <f t="shared" si="76"/>
        <v>-186.45931800768761</v>
      </c>
      <c r="S146" s="86">
        <f t="shared" si="76"/>
        <v>-175.97113857231139</v>
      </c>
      <c r="T146" s="86">
        <f t="shared" si="76"/>
        <v>-343.07383244095729</v>
      </c>
      <c r="U146" s="86">
        <f t="shared" si="76"/>
        <v>-330.82853997185134</v>
      </c>
      <c r="V146" s="86">
        <f t="shared" si="76"/>
        <v>-341.66569453544417</v>
      </c>
      <c r="W146" s="86">
        <f t="shared" si="76"/>
        <v>-408.82671210916789</v>
      </c>
      <c r="X146" s="86">
        <f t="shared" si="76"/>
        <v>-407.81262130875609</v>
      </c>
      <c r="Y146" s="87">
        <f t="shared" si="76"/>
        <v>-409.9536525467733</v>
      </c>
    </row>
    <row r="147" spans="1:25">
      <c r="A147" t="s">
        <v>70</v>
      </c>
      <c r="B147" s="12">
        <f>+SUM(B145:B146)</f>
        <v>8206.1229889394344</v>
      </c>
      <c r="C147" s="12">
        <f t="shared" ref="C147:Y147" si="77">+SUM(C145:C146)</f>
        <v>7443.4671249402436</v>
      </c>
      <c r="D147" s="12">
        <f t="shared" si="77"/>
        <v>6086.0748764584932</v>
      </c>
      <c r="E147" s="12">
        <f t="shared" si="77"/>
        <v>6055.3944293910181</v>
      </c>
      <c r="F147" s="12">
        <f t="shared" si="77"/>
        <v>7211.7635217553961</v>
      </c>
      <c r="G147" s="12">
        <f t="shared" si="77"/>
        <v>8330.4819186229961</v>
      </c>
      <c r="H147" s="12">
        <f t="shared" si="77"/>
        <v>8079.3469699159004</v>
      </c>
      <c r="I147" s="12">
        <f t="shared" si="77"/>
        <v>9318.2348698652586</v>
      </c>
      <c r="J147" s="12">
        <f t="shared" si="77"/>
        <v>6088.8648416145552</v>
      </c>
      <c r="K147" s="12">
        <f t="shared" si="77"/>
        <v>9559.7703076785692</v>
      </c>
      <c r="L147" s="12">
        <f t="shared" si="77"/>
        <v>8516.6377168826584</v>
      </c>
      <c r="M147" s="32">
        <f t="shared" si="77"/>
        <v>8013.7741982125999</v>
      </c>
      <c r="N147" s="12">
        <f t="shared" si="77"/>
        <v>5178.7482430047276</v>
      </c>
      <c r="O147" s="12">
        <f t="shared" si="77"/>
        <v>5408.4005678749591</v>
      </c>
      <c r="P147" s="12">
        <f t="shared" si="77"/>
        <v>5351.9643050984469</v>
      </c>
      <c r="Q147" s="12">
        <f t="shared" si="77"/>
        <v>6923.0132302049324</v>
      </c>
      <c r="R147" s="12">
        <f t="shared" si="77"/>
        <v>7032.0577318001224</v>
      </c>
      <c r="S147" s="12">
        <f t="shared" si="77"/>
        <v>7304.7503971199039</v>
      </c>
      <c r="T147" s="12">
        <f t="shared" si="77"/>
        <v>11030.080356535111</v>
      </c>
      <c r="U147" s="12">
        <f t="shared" si="77"/>
        <v>11348.457960731865</v>
      </c>
      <c r="V147" s="12">
        <f t="shared" si="77"/>
        <v>11066.691942078451</v>
      </c>
      <c r="W147" s="12">
        <f t="shared" si="77"/>
        <v>13120.505485161635</v>
      </c>
      <c r="X147" s="12">
        <f t="shared" si="77"/>
        <v>13146.871845972342</v>
      </c>
      <c r="Y147" s="32">
        <f t="shared" si="77"/>
        <v>13091.205033783894</v>
      </c>
    </row>
    <row r="148" spans="1:25"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3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32"/>
    </row>
    <row r="149" spans="1:25">
      <c r="A149" s="529" t="s">
        <v>706</v>
      </c>
      <c r="B149" s="29">
        <f>B147-B106</f>
        <v>8206.1229889394344</v>
      </c>
      <c r="C149" s="29">
        <f t="shared" ref="C149:L149" si="78">C147-C106</f>
        <v>7443.4671249402436</v>
      </c>
      <c r="D149" s="29">
        <f t="shared" si="78"/>
        <v>6086.0748764584932</v>
      </c>
      <c r="E149" s="29">
        <f t="shared" si="78"/>
        <v>6055.3944293910181</v>
      </c>
      <c r="F149" s="29">
        <f t="shared" si="78"/>
        <v>7211.7635217553961</v>
      </c>
      <c r="G149" s="29">
        <f t="shared" si="78"/>
        <v>8330.4819186229961</v>
      </c>
      <c r="H149" s="29">
        <f t="shared" si="78"/>
        <v>8079.3469699159004</v>
      </c>
      <c r="I149" s="29">
        <f t="shared" si="78"/>
        <v>7352.8648698652587</v>
      </c>
      <c r="J149" s="29">
        <f t="shared" si="78"/>
        <v>-1697.0523613854439</v>
      </c>
      <c r="K149" s="29">
        <f t="shared" si="78"/>
        <v>5662.2903076785688</v>
      </c>
      <c r="L149" s="29">
        <f t="shared" si="78"/>
        <v>4516.6377168826584</v>
      </c>
      <c r="M149" s="362">
        <f>M147-M106</f>
        <v>4013.7741982125999</v>
      </c>
      <c r="N149" s="29">
        <f>N147-N106</f>
        <v>1178.7482430047276</v>
      </c>
      <c r="O149" s="29">
        <f t="shared" ref="O149:Y149" si="79">O147-O106</f>
        <v>1408.4005678749591</v>
      </c>
      <c r="P149" s="29">
        <f t="shared" si="79"/>
        <v>1351.9643050984469</v>
      </c>
      <c r="Q149" s="551">
        <f t="shared" si="79"/>
        <v>1523.0132302049324</v>
      </c>
      <c r="R149" s="551">
        <f t="shared" si="79"/>
        <v>1632.0577318001224</v>
      </c>
      <c r="S149" s="551">
        <f t="shared" si="79"/>
        <v>1904.7503971199039</v>
      </c>
      <c r="T149" s="29">
        <f t="shared" si="79"/>
        <v>4730.0803565351107</v>
      </c>
      <c r="U149" s="29">
        <f t="shared" si="79"/>
        <v>5048.4579607318647</v>
      </c>
      <c r="V149" s="29">
        <f t="shared" si="79"/>
        <v>4766.6919420784507</v>
      </c>
      <c r="W149" s="29">
        <f t="shared" si="79"/>
        <v>5620.5054851616351</v>
      </c>
      <c r="X149" s="29">
        <f t="shared" si="79"/>
        <v>5646.8718459723423</v>
      </c>
      <c r="Y149" s="362">
        <f t="shared" si="79"/>
        <v>5591.2050337838937</v>
      </c>
    </row>
    <row r="150" spans="1:25">
      <c r="A150" s="5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362"/>
      <c r="N150" s="29"/>
      <c r="O150" s="29"/>
      <c r="P150" s="29"/>
      <c r="Q150" s="551"/>
      <c r="R150" s="551"/>
      <c r="S150" s="551"/>
      <c r="T150" s="29"/>
      <c r="U150" s="29"/>
      <c r="V150" s="29"/>
      <c r="W150" s="29"/>
      <c r="X150" s="29"/>
      <c r="Y150" s="362"/>
    </row>
    <row r="152" spans="1:25" s="104" customFormat="1">
      <c r="A152" s="767" t="s">
        <v>73</v>
      </c>
      <c r="M152" s="105"/>
      <c r="Y152" s="105"/>
    </row>
    <row r="153" spans="1:25" s="104" customFormat="1">
      <c r="A153" s="767"/>
      <c r="M153" s="105"/>
      <c r="Y153" s="105"/>
    </row>
    <row r="155" spans="1:25">
      <c r="A155" s="106" t="s">
        <v>43</v>
      </c>
      <c r="B155" s="107">
        <f t="shared" ref="B155:Y155" si="80">+B8+B57+B106</f>
        <v>152191.41</v>
      </c>
      <c r="C155" s="107">
        <f t="shared" si="80"/>
        <v>147310.82000100001</v>
      </c>
      <c r="D155" s="107">
        <f t="shared" si="80"/>
        <v>158959.62999999998</v>
      </c>
      <c r="E155" s="107">
        <f t="shared" si="80"/>
        <v>152691.63</v>
      </c>
      <c r="F155" s="107">
        <f t="shared" si="80"/>
        <v>146723.98000499999</v>
      </c>
      <c r="G155" s="107">
        <f t="shared" si="80"/>
        <v>160311.90999899997</v>
      </c>
      <c r="H155" s="107">
        <f t="shared" si="80"/>
        <v>173453.849999</v>
      </c>
      <c r="I155" s="107">
        <f t="shared" si="80"/>
        <v>169296.77000400002</v>
      </c>
      <c r="J155" s="107">
        <f t="shared" si="80"/>
        <v>157767.64834799996</v>
      </c>
      <c r="K155" s="107">
        <f t="shared" si="80"/>
        <v>148629.48000000001</v>
      </c>
      <c r="L155" s="107">
        <f t="shared" si="80"/>
        <v>158015.04371633334</v>
      </c>
      <c r="M155" s="108">
        <f t="shared" si="80"/>
        <v>153576.25828711112</v>
      </c>
      <c r="N155" s="107">
        <f>+N8+N57+N106</f>
        <v>151600</v>
      </c>
      <c r="O155" s="107">
        <f t="shared" si="80"/>
        <v>151600</v>
      </c>
      <c r="P155" s="107">
        <f t="shared" si="80"/>
        <v>151600</v>
      </c>
      <c r="Q155" s="107">
        <f t="shared" si="80"/>
        <v>177600</v>
      </c>
      <c r="R155" s="107">
        <f t="shared" si="80"/>
        <v>177600</v>
      </c>
      <c r="S155" s="107">
        <f t="shared" si="80"/>
        <v>177600</v>
      </c>
      <c r="T155" s="107">
        <f t="shared" si="80"/>
        <v>218800</v>
      </c>
      <c r="U155" s="107">
        <f t="shared" si="80"/>
        <v>218800</v>
      </c>
      <c r="V155" s="107">
        <f t="shared" si="80"/>
        <v>218800</v>
      </c>
      <c r="W155" s="107">
        <f t="shared" si="80"/>
        <v>220000</v>
      </c>
      <c r="X155" s="107">
        <f t="shared" si="80"/>
        <v>220000</v>
      </c>
      <c r="Y155" s="108">
        <f t="shared" si="80"/>
        <v>220000</v>
      </c>
    </row>
    <row r="156" spans="1:25">
      <c r="A156" s="106" t="s">
        <v>45</v>
      </c>
      <c r="B156" s="109">
        <f>+B155/B157</f>
        <v>1.4061946123042501</v>
      </c>
      <c r="C156" s="109">
        <f t="shared" ref="C156:M156" si="81">+C155/C157</f>
        <v>1.601733906826416</v>
      </c>
      <c r="D156" s="109">
        <f t="shared" si="81"/>
        <v>1.9301233559177391</v>
      </c>
      <c r="E156" s="109">
        <f t="shared" si="81"/>
        <v>1.9891235681131549</v>
      </c>
      <c r="F156" s="109">
        <f t="shared" si="81"/>
        <v>1.9525401582937847</v>
      </c>
      <c r="G156" s="109">
        <f t="shared" si="81"/>
        <v>1.8961284781950429</v>
      </c>
      <c r="H156" s="109">
        <f t="shared" si="81"/>
        <v>1.8910524727009199</v>
      </c>
      <c r="I156" s="109">
        <f t="shared" si="81"/>
        <v>1.7568711778604675</v>
      </c>
      <c r="J156" s="109">
        <f t="shared" si="81"/>
        <v>1.874863110146803</v>
      </c>
      <c r="K156" s="109">
        <f t="shared" si="81"/>
        <v>1.248018975384666</v>
      </c>
      <c r="L156" s="109">
        <f t="shared" si="81"/>
        <v>1.5036257171170131</v>
      </c>
      <c r="M156" s="110">
        <f t="shared" si="81"/>
        <v>1.4849583265563038</v>
      </c>
      <c r="N156" s="109">
        <f>+N155/N157</f>
        <v>1.5491683053552401</v>
      </c>
      <c r="O156" s="109">
        <f t="shared" ref="O156:Y156" si="82">+O155/O157</f>
        <v>1.5491683053552401</v>
      </c>
      <c r="P156" s="109">
        <f t="shared" si="82"/>
        <v>1.5491683053552401</v>
      </c>
      <c r="Q156" s="109">
        <f t="shared" si="82"/>
        <v>1.4903496503496503</v>
      </c>
      <c r="R156" s="109">
        <f t="shared" si="82"/>
        <v>1.4903496503496503</v>
      </c>
      <c r="S156" s="109">
        <f t="shared" si="82"/>
        <v>1.4903496503496503</v>
      </c>
      <c r="T156" s="109">
        <f t="shared" si="82"/>
        <v>1.4191921011855428</v>
      </c>
      <c r="U156" s="109">
        <f t="shared" si="82"/>
        <v>1.4191921011855428</v>
      </c>
      <c r="V156" s="109">
        <f t="shared" si="82"/>
        <v>1.4191921011855428</v>
      </c>
      <c r="W156" s="109">
        <f t="shared" si="82"/>
        <v>1.2553572531340704</v>
      </c>
      <c r="X156" s="109">
        <f t="shared" si="82"/>
        <v>1.2553572531340704</v>
      </c>
      <c r="Y156" s="110">
        <f t="shared" si="82"/>
        <v>1.2553572531340704</v>
      </c>
    </row>
    <row r="157" spans="1:25">
      <c r="A157" s="106" t="s">
        <v>74</v>
      </c>
      <c r="B157" s="111">
        <f t="shared" ref="B157:Y157" si="83">+B24+B73+B122</f>
        <v>108229.26547173489</v>
      </c>
      <c r="C157" s="111">
        <f t="shared" si="83"/>
        <v>91969.595806879835</v>
      </c>
      <c r="D157" s="111">
        <f t="shared" si="83"/>
        <v>82357.238729136836</v>
      </c>
      <c r="E157" s="111">
        <f t="shared" si="83"/>
        <v>76763.27024008891</v>
      </c>
      <c r="F157" s="111">
        <f t="shared" si="83"/>
        <v>75145.179156373328</v>
      </c>
      <c r="G157" s="111">
        <f t="shared" si="83"/>
        <v>84546.966011292447</v>
      </c>
      <c r="H157" s="111">
        <f t="shared" si="83"/>
        <v>91723.446336347464</v>
      </c>
      <c r="I157" s="111">
        <f t="shared" si="83"/>
        <v>96362.654324018818</v>
      </c>
      <c r="J157" s="111">
        <f t="shared" si="83"/>
        <v>84148.889321123104</v>
      </c>
      <c r="K157" s="111">
        <f t="shared" si="83"/>
        <v>119092.32386005127</v>
      </c>
      <c r="L157" s="111">
        <f t="shared" si="83"/>
        <v>105089.34631638553</v>
      </c>
      <c r="M157" s="112">
        <f t="shared" si="83"/>
        <v>103421.25805190945</v>
      </c>
      <c r="N157" s="111">
        <f t="shared" si="83"/>
        <v>97858.960498960485</v>
      </c>
      <c r="O157" s="111">
        <f t="shared" si="83"/>
        <v>97858.960498960485</v>
      </c>
      <c r="P157" s="111">
        <f t="shared" si="83"/>
        <v>97858.960498960485</v>
      </c>
      <c r="Q157" s="111">
        <f t="shared" si="83"/>
        <v>119166.66666666667</v>
      </c>
      <c r="R157" s="111">
        <f t="shared" si="83"/>
        <v>119166.66666666667</v>
      </c>
      <c r="S157" s="111">
        <f t="shared" si="83"/>
        <v>119166.66666666667</v>
      </c>
      <c r="T157" s="111">
        <f t="shared" si="83"/>
        <v>154172.22222222222</v>
      </c>
      <c r="U157" s="111">
        <f t="shared" si="83"/>
        <v>154172.22222222222</v>
      </c>
      <c r="V157" s="111">
        <f t="shared" si="83"/>
        <v>154172.22222222222</v>
      </c>
      <c r="W157" s="111">
        <f t="shared" si="83"/>
        <v>175248.91774891774</v>
      </c>
      <c r="X157" s="111">
        <f t="shared" si="83"/>
        <v>175248.91774891774</v>
      </c>
      <c r="Y157" s="112">
        <f t="shared" si="83"/>
        <v>175248.91774891774</v>
      </c>
    </row>
    <row r="158" spans="1:25">
      <c r="A158" s="106" t="s">
        <v>75</v>
      </c>
      <c r="B158" s="653">
        <f>+B159/B157</f>
        <v>4.6771160685058363E-2</v>
      </c>
      <c r="C158" s="653">
        <f t="shared" ref="C158:M158" si="84">+C159/C157</f>
        <v>5.1862662877688169E-2</v>
      </c>
      <c r="D158" s="653">
        <f t="shared" si="84"/>
        <v>6.3075947553564299E-2</v>
      </c>
      <c r="E158" s="653">
        <f t="shared" si="84"/>
        <v>5.6590704809195834E-2</v>
      </c>
      <c r="F158" s="653">
        <f t="shared" si="84"/>
        <v>5.5274120767169824E-2</v>
      </c>
      <c r="G158" s="653">
        <f t="shared" si="84"/>
        <v>5.314293545636211E-2</v>
      </c>
      <c r="H158" s="653">
        <f t="shared" si="84"/>
        <v>5.6261877242988222E-2</v>
      </c>
      <c r="I158" s="653">
        <f t="shared" si="84"/>
        <v>5.620113672620488E-2</v>
      </c>
      <c r="J158" s="653">
        <f t="shared" si="84"/>
        <v>5.1831887638453228E-2</v>
      </c>
      <c r="K158" s="653">
        <f t="shared" si="84"/>
        <v>3.9923130134941406E-2</v>
      </c>
      <c r="L158" s="653">
        <f t="shared" si="84"/>
        <v>4.697761556801569E-2</v>
      </c>
      <c r="M158" s="654">
        <f t="shared" si="84"/>
        <v>4.6153712340746784E-2</v>
      </c>
      <c r="N158" s="653">
        <f>+N159/N157</f>
        <v>4.5289887266157583E-2</v>
      </c>
      <c r="O158" s="653">
        <f t="shared" ref="O158:Y158" si="85">+O159/O157</f>
        <v>4.5289887266157583E-2</v>
      </c>
      <c r="P158" s="653">
        <f t="shared" si="85"/>
        <v>4.5289887266157583E-2</v>
      </c>
      <c r="Q158" s="653">
        <f t="shared" si="85"/>
        <v>4.554181818181819E-2</v>
      </c>
      <c r="R158" s="653">
        <f t="shared" si="85"/>
        <v>4.554181818181819E-2</v>
      </c>
      <c r="S158" s="653">
        <f t="shared" si="85"/>
        <v>4.554181818181819E-2</v>
      </c>
      <c r="T158" s="653">
        <f t="shared" si="85"/>
        <v>4.8802295412777918E-2</v>
      </c>
      <c r="U158" s="653">
        <f t="shared" si="85"/>
        <v>4.8802295412777918E-2</v>
      </c>
      <c r="V158" s="653">
        <f t="shared" si="85"/>
        <v>4.8802295412777918E-2</v>
      </c>
      <c r="W158" s="653">
        <f t="shared" si="85"/>
        <v>4.8242450441548825E-2</v>
      </c>
      <c r="X158" s="653">
        <f t="shared" si="85"/>
        <v>4.8242450441548825E-2</v>
      </c>
      <c r="Y158" s="654">
        <f t="shared" si="85"/>
        <v>4.8242450441548825E-2</v>
      </c>
    </row>
    <row r="159" spans="1:25">
      <c r="A159" s="106" t="s">
        <v>55</v>
      </c>
      <c r="B159" s="111">
        <f t="shared" ref="B159:Y159" si="86">+B26+B75+B124</f>
        <v>5062.0083662043517</v>
      </c>
      <c r="C159" s="111">
        <f t="shared" si="86"/>
        <v>4769.7881423294521</v>
      </c>
      <c r="D159" s="111">
        <f t="shared" si="86"/>
        <v>5194.7608707354093</v>
      </c>
      <c r="E159" s="111">
        <f t="shared" si="86"/>
        <v>4344.087566345399</v>
      </c>
      <c r="F159" s="111">
        <f t="shared" si="86"/>
        <v>4153.5837077599917</v>
      </c>
      <c r="G159" s="111">
        <f t="shared" si="86"/>
        <v>4493.0739577693557</v>
      </c>
      <c r="H159" s="111">
        <f t="shared" si="86"/>
        <v>5160.5332780793988</v>
      </c>
      <c r="I159" s="111">
        <f t="shared" si="86"/>
        <v>5415.6907109641998</v>
      </c>
      <c r="J159" s="111">
        <f t="shared" si="86"/>
        <v>4361.5957761930895</v>
      </c>
      <c r="K159" s="111">
        <f t="shared" si="86"/>
        <v>4754.5383435374142</v>
      </c>
      <c r="L159" s="111">
        <f t="shared" si="86"/>
        <v>4936.8469115452253</v>
      </c>
      <c r="M159" s="112">
        <f t="shared" si="86"/>
        <v>4773.2749940459707</v>
      </c>
      <c r="N159" s="111">
        <f t="shared" si="86"/>
        <v>4432.0212889812883</v>
      </c>
      <c r="O159" s="111">
        <f t="shared" si="86"/>
        <v>4432.0212889812883</v>
      </c>
      <c r="P159" s="111">
        <f t="shared" si="86"/>
        <v>4432.0212889812883</v>
      </c>
      <c r="Q159" s="111">
        <f t="shared" si="86"/>
        <v>5427.0666666666675</v>
      </c>
      <c r="R159" s="111">
        <f t="shared" si="86"/>
        <v>5427.0666666666675</v>
      </c>
      <c r="S159" s="111">
        <f t="shared" si="86"/>
        <v>5427.0666666666675</v>
      </c>
      <c r="T159" s="111">
        <f t="shared" si="86"/>
        <v>7523.958333333333</v>
      </c>
      <c r="U159" s="111">
        <f t="shared" si="86"/>
        <v>7523.958333333333</v>
      </c>
      <c r="V159" s="111">
        <f t="shared" si="86"/>
        <v>7523.958333333333</v>
      </c>
      <c r="W159" s="111">
        <f t="shared" si="86"/>
        <v>8454.4372294372297</v>
      </c>
      <c r="X159" s="111">
        <f t="shared" si="86"/>
        <v>8454.4372294372297</v>
      </c>
      <c r="Y159" s="112">
        <f t="shared" si="86"/>
        <v>8454.4372294372297</v>
      </c>
    </row>
    <row r="160" spans="1:25">
      <c r="A160" s="106" t="s">
        <v>76</v>
      </c>
      <c r="B160" s="655">
        <f>B155/B159</f>
        <v>30.065420479365539</v>
      </c>
      <c r="C160" s="655">
        <f t="shared" ref="C160:Y160" si="87">C155/C159</f>
        <v>30.884143195730466</v>
      </c>
      <c r="D160" s="655">
        <f t="shared" si="87"/>
        <v>30.599989865846599</v>
      </c>
      <c r="E160" s="655">
        <f t="shared" si="87"/>
        <v>35.149298366574286</v>
      </c>
      <c r="F160" s="655">
        <f t="shared" si="87"/>
        <v>35.324671495335664</v>
      </c>
      <c r="G160" s="655">
        <f t="shared" si="87"/>
        <v>35.679784376081997</v>
      </c>
      <c r="H160" s="655">
        <f t="shared" si="87"/>
        <v>33.611613500447092</v>
      </c>
      <c r="I160" s="655">
        <f t="shared" si="87"/>
        <v>31.260420699663392</v>
      </c>
      <c r="J160" s="655">
        <f t="shared" si="87"/>
        <v>36.17200135994802</v>
      </c>
      <c r="K160" s="655">
        <f t="shared" si="87"/>
        <v>31.260549239659408</v>
      </c>
      <c r="L160" s="655">
        <f t="shared" si="87"/>
        <v>32.00728046616193</v>
      </c>
      <c r="M160" s="656">
        <f t="shared" si="87"/>
        <v>32.174190357496101</v>
      </c>
      <c r="N160" s="655">
        <f t="shared" si="87"/>
        <v>34.205611867637408</v>
      </c>
      <c r="O160" s="655">
        <f t="shared" si="87"/>
        <v>34.205611867637408</v>
      </c>
      <c r="P160" s="655">
        <f t="shared" si="87"/>
        <v>34.205611867637408</v>
      </c>
      <c r="Q160" s="655">
        <f t="shared" si="87"/>
        <v>32.724860575387559</v>
      </c>
      <c r="R160" s="655">
        <f t="shared" si="87"/>
        <v>32.724860575387559</v>
      </c>
      <c r="S160" s="655">
        <f t="shared" si="87"/>
        <v>32.724860575387559</v>
      </c>
      <c r="T160" s="655">
        <f t="shared" si="87"/>
        <v>29.080437491347087</v>
      </c>
      <c r="U160" s="655">
        <f t="shared" si="87"/>
        <v>29.080437491347087</v>
      </c>
      <c r="V160" s="655">
        <f t="shared" si="87"/>
        <v>29.080437491347087</v>
      </c>
      <c r="W160" s="655">
        <f t="shared" si="87"/>
        <v>26.021838477195047</v>
      </c>
      <c r="X160" s="655">
        <f t="shared" si="87"/>
        <v>26.021838477195047</v>
      </c>
      <c r="Y160" s="656">
        <f t="shared" si="87"/>
        <v>26.021838477195047</v>
      </c>
    </row>
    <row r="161" spans="1:25">
      <c r="A161" s="106" t="s">
        <v>77</v>
      </c>
      <c r="B161" s="113">
        <f>+B82+B33+B131</f>
        <v>303751.07382759434</v>
      </c>
      <c r="C161" s="113">
        <f t="shared" ref="C161:N161" si="88">+C82+C33+C131</f>
        <v>275814.07763202401</v>
      </c>
      <c r="D161" s="113">
        <f t="shared" si="88"/>
        <v>298138.79700916121</v>
      </c>
      <c r="E161" s="113">
        <f t="shared" si="88"/>
        <v>248488.99454838302</v>
      </c>
      <c r="F161" s="113">
        <f t="shared" si="88"/>
        <v>231971.02116005676</v>
      </c>
      <c r="G161" s="113">
        <f t="shared" si="88"/>
        <v>247301.36508481216</v>
      </c>
      <c r="H161" s="113">
        <f t="shared" si="88"/>
        <v>284021.47946353577</v>
      </c>
      <c r="I161" s="113">
        <f t="shared" si="88"/>
        <v>293933.15074003686</v>
      </c>
      <c r="J161" s="113">
        <f t="shared" si="88"/>
        <v>241308.09194220218</v>
      </c>
      <c r="K161" s="113">
        <f t="shared" si="88"/>
        <v>269395.57790696359</v>
      </c>
      <c r="L161" s="113">
        <f t="shared" si="88"/>
        <v>274930.76046767889</v>
      </c>
      <c r="M161" s="114">
        <f t="shared" si="88"/>
        <v>268162.77212240966</v>
      </c>
      <c r="N161" s="113">
        <f t="shared" si="88"/>
        <v>243966.94885654884</v>
      </c>
      <c r="O161" s="113">
        <f t="shared" ref="O161:Y161" si="89">+O82+O33+O131</f>
        <v>243966.94885654884</v>
      </c>
      <c r="P161" s="113">
        <f t="shared" si="89"/>
        <v>243966.94885654884</v>
      </c>
      <c r="Q161" s="113">
        <f t="shared" si="89"/>
        <v>305491.46666666673</v>
      </c>
      <c r="R161" s="113">
        <f t="shared" si="89"/>
        <v>305491.46666666673</v>
      </c>
      <c r="S161" s="113">
        <f t="shared" si="89"/>
        <v>305491.46666666673</v>
      </c>
      <c r="T161" s="113">
        <f t="shared" si="89"/>
        <v>430990.625</v>
      </c>
      <c r="U161" s="113">
        <f t="shared" si="89"/>
        <v>430990.625</v>
      </c>
      <c r="V161" s="113">
        <f t="shared" si="89"/>
        <v>430990.625</v>
      </c>
      <c r="W161" s="113">
        <f t="shared" si="89"/>
        <v>483459.4155844156</v>
      </c>
      <c r="X161" s="113">
        <f t="shared" si="89"/>
        <v>483459.4155844156</v>
      </c>
      <c r="Y161" s="114">
        <f t="shared" si="89"/>
        <v>483459.4155844156</v>
      </c>
    </row>
    <row r="162" spans="1:25">
      <c r="A162" s="106" t="s">
        <v>78</v>
      </c>
      <c r="B162" s="115">
        <f t="shared" ref="B162:Y162" si="90">+B90+B41+B139</f>
        <v>2899</v>
      </c>
      <c r="C162" s="115">
        <f t="shared" si="90"/>
        <v>2945</v>
      </c>
      <c r="D162" s="115">
        <f t="shared" si="90"/>
        <v>3107</v>
      </c>
      <c r="E162" s="115">
        <f t="shared" si="90"/>
        <v>3406</v>
      </c>
      <c r="F162" s="115">
        <f t="shared" si="90"/>
        <v>3549</v>
      </c>
      <c r="G162" s="115">
        <f t="shared" si="90"/>
        <v>3449</v>
      </c>
      <c r="H162" s="115">
        <f t="shared" si="90"/>
        <v>3555</v>
      </c>
      <c r="I162" s="115">
        <f t="shared" si="90"/>
        <v>3647</v>
      </c>
      <c r="J162" s="115">
        <f t="shared" si="90"/>
        <v>3550</v>
      </c>
      <c r="K162" s="115">
        <f t="shared" si="90"/>
        <v>3588.6666666666665</v>
      </c>
      <c r="L162" s="115">
        <f t="shared" si="90"/>
        <v>3595.2222222222222</v>
      </c>
      <c r="M162" s="116">
        <f>+M90+M41+M139</f>
        <v>3577.962962962963</v>
      </c>
      <c r="N162" s="115">
        <f t="shared" si="90"/>
        <v>2263.0436882224853</v>
      </c>
      <c r="O162" s="115">
        <f t="shared" si="90"/>
        <v>1688.2994633701755</v>
      </c>
      <c r="P162" s="115">
        <f t="shared" si="90"/>
        <v>1457.6613733286397</v>
      </c>
      <c r="Q162" s="115">
        <f t="shared" si="90"/>
        <v>1342.9665392219999</v>
      </c>
      <c r="R162" s="115">
        <f t="shared" si="90"/>
        <v>1386.3179373048201</v>
      </c>
      <c r="S162" s="115">
        <f t="shared" si="90"/>
        <v>1408.8383727084426</v>
      </c>
      <c r="T162" s="115">
        <f t="shared" si="90"/>
        <v>1471.535216809227</v>
      </c>
      <c r="U162" s="115">
        <f t="shared" si="90"/>
        <v>1671.6501112230503</v>
      </c>
      <c r="V162" s="115">
        <f t="shared" si="90"/>
        <v>1664.5764728388992</v>
      </c>
      <c r="W162" s="115">
        <f t="shared" si="90"/>
        <v>1704.9420634873959</v>
      </c>
      <c r="X162" s="115">
        <f t="shared" si="90"/>
        <v>1821.1844405006677</v>
      </c>
      <c r="Y162" s="116">
        <f t="shared" si="90"/>
        <v>1855.698939518172</v>
      </c>
    </row>
    <row r="163" spans="1:25">
      <c r="A163" s="106" t="s">
        <v>79</v>
      </c>
      <c r="B163" s="113">
        <f t="shared" ref="B163:Y163" si="91">+B94+B45+B143</f>
        <v>45221.33</v>
      </c>
      <c r="C163" s="113">
        <f t="shared" si="91"/>
        <v>44576.170000000013</v>
      </c>
      <c r="D163" s="113">
        <f t="shared" si="91"/>
        <v>46410.97</v>
      </c>
      <c r="E163" s="113">
        <f t="shared" si="91"/>
        <v>48263.009999999995</v>
      </c>
      <c r="F163" s="113">
        <f t="shared" si="91"/>
        <v>54263.090000000004</v>
      </c>
      <c r="G163" s="113">
        <f t="shared" si="91"/>
        <v>47435.64</v>
      </c>
      <c r="H163" s="113">
        <f t="shared" si="91"/>
        <v>44189.47</v>
      </c>
      <c r="I163" s="113">
        <f t="shared" si="91"/>
        <v>47377.83</v>
      </c>
      <c r="J163" s="113">
        <f t="shared" si="91"/>
        <v>44784.21</v>
      </c>
      <c r="K163" s="113">
        <f t="shared" si="91"/>
        <v>45796.863333333327</v>
      </c>
      <c r="L163" s="113">
        <f t="shared" si="91"/>
        <v>45986.301111111112</v>
      </c>
      <c r="M163" s="114">
        <f t="shared" si="91"/>
        <v>45522.458148148144</v>
      </c>
      <c r="N163" s="113">
        <f t="shared" si="91"/>
        <v>48203.619519865919</v>
      </c>
      <c r="O163" s="113">
        <f t="shared" si="91"/>
        <v>36241.687979092705</v>
      </c>
      <c r="P163" s="113">
        <f t="shared" si="91"/>
        <v>31432.701517705289</v>
      </c>
      <c r="Q163" s="113">
        <f t="shared" si="91"/>
        <v>29008.259003832587</v>
      </c>
      <c r="R163" s="113">
        <f t="shared" si="91"/>
        <v>29881.883651476055</v>
      </c>
      <c r="S163" s="113">
        <f t="shared" si="91"/>
        <v>30488.070221035199</v>
      </c>
      <c r="T163" s="113">
        <f t="shared" si="91"/>
        <v>31809.969627858249</v>
      </c>
      <c r="U163" s="113">
        <f t="shared" si="91"/>
        <v>35922.213987688694</v>
      </c>
      <c r="V163" s="113">
        <f t="shared" si="91"/>
        <v>35589.163834986211</v>
      </c>
      <c r="W163" s="113">
        <f t="shared" si="91"/>
        <v>36453.406089262688</v>
      </c>
      <c r="X163" s="113">
        <f t="shared" si="91"/>
        <v>38689.733345981294</v>
      </c>
      <c r="Y163" s="114">
        <f t="shared" si="91"/>
        <v>39307.55477447711</v>
      </c>
    </row>
    <row r="164" spans="1:25">
      <c r="A164" s="106" t="s">
        <v>80</v>
      </c>
      <c r="B164" s="113">
        <f>+B161+B163</f>
        <v>348972.40382759436</v>
      </c>
      <c r="C164" s="113">
        <f t="shared" ref="C164:M164" si="92">+C161+C163</f>
        <v>320390.24763202399</v>
      </c>
      <c r="D164" s="113">
        <f t="shared" si="92"/>
        <v>344549.76700916118</v>
      </c>
      <c r="E164" s="113">
        <f t="shared" si="92"/>
        <v>296752.004548383</v>
      </c>
      <c r="F164" s="113">
        <f t="shared" si="92"/>
        <v>286234.11116005678</v>
      </c>
      <c r="G164" s="113">
        <f t="shared" si="92"/>
        <v>294737.00508481218</v>
      </c>
      <c r="H164" s="113">
        <f t="shared" si="92"/>
        <v>328210.9494635358</v>
      </c>
      <c r="I164" s="113">
        <f t="shared" si="92"/>
        <v>341310.98074003687</v>
      </c>
      <c r="J164" s="113">
        <f t="shared" si="92"/>
        <v>286092.3019422022</v>
      </c>
      <c r="K164" s="113">
        <f t="shared" si="92"/>
        <v>315192.44124029693</v>
      </c>
      <c r="L164" s="113">
        <f t="shared" si="92"/>
        <v>320917.06157879002</v>
      </c>
      <c r="M164" s="114">
        <f t="shared" si="92"/>
        <v>313685.2302705578</v>
      </c>
      <c r="N164" s="113">
        <f>+N161+N163</f>
        <v>292170.56837641477</v>
      </c>
      <c r="O164" s="113">
        <f t="shared" ref="O164:Y164" si="93">+O161+O163</f>
        <v>280208.63683564158</v>
      </c>
      <c r="P164" s="113">
        <f t="shared" si="93"/>
        <v>275399.65037425415</v>
      </c>
      <c r="Q164" s="113">
        <f t="shared" si="93"/>
        <v>334499.72567049932</v>
      </c>
      <c r="R164" s="113">
        <f t="shared" si="93"/>
        <v>335373.3503181428</v>
      </c>
      <c r="S164" s="113">
        <f t="shared" si="93"/>
        <v>335979.53688770195</v>
      </c>
      <c r="T164" s="113">
        <f t="shared" si="93"/>
        <v>462800.59462785826</v>
      </c>
      <c r="U164" s="113">
        <f t="shared" si="93"/>
        <v>466912.83898768871</v>
      </c>
      <c r="V164" s="113">
        <f t="shared" si="93"/>
        <v>466579.78883498622</v>
      </c>
      <c r="W164" s="113">
        <f t="shared" si="93"/>
        <v>519912.82167367829</v>
      </c>
      <c r="X164" s="113">
        <f t="shared" si="93"/>
        <v>522149.14893039688</v>
      </c>
      <c r="Y164" s="114">
        <f t="shared" si="93"/>
        <v>522766.97035889269</v>
      </c>
    </row>
    <row r="165" spans="1:25">
      <c r="A165" s="106" t="s">
        <v>81</v>
      </c>
      <c r="B165" s="117">
        <f>SUM(B36,B85,B134)/B159</f>
        <v>7.2477569656234877</v>
      </c>
      <c r="C165" s="117">
        <f t="shared" ref="C165:L165" si="94">SUM(C36,C85,C134)/C159</f>
        <v>7.2306853033234333</v>
      </c>
      <c r="D165" s="117">
        <f t="shared" si="94"/>
        <v>7.2848023779427873</v>
      </c>
      <c r="E165" s="117">
        <f t="shared" si="94"/>
        <v>7.2644952888239773</v>
      </c>
      <c r="F165" s="117">
        <f t="shared" si="94"/>
        <v>7.1431310942802106</v>
      </c>
      <c r="G165" s="117">
        <f t="shared" si="94"/>
        <v>7.0998738785726507</v>
      </c>
      <c r="H165" s="117">
        <f t="shared" si="94"/>
        <v>7.0017634668149826</v>
      </c>
      <c r="I165" s="117">
        <f t="shared" si="94"/>
        <v>6.9406486167559711</v>
      </c>
      <c r="J165" s="117">
        <f t="shared" si="94"/>
        <v>7.1216965131755243</v>
      </c>
      <c r="K165" s="117">
        <f t="shared" si="94"/>
        <v>7.1986996357052799</v>
      </c>
      <c r="L165" s="117">
        <f t="shared" si="94"/>
        <v>7.0683398894189002</v>
      </c>
      <c r="M165" s="118">
        <f>SUM(M36,M85,M134)/M159</f>
        <v>7.1070040691400642</v>
      </c>
      <c r="N165" s="657">
        <f>+((N26*N27*N13)/12+(N26*N28*N14)+(N75*N76*N62)/12+(N75*N77*N63)+(N124*N125*N111)/12+(N124*N126*N112))/N159</f>
        <v>7.1949828529435589</v>
      </c>
      <c r="O165" s="657">
        <f t="shared" ref="O165:Y165" si="95">+((O26*O27*O13)/12+(O26*O28*O14)+(O75*O76*O62)/12+(O75*O77*O63)+(O124*O125*O111)/12+(O124*O126*O112))/O159</f>
        <v>7.1949828529435589</v>
      </c>
      <c r="P165" s="657">
        <f t="shared" si="95"/>
        <v>7.1949828529435589</v>
      </c>
      <c r="Q165" s="657">
        <f t="shared" si="95"/>
        <v>7.1954505810382532</v>
      </c>
      <c r="R165" s="657">
        <f t="shared" si="95"/>
        <v>7.1954505810382532</v>
      </c>
      <c r="S165" s="657">
        <f t="shared" si="95"/>
        <v>7.1954505810382532</v>
      </c>
      <c r="T165" s="657">
        <f t="shared" si="95"/>
        <v>7.2003184272462972</v>
      </c>
      <c r="U165" s="657">
        <f t="shared" si="95"/>
        <v>7.2003184272462972</v>
      </c>
      <c r="V165" s="657">
        <f t="shared" si="95"/>
        <v>7.2003184272462972</v>
      </c>
      <c r="W165" s="657">
        <f t="shared" si="95"/>
        <v>7.2086339964242594</v>
      </c>
      <c r="X165" s="657">
        <f t="shared" si="95"/>
        <v>7.2086339964242594</v>
      </c>
      <c r="Y165" s="657">
        <f t="shared" si="95"/>
        <v>7.2086339964242594</v>
      </c>
    </row>
    <row r="166" spans="1:25">
      <c r="A166" s="106" t="s">
        <v>82</v>
      </c>
      <c r="B166" s="658">
        <f>B206/B160</f>
        <v>3.2243506032495586</v>
      </c>
      <c r="C166" s="658">
        <f t="shared" ref="C166:Y166" si="96">C206/C160</f>
        <v>3.171085445766638</v>
      </c>
      <c r="D166" s="658">
        <f t="shared" si="96"/>
        <v>3.0458833287899929</v>
      </c>
      <c r="E166" s="658">
        <f t="shared" si="96"/>
        <v>2.6992570192522378</v>
      </c>
      <c r="F166" s="658">
        <f t="shared" si="96"/>
        <v>2.5987369471228989</v>
      </c>
      <c r="G166" s="658">
        <f t="shared" si="96"/>
        <v>2.4533493871830623</v>
      </c>
      <c r="H166" s="658">
        <f t="shared" si="96"/>
        <v>2.6556242147636979</v>
      </c>
      <c r="I166" s="658">
        <f t="shared" si="96"/>
        <v>2.8142204809814744</v>
      </c>
      <c r="J166" s="658">
        <f t="shared" si="96"/>
        <v>2.5049865870847841</v>
      </c>
      <c r="K166" s="658">
        <f t="shared" si="96"/>
        <v>3.2787470941604009</v>
      </c>
      <c r="L166" s="658">
        <f t="shared" si="96"/>
        <v>3.1332051616640171</v>
      </c>
      <c r="M166" s="659">
        <f t="shared" si="96"/>
        <v>3.1424381290680072</v>
      </c>
      <c r="N166" s="660">
        <f>N206/N160</f>
        <v>3.0336453967778803</v>
      </c>
      <c r="O166" s="660">
        <f t="shared" si="96"/>
        <v>3.0529860345597917</v>
      </c>
      <c r="P166" s="660">
        <f t="shared" si="96"/>
        <v>3.0529860345597917</v>
      </c>
      <c r="Q166" s="660">
        <f t="shared" si="96"/>
        <v>3.1820883850027593</v>
      </c>
      <c r="R166" s="660">
        <f t="shared" si="96"/>
        <v>3.1820883850027593</v>
      </c>
      <c r="S166" s="660">
        <f t="shared" si="96"/>
        <v>3.1820883850027593</v>
      </c>
      <c r="T166" s="660">
        <f t="shared" si="96"/>
        <v>3.5488414171277802</v>
      </c>
      <c r="U166" s="660">
        <f t="shared" si="96"/>
        <v>3.5488414171277802</v>
      </c>
      <c r="V166" s="660">
        <f t="shared" si="96"/>
        <v>3.5488414171277802</v>
      </c>
      <c r="W166" s="660">
        <f t="shared" si="96"/>
        <v>3.9275217134243228</v>
      </c>
      <c r="X166" s="660">
        <f t="shared" si="96"/>
        <v>3.9275217134243228</v>
      </c>
      <c r="Y166" s="660">
        <f t="shared" si="96"/>
        <v>3.9275217134243228</v>
      </c>
    </row>
    <row r="167" spans="1:25">
      <c r="A167" s="106" t="s">
        <v>47</v>
      </c>
      <c r="B167" s="655">
        <f>+B161/B159</f>
        <v>60.006039471514377</v>
      </c>
      <c r="C167" s="655">
        <f t="shared" ref="C167:Y167" si="97">+C161/C159</f>
        <v>57.825226069123254</v>
      </c>
      <c r="D167" s="655">
        <f t="shared" si="97"/>
        <v>57.392208116589288</v>
      </c>
      <c r="E167" s="655">
        <f t="shared" si="97"/>
        <v>57.201654145621248</v>
      </c>
      <c r="F167" s="655">
        <f t="shared" si="97"/>
        <v>55.848404048454256</v>
      </c>
      <c r="G167" s="655">
        <f t="shared" si="97"/>
        <v>55.040572981707186</v>
      </c>
      <c r="H167" s="655">
        <f t="shared" si="97"/>
        <v>55.037234362964973</v>
      </c>
      <c r="I167" s="655">
        <f t="shared" si="97"/>
        <v>54.27436063602412</v>
      </c>
      <c r="J167" s="655">
        <f t="shared" si="97"/>
        <v>55.325643256382179</v>
      </c>
      <c r="K167" s="655">
        <f t="shared" si="97"/>
        <v>56.660722543785639</v>
      </c>
      <c r="L167" s="655">
        <f t="shared" si="97"/>
        <v>55.689545451516949</v>
      </c>
      <c r="M167" s="656">
        <f t="shared" si="97"/>
        <v>56.180038329429429</v>
      </c>
      <c r="N167" s="655">
        <f t="shared" si="97"/>
        <v>55.046429822683749</v>
      </c>
      <c r="O167" s="655">
        <f t="shared" si="97"/>
        <v>55.046429822683749</v>
      </c>
      <c r="P167" s="655">
        <f t="shared" si="97"/>
        <v>55.046429822683749</v>
      </c>
      <c r="Q167" s="655">
        <f t="shared" si="97"/>
        <v>56.290347148858807</v>
      </c>
      <c r="R167" s="655">
        <f t="shared" si="97"/>
        <v>56.290347148858807</v>
      </c>
      <c r="S167" s="655">
        <f t="shared" si="97"/>
        <v>56.290347148858807</v>
      </c>
      <c r="T167" s="655">
        <f t="shared" si="97"/>
        <v>57.282431122802159</v>
      </c>
      <c r="U167" s="655">
        <f t="shared" si="97"/>
        <v>57.282431122802159</v>
      </c>
      <c r="V167" s="655">
        <f t="shared" si="97"/>
        <v>57.282431122802159</v>
      </c>
      <c r="W167" s="655">
        <f t="shared" si="97"/>
        <v>57.18410373916717</v>
      </c>
      <c r="X167" s="655">
        <f t="shared" si="97"/>
        <v>57.18410373916717</v>
      </c>
      <c r="Y167" s="656">
        <f t="shared" si="97"/>
        <v>57.18410373916717</v>
      </c>
    </row>
    <row r="168" spans="1:25">
      <c r="A168" s="106" t="s">
        <v>83</v>
      </c>
      <c r="B168" s="117">
        <f>+B167/B160</f>
        <v>1.9958490024344628</v>
      </c>
      <c r="C168" s="117">
        <f t="shared" ref="C168:M168" si="98">+C167/C160</f>
        <v>1.8723273526693536</v>
      </c>
      <c r="D168" s="117">
        <f t="shared" si="98"/>
        <v>1.8755629779030136</v>
      </c>
      <c r="E168" s="117">
        <f t="shared" si="98"/>
        <v>1.6273910662187772</v>
      </c>
      <c r="F168" s="117">
        <f t="shared" si="98"/>
        <v>1.5810027859941622</v>
      </c>
      <c r="G168" s="117">
        <f t="shared" si="98"/>
        <v>1.5426262782743645</v>
      </c>
      <c r="H168" s="117">
        <f t="shared" si="98"/>
        <v>1.6374469604749229</v>
      </c>
      <c r="I168" s="117">
        <f t="shared" si="98"/>
        <v>1.7362005827582654</v>
      </c>
      <c r="J168" s="117">
        <f t="shared" si="98"/>
        <v>1.5295156799823166</v>
      </c>
      <c r="K168" s="117">
        <f t="shared" si="98"/>
        <v>1.8125312549499841</v>
      </c>
      <c r="L168" s="117">
        <f t="shared" si="98"/>
        <v>1.7399024422081686</v>
      </c>
      <c r="M168" s="118">
        <f t="shared" si="98"/>
        <v>1.7461212762527318</v>
      </c>
      <c r="N168" s="117">
        <f>+N167/N160</f>
        <v>1.6092806652806653</v>
      </c>
      <c r="O168" s="117">
        <f t="shared" ref="O168:Y168" si="99">+O167/O160</f>
        <v>1.6092806652806653</v>
      </c>
      <c r="P168" s="117">
        <f t="shared" si="99"/>
        <v>1.6092806652806653</v>
      </c>
      <c r="Q168" s="117">
        <f t="shared" si="99"/>
        <v>1.7201096096096098</v>
      </c>
      <c r="R168" s="117">
        <f t="shared" si="99"/>
        <v>1.7201096096096098</v>
      </c>
      <c r="S168" s="117">
        <f t="shared" si="99"/>
        <v>1.7201096096096098</v>
      </c>
      <c r="T168" s="117">
        <f t="shared" si="99"/>
        <v>1.9697926188299815</v>
      </c>
      <c r="U168" s="117">
        <f t="shared" si="99"/>
        <v>1.9697926188299815</v>
      </c>
      <c r="V168" s="117">
        <f t="shared" si="99"/>
        <v>1.9697926188299815</v>
      </c>
      <c r="W168" s="117">
        <f t="shared" si="99"/>
        <v>2.1975427981109803</v>
      </c>
      <c r="X168" s="117">
        <f t="shared" si="99"/>
        <v>2.1975427981109803</v>
      </c>
      <c r="Y168" s="118">
        <f t="shared" si="99"/>
        <v>2.1975427981109803</v>
      </c>
    </row>
    <row r="169" spans="1:25">
      <c r="A169" s="106" t="s">
        <v>51</v>
      </c>
      <c r="B169" s="46">
        <f>B165/B206</f>
        <v>7.4764267170790502E-2</v>
      </c>
      <c r="C169" s="46">
        <f t="shared" ref="C169:Y169" si="100">C165/C206</f>
        <v>7.3830525336941052E-2</v>
      </c>
      <c r="D169" s="46">
        <f t="shared" si="100"/>
        <v>7.8159761990994406E-2</v>
      </c>
      <c r="E169" s="46">
        <f t="shared" si="100"/>
        <v>7.6567514030135328E-2</v>
      </c>
      <c r="F169" s="46">
        <f t="shared" si="100"/>
        <v>7.78122848255558E-2</v>
      </c>
      <c r="G169" s="46">
        <f t="shared" si="100"/>
        <v>8.1108993353747133E-2</v>
      </c>
      <c r="H169" s="46">
        <f t="shared" si="100"/>
        <v>7.8442505058257131E-2</v>
      </c>
      <c r="I169" s="46">
        <f t="shared" si="100"/>
        <v>7.8894571223802057E-2</v>
      </c>
      <c r="J169" s="46">
        <f t="shared" si="100"/>
        <v>7.8596918497903345E-2</v>
      </c>
      <c r="K169" s="46">
        <f t="shared" si="100"/>
        <v>7.0234343968706911E-2</v>
      </c>
      <c r="L169" s="46">
        <f t="shared" si="100"/>
        <v>7.0482259183265811E-2</v>
      </c>
      <c r="M169" s="11">
        <f t="shared" si="100"/>
        <v>7.0293019856529207E-2</v>
      </c>
      <c r="N169" s="46">
        <f>N165/N206</f>
        <v>6.9337405203262828E-2</v>
      </c>
      <c r="O169" s="46">
        <f t="shared" si="100"/>
        <v>6.8898153394183634E-2</v>
      </c>
      <c r="P169" s="46">
        <f t="shared" si="100"/>
        <v>6.8898153394183634E-2</v>
      </c>
      <c r="Q169" s="46">
        <f t="shared" si="100"/>
        <v>6.9098393678262121E-2</v>
      </c>
      <c r="R169" s="46">
        <f t="shared" si="100"/>
        <v>6.9098393678262121E-2</v>
      </c>
      <c r="S169" s="46">
        <f t="shared" si="100"/>
        <v>6.9098393678262121E-2</v>
      </c>
      <c r="T169" s="46">
        <f t="shared" si="100"/>
        <v>6.976926925204921E-2</v>
      </c>
      <c r="U169" s="46">
        <f t="shared" si="100"/>
        <v>6.976926925204921E-2</v>
      </c>
      <c r="V169" s="46">
        <f t="shared" si="100"/>
        <v>6.976926925204921E-2</v>
      </c>
      <c r="W169" s="46">
        <f t="shared" si="100"/>
        <v>7.0533657423488175E-2</v>
      </c>
      <c r="X169" s="46">
        <f t="shared" si="100"/>
        <v>7.0533657423488175E-2</v>
      </c>
      <c r="Y169" s="46">
        <f t="shared" si="100"/>
        <v>7.0533657423488175E-2</v>
      </c>
    </row>
    <row r="171" spans="1:25">
      <c r="A171" s="106"/>
      <c r="B171" s="46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11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11"/>
    </row>
    <row r="172" spans="1:25">
      <c r="A172" s="119" t="s">
        <v>57</v>
      </c>
      <c r="N172" s="120">
        <f t="shared" ref="N172:Y172" si="101">+(N35+N45*N42)+(N84+N94*N91)+(N133+N143*N140)</f>
        <v>50053.342495209494</v>
      </c>
      <c r="O172" s="120">
        <f t="shared" si="101"/>
        <v>40359.65763457385</v>
      </c>
      <c r="P172" s="120">
        <f t="shared" si="101"/>
        <v>36483.262224082871</v>
      </c>
      <c r="Q172" s="120">
        <f t="shared" si="101"/>
        <v>37272.597120312545</v>
      </c>
      <c r="R172" s="120">
        <f t="shared" si="101"/>
        <v>37964.965059911665</v>
      </c>
      <c r="S172" s="120">
        <f t="shared" si="101"/>
        <v>38386.600319074925</v>
      </c>
      <c r="T172" s="120">
        <f t="shared" si="101"/>
        <v>45665.161610820011</v>
      </c>
      <c r="U172" s="120">
        <f t="shared" si="101"/>
        <v>48940.337997170529</v>
      </c>
      <c r="V172" s="120">
        <f t="shared" si="101"/>
        <v>48747.153502566609</v>
      </c>
      <c r="W172" s="120">
        <f t="shared" si="101"/>
        <v>52780.865455919644</v>
      </c>
      <c r="X172" s="120">
        <f t="shared" si="101"/>
        <v>54609.942005735466</v>
      </c>
      <c r="Y172" s="120">
        <f t="shared" si="101"/>
        <v>55133.423485797808</v>
      </c>
    </row>
    <row r="173" spans="1:25">
      <c r="A173" s="119"/>
    </row>
    <row r="174" spans="1:25">
      <c r="A174" s="106" t="s">
        <v>56</v>
      </c>
      <c r="N174" s="29">
        <f>+(N34+N45*N43/12)+(N83+N94*N92/12)+(N132+N143*N141/12)</f>
        <v>21220.546622779224</v>
      </c>
      <c r="O174" s="29">
        <f t="shared" ref="O174:Y174" si="102">+(O34+O45*O43/12)+(O83+O94*O92/12)+(O132+O143*O141/12)</f>
        <v>21031.339268144129</v>
      </c>
      <c r="P174" s="29">
        <f t="shared" si="102"/>
        <v>20953.593439678662</v>
      </c>
      <c r="Q174" s="29">
        <f t="shared" si="102"/>
        <v>25342.447726073657</v>
      </c>
      <c r="R174" s="29">
        <f t="shared" si="102"/>
        <v>25357.561797026407</v>
      </c>
      <c r="S174" s="29">
        <f t="shared" si="102"/>
        <v>25372.938719222864</v>
      </c>
      <c r="T174" s="29">
        <f t="shared" si="102"/>
        <v>34329.622953285419</v>
      </c>
      <c r="U174" s="29">
        <f t="shared" si="102"/>
        <v>34399.43863224722</v>
      </c>
      <c r="V174" s="29">
        <f t="shared" si="102"/>
        <v>34387.800870234998</v>
      </c>
      <c r="W174" s="29">
        <f t="shared" si="102"/>
        <v>37796.443706619117</v>
      </c>
      <c r="X174" s="29">
        <f t="shared" si="102"/>
        <v>37830.434651724834</v>
      </c>
      <c r="Y174" s="29">
        <f t="shared" si="102"/>
        <v>37838.317406258873</v>
      </c>
    </row>
    <row r="175" spans="1:25">
      <c r="A175" s="122">
        <v>2</v>
      </c>
      <c r="N175" s="29">
        <f>+(M34+M45*M43/12)+(M83+M94*M92/12)+(M132+M143*M141/12)</f>
        <v>22066.912830891426</v>
      </c>
      <c r="O175" s="29">
        <f t="shared" ref="O175:Y175" si="103">+(N34+N45*N43/12)+(N83+N94*N92/12)+(N132+N143*N141/12)</f>
        <v>21220.546622779224</v>
      </c>
      <c r="P175" s="29">
        <f t="shared" si="103"/>
        <v>21031.339268144129</v>
      </c>
      <c r="Q175" s="29">
        <f t="shared" si="103"/>
        <v>20953.593439678662</v>
      </c>
      <c r="R175" s="29">
        <f t="shared" si="103"/>
        <v>25342.447726073657</v>
      </c>
      <c r="S175" s="29">
        <f t="shared" si="103"/>
        <v>25357.561797026407</v>
      </c>
      <c r="T175" s="29">
        <f t="shared" si="103"/>
        <v>25372.938719222864</v>
      </c>
      <c r="U175" s="29">
        <f t="shared" si="103"/>
        <v>34329.622953285419</v>
      </c>
      <c r="V175" s="29">
        <f t="shared" si="103"/>
        <v>34399.43863224722</v>
      </c>
      <c r="W175" s="29">
        <f t="shared" si="103"/>
        <v>34387.800870234998</v>
      </c>
      <c r="X175" s="29">
        <f t="shared" si="103"/>
        <v>37796.443706619117</v>
      </c>
      <c r="Y175" s="29">
        <f t="shared" si="103"/>
        <v>37830.434651724834</v>
      </c>
    </row>
    <row r="176" spans="1:25">
      <c r="A176" s="122">
        <v>3</v>
      </c>
      <c r="N176" s="29">
        <f>+(L34+L45*L43/12)+(L83+L94*L92/12)+(L132+L143*L141/12)</f>
        <v>22605.055108023513</v>
      </c>
      <c r="O176" s="29">
        <f t="shared" ref="O176:Y176" si="104">+(M34+M45*M43/12)+(M83+M94*M92/12)+(M132+M143*M141/12)</f>
        <v>22066.912830891426</v>
      </c>
      <c r="P176" s="29">
        <f t="shared" si="104"/>
        <v>21220.546622779224</v>
      </c>
      <c r="Q176" s="29">
        <f t="shared" si="104"/>
        <v>21031.339268144129</v>
      </c>
      <c r="R176" s="29">
        <f t="shared" si="104"/>
        <v>20953.593439678662</v>
      </c>
      <c r="S176" s="29">
        <f t="shared" si="104"/>
        <v>25342.447726073657</v>
      </c>
      <c r="T176" s="29">
        <f t="shared" si="104"/>
        <v>25357.561797026407</v>
      </c>
      <c r="U176" s="29">
        <f t="shared" si="104"/>
        <v>25372.938719222864</v>
      </c>
      <c r="V176" s="29">
        <f t="shared" si="104"/>
        <v>34329.622953285419</v>
      </c>
      <c r="W176" s="29">
        <f t="shared" si="104"/>
        <v>34399.43863224722</v>
      </c>
      <c r="X176" s="29">
        <f t="shared" si="104"/>
        <v>34387.800870234998</v>
      </c>
      <c r="Y176" s="29">
        <f t="shared" si="104"/>
        <v>37796.443706619117</v>
      </c>
    </row>
    <row r="177" spans="1:25">
      <c r="A177" s="122">
        <v>4</v>
      </c>
      <c r="N177" s="29">
        <f>+(K34+K45*K43/12)+(K83+K94*K92/12)+(K132+K143*K141/12)</f>
        <v>22182.194412472258</v>
      </c>
      <c r="O177" s="29">
        <f t="shared" ref="O177:Y177" si="105">+(L34+L45*L43/12)+(L83+L94*L92/12)+(L132+L143*L141/12)</f>
        <v>22605.055108023513</v>
      </c>
      <c r="P177" s="29">
        <f t="shared" si="105"/>
        <v>22066.912830891426</v>
      </c>
      <c r="Q177" s="29">
        <f t="shared" si="105"/>
        <v>21220.546622779224</v>
      </c>
      <c r="R177" s="29">
        <f t="shared" si="105"/>
        <v>21031.339268144129</v>
      </c>
      <c r="S177" s="29">
        <f t="shared" si="105"/>
        <v>20953.593439678662</v>
      </c>
      <c r="T177" s="29">
        <f t="shared" si="105"/>
        <v>25342.447726073657</v>
      </c>
      <c r="U177" s="29">
        <f t="shared" si="105"/>
        <v>25357.561797026407</v>
      </c>
      <c r="V177" s="29">
        <f t="shared" si="105"/>
        <v>25372.938719222864</v>
      </c>
      <c r="W177" s="29">
        <f t="shared" si="105"/>
        <v>34329.622953285419</v>
      </c>
      <c r="X177" s="29">
        <f t="shared" si="105"/>
        <v>34399.43863224722</v>
      </c>
      <c r="Y177" s="29">
        <f t="shared" si="105"/>
        <v>34387.800870234998</v>
      </c>
    </row>
    <row r="178" spans="1:25">
      <c r="A178" s="122">
        <v>5</v>
      </c>
      <c r="N178" s="29">
        <f>+(J34+J45*J43/12)+(J83+J94*J92/12)+(J132+J143*J141/12)</f>
        <v>19844.927133154375</v>
      </c>
      <c r="O178" s="29">
        <f t="shared" ref="O178:Y178" si="106">+(K34+K45*K43/12)+(K83+K94*K92/12)+(K132+K143*K141/12)</f>
        <v>22182.194412472258</v>
      </c>
      <c r="P178" s="29">
        <f t="shared" si="106"/>
        <v>22605.055108023513</v>
      </c>
      <c r="Q178" s="29">
        <f t="shared" si="106"/>
        <v>22066.912830891426</v>
      </c>
      <c r="R178" s="29">
        <f t="shared" si="106"/>
        <v>21220.546622779224</v>
      </c>
      <c r="S178" s="29">
        <f t="shared" si="106"/>
        <v>21031.339268144129</v>
      </c>
      <c r="T178" s="29">
        <f t="shared" si="106"/>
        <v>20953.593439678662</v>
      </c>
      <c r="U178" s="29">
        <f t="shared" si="106"/>
        <v>25342.447726073657</v>
      </c>
      <c r="V178" s="29">
        <f t="shared" si="106"/>
        <v>25357.561797026407</v>
      </c>
      <c r="W178" s="29">
        <f t="shared" si="106"/>
        <v>25372.938719222864</v>
      </c>
      <c r="X178" s="29">
        <f t="shared" si="106"/>
        <v>34329.622953285419</v>
      </c>
      <c r="Y178" s="29">
        <f t="shared" si="106"/>
        <v>34399.43863224722</v>
      </c>
    </row>
    <row r="179" spans="1:25">
      <c r="A179" s="122">
        <v>6</v>
      </c>
      <c r="N179" s="29">
        <f>+(I34+I45*I43/12)+(I83+I94*I92/12)+(I132+I143*I141/12)</f>
        <v>24125.51640816588</v>
      </c>
      <c r="O179" s="29">
        <f t="shared" ref="O179:Y179" si="107">+(J34+J45*J43/12)+(J83+J94*J92/12)+(J132+J143*J141/12)</f>
        <v>19844.927133154375</v>
      </c>
      <c r="P179" s="29">
        <f t="shared" si="107"/>
        <v>22182.194412472258</v>
      </c>
      <c r="Q179" s="29">
        <f t="shared" si="107"/>
        <v>22605.055108023513</v>
      </c>
      <c r="R179" s="29">
        <f t="shared" si="107"/>
        <v>22066.912830891426</v>
      </c>
      <c r="S179" s="29">
        <f t="shared" si="107"/>
        <v>21220.546622779224</v>
      </c>
      <c r="T179" s="29">
        <f t="shared" si="107"/>
        <v>21031.339268144129</v>
      </c>
      <c r="U179" s="29">
        <f t="shared" si="107"/>
        <v>20953.593439678662</v>
      </c>
      <c r="V179" s="29">
        <f t="shared" si="107"/>
        <v>25342.447726073657</v>
      </c>
      <c r="W179" s="29">
        <f t="shared" si="107"/>
        <v>25357.561797026407</v>
      </c>
      <c r="X179" s="29">
        <f t="shared" si="107"/>
        <v>25372.938719222864</v>
      </c>
      <c r="Y179" s="29">
        <f t="shared" si="107"/>
        <v>34329.622953285419</v>
      </c>
    </row>
    <row r="180" spans="1:25">
      <c r="A180" s="122">
        <v>7</v>
      </c>
      <c r="N180" s="29">
        <f>+(H34+H45*H43/12)+(H83+H94*H92/12)+(H132+H143*H141/12)</f>
        <v>23358.036554860882</v>
      </c>
      <c r="O180" s="29">
        <f t="shared" ref="O180:Y180" si="108">+(I34+I45*I43/12)+(I83+I94*I92/12)+(I132+I143*I141/12)</f>
        <v>24125.51640816588</v>
      </c>
      <c r="P180" s="29">
        <f t="shared" si="108"/>
        <v>19844.927133154375</v>
      </c>
      <c r="Q180" s="29">
        <f t="shared" si="108"/>
        <v>22182.194412472258</v>
      </c>
      <c r="R180" s="29">
        <f t="shared" si="108"/>
        <v>22605.055108023513</v>
      </c>
      <c r="S180" s="29">
        <f t="shared" si="108"/>
        <v>22066.912830891426</v>
      </c>
      <c r="T180" s="29">
        <f t="shared" si="108"/>
        <v>21220.546622779224</v>
      </c>
      <c r="U180" s="29">
        <f t="shared" si="108"/>
        <v>21031.339268144129</v>
      </c>
      <c r="V180" s="29">
        <f t="shared" si="108"/>
        <v>20953.593439678662</v>
      </c>
      <c r="W180" s="29">
        <f t="shared" si="108"/>
        <v>25342.447726073657</v>
      </c>
      <c r="X180" s="29">
        <f t="shared" si="108"/>
        <v>25357.561797026407</v>
      </c>
      <c r="Y180" s="29">
        <f t="shared" si="108"/>
        <v>25372.938719222864</v>
      </c>
    </row>
    <row r="181" spans="1:25">
      <c r="A181" s="122">
        <v>8</v>
      </c>
      <c r="N181" s="29">
        <f>+(G34+G45*G43/12)+(G83+G94*G92/12)+(G132+G143*G141/12)</f>
        <v>20435.812588522895</v>
      </c>
      <c r="O181" s="29">
        <f t="shared" ref="O181:Y181" si="109">+(H34+H45*H43/12)+(H83+H94*H92/12)+(H132+H143*H141/12)</f>
        <v>23358.036554860882</v>
      </c>
      <c r="P181" s="29">
        <f t="shared" si="109"/>
        <v>24125.51640816588</v>
      </c>
      <c r="Q181" s="29">
        <f t="shared" si="109"/>
        <v>19844.927133154375</v>
      </c>
      <c r="R181" s="29">
        <f t="shared" si="109"/>
        <v>22182.194412472258</v>
      </c>
      <c r="S181" s="29">
        <f t="shared" si="109"/>
        <v>22605.055108023513</v>
      </c>
      <c r="T181" s="29">
        <f t="shared" si="109"/>
        <v>22066.912830891426</v>
      </c>
      <c r="U181" s="29">
        <f t="shared" si="109"/>
        <v>21220.546622779224</v>
      </c>
      <c r="V181" s="29">
        <f t="shared" si="109"/>
        <v>21031.339268144129</v>
      </c>
      <c r="W181" s="29">
        <f t="shared" si="109"/>
        <v>20953.593439678662</v>
      </c>
      <c r="X181" s="29">
        <f t="shared" si="109"/>
        <v>25342.447726073657</v>
      </c>
      <c r="Y181" s="29">
        <f t="shared" si="109"/>
        <v>25357.561797026407</v>
      </c>
    </row>
    <row r="182" spans="1:25">
      <c r="A182" s="122">
        <v>9</v>
      </c>
      <c r="N182" s="29">
        <f>+(F34+F45*F43/12)+(F83+F94*F92/12)+(F132+F143*F141/12)</f>
        <v>19470.360174334113</v>
      </c>
      <c r="O182" s="29">
        <f t="shared" ref="O182:Y182" si="110">+(G34+G45*G43/12)+(G83+G94*G92/12)+(G132+G143*G141/12)</f>
        <v>20435.812588522895</v>
      </c>
      <c r="P182" s="29">
        <f t="shared" si="110"/>
        <v>23358.036554860882</v>
      </c>
      <c r="Q182" s="29">
        <f t="shared" si="110"/>
        <v>24125.51640816588</v>
      </c>
      <c r="R182" s="29">
        <f t="shared" si="110"/>
        <v>19844.927133154375</v>
      </c>
      <c r="S182" s="29">
        <f t="shared" si="110"/>
        <v>22182.194412472258</v>
      </c>
      <c r="T182" s="29">
        <f t="shared" si="110"/>
        <v>22605.055108023513</v>
      </c>
      <c r="U182" s="29">
        <f t="shared" si="110"/>
        <v>22066.912830891426</v>
      </c>
      <c r="V182" s="29">
        <f t="shared" si="110"/>
        <v>21220.546622779224</v>
      </c>
      <c r="W182" s="29">
        <f t="shared" si="110"/>
        <v>21031.339268144129</v>
      </c>
      <c r="X182" s="29">
        <f t="shared" si="110"/>
        <v>20953.593439678662</v>
      </c>
      <c r="Y182" s="29">
        <f t="shared" si="110"/>
        <v>25342.447726073657</v>
      </c>
    </row>
    <row r="183" spans="1:25">
      <c r="A183" s="122">
        <v>10</v>
      </c>
      <c r="N183" s="29">
        <f>+(E34+E45*E43/12)+(E83+E94*E92/12)+(E132+E143*E141/12)</f>
        <v>20548.32059456877</v>
      </c>
      <c r="O183" s="29">
        <f t="shared" ref="O183:Y183" si="111">+(F34+F45*F43/12)+(F83+F94*F92/12)+(F132+F143*F141/12)</f>
        <v>19470.360174334113</v>
      </c>
      <c r="P183" s="29">
        <f t="shared" si="111"/>
        <v>20435.812588522895</v>
      </c>
      <c r="Q183" s="29">
        <f t="shared" si="111"/>
        <v>23358.036554860882</v>
      </c>
      <c r="R183" s="29">
        <f t="shared" si="111"/>
        <v>24125.51640816588</v>
      </c>
      <c r="S183" s="29">
        <f t="shared" si="111"/>
        <v>19844.927133154375</v>
      </c>
      <c r="T183" s="29">
        <f t="shared" si="111"/>
        <v>22182.194412472258</v>
      </c>
      <c r="U183" s="29">
        <f t="shared" si="111"/>
        <v>22605.055108023513</v>
      </c>
      <c r="V183" s="29">
        <f t="shared" si="111"/>
        <v>22066.912830891426</v>
      </c>
      <c r="W183" s="29">
        <f t="shared" si="111"/>
        <v>21220.546622779224</v>
      </c>
      <c r="X183" s="29">
        <f t="shared" si="111"/>
        <v>21031.339268144129</v>
      </c>
      <c r="Y183" s="29">
        <f t="shared" si="111"/>
        <v>20953.593439678662</v>
      </c>
    </row>
    <row r="184" spans="1:25">
      <c r="A184" s="122">
        <v>11</v>
      </c>
      <c r="N184" s="29">
        <f>+(D34+D45*D43/12)+(D83+D94*D92/12)+(D132+D143*D141/12)</f>
        <v>24391.03312256639</v>
      </c>
      <c r="O184" s="29">
        <f t="shared" ref="O184:Y184" si="112">+(E34+E45*E43/12)+(E83+E94*E92/12)+(E132+E143*E141/12)</f>
        <v>20548.32059456877</v>
      </c>
      <c r="P184" s="29">
        <f t="shared" si="112"/>
        <v>19470.360174334113</v>
      </c>
      <c r="Q184" s="29">
        <f t="shared" si="112"/>
        <v>20435.812588522895</v>
      </c>
      <c r="R184" s="29">
        <f t="shared" si="112"/>
        <v>23358.036554860882</v>
      </c>
      <c r="S184" s="29">
        <f t="shared" si="112"/>
        <v>24125.51640816588</v>
      </c>
      <c r="T184" s="29">
        <f t="shared" si="112"/>
        <v>19844.927133154375</v>
      </c>
      <c r="U184" s="29">
        <f t="shared" si="112"/>
        <v>22182.194412472258</v>
      </c>
      <c r="V184" s="29">
        <f t="shared" si="112"/>
        <v>22605.055108023513</v>
      </c>
      <c r="W184" s="29">
        <f t="shared" si="112"/>
        <v>22066.912830891426</v>
      </c>
      <c r="X184" s="29">
        <f t="shared" si="112"/>
        <v>21220.546622779224</v>
      </c>
      <c r="Y184" s="29">
        <f t="shared" si="112"/>
        <v>21031.339268144129</v>
      </c>
    </row>
    <row r="185" spans="1:25" ht="17" thickBot="1">
      <c r="A185" s="122">
        <v>12</v>
      </c>
      <c r="N185" s="123">
        <f>+(C34+C45*C43/12)+(C83+C94*C92/12)+(C132+C143*C141/12)</f>
        <v>22778.839744676443</v>
      </c>
      <c r="O185" s="123">
        <f t="shared" ref="O185:Y185" si="113">+(D34+D45*D43/12)+(D83+D94*D92/12)+(D132+D143*D141/12)</f>
        <v>24391.03312256639</v>
      </c>
      <c r="P185" s="123">
        <f t="shared" si="113"/>
        <v>20548.32059456877</v>
      </c>
      <c r="Q185" s="123">
        <f t="shared" si="113"/>
        <v>19470.360174334113</v>
      </c>
      <c r="R185" s="123">
        <f t="shared" si="113"/>
        <v>20435.812588522895</v>
      </c>
      <c r="S185" s="123">
        <f t="shared" si="113"/>
        <v>23358.036554860882</v>
      </c>
      <c r="T185" s="123">
        <f t="shared" si="113"/>
        <v>24125.51640816588</v>
      </c>
      <c r="U185" s="123">
        <f t="shared" si="113"/>
        <v>19844.927133154375</v>
      </c>
      <c r="V185" s="123">
        <f t="shared" si="113"/>
        <v>22182.194412472258</v>
      </c>
      <c r="W185" s="123">
        <f t="shared" si="113"/>
        <v>22605.055108023513</v>
      </c>
      <c r="X185" s="123">
        <f t="shared" si="113"/>
        <v>22066.912830891426</v>
      </c>
      <c r="Y185" s="123">
        <f t="shared" si="113"/>
        <v>21220.546622779224</v>
      </c>
    </row>
    <row r="186" spans="1:25" ht="17" thickTop="1">
      <c r="A186" s="119" t="s">
        <v>84</v>
      </c>
      <c r="N186" s="120">
        <f>+SUM(N174:N185)</f>
        <v>263027.55529501615</v>
      </c>
      <c r="O186" s="120">
        <f t="shared" ref="O186:Y186" si="114">+SUM(O174:O185)</f>
        <v>261280.05481848386</v>
      </c>
      <c r="P186" s="120">
        <f t="shared" si="114"/>
        <v>257842.61513559613</v>
      </c>
      <c r="Q186" s="120">
        <f t="shared" si="114"/>
        <v>262636.74226710107</v>
      </c>
      <c r="R186" s="120">
        <f t="shared" si="114"/>
        <v>268523.9438897933</v>
      </c>
      <c r="S186" s="120">
        <f t="shared" si="114"/>
        <v>273461.07002049335</v>
      </c>
      <c r="T186" s="120">
        <f t="shared" si="114"/>
        <v>284432.65641891782</v>
      </c>
      <c r="U186" s="120">
        <f t="shared" si="114"/>
        <v>294706.57864299917</v>
      </c>
      <c r="V186" s="120">
        <f t="shared" si="114"/>
        <v>309249.45238007978</v>
      </c>
      <c r="W186" s="120">
        <f t="shared" si="114"/>
        <v>324863.70167422661</v>
      </c>
      <c r="X186" s="120">
        <f t="shared" si="114"/>
        <v>340089.08121792797</v>
      </c>
      <c r="Y186" s="121">
        <f t="shared" si="114"/>
        <v>355860.48579329537</v>
      </c>
    </row>
    <row r="188" spans="1:25">
      <c r="A188" s="119" t="s">
        <v>724</v>
      </c>
      <c r="N188" s="120">
        <f>+N172+N186</f>
        <v>313080.89779022563</v>
      </c>
      <c r="O188" s="120">
        <f t="shared" ref="O188:Y188" si="115">+O172+O186</f>
        <v>301639.7124530577</v>
      </c>
      <c r="P188" s="120">
        <f t="shared" si="115"/>
        <v>294325.87735967903</v>
      </c>
      <c r="Q188" s="120">
        <f t="shared" si="115"/>
        <v>299909.33938741364</v>
      </c>
      <c r="R188" s="120">
        <f t="shared" si="115"/>
        <v>306488.90894970496</v>
      </c>
      <c r="S188" s="120">
        <f t="shared" si="115"/>
        <v>311847.67033956829</v>
      </c>
      <c r="T188" s="120">
        <f t="shared" si="115"/>
        <v>330097.8180297378</v>
      </c>
      <c r="U188" s="120">
        <f t="shared" si="115"/>
        <v>343646.91664016969</v>
      </c>
      <c r="V188" s="120">
        <f t="shared" si="115"/>
        <v>357996.6058826464</v>
      </c>
      <c r="W188" s="120">
        <f t="shared" si="115"/>
        <v>377644.56713014626</v>
      </c>
      <c r="X188" s="120">
        <f t="shared" si="115"/>
        <v>394699.02322366345</v>
      </c>
      <c r="Y188" s="121">
        <f t="shared" si="115"/>
        <v>410993.9092790932</v>
      </c>
    </row>
    <row r="189" spans="1:25">
      <c r="A189" s="119"/>
      <c r="N189" s="120"/>
      <c r="O189" s="120"/>
      <c r="P189" s="120"/>
      <c r="Q189" s="120"/>
      <c r="R189" s="120"/>
      <c r="S189" s="120"/>
      <c r="T189" s="120"/>
      <c r="U189" s="120"/>
      <c r="V189" s="120"/>
      <c r="W189" s="120"/>
      <c r="X189" s="120"/>
      <c r="Y189" s="121"/>
    </row>
    <row r="190" spans="1:25">
      <c r="A190" s="661" t="s">
        <v>55</v>
      </c>
      <c r="B190" s="662">
        <f>B26+B75+B124</f>
        <v>5062.0083662043517</v>
      </c>
      <c r="C190" s="662">
        <f t="shared" ref="C190:M190" si="116">C26+C75+C124</f>
        <v>4769.7881423294521</v>
      </c>
      <c r="D190" s="662">
        <f t="shared" si="116"/>
        <v>5194.7608707354093</v>
      </c>
      <c r="E190" s="662">
        <f t="shared" si="116"/>
        <v>4344.087566345399</v>
      </c>
      <c r="F190" s="662">
        <f t="shared" si="116"/>
        <v>4153.5837077599917</v>
      </c>
      <c r="G190" s="662">
        <f t="shared" si="116"/>
        <v>4493.0739577693557</v>
      </c>
      <c r="H190" s="662">
        <f t="shared" si="116"/>
        <v>5160.5332780793988</v>
      </c>
      <c r="I190" s="662">
        <f t="shared" si="116"/>
        <v>5415.6907109641998</v>
      </c>
      <c r="J190" s="662">
        <f t="shared" si="116"/>
        <v>4361.5957761930895</v>
      </c>
      <c r="K190" s="662">
        <f t="shared" si="116"/>
        <v>4754.5383435374142</v>
      </c>
      <c r="L190" s="662">
        <f t="shared" si="116"/>
        <v>4936.8469115452253</v>
      </c>
      <c r="M190" s="663">
        <f t="shared" si="116"/>
        <v>4773.2749940459707</v>
      </c>
      <c r="N190" s="662">
        <f>N26+N75+N124</f>
        <v>4432.0212889812883</v>
      </c>
      <c r="O190" s="662">
        <f t="shared" ref="O190:Y190" si="117">O26+O75+O124</f>
        <v>4432.0212889812883</v>
      </c>
      <c r="P190" s="662">
        <f t="shared" si="117"/>
        <v>4432.0212889812883</v>
      </c>
      <c r="Q190" s="662">
        <f t="shared" si="117"/>
        <v>5427.0666666666675</v>
      </c>
      <c r="R190" s="662">
        <f t="shared" si="117"/>
        <v>5427.0666666666675</v>
      </c>
      <c r="S190" s="662">
        <f t="shared" si="117"/>
        <v>5427.0666666666675</v>
      </c>
      <c r="T190" s="662">
        <f t="shared" si="117"/>
        <v>7523.958333333333</v>
      </c>
      <c r="U190" s="662">
        <f t="shared" si="117"/>
        <v>7523.958333333333</v>
      </c>
      <c r="V190" s="662">
        <f t="shared" si="117"/>
        <v>7523.958333333333</v>
      </c>
      <c r="W190" s="662">
        <f t="shared" si="117"/>
        <v>8454.4372294372297</v>
      </c>
      <c r="X190" s="662">
        <f t="shared" si="117"/>
        <v>8454.4372294372297</v>
      </c>
      <c r="Y190" s="663">
        <f t="shared" si="117"/>
        <v>8454.4372294372297</v>
      </c>
    </row>
    <row r="191" spans="1:25">
      <c r="A191" s="664" t="s">
        <v>723</v>
      </c>
      <c r="B191" s="665">
        <f>B28+B77+B126</f>
        <v>1058</v>
      </c>
      <c r="C191" s="665">
        <f t="shared" ref="C191:M191" si="118">C28+C77+C126</f>
        <v>1088</v>
      </c>
      <c r="D191" s="665">
        <f t="shared" si="118"/>
        <v>1221</v>
      </c>
      <c r="E191" s="665">
        <f t="shared" si="118"/>
        <v>1022</v>
      </c>
      <c r="F191" s="665">
        <f t="shared" si="118"/>
        <v>1011</v>
      </c>
      <c r="G191" s="665">
        <f t="shared" si="118"/>
        <v>1125</v>
      </c>
      <c r="H191" s="665">
        <f t="shared" si="118"/>
        <v>1254</v>
      </c>
      <c r="I191" s="665">
        <f t="shared" si="118"/>
        <v>1303</v>
      </c>
      <c r="J191" s="665">
        <f t="shared" si="118"/>
        <v>1014</v>
      </c>
      <c r="K191" s="665">
        <f t="shared" si="118"/>
        <v>1112</v>
      </c>
      <c r="L191" s="665">
        <f t="shared" si="118"/>
        <v>1143</v>
      </c>
      <c r="M191" s="666">
        <f t="shared" si="118"/>
        <v>1089.6666666666667</v>
      </c>
      <c r="N191" s="665">
        <f>(N26*N28)+(N75*N77)+(N124*N126)</f>
        <v>972.50148856548844</v>
      </c>
      <c r="O191" s="665">
        <f t="shared" ref="O191:Y191" si="119">(O26*O28)+(O75*O77)+(O124*O126)</f>
        <v>972.50148856548844</v>
      </c>
      <c r="P191" s="665">
        <f t="shared" si="119"/>
        <v>972.50148856548844</v>
      </c>
      <c r="Q191" s="665">
        <f t="shared" si="119"/>
        <v>1206.9733333333336</v>
      </c>
      <c r="R191" s="665">
        <f t="shared" si="119"/>
        <v>1206.9733333333336</v>
      </c>
      <c r="S191" s="665">
        <f t="shared" si="119"/>
        <v>1206.9733333333336</v>
      </c>
      <c r="T191" s="665">
        <f t="shared" si="119"/>
        <v>1744.1666666666667</v>
      </c>
      <c r="U191" s="665">
        <f t="shared" si="119"/>
        <v>1744.1666666666667</v>
      </c>
      <c r="V191" s="665">
        <f t="shared" si="119"/>
        <v>1744.1666666666667</v>
      </c>
      <c r="W191" s="665">
        <f t="shared" si="119"/>
        <v>2046.0010822510826</v>
      </c>
      <c r="X191" s="665">
        <f t="shared" si="119"/>
        <v>2046.0010822510826</v>
      </c>
      <c r="Y191" s="665">
        <f t="shared" si="119"/>
        <v>2046.0010822510826</v>
      </c>
    </row>
    <row r="192" spans="1:25">
      <c r="A192" s="664" t="s">
        <v>725</v>
      </c>
      <c r="B192" s="128">
        <f>B27+B76+B125</f>
        <v>4004.0083662043517</v>
      </c>
      <c r="C192" s="128">
        <f t="shared" ref="C192:M192" si="120">C27+C76+C125</f>
        <v>3681.7881423294525</v>
      </c>
      <c r="D192" s="128">
        <f t="shared" si="120"/>
        <v>3973.7608707354098</v>
      </c>
      <c r="E192" s="128">
        <f t="shared" si="120"/>
        <v>3322.087566345399</v>
      </c>
      <c r="F192" s="128">
        <f t="shared" si="120"/>
        <v>3142.5837077599922</v>
      </c>
      <c r="G192" s="128">
        <f t="shared" si="120"/>
        <v>3368.0739577693557</v>
      </c>
      <c r="H192" s="128">
        <f t="shared" si="120"/>
        <v>3906.5332780793988</v>
      </c>
      <c r="I192" s="128">
        <f t="shared" si="120"/>
        <v>4112.6907109641998</v>
      </c>
      <c r="J192" s="128">
        <f t="shared" si="120"/>
        <v>3347.5957761930886</v>
      </c>
      <c r="K192" s="128">
        <f t="shared" si="120"/>
        <v>3642.5383435374147</v>
      </c>
      <c r="L192" s="128">
        <f t="shared" si="120"/>
        <v>3793.8469115452253</v>
      </c>
      <c r="M192" s="667">
        <f t="shared" si="120"/>
        <v>3683.6083273793038</v>
      </c>
      <c r="N192" s="128">
        <f t="shared" ref="N192:Y192" si="121">(N26*N27)+(N75*N76)+(N124+N125)</f>
        <v>3464.4698004157999</v>
      </c>
      <c r="O192" s="128">
        <f t="shared" si="121"/>
        <v>3464.4698004157999</v>
      </c>
      <c r="P192" s="128">
        <f t="shared" si="121"/>
        <v>3464.4698004157999</v>
      </c>
      <c r="Q192" s="128">
        <f t="shared" si="121"/>
        <v>4226.4433333333336</v>
      </c>
      <c r="R192" s="128">
        <f t="shared" si="121"/>
        <v>4226.4433333333336</v>
      </c>
      <c r="S192" s="128">
        <f t="shared" si="121"/>
        <v>4226.4433333333336</v>
      </c>
      <c r="T192" s="128">
        <f t="shared" si="121"/>
        <v>5789.4916666666668</v>
      </c>
      <c r="U192" s="128">
        <f t="shared" si="121"/>
        <v>5789.4916666666668</v>
      </c>
      <c r="V192" s="128">
        <f t="shared" si="121"/>
        <v>5789.4916666666668</v>
      </c>
      <c r="W192" s="128">
        <f t="shared" si="121"/>
        <v>6419.8028138528152</v>
      </c>
      <c r="X192" s="128">
        <f t="shared" si="121"/>
        <v>6419.8028138528152</v>
      </c>
      <c r="Y192" s="667">
        <f t="shared" si="121"/>
        <v>6419.8028138528152</v>
      </c>
    </row>
    <row r="193" spans="1:25">
      <c r="A193" s="119"/>
      <c r="O193" s="120"/>
      <c r="P193" s="120"/>
      <c r="Q193" s="120"/>
      <c r="R193" s="120"/>
      <c r="S193" s="120"/>
      <c r="T193" s="120"/>
      <c r="U193" s="120"/>
      <c r="V193" s="120"/>
      <c r="W193" s="120"/>
      <c r="X193" s="120"/>
      <c r="Y193" s="121"/>
    </row>
    <row r="194" spans="1:25">
      <c r="A194" s="661" t="s">
        <v>726</v>
      </c>
    </row>
    <row r="195" spans="1:25">
      <c r="A195" s="664" t="s">
        <v>57</v>
      </c>
      <c r="B195" s="359">
        <f>((B14*B28)+(B63*B77)+(B112*B126))/B191</f>
        <v>11.729455484346902</v>
      </c>
      <c r="C195" s="359">
        <f t="shared" ref="C195:M195" si="122">((C14*C28)+(C63*C77)+(C112*C126))/C191</f>
        <v>11.535090793488578</v>
      </c>
      <c r="D195" s="359">
        <f t="shared" si="122"/>
        <v>11.613050340151009</v>
      </c>
      <c r="E195" s="359">
        <f t="shared" si="122"/>
        <v>11.581769202195037</v>
      </c>
      <c r="F195" s="359">
        <f t="shared" si="122"/>
        <v>11.155839768644569</v>
      </c>
      <c r="G195" s="359">
        <f t="shared" si="122"/>
        <v>10.949635235743681</v>
      </c>
      <c r="H195" s="359">
        <f t="shared" si="122"/>
        <v>10.843302961094382</v>
      </c>
      <c r="I195" s="359">
        <f t="shared" si="122"/>
        <v>10.962654305584676</v>
      </c>
      <c r="J195" s="359">
        <f t="shared" si="122"/>
        <v>11.783704969709779</v>
      </c>
      <c r="K195" s="359">
        <f t="shared" si="122"/>
        <v>11.553494391094771</v>
      </c>
      <c r="L195" s="359">
        <f t="shared" si="122"/>
        <v>11.438239319675215</v>
      </c>
      <c r="M195" s="360">
        <f t="shared" si="122"/>
        <v>11.589986836171835</v>
      </c>
      <c r="N195" s="668">
        <f>((N28*N26*N14)+(N77*N75*N63)+(N124*N126*N112))/N191</f>
        <v>11.794144827650843</v>
      </c>
      <c r="O195" s="668">
        <f t="shared" ref="O195:Y195" si="123">((O28*O26*O14)+(O77*O75*O63)+(O124*O126*O112))/O191</f>
        <v>11.794144827650843</v>
      </c>
      <c r="P195" s="668">
        <f t="shared" si="123"/>
        <v>11.794144827650843</v>
      </c>
      <c r="Q195" s="668">
        <f t="shared" si="123"/>
        <v>11.767252521458635</v>
      </c>
      <c r="R195" s="668">
        <f t="shared" si="123"/>
        <v>11.767252521458635</v>
      </c>
      <c r="S195" s="668">
        <f t="shared" si="123"/>
        <v>11.767252521458635</v>
      </c>
      <c r="T195" s="668">
        <f t="shared" si="123"/>
        <v>11.690396559961776</v>
      </c>
      <c r="U195" s="668">
        <f t="shared" si="123"/>
        <v>11.690396559961776</v>
      </c>
      <c r="V195" s="668">
        <f t="shared" si="123"/>
        <v>11.690396559961776</v>
      </c>
      <c r="W195" s="668">
        <f t="shared" si="123"/>
        <v>11.617231903644793</v>
      </c>
      <c r="X195" s="668">
        <f t="shared" si="123"/>
        <v>11.617231903644793</v>
      </c>
      <c r="Y195" s="668">
        <f t="shared" si="123"/>
        <v>11.617231903644793</v>
      </c>
    </row>
    <row r="196" spans="1:25">
      <c r="A196" s="664" t="s">
        <v>725</v>
      </c>
      <c r="B196" s="359">
        <f>((B13*B27)+(B62*B76)+(B111*B125))/B192</f>
        <v>72.762412882102907</v>
      </c>
      <c r="C196" s="359">
        <f t="shared" ref="C196:M196" si="124">((C13*C27)+(C62*C76)+(C111*C125))/C192</f>
        <v>71.504358390959027</v>
      </c>
      <c r="D196" s="359">
        <f t="shared" si="124"/>
        <v>71.458568288555711</v>
      </c>
      <c r="E196" s="359">
        <f t="shared" si="124"/>
        <v>71.236059163870593</v>
      </c>
      <c r="F196" s="359">
        <f t="shared" si="124"/>
        <v>70.226440304199528</v>
      </c>
      <c r="G196" s="359">
        <f t="shared" si="124"/>
        <v>69.767774814608771</v>
      </c>
      <c r="H196" s="359">
        <f t="shared" si="124"/>
        <v>69.223518219528444</v>
      </c>
      <c r="I196" s="359">
        <f t="shared" si="124"/>
        <v>67.996557930877771</v>
      </c>
      <c r="J196" s="359">
        <f t="shared" si="124"/>
        <v>68.514668567226408</v>
      </c>
      <c r="K196" s="359">
        <f t="shared" si="124"/>
        <v>70.431130148357497</v>
      </c>
      <c r="L196" s="359">
        <f t="shared" si="124"/>
        <v>69.021460019491514</v>
      </c>
      <c r="M196" s="360">
        <f t="shared" si="124"/>
        <v>69.370445250819216</v>
      </c>
      <c r="N196" s="668">
        <f>((N27*N26*N13)+(N76*N75*N62)+(N124*N125*N111))/N192</f>
        <v>70.72422028122115</v>
      </c>
      <c r="O196" s="668">
        <f t="shared" ref="O196:Y196" si="125">((O27*O26*O13)+(O76*O75*O62)+(O124*O125*O111))/O192</f>
        <v>70.72422028122115</v>
      </c>
      <c r="P196" s="668">
        <f t="shared" si="125"/>
        <v>70.72422028122115</v>
      </c>
      <c r="Q196" s="668">
        <f t="shared" si="125"/>
        <v>70.548481662674604</v>
      </c>
      <c r="R196" s="668">
        <f t="shared" si="125"/>
        <v>70.548481662674604</v>
      </c>
      <c r="S196" s="668">
        <f t="shared" si="125"/>
        <v>70.548481662674604</v>
      </c>
      <c r="T196" s="668">
        <f t="shared" si="125"/>
        <v>70.026657492957781</v>
      </c>
      <c r="U196" s="668">
        <f t="shared" si="125"/>
        <v>70.026657492957781</v>
      </c>
      <c r="V196" s="668">
        <f t="shared" si="125"/>
        <v>70.026657492957781</v>
      </c>
      <c r="W196" s="668">
        <f t="shared" si="125"/>
        <v>69.49012422297632</v>
      </c>
      <c r="X196" s="668">
        <f t="shared" si="125"/>
        <v>69.49012422297632</v>
      </c>
      <c r="Y196" s="668">
        <f t="shared" si="125"/>
        <v>69.49012422297632</v>
      </c>
    </row>
    <row r="197" spans="1:25">
      <c r="A197" s="119"/>
      <c r="O197" s="120"/>
      <c r="P197" s="120"/>
      <c r="Q197" s="120"/>
      <c r="R197" s="120"/>
      <c r="S197" s="120"/>
      <c r="T197" s="120"/>
      <c r="U197" s="120"/>
      <c r="V197" s="120"/>
      <c r="W197" s="120"/>
      <c r="X197" s="120"/>
      <c r="Y197" s="121"/>
    </row>
    <row r="198" spans="1:25">
      <c r="A198" s="661" t="s">
        <v>727</v>
      </c>
    </row>
    <row r="199" spans="1:25">
      <c r="A199" s="664" t="s">
        <v>723</v>
      </c>
      <c r="B199" s="484">
        <f>((B20*B28)+(B69*B77)+(B118*B126))/B191</f>
        <v>9.9469447481440348E-2</v>
      </c>
      <c r="C199" s="484">
        <f t="shared" ref="C199:L199" si="126">((C20*C28)+(C69*C77)+(C118*C126))/C191</f>
        <v>0.10099801350361912</v>
      </c>
      <c r="D199" s="484">
        <f t="shared" si="126"/>
        <v>0.1061298739311505</v>
      </c>
      <c r="E199" s="484">
        <f t="shared" si="126"/>
        <v>0.1043435127793505</v>
      </c>
      <c r="F199" s="484">
        <f t="shared" si="126"/>
        <v>0.10563177196058299</v>
      </c>
      <c r="G199" s="484">
        <f t="shared" si="126"/>
        <v>0.11540891957030393</v>
      </c>
      <c r="H199" s="484">
        <f t="shared" si="126"/>
        <v>0.1093128569639861</v>
      </c>
      <c r="I199" s="484">
        <f t="shared" si="126"/>
        <v>0.10733795474625807</v>
      </c>
      <c r="J199" s="484">
        <f t="shared" si="126"/>
        <v>0.10809617912935418</v>
      </c>
      <c r="K199" s="484">
        <f t="shared" si="126"/>
        <v>0.10600694824910815</v>
      </c>
      <c r="L199" s="484">
        <f t="shared" si="126"/>
        <v>0.10741016126446029</v>
      </c>
      <c r="M199" s="587">
        <f>((M20*M28)+(M69*M77)+(M118*M126))/M191</f>
        <v>0.10714971818748523</v>
      </c>
      <c r="N199" s="498">
        <f>(N20*(N26*N28)+N69*(N75*N77)+N118*(N124*N126))/N191</f>
        <v>9.9470462028334677E-2</v>
      </c>
      <c r="O199" s="498">
        <f t="shared" ref="O199:Y199" si="127">(O20*(O26*O28)+O69*(O75*O77)+O118*(O124*O126))/O191</f>
        <v>9.9470462028334677E-2</v>
      </c>
      <c r="P199" s="498">
        <f t="shared" si="127"/>
        <v>9.9470462028334677E-2</v>
      </c>
      <c r="Q199" s="498">
        <f t="shared" si="127"/>
        <v>9.9802017166907855E-2</v>
      </c>
      <c r="R199" s="498">
        <f t="shared" si="127"/>
        <v>9.9802017166907855E-2</v>
      </c>
      <c r="S199" s="498">
        <f t="shared" si="127"/>
        <v>9.9802017166907855E-2</v>
      </c>
      <c r="T199" s="498">
        <f t="shared" si="127"/>
        <v>0.10077400860009555</v>
      </c>
      <c r="U199" s="498">
        <f t="shared" si="127"/>
        <v>0.10077400860009555</v>
      </c>
      <c r="V199" s="498">
        <f t="shared" si="127"/>
        <v>0.10077400860009555</v>
      </c>
      <c r="W199" s="498">
        <f t="shared" si="127"/>
        <v>0.10172142364077322</v>
      </c>
      <c r="X199" s="498">
        <f t="shared" si="127"/>
        <v>0.10172142364077322</v>
      </c>
      <c r="Y199" s="498">
        <f t="shared" si="127"/>
        <v>0.10172142364077322</v>
      </c>
    </row>
    <row r="200" spans="1:25">
      <c r="A200" s="664" t="s">
        <v>725</v>
      </c>
      <c r="B200" s="484">
        <f>((B21*B27)+(B70*B76)+(B119*B125))/B192</f>
        <v>0.7961038833500661</v>
      </c>
      <c r="C200" s="484">
        <f t="shared" ref="C200:M200" si="128">((C21*C27)+(C70*C76)+(C119*C125))/C192</f>
        <v>0.76781627847958878</v>
      </c>
      <c r="D200" s="484">
        <f t="shared" si="128"/>
        <v>0.81</v>
      </c>
      <c r="E200" s="484">
        <f t="shared" si="128"/>
        <v>0.79223353534541618</v>
      </c>
      <c r="F200" s="484">
        <f t="shared" si="128"/>
        <v>0.80390761269769095</v>
      </c>
      <c r="G200" s="484">
        <f t="shared" si="128"/>
        <v>0.81999999999999984</v>
      </c>
      <c r="H200" s="484">
        <f t="shared" si="128"/>
        <v>0.80426465073099052</v>
      </c>
      <c r="I200" s="484">
        <f t="shared" si="128"/>
        <v>0.81444721018073141</v>
      </c>
      <c r="J200" s="484">
        <f t="shared" si="128"/>
        <v>0.80570736702973711</v>
      </c>
      <c r="K200" s="484">
        <f t="shared" si="128"/>
        <v>0.70071419932750734</v>
      </c>
      <c r="L200" s="484">
        <f t="shared" si="128"/>
        <v>0.7013257325292751</v>
      </c>
      <c r="M200" s="587">
        <f t="shared" si="128"/>
        <v>0.70059347356896384</v>
      </c>
      <c r="N200" s="498">
        <f>(N21*(N26*N27)+N70*(N75*N76)+N119*(N124*N125))/N192</f>
        <v>0.71104977668581282</v>
      </c>
      <c r="O200" s="498">
        <f t="shared" ref="O200:Y200" si="129">(O21*(O26*O27)+O70*(O75*O76)+O119*(O124*O125))/O192</f>
        <v>0.70505068652904068</v>
      </c>
      <c r="P200" s="498">
        <f t="shared" si="129"/>
        <v>0.70505068652904068</v>
      </c>
      <c r="Q200" s="498">
        <f t="shared" si="129"/>
        <v>0.70517578687791804</v>
      </c>
      <c r="R200" s="498">
        <f t="shared" si="129"/>
        <v>0.70517578687791804</v>
      </c>
      <c r="S200" s="498">
        <f t="shared" si="129"/>
        <v>0.70517578687791804</v>
      </c>
      <c r="T200" s="498">
        <f t="shared" si="129"/>
        <v>0.70611673848007239</v>
      </c>
      <c r="U200" s="498">
        <f t="shared" si="129"/>
        <v>0.70611673848007239</v>
      </c>
      <c r="V200" s="498">
        <f t="shared" si="129"/>
        <v>0.70611673848007239</v>
      </c>
      <c r="W200" s="498">
        <f t="shared" si="129"/>
        <v>0.70767933393339078</v>
      </c>
      <c r="X200" s="498">
        <f t="shared" si="129"/>
        <v>0.70767933393339078</v>
      </c>
      <c r="Y200" s="498">
        <f t="shared" si="129"/>
        <v>0.70767933393339078</v>
      </c>
    </row>
    <row r="202" spans="1:25">
      <c r="A202" s="661" t="s">
        <v>728</v>
      </c>
    </row>
    <row r="203" spans="1:25">
      <c r="A203" s="664" t="s">
        <v>723</v>
      </c>
      <c r="B203" s="669">
        <f>B195/B199</f>
        <v>117.92018334610192</v>
      </c>
      <c r="C203" s="669">
        <f t="shared" ref="C203:L204" si="130">C195/C199</f>
        <v>114.21106607285138</v>
      </c>
      <c r="D203" s="669">
        <f t="shared" si="130"/>
        <v>109.42301078850549</v>
      </c>
      <c r="E203" s="669">
        <f t="shared" si="130"/>
        <v>110.99654299243662</v>
      </c>
      <c r="F203" s="669">
        <f t="shared" si="130"/>
        <v>105.61064688763742</v>
      </c>
      <c r="G203" s="669">
        <f t="shared" si="130"/>
        <v>94.876854202533849</v>
      </c>
      <c r="H203" s="669">
        <f t="shared" si="130"/>
        <v>99.195129120692414</v>
      </c>
      <c r="I203" s="669">
        <f t="shared" si="130"/>
        <v>102.13213333065532</v>
      </c>
      <c r="J203" s="669">
        <f t="shared" si="130"/>
        <v>109.01129960947752</v>
      </c>
      <c r="K203" s="669">
        <f t="shared" si="130"/>
        <v>108.9880859879576</v>
      </c>
      <c r="L203" s="669">
        <f t="shared" si="130"/>
        <v>106.49122191998684</v>
      </c>
      <c r="M203" s="670">
        <f t="shared" ref="M203:O204" si="131">M195/M199</f>
        <v>108.16628388972759</v>
      </c>
      <c r="N203" s="671">
        <f t="shared" si="131"/>
        <v>118.56931783720096</v>
      </c>
      <c r="O203" s="672">
        <f t="shared" si="131"/>
        <v>118.56931783720096</v>
      </c>
      <c r="P203" s="673">
        <f t="shared" ref="P203:Y204" si="132">P195/P199</f>
        <v>118.56931783720096</v>
      </c>
      <c r="Q203" s="673">
        <f t="shared" si="132"/>
        <v>117.90595877214791</v>
      </c>
      <c r="R203" s="673">
        <f t="shared" si="132"/>
        <v>117.90595877214791</v>
      </c>
      <c r="S203" s="673">
        <f t="shared" si="132"/>
        <v>117.90595877214791</v>
      </c>
      <c r="T203" s="673">
        <f t="shared" si="132"/>
        <v>116.00606865162146</v>
      </c>
      <c r="U203" s="673">
        <f t="shared" si="132"/>
        <v>116.00606865162146</v>
      </c>
      <c r="V203" s="673">
        <f t="shared" si="132"/>
        <v>116.00606865162146</v>
      </c>
      <c r="W203" s="673">
        <f t="shared" si="132"/>
        <v>114.2063440310349</v>
      </c>
      <c r="X203" s="673">
        <f t="shared" si="132"/>
        <v>114.2063440310349</v>
      </c>
      <c r="Y203" s="674">
        <f t="shared" si="132"/>
        <v>114.2063440310349</v>
      </c>
    </row>
    <row r="204" spans="1:25">
      <c r="A204" s="664" t="s">
        <v>725</v>
      </c>
      <c r="B204" s="675">
        <f>B196/B200</f>
        <v>91.398138363442101</v>
      </c>
      <c r="C204" s="675">
        <f t="shared" si="130"/>
        <v>93.126911209215606</v>
      </c>
      <c r="D204" s="675">
        <f t="shared" si="130"/>
        <v>88.22045467722927</v>
      </c>
      <c r="E204" s="675">
        <f>E196/E200</f>
        <v>89.918005216493967</v>
      </c>
      <c r="F204" s="675">
        <f t="shared" si="130"/>
        <v>87.35635686859473</v>
      </c>
      <c r="G204" s="675">
        <f t="shared" si="130"/>
        <v>85.082652212937546</v>
      </c>
      <c r="H204" s="675">
        <f t="shared" si="130"/>
        <v>86.070571616708094</v>
      </c>
      <c r="I204" s="675">
        <f t="shared" si="130"/>
        <v>83.487986797559131</v>
      </c>
      <c r="J204" s="675">
        <f t="shared" si="130"/>
        <v>85.036666376537752</v>
      </c>
      <c r="K204" s="675">
        <f t="shared" si="130"/>
        <v>100.51334797546843</v>
      </c>
      <c r="L204" s="675">
        <f t="shared" si="130"/>
        <v>98.415695900065074</v>
      </c>
      <c r="M204" s="676">
        <f t="shared" si="131"/>
        <v>99.016687805314888</v>
      </c>
      <c r="N204" s="677">
        <f t="shared" si="131"/>
        <v>99.464513737512391</v>
      </c>
      <c r="O204" s="677">
        <f t="shared" si="131"/>
        <v>100.31083102605851</v>
      </c>
      <c r="P204" s="675">
        <f t="shared" si="132"/>
        <v>100.31083102605851</v>
      </c>
      <c r="Q204" s="675">
        <f t="shared" si="132"/>
        <v>100.04382307994382</v>
      </c>
      <c r="R204" s="675">
        <f t="shared" si="132"/>
        <v>100.04382307994382</v>
      </c>
      <c r="S204" s="675">
        <f t="shared" si="132"/>
        <v>100.04382307994382</v>
      </c>
      <c r="T204" s="675">
        <f t="shared" si="132"/>
        <v>99.171501929965984</v>
      </c>
      <c r="U204" s="675">
        <f t="shared" si="132"/>
        <v>99.171501929965984</v>
      </c>
      <c r="V204" s="675">
        <f t="shared" si="132"/>
        <v>99.171501929965984</v>
      </c>
      <c r="W204" s="675">
        <f t="shared" si="132"/>
        <v>98.194366983616021</v>
      </c>
      <c r="X204" s="675">
        <f t="shared" si="132"/>
        <v>98.194366983616021</v>
      </c>
      <c r="Y204" s="676">
        <f t="shared" si="132"/>
        <v>98.194366983616021</v>
      </c>
    </row>
    <row r="205" spans="1:25">
      <c r="A205" s="664"/>
    </row>
    <row r="206" spans="1:25">
      <c r="A206" s="678" t="s">
        <v>729</v>
      </c>
      <c r="B206" s="679">
        <f>SUMPRODUCT(B191:B192,B203:B204)/B190</f>
        <v>96.941456659593911</v>
      </c>
      <c r="C206" s="679">
        <f t="shared" ref="C206:Y206" si="133">SUMPRODUCT(C191:C192,C203:C204)/C190</f>
        <v>97.936256992953631</v>
      </c>
      <c r="D206" s="679">
        <f t="shared" si="133"/>
        <v>93.203998993524891</v>
      </c>
      <c r="E206" s="679">
        <f t="shared" si="133"/>
        <v>94.876990337766856</v>
      </c>
      <c r="F206" s="679">
        <f t="shared" si="133"/>
        <v>91.799528959907889</v>
      </c>
      <c r="G206" s="679">
        <f t="shared" si="133"/>
        <v>87.534977133884567</v>
      </c>
      <c r="H206" s="679">
        <f t="shared" si="133"/>
        <v>89.259814709065722</v>
      </c>
      <c r="I206" s="679">
        <f t="shared" si="133"/>
        <v>87.973716177089955</v>
      </c>
      <c r="J206" s="679">
        <f t="shared" si="133"/>
        <v>90.610378234682358</v>
      </c>
      <c r="K206" s="679">
        <f t="shared" si="133"/>
        <v>102.49543498139141</v>
      </c>
      <c r="L206" s="679">
        <f t="shared" si="133"/>
        <v>100.28537636740643</v>
      </c>
      <c r="M206" s="680">
        <f t="shared" si="133"/>
        <v>101.10540255128797</v>
      </c>
      <c r="N206" s="681">
        <f>SUMPRODUCT(N191:N192,N203:N204)/N190</f>
        <v>103.76769698622905</v>
      </c>
      <c r="O206" s="681">
        <f t="shared" si="133"/>
        <v>104.42925533546968</v>
      </c>
      <c r="P206" s="679">
        <f t="shared" si="133"/>
        <v>104.42925533546968</v>
      </c>
      <c r="Q206" s="679">
        <f t="shared" si="133"/>
        <v>104.13339873777547</v>
      </c>
      <c r="R206" s="679">
        <f t="shared" si="133"/>
        <v>104.13339873777547</v>
      </c>
      <c r="S206" s="679">
        <f t="shared" si="133"/>
        <v>104.13339873777547</v>
      </c>
      <c r="T206" s="679">
        <f t="shared" si="133"/>
        <v>103.20186099748803</v>
      </c>
      <c r="U206" s="679">
        <f t="shared" si="133"/>
        <v>103.20186099748803</v>
      </c>
      <c r="V206" s="679">
        <f t="shared" si="133"/>
        <v>103.20186099748803</v>
      </c>
      <c r="W206" s="679">
        <f t="shared" si="133"/>
        <v>102.20133564240406</v>
      </c>
      <c r="X206" s="679">
        <f t="shared" si="133"/>
        <v>102.20133564240406</v>
      </c>
      <c r="Y206" s="680">
        <f t="shared" si="133"/>
        <v>102.20133564240406</v>
      </c>
    </row>
    <row r="207" spans="1:25">
      <c r="A207" s="678" t="s">
        <v>82</v>
      </c>
      <c r="B207" s="673">
        <f>B206/B160</f>
        <v>3.2243506032495586</v>
      </c>
      <c r="C207" s="673">
        <f t="shared" ref="C207:Y207" si="134">C206/C160</f>
        <v>3.171085445766638</v>
      </c>
      <c r="D207" s="673">
        <f t="shared" si="134"/>
        <v>3.0458833287899929</v>
      </c>
      <c r="E207" s="673">
        <f t="shared" si="134"/>
        <v>2.6992570192522378</v>
      </c>
      <c r="F207" s="673">
        <f t="shared" si="134"/>
        <v>2.5987369471228989</v>
      </c>
      <c r="G207" s="673">
        <f t="shared" si="134"/>
        <v>2.4533493871830623</v>
      </c>
      <c r="H207" s="673">
        <f t="shared" si="134"/>
        <v>2.6556242147636979</v>
      </c>
      <c r="I207" s="673">
        <f t="shared" si="134"/>
        <v>2.8142204809814744</v>
      </c>
      <c r="J207" s="673">
        <f t="shared" si="134"/>
        <v>2.5049865870847841</v>
      </c>
      <c r="K207" s="673">
        <f t="shared" si="134"/>
        <v>3.2787470941604009</v>
      </c>
      <c r="L207" s="673">
        <f t="shared" si="134"/>
        <v>3.1332051616640171</v>
      </c>
      <c r="M207" s="674">
        <f t="shared" si="134"/>
        <v>3.1424381290680072</v>
      </c>
      <c r="N207" s="672">
        <f>N206/N160</f>
        <v>3.0336453967778803</v>
      </c>
      <c r="O207" s="672">
        <f t="shared" si="134"/>
        <v>3.0529860345597917</v>
      </c>
      <c r="P207" s="673">
        <f t="shared" si="134"/>
        <v>3.0529860345597917</v>
      </c>
      <c r="Q207" s="673">
        <f t="shared" si="134"/>
        <v>3.1820883850027593</v>
      </c>
      <c r="R207" s="673">
        <f t="shared" si="134"/>
        <v>3.1820883850027593</v>
      </c>
      <c r="S207" s="673">
        <f t="shared" si="134"/>
        <v>3.1820883850027593</v>
      </c>
      <c r="T207" s="673">
        <f t="shared" si="134"/>
        <v>3.5488414171277802</v>
      </c>
      <c r="U207" s="673">
        <f t="shared" si="134"/>
        <v>3.5488414171277802</v>
      </c>
      <c r="V207" s="673">
        <f t="shared" si="134"/>
        <v>3.5488414171277802</v>
      </c>
      <c r="W207" s="673">
        <f t="shared" si="134"/>
        <v>3.9275217134243228</v>
      </c>
      <c r="X207" s="673">
        <f t="shared" si="134"/>
        <v>3.9275217134243228</v>
      </c>
      <c r="Y207" s="674">
        <f t="shared" si="134"/>
        <v>3.9275217134243228</v>
      </c>
    </row>
  </sheetData>
  <mergeCells count="6">
    <mergeCell ref="A152:A153"/>
    <mergeCell ref="B3:M3"/>
    <mergeCell ref="N3:Y3"/>
    <mergeCell ref="A5:A6"/>
    <mergeCell ref="A54:A55"/>
    <mergeCell ref="A103:A10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4C687-10F2-8547-A51C-96997A632640}">
  <sheetPr codeName="Sheet5"/>
  <dimension ref="A4:AM131"/>
  <sheetViews>
    <sheetView showGridLines="0" topLeftCell="A4" zoomScale="81" zoomScaleNormal="107" workbookViewId="0">
      <pane xSplit="3" ySplit="6" topLeftCell="Q92" activePane="bottomRight" state="frozen"/>
      <selection pane="topRight" activeCell="T9" sqref="T9"/>
      <selection pane="bottomLeft" activeCell="T9" sqref="T9"/>
      <selection pane="bottomRight" activeCell="S117" sqref="A117:XFD117"/>
    </sheetView>
  </sheetViews>
  <sheetFormatPr baseColWidth="10" defaultColWidth="11" defaultRowHeight="16"/>
  <cols>
    <col min="2" max="2" width="13.33203125" bestFit="1" customWidth="1"/>
    <col min="3" max="3" width="39.6640625" bestFit="1" customWidth="1"/>
    <col min="4" max="4" width="13.1640625" bestFit="1" customWidth="1"/>
    <col min="5" max="5" width="12.1640625" bestFit="1" customWidth="1"/>
    <col min="6" max="6" width="13.1640625" bestFit="1" customWidth="1"/>
    <col min="7" max="11" width="12.1640625" bestFit="1" customWidth="1"/>
    <col min="12" max="12" width="13" bestFit="1" customWidth="1"/>
    <col min="13" max="13" width="14.1640625" bestFit="1" customWidth="1"/>
    <col min="14" max="14" width="14.83203125" bestFit="1" customWidth="1"/>
    <col min="15" max="15" width="12.83203125" bestFit="1" customWidth="1"/>
    <col min="16" max="16" width="2.1640625" customWidth="1"/>
    <col min="17" max="17" width="14.1640625" bestFit="1" customWidth="1"/>
    <col min="18" max="18" width="2.1640625" customWidth="1"/>
    <col min="19" max="19" width="13.1640625" bestFit="1" customWidth="1"/>
    <col min="20" max="20" width="14.1640625" bestFit="1" customWidth="1"/>
    <col min="21" max="25" width="13.1640625" bestFit="1" customWidth="1"/>
    <col min="26" max="30" width="14.1640625" bestFit="1" customWidth="1"/>
    <col min="31" max="31" width="2.1640625" customWidth="1"/>
    <col min="32" max="32" width="14.6640625" bestFit="1" customWidth="1"/>
    <col min="33" max="33" width="25.83203125" bestFit="1" customWidth="1"/>
    <col min="34" max="34" width="16.1640625" bestFit="1" customWidth="1"/>
    <col min="35" max="38" width="12.6640625" bestFit="1" customWidth="1"/>
  </cols>
  <sheetData>
    <row r="4" spans="1:32">
      <c r="C4" s="124"/>
      <c r="O4" s="12"/>
    </row>
    <row r="5" spans="1:32" ht="22">
      <c r="C5" s="125" t="s">
        <v>740</v>
      </c>
    </row>
    <row r="6" spans="1:32">
      <c r="C6" s="124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</row>
    <row r="7" spans="1:32" ht="19">
      <c r="C7" s="129"/>
      <c r="D7" s="128"/>
      <c r="E7" s="128"/>
      <c r="F7" s="128"/>
      <c r="G7" s="128"/>
      <c r="H7" s="128"/>
      <c r="I7" s="128"/>
      <c r="J7" s="128"/>
      <c r="K7" s="128"/>
      <c r="L7" s="128"/>
      <c r="M7" s="128"/>
      <c r="N7" s="128"/>
      <c r="O7" s="128"/>
    </row>
    <row r="8" spans="1:32">
      <c r="C8" s="5"/>
      <c r="D8" s="774">
        <v>2024</v>
      </c>
      <c r="E8" s="774"/>
      <c r="F8" s="774"/>
      <c r="G8" s="774"/>
      <c r="H8" s="774"/>
      <c r="I8" s="774"/>
      <c r="J8" s="774"/>
      <c r="K8" s="774"/>
      <c r="L8" s="774"/>
      <c r="M8" s="774"/>
      <c r="N8" s="774"/>
      <c r="O8" s="774"/>
      <c r="P8" s="130"/>
      <c r="R8" s="131"/>
      <c r="S8" s="774">
        <v>2025</v>
      </c>
      <c r="T8" s="774"/>
      <c r="U8" s="774"/>
      <c r="V8" s="774"/>
      <c r="W8" s="774"/>
      <c r="X8" s="774"/>
      <c r="Y8" s="774"/>
      <c r="Z8" s="774"/>
      <c r="AA8" s="774"/>
      <c r="AB8" s="774"/>
      <c r="AC8" s="774"/>
      <c r="AD8" s="774"/>
      <c r="AE8" s="131"/>
    </row>
    <row r="9" spans="1:32">
      <c r="D9" s="132" t="s">
        <v>30</v>
      </c>
      <c r="E9" s="132" t="s">
        <v>31</v>
      </c>
      <c r="F9" s="132" t="s">
        <v>32</v>
      </c>
      <c r="G9" s="132" t="s">
        <v>33</v>
      </c>
      <c r="H9" s="132" t="s">
        <v>34</v>
      </c>
      <c r="I9" s="132" t="s">
        <v>35</v>
      </c>
      <c r="J9" s="132" t="s">
        <v>36</v>
      </c>
      <c r="K9" s="132" t="s">
        <v>37</v>
      </c>
      <c r="L9" s="132" t="s">
        <v>38</v>
      </c>
      <c r="M9" s="132" t="s">
        <v>39</v>
      </c>
      <c r="N9" s="132" t="s">
        <v>40</v>
      </c>
      <c r="O9" s="132" t="s">
        <v>41</v>
      </c>
      <c r="P9" s="133"/>
      <c r="Q9" s="132" t="s">
        <v>86</v>
      </c>
      <c r="R9" s="133"/>
      <c r="S9" s="132" t="s">
        <v>30</v>
      </c>
      <c r="T9" s="132" t="s">
        <v>31</v>
      </c>
      <c r="U9" s="132" t="s">
        <v>32</v>
      </c>
      <c r="V9" s="132" t="s">
        <v>33</v>
      </c>
      <c r="W9" s="132" t="s">
        <v>34</v>
      </c>
      <c r="X9" s="132" t="s">
        <v>35</v>
      </c>
      <c r="Y9" s="132" t="s">
        <v>36</v>
      </c>
      <c r="Z9" s="132" t="s">
        <v>37</v>
      </c>
      <c r="AA9" s="132" t="s">
        <v>38</v>
      </c>
      <c r="AB9" s="132" t="s">
        <v>39</v>
      </c>
      <c r="AC9" s="132" t="s">
        <v>40</v>
      </c>
      <c r="AD9" s="132" t="s">
        <v>41</v>
      </c>
      <c r="AE9" s="133"/>
      <c r="AF9" s="132" t="s">
        <v>87</v>
      </c>
    </row>
    <row r="10" spans="1:32">
      <c r="D10" s="434"/>
      <c r="E10" s="434"/>
      <c r="F10" s="434"/>
      <c r="G10" s="434"/>
      <c r="H10" s="434"/>
      <c r="I10" s="434"/>
      <c r="J10" s="434"/>
      <c r="K10" s="434"/>
      <c r="L10" s="434"/>
      <c r="M10" s="434"/>
      <c r="N10" s="434"/>
      <c r="O10" s="434"/>
      <c r="P10" s="434"/>
      <c r="Q10" s="434"/>
      <c r="R10" s="434"/>
      <c r="S10" s="434"/>
      <c r="T10" s="434"/>
      <c r="U10" s="434"/>
      <c r="V10" s="434"/>
      <c r="W10" s="434"/>
      <c r="X10" s="434"/>
      <c r="Y10" s="434"/>
      <c r="Z10" s="434"/>
      <c r="AA10" s="434"/>
      <c r="AB10" s="434"/>
      <c r="AC10" s="434"/>
      <c r="AD10" s="434"/>
      <c r="AE10" s="434"/>
      <c r="AF10" s="434"/>
    </row>
    <row r="11" spans="1:32" s="52" customFormat="1" ht="17" customHeight="1">
      <c r="A11" s="775" t="s">
        <v>741</v>
      </c>
      <c r="B11" s="88" t="s">
        <v>88</v>
      </c>
      <c r="C11" s="134" t="s">
        <v>89</v>
      </c>
      <c r="P11" s="135"/>
      <c r="R11" s="135"/>
      <c r="U11" s="70"/>
      <c r="X11" s="70"/>
      <c r="Z11" s="70"/>
      <c r="AA11" s="70"/>
      <c r="AD11" s="70"/>
      <c r="AE11" s="135"/>
    </row>
    <row r="12" spans="1:32" s="52" customFormat="1" ht="16" customHeight="1">
      <c r="A12" s="775"/>
      <c r="B12" s="136" t="s">
        <v>90</v>
      </c>
      <c r="C12" s="137" t="s">
        <v>91</v>
      </c>
      <c r="D12" s="138">
        <f>165129.97-8270.84</f>
        <v>156859.13</v>
      </c>
      <c r="E12" s="138">
        <v>150774.29</v>
      </c>
      <c r="F12" s="138">
        <v>289205.33</v>
      </c>
      <c r="G12" s="138">
        <v>219796.81</v>
      </c>
      <c r="H12" s="138">
        <v>218296.92</v>
      </c>
      <c r="I12" s="138">
        <v>247408.11</v>
      </c>
      <c r="J12" s="138">
        <v>177016.38</v>
      </c>
      <c r="K12" s="138">
        <v>195191.02</v>
      </c>
      <c r="L12" s="138">
        <v>280170.3</v>
      </c>
      <c r="M12" s="138">
        <v>410243.26289999997</v>
      </c>
      <c r="N12" s="141"/>
      <c r="O12" s="141">
        <f>+Model!L47</f>
        <v>265740.9884821428</v>
      </c>
      <c r="P12" s="139"/>
      <c r="Q12" s="140">
        <f>SUM(D12:O12)</f>
        <v>2610702.5413821433</v>
      </c>
      <c r="R12" s="139"/>
      <c r="S12" s="527">
        <f>Model!M33</f>
        <v>227150.68694790435</v>
      </c>
      <c r="T12" s="527">
        <f>Model!N47</f>
        <v>259005.64056207903</v>
      </c>
      <c r="U12" s="527">
        <f>Model!O47</f>
        <v>249658.32018907511</v>
      </c>
      <c r="V12" s="527">
        <f>Model!P47</f>
        <v>246126.48329899297</v>
      </c>
      <c r="W12" s="527">
        <f>Model!Q47</f>
        <v>292650.5930634439</v>
      </c>
      <c r="X12" s="527">
        <f>Model!R47</f>
        <v>292977.6204715608</v>
      </c>
      <c r="Y12" s="527">
        <f>Model!S47</f>
        <v>293475.08582470322</v>
      </c>
      <c r="Z12" s="527">
        <f>Model!T47</f>
        <v>387551.5259301833</v>
      </c>
      <c r="AA12" s="527">
        <f>Model!U47</f>
        <v>389763.26196515263</v>
      </c>
      <c r="AB12" s="527">
        <f>Model!V47</f>
        <v>389273.48796779232</v>
      </c>
      <c r="AC12" s="527">
        <f>Model!W47</f>
        <v>407155.64179509546</v>
      </c>
      <c r="AD12" s="527">
        <f>Model!X47</f>
        <v>407976.48442034307</v>
      </c>
      <c r="AE12" s="139"/>
      <c r="AF12" s="140">
        <f t="shared" ref="AF12:AF17" si="0">SUM(S12:AD12)</f>
        <v>3842764.8324363269</v>
      </c>
    </row>
    <row r="13" spans="1:32" s="52" customFormat="1" ht="19">
      <c r="A13" s="775"/>
      <c r="B13" s="88"/>
      <c r="C13" s="137" t="s">
        <v>92</v>
      </c>
      <c r="D13" s="138">
        <v>31973</v>
      </c>
      <c r="E13" s="138">
        <v>43276</v>
      </c>
      <c r="F13" s="177">
        <v>36847</v>
      </c>
      <c r="G13" s="177">
        <v>37853</v>
      </c>
      <c r="H13" s="177">
        <v>34766</v>
      </c>
      <c r="I13" s="177">
        <v>37034</v>
      </c>
      <c r="J13" s="177">
        <v>35133</v>
      </c>
      <c r="K13" s="177">
        <v>39252</v>
      </c>
      <c r="L13" s="177">
        <v>34814</v>
      </c>
      <c r="M13" s="177">
        <v>39784</v>
      </c>
      <c r="N13" s="177">
        <v>41228.82</v>
      </c>
      <c r="O13" s="141">
        <v>164574</v>
      </c>
      <c r="P13" s="142"/>
      <c r="Q13" s="141">
        <f>SUM(D13:O13)</f>
        <v>576534.82000000007</v>
      </c>
      <c r="R13" s="142"/>
      <c r="S13" s="528">
        <f>Model!M82</f>
        <v>33807.752812286963</v>
      </c>
      <c r="T13" s="528">
        <f>Model!N96</f>
        <v>27859.20834990808</v>
      </c>
      <c r="U13" s="528">
        <f>Model!O96</f>
        <v>25023.777638994357</v>
      </c>
      <c r="V13" s="528">
        <f>Model!P96</f>
        <v>23800.893704974198</v>
      </c>
      <c r="W13" s="528">
        <f>Model!Q96</f>
        <v>34735.466039550694</v>
      </c>
      <c r="X13" s="528">
        <f>Model!R96</f>
        <v>35177.212796774154</v>
      </c>
      <c r="Y13" s="528">
        <f>Model!S96</f>
        <v>35023.729527306532</v>
      </c>
      <c r="Z13" s="528">
        <f>Model!T96</f>
        <v>63875.914508698872</v>
      </c>
      <c r="AA13" s="528">
        <f>Model!U96</f>
        <v>65470.290521832358</v>
      </c>
      <c r="AB13" s="528">
        <f>Model!V96</f>
        <v>65897.94323058</v>
      </c>
      <c r="AC13" s="528">
        <f>Model!W96</f>
        <v>99227.847681312065</v>
      </c>
      <c r="AD13" s="528">
        <f>Model!X96</f>
        <v>100617.98004277273</v>
      </c>
      <c r="AE13" s="142"/>
      <c r="AF13" s="141">
        <f t="shared" si="0"/>
        <v>610518.01685499109</v>
      </c>
    </row>
    <row r="14" spans="1:32" s="52" customFormat="1" ht="19">
      <c r="A14" s="775"/>
      <c r="B14" s="88"/>
      <c r="C14" s="143" t="s">
        <v>93</v>
      </c>
      <c r="D14" s="526">
        <f>SUM(D12:D13)</f>
        <v>188832.13</v>
      </c>
      <c r="E14" s="526">
        <f>SUM(E12:E13)</f>
        <v>194050.29</v>
      </c>
      <c r="F14" s="526">
        <f t="shared" ref="F14:O14" si="1">SUM(F12:F13)</f>
        <v>326052.33</v>
      </c>
      <c r="G14" s="526">
        <f t="shared" si="1"/>
        <v>257649.81</v>
      </c>
      <c r="H14" s="526">
        <f t="shared" si="1"/>
        <v>253062.92</v>
      </c>
      <c r="I14" s="526">
        <f t="shared" si="1"/>
        <v>284442.11</v>
      </c>
      <c r="J14" s="526">
        <f t="shared" si="1"/>
        <v>212149.38</v>
      </c>
      <c r="K14" s="526">
        <f t="shared" si="1"/>
        <v>234443.02</v>
      </c>
      <c r="L14" s="526">
        <f t="shared" si="1"/>
        <v>314984.3</v>
      </c>
      <c r="M14" s="526">
        <f t="shared" si="1"/>
        <v>450027.26289999997</v>
      </c>
      <c r="N14" s="526">
        <f t="shared" si="1"/>
        <v>41228.82</v>
      </c>
      <c r="O14" s="526">
        <f t="shared" si="1"/>
        <v>430314.9884821428</v>
      </c>
      <c r="P14" s="142"/>
      <c r="Q14" s="144">
        <f>SUM(D14:O14)</f>
        <v>3187237.3613821422</v>
      </c>
      <c r="R14" s="145"/>
      <c r="S14" s="144">
        <f>+S12+S13</f>
        <v>260958.43976019131</v>
      </c>
      <c r="T14" s="144">
        <f t="shared" ref="T14:AD14" si="2">+T12+T13</f>
        <v>286864.84891198709</v>
      </c>
      <c r="U14" s="144">
        <f t="shared" si="2"/>
        <v>274682.09782806947</v>
      </c>
      <c r="V14" s="144">
        <f t="shared" si="2"/>
        <v>269927.37700396718</v>
      </c>
      <c r="W14" s="144">
        <f t="shared" si="2"/>
        <v>327386.05910299462</v>
      </c>
      <c r="X14" s="144">
        <f t="shared" si="2"/>
        <v>328154.83326833497</v>
      </c>
      <c r="Y14" s="144">
        <f t="shared" si="2"/>
        <v>328498.81535200973</v>
      </c>
      <c r="Z14" s="144">
        <f t="shared" si="2"/>
        <v>451427.44043888216</v>
      </c>
      <c r="AA14" s="144">
        <f t="shared" si="2"/>
        <v>455233.55248698499</v>
      </c>
      <c r="AB14" s="144">
        <f t="shared" si="2"/>
        <v>455171.43119837233</v>
      </c>
      <c r="AC14" s="144">
        <f t="shared" si="2"/>
        <v>506383.48947640753</v>
      </c>
      <c r="AD14" s="144">
        <f t="shared" si="2"/>
        <v>508594.46446311579</v>
      </c>
      <c r="AE14" s="145"/>
      <c r="AF14" s="144">
        <f t="shared" si="0"/>
        <v>4453282.8492913172</v>
      </c>
    </row>
    <row r="15" spans="1:32" s="52" customFormat="1" ht="20" thickBot="1">
      <c r="A15" s="775"/>
      <c r="B15" s="88"/>
      <c r="C15" s="146" t="s">
        <v>69</v>
      </c>
      <c r="D15" s="147">
        <v>-58701.455795732116</v>
      </c>
      <c r="E15" s="147">
        <v>-57045.070699891723</v>
      </c>
      <c r="F15" s="147">
        <v>-71905.910120201079</v>
      </c>
      <c r="G15" s="147">
        <v>-80423.767729069004</v>
      </c>
      <c r="H15" s="147">
        <v>-75871.641142857145</v>
      </c>
      <c r="I15" s="147">
        <v>-85272.712857142847</v>
      </c>
      <c r="J15" s="147">
        <v>-63592.050081632631</v>
      </c>
      <c r="K15" s="147">
        <v>-72142.384000000005</v>
      </c>
      <c r="L15" s="147">
        <v>-84015.961428571434</v>
      </c>
      <c r="M15" s="147">
        <v>-134853</v>
      </c>
      <c r="N15" s="147">
        <v>-14588</v>
      </c>
      <c r="O15" s="148">
        <f>Model!L48+Model!L97</f>
        <v>-68911.089390679685</v>
      </c>
      <c r="P15" s="142"/>
      <c r="Q15" s="149">
        <f>SUM(D15:O15)</f>
        <v>-867323.04324577772</v>
      </c>
      <c r="R15" s="150"/>
      <c r="S15" s="516">
        <f>+Model!M48+Model!M97</f>
        <v>-67026.850548051894</v>
      </c>
      <c r="T15" s="516">
        <f>+Model!N48+Model!N97</f>
        <v>-72176.309951744595</v>
      </c>
      <c r="U15" s="516">
        <f>+Model!O48+Model!O97</f>
        <v>-73478.687884162646</v>
      </c>
      <c r="V15" s="516">
        <f>+Model!P48+Model!P97</f>
        <v>-73940.478475375028</v>
      </c>
      <c r="W15" s="516">
        <f>+Model!Q48+Model!Q97</f>
        <v>-91707.273261888055</v>
      </c>
      <c r="X15" s="516">
        <f>+Model!R48+Model!R97</f>
        <v>-91730.21713170936</v>
      </c>
      <c r="Y15" s="516">
        <f>+Model!S48+Model!S97</f>
        <v>-91600.027407187357</v>
      </c>
      <c r="Z15" s="516">
        <f>+Model!T48+Model!T97</f>
        <v>-125439.09646570309</v>
      </c>
      <c r="AA15" s="516">
        <f>+Model!U48+Model!U97</f>
        <v>-125315.62446133593</v>
      </c>
      <c r="AB15" s="516">
        <f>+Model!V48+Model!V97</f>
        <v>-125499.10980255752</v>
      </c>
      <c r="AC15" s="516">
        <f>+Model!W48+Model!W97</f>
        <v>-133243.82429412645</v>
      </c>
      <c r="AD15" s="516">
        <f>+Model!X48+Model!X97</f>
        <v>-133357.68224136907</v>
      </c>
      <c r="AE15" s="150"/>
      <c r="AF15" s="149">
        <f t="shared" si="0"/>
        <v>-1204515.1819252111</v>
      </c>
    </row>
    <row r="16" spans="1:32" s="52" customFormat="1" ht="21" thickTop="1" thickBot="1">
      <c r="A16" s="775"/>
      <c r="B16" s="88"/>
      <c r="C16" s="143" t="s">
        <v>94</v>
      </c>
      <c r="D16" s="74">
        <f>+D14+D15</f>
        <v>130130.67420426788</v>
      </c>
      <c r="E16" s="74">
        <f t="shared" ref="E16:K16" si="3">+E14+E15</f>
        <v>137005.21930010829</v>
      </c>
      <c r="F16" s="74">
        <f t="shared" si="3"/>
        <v>254146.41987979895</v>
      </c>
      <c r="G16" s="74">
        <f t="shared" si="3"/>
        <v>177226.04227093101</v>
      </c>
      <c r="H16" s="74">
        <f t="shared" si="3"/>
        <v>177191.27885714287</v>
      </c>
      <c r="I16" s="74">
        <f t="shared" si="3"/>
        <v>199169.39714285714</v>
      </c>
      <c r="J16" s="74">
        <f t="shared" si="3"/>
        <v>148557.32991836738</v>
      </c>
      <c r="K16" s="74">
        <f t="shared" si="3"/>
        <v>162300.636</v>
      </c>
      <c r="L16" s="74">
        <f>+L14+L15</f>
        <v>230968.33857142855</v>
      </c>
      <c r="M16" s="74">
        <f>+M14+M15</f>
        <v>315174.26289999997</v>
      </c>
      <c r="N16" s="74">
        <f>+N14+N15</f>
        <v>26640.82</v>
      </c>
      <c r="O16" s="74">
        <f>+O14+O15</f>
        <v>361403.89909146313</v>
      </c>
      <c r="P16" s="150"/>
      <c r="Q16" s="74">
        <f>SUM(D16:O16)</f>
        <v>2319914.3181363652</v>
      </c>
      <c r="R16" s="151"/>
      <c r="S16" s="74">
        <f>+S14+S15</f>
        <v>193931.58921213943</v>
      </c>
      <c r="T16" s="74">
        <f t="shared" ref="T16:AD16" si="4">+T14+T15</f>
        <v>214688.5389602425</v>
      </c>
      <c r="U16" s="74">
        <f t="shared" si="4"/>
        <v>201203.40994390682</v>
      </c>
      <c r="V16" s="74">
        <f t="shared" si="4"/>
        <v>195986.89852859214</v>
      </c>
      <c r="W16" s="74">
        <f t="shared" si="4"/>
        <v>235678.78584110655</v>
      </c>
      <c r="X16" s="74">
        <f t="shared" si="4"/>
        <v>236424.61613662561</v>
      </c>
      <c r="Y16" s="74">
        <f t="shared" si="4"/>
        <v>236898.78794482237</v>
      </c>
      <c r="Z16" s="74">
        <f t="shared" si="4"/>
        <v>325988.34397317906</v>
      </c>
      <c r="AA16" s="74">
        <f t="shared" si="4"/>
        <v>329917.92802564905</v>
      </c>
      <c r="AB16" s="74">
        <f t="shared" si="4"/>
        <v>329672.32139581483</v>
      </c>
      <c r="AC16" s="74">
        <f t="shared" si="4"/>
        <v>373139.66518228105</v>
      </c>
      <c r="AD16" s="74">
        <f t="shared" si="4"/>
        <v>375236.78222174675</v>
      </c>
      <c r="AE16" s="151"/>
      <c r="AF16" s="74">
        <f t="shared" si="0"/>
        <v>3248767.6673661061</v>
      </c>
    </row>
    <row r="17" spans="1:32" s="52" customFormat="1" ht="20" thickTop="1">
      <c r="A17" s="775"/>
      <c r="B17" s="88"/>
      <c r="C17" s="152" t="s">
        <v>95</v>
      </c>
      <c r="D17" s="153">
        <f t="shared" ref="D17:O17" si="5">+D16/D14</f>
        <v>0.68913417544073607</v>
      </c>
      <c r="E17" s="153">
        <f t="shared" si="5"/>
        <v>0.70602944886146934</v>
      </c>
      <c r="F17" s="153">
        <f t="shared" si="5"/>
        <v>0.77946512414065228</v>
      </c>
      <c r="G17" s="153">
        <f t="shared" si="5"/>
        <v>0.68785628939889776</v>
      </c>
      <c r="H17" s="153">
        <f t="shared" si="5"/>
        <v>0.70018665262039514</v>
      </c>
      <c r="I17" s="153">
        <f t="shared" si="5"/>
        <v>0.70021065848111286</v>
      </c>
      <c r="J17" s="153">
        <f t="shared" si="5"/>
        <v>0.70024871115987886</v>
      </c>
      <c r="K17" s="153">
        <f t="shared" si="5"/>
        <v>0.69228180049890164</v>
      </c>
      <c r="L17" s="153">
        <f t="shared" si="5"/>
        <v>0.7332693679381117</v>
      </c>
      <c r="M17" s="153">
        <f t="shared" si="5"/>
        <v>0.70034482104261864</v>
      </c>
      <c r="N17" s="153">
        <f t="shared" si="5"/>
        <v>0.64616983944726047</v>
      </c>
      <c r="O17" s="153">
        <f t="shared" si="5"/>
        <v>0.83985896091198009</v>
      </c>
      <c r="P17" s="151"/>
      <c r="Q17" s="153">
        <f>+Q16/Q14</f>
        <v>0.72787623107252253</v>
      </c>
      <c r="R17" s="154"/>
      <c r="S17" s="153">
        <f t="shared" ref="S17:AD17" si="6">+S16/S14</f>
        <v>0.74315124427611368</v>
      </c>
      <c r="T17" s="153">
        <f t="shared" si="6"/>
        <v>0.74839611675849149</v>
      </c>
      <c r="U17" s="153">
        <f t="shared" si="6"/>
        <v>0.73249553405495382</v>
      </c>
      <c r="V17" s="153">
        <f t="shared" si="6"/>
        <v>0.72607269667837981</v>
      </c>
      <c r="W17" s="153">
        <f t="shared" si="6"/>
        <v>0.71988033481585345</v>
      </c>
      <c r="X17" s="153">
        <f t="shared" si="6"/>
        <v>0.72046665832070567</v>
      </c>
      <c r="Y17" s="153">
        <f t="shared" si="6"/>
        <v>0.72115568420229625</v>
      </c>
      <c r="Z17" s="153">
        <f t="shared" si="6"/>
        <v>0.72212788760968982</v>
      </c>
      <c r="AA17" s="153">
        <f t="shared" si="6"/>
        <v>0.72472234575697558</v>
      </c>
      <c r="AB17" s="153">
        <f t="shared" si="6"/>
        <v>0.72428166356543011</v>
      </c>
      <c r="AC17" s="153">
        <f t="shared" si="6"/>
        <v>0.73687170481822295</v>
      </c>
      <c r="AD17" s="153">
        <f t="shared" si="6"/>
        <v>0.73779171509044139</v>
      </c>
      <c r="AE17" s="154"/>
      <c r="AF17" s="153">
        <f t="shared" si="0"/>
        <v>8.7574135859475533</v>
      </c>
    </row>
    <row r="18" spans="1:32" s="52" customFormat="1" ht="19">
      <c r="B18" s="88"/>
      <c r="C18" s="134"/>
      <c r="D18" s="155"/>
      <c r="E18" s="155"/>
      <c r="F18" s="155"/>
      <c r="G18" s="155"/>
      <c r="H18" s="155"/>
      <c r="I18" s="155"/>
      <c r="J18" s="155"/>
      <c r="K18" s="155"/>
      <c r="L18" s="155"/>
      <c r="M18" s="156"/>
      <c r="P18" s="154"/>
      <c r="R18" s="135"/>
      <c r="T18" s="178"/>
      <c r="U18" s="178"/>
      <c r="V18" s="178"/>
      <c r="W18" s="178"/>
      <c r="X18" s="178"/>
      <c r="Y18" s="178"/>
      <c r="Z18" s="178"/>
      <c r="AA18" s="178"/>
      <c r="AB18" s="178"/>
      <c r="AC18" s="178"/>
      <c r="AD18" s="178"/>
      <c r="AE18" s="135"/>
    </row>
    <row r="19" spans="1:32" s="52" customFormat="1" ht="19">
      <c r="B19" s="88"/>
      <c r="C19" s="134" t="s">
        <v>96</v>
      </c>
      <c r="P19" s="135"/>
      <c r="R19" s="135"/>
      <c r="AE19" s="135"/>
    </row>
    <row r="20" spans="1:32" s="52" customFormat="1" ht="20" thickBot="1">
      <c r="B20" s="88"/>
      <c r="C20" s="146" t="s">
        <v>97</v>
      </c>
      <c r="D20" s="147">
        <v>-6967.9622857142858</v>
      </c>
      <c r="E20" s="147">
        <v>-46458.049714285713</v>
      </c>
      <c r="F20" s="147">
        <v>-7239.906857142857</v>
      </c>
      <c r="G20" s="147">
        <v>-7144.9497142857144</v>
      </c>
      <c r="H20" s="147">
        <v>-7806.2659999999996</v>
      </c>
      <c r="I20" s="147">
        <v>-7310.8322857142866</v>
      </c>
      <c r="J20" s="147">
        <v>-7234.82</v>
      </c>
      <c r="K20" s="147">
        <v>-7169.7568571428574</v>
      </c>
      <c r="L20" s="147">
        <v>-6403.14</v>
      </c>
      <c r="M20" s="147">
        <v>-7400</v>
      </c>
      <c r="N20" s="147">
        <v>-7137</v>
      </c>
      <c r="O20" s="158">
        <f>+AVERAGE(L20:N20)</f>
        <v>-6980.0466666666662</v>
      </c>
      <c r="P20" s="135"/>
      <c r="Q20" s="149">
        <f>SUM(D20:O20)</f>
        <v>-125252.73038095239</v>
      </c>
      <c r="R20" s="150"/>
      <c r="S20" s="516">
        <f>'DASHBOARD COSTS'!Z141*-1</f>
        <v>-7225.6410256410254</v>
      </c>
      <c r="T20" s="516">
        <f>'DASHBOARD COSTS'!AA141*-1</f>
        <v>-7225.6410256410254</v>
      </c>
      <c r="U20" s="516">
        <f>'DASHBOARD COSTS'!AB141*-1</f>
        <v>-7225.6410256410254</v>
      </c>
      <c r="V20" s="516">
        <f>'DASHBOARD COSTS'!AC141*-1</f>
        <v>-7225.6410256410254</v>
      </c>
      <c r="W20" s="516">
        <f>'DASHBOARD COSTS'!AD141*-1</f>
        <v>-7225.6410256410254</v>
      </c>
      <c r="X20" s="516">
        <f>'DASHBOARD COSTS'!AE141*-1</f>
        <v>-7225.6410256410254</v>
      </c>
      <c r="Y20" s="516">
        <f>'DASHBOARD COSTS'!AF141*-1</f>
        <v>-7225.6410256410254</v>
      </c>
      <c r="Z20" s="516">
        <f>'DASHBOARD COSTS'!AG141*-1</f>
        <v>-7225.6410256410254</v>
      </c>
      <c r="AA20" s="516">
        <f>'DASHBOARD COSTS'!AH141*-1</f>
        <v>-7225.6410256410254</v>
      </c>
      <c r="AB20" s="516">
        <f>'DASHBOARD COSTS'!AI141*-1</f>
        <v>-7225.6410256410254</v>
      </c>
      <c r="AC20" s="516">
        <f>'DASHBOARD COSTS'!AJ141*-1</f>
        <v>-7225.6410256410254</v>
      </c>
      <c r="AD20" s="516">
        <f>'DASHBOARD COSTS'!AK141*-1</f>
        <v>-7225.6410256410254</v>
      </c>
      <c r="AE20" s="135"/>
      <c r="AF20" s="149">
        <f>SUM(S20:AD20)</f>
        <v>-86707.692307692312</v>
      </c>
    </row>
    <row r="21" spans="1:32" s="52" customFormat="1" ht="21" thickTop="1" thickBot="1">
      <c r="B21" s="88"/>
      <c r="C21" s="143" t="s">
        <v>98</v>
      </c>
      <c r="D21" s="74">
        <f>+D16+D20</f>
        <v>123162.7119185536</v>
      </c>
      <c r="E21" s="74">
        <f t="shared" ref="E21:O21" si="7">+E16+E20</f>
        <v>90547.169585822587</v>
      </c>
      <c r="F21" s="74">
        <f t="shared" si="7"/>
        <v>246906.51302265609</v>
      </c>
      <c r="G21" s="74">
        <f t="shared" si="7"/>
        <v>170081.09255664528</v>
      </c>
      <c r="H21" s="74">
        <f t="shared" si="7"/>
        <v>169385.01285714286</v>
      </c>
      <c r="I21" s="74">
        <f t="shared" si="7"/>
        <v>191858.56485714286</v>
      </c>
      <c r="J21" s="74">
        <f t="shared" si="7"/>
        <v>141322.50991836737</v>
      </c>
      <c r="K21" s="74">
        <f t="shared" si="7"/>
        <v>155130.87914285713</v>
      </c>
      <c r="L21" s="74">
        <f t="shared" si="7"/>
        <v>224565.19857142854</v>
      </c>
      <c r="M21" s="74">
        <f t="shared" si="7"/>
        <v>307774.26289999997</v>
      </c>
      <c r="N21" s="74">
        <f t="shared" si="7"/>
        <v>19503.82</v>
      </c>
      <c r="O21" s="74">
        <f t="shared" si="7"/>
        <v>354423.85242479644</v>
      </c>
      <c r="P21" s="150"/>
      <c r="Q21" s="74">
        <f>SUM(D21:O21)</f>
        <v>2194661.5877554128</v>
      </c>
      <c r="R21" s="151"/>
      <c r="S21" s="74">
        <f>+S16+S20</f>
        <v>186705.9481864984</v>
      </c>
      <c r="T21" s="74">
        <f t="shared" ref="T21:AD21" si="8">+T16+T20</f>
        <v>207462.89793460147</v>
      </c>
      <c r="U21" s="74">
        <f t="shared" si="8"/>
        <v>193977.76891826579</v>
      </c>
      <c r="V21" s="74">
        <f t="shared" si="8"/>
        <v>188761.25750295111</v>
      </c>
      <c r="W21" s="74">
        <f t="shared" si="8"/>
        <v>228453.14481546552</v>
      </c>
      <c r="X21" s="74">
        <f t="shared" si="8"/>
        <v>229198.97511098458</v>
      </c>
      <c r="Y21" s="74">
        <f t="shared" si="8"/>
        <v>229673.14691918134</v>
      </c>
      <c r="Z21" s="74">
        <f t="shared" si="8"/>
        <v>318762.70294753806</v>
      </c>
      <c r="AA21" s="74">
        <f t="shared" si="8"/>
        <v>322692.28700000804</v>
      </c>
      <c r="AB21" s="74">
        <f t="shared" si="8"/>
        <v>322446.68037017382</v>
      </c>
      <c r="AC21" s="74">
        <f t="shared" si="8"/>
        <v>365914.02415664005</v>
      </c>
      <c r="AD21" s="74">
        <f t="shared" si="8"/>
        <v>368011.14119610575</v>
      </c>
      <c r="AE21" s="151"/>
      <c r="AF21" s="74">
        <f>SUM(S21:AD21)</f>
        <v>3162059.975058414</v>
      </c>
    </row>
    <row r="22" spans="1:32" s="52" customFormat="1" ht="20" thickTop="1">
      <c r="B22" s="88"/>
      <c r="C22" s="152" t="s">
        <v>99</v>
      </c>
      <c r="D22" s="153">
        <f t="shared" ref="D22:O22" si="9">+D21/D14</f>
        <v>0.65223387523380472</v>
      </c>
      <c r="E22" s="153">
        <f t="shared" si="9"/>
        <v>0.4666170279148904</v>
      </c>
      <c r="F22" s="153">
        <f t="shared" si="9"/>
        <v>0.75726038523526595</v>
      </c>
      <c r="G22" s="153">
        <f t="shared" si="9"/>
        <v>0.66012504552844531</v>
      </c>
      <c r="H22" s="153">
        <f t="shared" si="9"/>
        <v>0.66933951784458523</v>
      </c>
      <c r="I22" s="153">
        <f t="shared" si="9"/>
        <v>0.67450830278661222</v>
      </c>
      <c r="J22" s="153">
        <f t="shared" si="9"/>
        <v>0.66614623110549454</v>
      </c>
      <c r="K22" s="153">
        <f t="shared" si="9"/>
        <v>0.66169971340096678</v>
      </c>
      <c r="L22" s="153">
        <f t="shared" si="9"/>
        <v>0.71294092617133153</v>
      </c>
      <c r="M22" s="153">
        <f t="shared" si="9"/>
        <v>0.68390137281169594</v>
      </c>
      <c r="N22" s="153">
        <f t="shared" si="9"/>
        <v>0.47306277501999816</v>
      </c>
      <c r="O22" s="153">
        <f t="shared" si="9"/>
        <v>0.82363817647849447</v>
      </c>
      <c r="P22" s="151"/>
      <c r="Q22" s="153">
        <f>+Q21/Q14</f>
        <v>0.68857801880299874</v>
      </c>
      <c r="R22" s="154"/>
      <c r="S22" s="153">
        <f>+S21/S14</f>
        <v>0.71546238687690078</v>
      </c>
      <c r="T22" s="153">
        <f t="shared" ref="T22:AD22" si="10">+T21/T14</f>
        <v>0.72320780577146659</v>
      </c>
      <c r="U22" s="153">
        <f t="shared" si="10"/>
        <v>0.70619006645158733</v>
      </c>
      <c r="V22" s="153">
        <f t="shared" si="10"/>
        <v>0.69930386312825488</v>
      </c>
      <c r="W22" s="153">
        <f t="shared" si="10"/>
        <v>0.69780963013942776</v>
      </c>
      <c r="X22" s="153">
        <f t="shared" si="10"/>
        <v>0.69844765907673423</v>
      </c>
      <c r="Y22" s="153">
        <f t="shared" si="10"/>
        <v>0.69915974178801921</v>
      </c>
      <c r="Z22" s="153">
        <f t="shared" si="10"/>
        <v>0.70612168067947723</v>
      </c>
      <c r="AA22" s="153">
        <f t="shared" si="10"/>
        <v>0.7088499633586075</v>
      </c>
      <c r="AB22" s="153">
        <f t="shared" si="10"/>
        <v>0.70840711492203789</v>
      </c>
      <c r="AC22" s="153">
        <f t="shared" si="10"/>
        <v>0.72260259617664335</v>
      </c>
      <c r="AD22" s="153">
        <f t="shared" si="10"/>
        <v>0.72358463748634561</v>
      </c>
      <c r="AE22" s="154"/>
      <c r="AF22" s="153">
        <f>+AF21/AF14</f>
        <v>0.71005145688458016</v>
      </c>
    </row>
    <row r="23" spans="1:32" s="52" customFormat="1" ht="19">
      <c r="B23" s="88"/>
      <c r="C23" s="159"/>
      <c r="F23" s="68"/>
      <c r="G23" s="68"/>
      <c r="P23" s="154"/>
      <c r="R23" s="135"/>
      <c r="U23" s="68"/>
      <c r="V23" s="68"/>
      <c r="AE23" s="135"/>
    </row>
    <row r="24" spans="1:32" s="52" customFormat="1" ht="19">
      <c r="B24" s="88"/>
      <c r="C24" s="134" t="s">
        <v>100</v>
      </c>
      <c r="P24" s="135"/>
      <c r="R24" s="135"/>
      <c r="AE24" s="135"/>
    </row>
    <row r="25" spans="1:32" s="52" customFormat="1" ht="19">
      <c r="B25" s="88"/>
      <c r="C25" s="137" t="s">
        <v>43</v>
      </c>
      <c r="D25" s="160">
        <v>-103821.6</v>
      </c>
      <c r="E25" s="160">
        <v>-113602.23999999999</v>
      </c>
      <c r="F25" s="160">
        <v>-154022.39657142857</v>
      </c>
      <c r="G25" s="160">
        <v>-162107.98685714288</v>
      </c>
      <c r="H25" s="160">
        <v>-161376.14971428577</v>
      </c>
      <c r="I25" s="160">
        <v>-157853.96314285716</v>
      </c>
      <c r="J25" s="160">
        <v>-150300.91457142856</v>
      </c>
      <c r="K25" s="160">
        <v>-168313.84199999998</v>
      </c>
      <c r="L25" s="160">
        <v>-181451.83000000007</v>
      </c>
      <c r="M25" s="160">
        <v>-175634</v>
      </c>
      <c r="N25" s="160">
        <v>-159128</v>
      </c>
      <c r="O25" s="102">
        <f>(Model!K8+Model!K57)*-1</f>
        <v>-144732</v>
      </c>
      <c r="P25" s="135"/>
      <c r="Q25" s="161">
        <f>SUM(D25:O25)</f>
        <v>-1832344.922857143</v>
      </c>
      <c r="R25" s="162"/>
      <c r="S25" s="513">
        <f>(Model!L8+Model!L57)*-1</f>
        <v>-154015.04371633334</v>
      </c>
      <c r="T25" s="513">
        <f>(Model!M8+Model!M57)*-1</f>
        <v>-149576.25828711112</v>
      </c>
      <c r="U25" s="513">
        <f>(Model!N8+Model!N57)*-1</f>
        <v>-147600</v>
      </c>
      <c r="V25" s="513">
        <f>(Model!O8+Model!O57)*-1</f>
        <v>-147600</v>
      </c>
      <c r="W25" s="513">
        <f>(Model!P8+Model!P57)*-1</f>
        <v>-147600</v>
      </c>
      <c r="X25" s="513">
        <f>(Model!Q8+Model!Q57)*-1</f>
        <v>-172200</v>
      </c>
      <c r="Y25" s="513">
        <f>(Model!R8+Model!R57)*-1</f>
        <v>-172200</v>
      </c>
      <c r="Z25" s="513">
        <f>(Model!S8+Model!S57)*-1</f>
        <v>-172200</v>
      </c>
      <c r="AA25" s="513">
        <f>(Model!T8+Model!T57)*-1</f>
        <v>-212500</v>
      </c>
      <c r="AB25" s="513">
        <f>(Model!U8+Model!U57)*-1</f>
        <v>-212500</v>
      </c>
      <c r="AC25" s="513">
        <f>(Model!V8+Model!V57)*-1</f>
        <v>-212500</v>
      </c>
      <c r="AD25" s="513">
        <f>(Model!W8+Model!W57)*-1</f>
        <v>-212500</v>
      </c>
      <c r="AE25" s="162"/>
      <c r="AF25" s="161">
        <f>SUM(S25:AD25)</f>
        <v>-2112991.3020034442</v>
      </c>
    </row>
    <row r="26" spans="1:32" s="52" customFormat="1" ht="19">
      <c r="B26" s="88"/>
      <c r="C26" s="137" t="s">
        <v>101</v>
      </c>
      <c r="D26" s="160">
        <v>-103042.73</v>
      </c>
      <c r="E26" s="160">
        <v>-110861.4</v>
      </c>
      <c r="F26" s="160">
        <v>-168502.22</v>
      </c>
      <c r="G26" s="160">
        <v>-74655.710000000006</v>
      </c>
      <c r="H26" s="160">
        <v>-114191.55</v>
      </c>
      <c r="I26" s="160">
        <v>-90321.7</v>
      </c>
      <c r="J26" s="160">
        <v>-96110.06</v>
      </c>
      <c r="K26" s="160">
        <v>-98649.2</v>
      </c>
      <c r="L26" s="160">
        <v>-114644.5</v>
      </c>
      <c r="M26" s="160">
        <v>-85739.730861240852</v>
      </c>
      <c r="N26" s="160">
        <v>-87990.565099254236</v>
      </c>
      <c r="O26" s="102">
        <f t="shared" ref="O26" si="11">+AVERAGE(L26:N26)</f>
        <v>-96124.931986831696</v>
      </c>
      <c r="P26" s="162"/>
      <c r="Q26" s="161">
        <f>SUM(D26:O26)</f>
        <v>-1240834.2979473264</v>
      </c>
      <c r="R26" s="162"/>
      <c r="S26" s="513">
        <f>('DASHBOARD COSTS'!Z185+'Results CASH'!S20)*-1</f>
        <v>-107656.90758405204</v>
      </c>
      <c r="T26" s="513">
        <f>('DASHBOARD COSTS'!AA185+'Results CASH'!T20)*-1</f>
        <v>-101854.09219943667</v>
      </c>
      <c r="U26" s="513">
        <f>('DASHBOARD COSTS'!AB185+'Results CASH'!U20)*-1</f>
        <v>-75680.112712257178</v>
      </c>
      <c r="V26" s="513">
        <f>('DASHBOARD COSTS'!AC185+'Results CASH'!V20)*-1</f>
        <v>-84663.540917385355</v>
      </c>
      <c r="W26" s="513">
        <f>('DASHBOARD COSTS'!AD185+'Results CASH'!W20)*-1</f>
        <v>-79096.36143020587</v>
      </c>
      <c r="X26" s="513">
        <f>('DASHBOARD COSTS'!AE185+'Results CASH'!X20)*-1</f>
        <v>-80747.643481487918</v>
      </c>
      <c r="Y26" s="513">
        <f>('DASHBOARD COSTS'!AF185+'Results CASH'!Y20)*-1</f>
        <v>-81943.961430205876</v>
      </c>
      <c r="Z26" s="513">
        <f>('DASHBOARD COSTS'!AG185+'Results CASH'!Z20)*-1</f>
        <v>-91937.940917385364</v>
      </c>
      <c r="AA26" s="513">
        <f>('DASHBOARD COSTS'!AH185+'Results CASH'!AA20)*-1</f>
        <v>-79249.271430205874</v>
      </c>
      <c r="AB26" s="513">
        <f>('DASHBOARD COSTS'!AI185+'Results CASH'!AB20)*-1</f>
        <v>-80102.842968667421</v>
      </c>
      <c r="AC26" s="513">
        <f>('DASHBOARD COSTS'!AJ185+'Results CASH'!AC20)*-1</f>
        <v>-84672.540917385355</v>
      </c>
      <c r="AD26" s="513">
        <f>('DASHBOARD COSTS'!AK185+'Results CASH'!AD20)*-1</f>
        <v>-133930.45104559048</v>
      </c>
      <c r="AE26" s="162"/>
      <c r="AF26" s="161">
        <f>SUM(S26:AD26)</f>
        <v>-1081535.6670342654</v>
      </c>
    </row>
    <row r="27" spans="1:32" s="52" customFormat="1" ht="20" thickBot="1">
      <c r="B27" s="88"/>
      <c r="C27" s="163" t="s">
        <v>102</v>
      </c>
      <c r="D27" s="164">
        <f t="shared" ref="D27:O27" si="12">+SUM(D25:D26)</f>
        <v>-206864.33000000002</v>
      </c>
      <c r="E27" s="164">
        <f t="shared" si="12"/>
        <v>-224463.63999999998</v>
      </c>
      <c r="F27" s="164">
        <f t="shared" si="12"/>
        <v>-322524.6165714286</v>
      </c>
      <c r="G27" s="164">
        <f t="shared" si="12"/>
        <v>-236763.6968571429</v>
      </c>
      <c r="H27" s="164">
        <f t="shared" si="12"/>
        <v>-275567.69971428579</v>
      </c>
      <c r="I27" s="164">
        <f t="shared" si="12"/>
        <v>-248175.66314285714</v>
      </c>
      <c r="J27" s="164">
        <f t="shared" si="12"/>
        <v>-246410.97457142855</v>
      </c>
      <c r="K27" s="164">
        <f t="shared" si="12"/>
        <v>-266963.04199999996</v>
      </c>
      <c r="L27" s="164">
        <f t="shared" si="12"/>
        <v>-296096.33000000007</v>
      </c>
      <c r="M27" s="164">
        <f t="shared" si="12"/>
        <v>-261373.73086124085</v>
      </c>
      <c r="N27" s="164">
        <f t="shared" si="12"/>
        <v>-247118.56509925425</v>
      </c>
      <c r="O27" s="164">
        <f t="shared" si="12"/>
        <v>-240856.93198683171</v>
      </c>
      <c r="P27" s="162"/>
      <c r="Q27" s="164">
        <f>SUM(D27:O27)</f>
        <v>-3073179.2208044697</v>
      </c>
      <c r="R27" s="165"/>
      <c r="S27" s="164">
        <f>+SUM(S25:S26)</f>
        <v>-261671.95130038538</v>
      </c>
      <c r="T27" s="164">
        <f t="shared" ref="T27:AD27" si="13">+SUM(T25:T26)</f>
        <v>-251430.3504865478</v>
      </c>
      <c r="U27" s="164">
        <f t="shared" si="13"/>
        <v>-223280.11271225719</v>
      </c>
      <c r="V27" s="164">
        <f t="shared" si="13"/>
        <v>-232263.54091738537</v>
      </c>
      <c r="W27" s="164">
        <f t="shared" si="13"/>
        <v>-226696.36143020587</v>
      </c>
      <c r="X27" s="164">
        <f t="shared" si="13"/>
        <v>-252947.64348148793</v>
      </c>
      <c r="Y27" s="164">
        <f t="shared" si="13"/>
        <v>-254143.96143020588</v>
      </c>
      <c r="Z27" s="164">
        <f t="shared" si="13"/>
        <v>-264137.94091738539</v>
      </c>
      <c r="AA27" s="164">
        <f t="shared" si="13"/>
        <v>-291749.2714302059</v>
      </c>
      <c r="AB27" s="164">
        <f t="shared" si="13"/>
        <v>-292602.84296866739</v>
      </c>
      <c r="AC27" s="164">
        <f t="shared" si="13"/>
        <v>-297172.54091738537</v>
      </c>
      <c r="AD27" s="164">
        <f t="shared" si="13"/>
        <v>-346430.45104559045</v>
      </c>
      <c r="AE27" s="165"/>
      <c r="AF27" s="164">
        <f>SUM(S27:AD27)</f>
        <v>-3194526.9690377102</v>
      </c>
    </row>
    <row r="28" spans="1:32" s="52" customFormat="1" ht="21" thickTop="1" thickBot="1">
      <c r="B28" s="88"/>
      <c r="C28" s="143" t="s">
        <v>103</v>
      </c>
      <c r="D28" s="166">
        <f t="shared" ref="D28:O28" si="14">+D21+D27</f>
        <v>-83701.618081446417</v>
      </c>
      <c r="E28" s="166">
        <f t="shared" si="14"/>
        <v>-133916.4704141774</v>
      </c>
      <c r="F28" s="166">
        <f t="shared" si="14"/>
        <v>-75618.103548772517</v>
      </c>
      <c r="G28" s="166">
        <f t="shared" si="14"/>
        <v>-66682.604300497624</v>
      </c>
      <c r="H28" s="166">
        <f t="shared" si="14"/>
        <v>-106182.68685714292</v>
      </c>
      <c r="I28" s="166">
        <f t="shared" si="14"/>
        <v>-56317.098285714281</v>
      </c>
      <c r="J28" s="166">
        <f t="shared" si="14"/>
        <v>-105088.46465306118</v>
      </c>
      <c r="K28" s="166">
        <f t="shared" si="14"/>
        <v>-111832.16285714283</v>
      </c>
      <c r="L28" s="166">
        <f t="shared" si="14"/>
        <v>-71531.131428571534</v>
      </c>
      <c r="M28" s="166">
        <f t="shared" si="14"/>
        <v>46400.53203875912</v>
      </c>
      <c r="N28" s="166">
        <f>+N21+N27</f>
        <v>-227614.74509925424</v>
      </c>
      <c r="O28" s="166">
        <f t="shared" si="14"/>
        <v>113566.92043796473</v>
      </c>
      <c r="P28" s="165"/>
      <c r="Q28" s="166">
        <f>SUM(D28:O28)</f>
        <v>-878517.63304905721</v>
      </c>
      <c r="R28" s="167"/>
      <c r="S28" s="166">
        <f>+S21+S27</f>
        <v>-74966.003113886982</v>
      </c>
      <c r="T28" s="166">
        <f t="shared" ref="T28:AD28" si="15">+T21+T27</f>
        <v>-43967.452551946335</v>
      </c>
      <c r="U28" s="166">
        <f t="shared" si="15"/>
        <v>-29302.3437939914</v>
      </c>
      <c r="V28" s="166">
        <f t="shared" si="15"/>
        <v>-43502.283414434263</v>
      </c>
      <c r="W28" s="166">
        <f t="shared" si="15"/>
        <v>1756.7833852596523</v>
      </c>
      <c r="X28" s="166">
        <f t="shared" si="15"/>
        <v>-23748.66837050335</v>
      </c>
      <c r="Y28" s="166">
        <f t="shared" si="15"/>
        <v>-24470.814511024539</v>
      </c>
      <c r="Z28" s="166">
        <f t="shared" si="15"/>
        <v>54624.762030152662</v>
      </c>
      <c r="AA28" s="166">
        <f t="shared" si="15"/>
        <v>30943.015569802141</v>
      </c>
      <c r="AB28" s="166">
        <f t="shared" si="15"/>
        <v>29843.837401506433</v>
      </c>
      <c r="AC28" s="166">
        <f t="shared" si="15"/>
        <v>68741.483239254681</v>
      </c>
      <c r="AD28" s="166">
        <f t="shared" si="15"/>
        <v>21580.690150515293</v>
      </c>
      <c r="AE28" s="167"/>
      <c r="AF28" s="166">
        <f>SUM(S28:AD28)</f>
        <v>-32466.993979296007</v>
      </c>
    </row>
    <row r="29" spans="1:32" s="52" customFormat="1" ht="20" thickTop="1">
      <c r="B29" s="88"/>
      <c r="C29" s="152" t="s">
        <v>104</v>
      </c>
      <c r="D29" s="153">
        <f t="shared" ref="D29:O29" si="16">+D28/D14</f>
        <v>-0.44325940760953347</v>
      </c>
      <c r="E29" s="153">
        <f t="shared" si="16"/>
        <v>-0.69011218903191229</v>
      </c>
      <c r="F29" s="153">
        <f t="shared" si="16"/>
        <v>-0.23192014468589295</v>
      </c>
      <c r="G29" s="153">
        <f t="shared" si="16"/>
        <v>-0.25881099737856444</v>
      </c>
      <c r="H29" s="153">
        <f t="shared" si="16"/>
        <v>-0.41959006423044087</v>
      </c>
      <c r="I29" s="153">
        <f t="shared" si="16"/>
        <v>-0.19799142358251484</v>
      </c>
      <c r="J29" s="153">
        <f t="shared" si="16"/>
        <v>-0.49535126924745748</v>
      </c>
      <c r="K29" s="153">
        <f t="shared" si="16"/>
        <v>-0.47701212370128498</v>
      </c>
      <c r="L29" s="153">
        <f t="shared" si="16"/>
        <v>-0.22709427558316886</v>
      </c>
      <c r="M29" s="153">
        <f t="shared" si="16"/>
        <v>0.10310604681981173</v>
      </c>
      <c r="N29" s="153">
        <f t="shared" si="16"/>
        <v>-5.5207678778886766</v>
      </c>
      <c r="O29" s="153">
        <f t="shared" si="16"/>
        <v>0.2639157907061318</v>
      </c>
      <c r="P29" s="167"/>
      <c r="Q29" s="153">
        <f>+Q28/Q14</f>
        <v>-0.27563608650348181</v>
      </c>
      <c r="R29" s="167"/>
      <c r="S29" s="153">
        <f>+S28/S14</f>
        <v>-0.28727180919221185</v>
      </c>
      <c r="T29" s="153">
        <f t="shared" ref="T29:AD29" si="17">+T28/T14</f>
        <v>-0.15326887458921806</v>
      </c>
      <c r="U29" s="153">
        <f t="shared" si="17"/>
        <v>-0.10667729723082457</v>
      </c>
      <c r="V29" s="153">
        <f t="shared" si="17"/>
        <v>-0.16116291684557399</v>
      </c>
      <c r="W29" s="153">
        <f t="shared" si="17"/>
        <v>5.3660909999438114E-3</v>
      </c>
      <c r="X29" s="153">
        <f t="shared" si="17"/>
        <v>-7.2370314140958777E-2</v>
      </c>
      <c r="Y29" s="153">
        <f t="shared" si="17"/>
        <v>-7.4492854669208866E-2</v>
      </c>
      <c r="Z29" s="153">
        <f t="shared" si="17"/>
        <v>0.12100452284656409</v>
      </c>
      <c r="AA29" s="153">
        <f t="shared" si="17"/>
        <v>6.797173758559194E-2</v>
      </c>
      <c r="AB29" s="153">
        <f t="shared" si="17"/>
        <v>6.5566147952066708E-2</v>
      </c>
      <c r="AC29" s="153">
        <f t="shared" si="17"/>
        <v>0.13574985098809655</v>
      </c>
      <c r="AD29" s="153">
        <f t="shared" si="17"/>
        <v>4.2432019336459695E-2</v>
      </c>
      <c r="AE29" s="167"/>
      <c r="AF29" s="153">
        <f>+AF28/AF14</f>
        <v>-7.2905753077109649E-3</v>
      </c>
    </row>
    <row r="30" spans="1:32" s="52" customFormat="1" ht="19">
      <c r="B30" s="88"/>
      <c r="C30" s="134"/>
      <c r="P30" s="154"/>
      <c r="R30" s="167"/>
      <c r="AE30" s="167"/>
    </row>
    <row r="31" spans="1:32" s="52" customFormat="1" ht="19">
      <c r="B31" s="88"/>
      <c r="C31" s="152" t="s">
        <v>105</v>
      </c>
      <c r="D31" s="168">
        <f t="shared" ref="D31:O31" si="18">+D16+D25</f>
        <v>26309.074204267876</v>
      </c>
      <c r="E31" s="168">
        <f t="shared" si="18"/>
        <v>23402.979300108302</v>
      </c>
      <c r="F31" s="168">
        <f t="shared" si="18"/>
        <v>100124.02330837038</v>
      </c>
      <c r="G31" s="168">
        <f t="shared" si="18"/>
        <v>15118.055413788126</v>
      </c>
      <c r="H31" s="168">
        <f t="shared" si="18"/>
        <v>15815.129142857098</v>
      </c>
      <c r="I31" s="168">
        <f t="shared" si="18"/>
        <v>41315.433999999979</v>
      </c>
      <c r="J31" s="168">
        <f t="shared" si="18"/>
        <v>-1743.5846530611743</v>
      </c>
      <c r="K31" s="168">
        <f t="shared" si="18"/>
        <v>-6013.2059999999765</v>
      </c>
      <c r="L31" s="168">
        <f t="shared" si="18"/>
        <v>49516.50857142848</v>
      </c>
      <c r="M31" s="168">
        <f t="shared" si="18"/>
        <v>139540.26289999997</v>
      </c>
      <c r="N31" s="168">
        <f t="shared" si="18"/>
        <v>-132487.18</v>
      </c>
      <c r="O31" s="168">
        <f t="shared" si="18"/>
        <v>216671.89909146313</v>
      </c>
      <c r="P31" s="154"/>
      <c r="Q31" s="169">
        <f>SUM(D31:O31)</f>
        <v>487569.39527922217</v>
      </c>
      <c r="R31" s="167"/>
      <c r="S31" s="168">
        <f>+S16+S25</f>
        <v>39916.545495806087</v>
      </c>
      <c r="T31" s="550">
        <f t="shared" ref="T31:AD31" si="19">+T16+T25</f>
        <v>65112.280673131376</v>
      </c>
      <c r="U31" s="168">
        <f t="shared" si="19"/>
        <v>53603.409943906823</v>
      </c>
      <c r="V31" s="168">
        <f t="shared" si="19"/>
        <v>48386.898528592137</v>
      </c>
      <c r="W31" s="168">
        <f t="shared" si="19"/>
        <v>88078.785841106554</v>
      </c>
      <c r="X31" s="168">
        <f t="shared" si="19"/>
        <v>64224.616136625613</v>
      </c>
      <c r="Y31" s="168">
        <f t="shared" si="19"/>
        <v>64698.787944822368</v>
      </c>
      <c r="Z31" s="168">
        <f t="shared" si="19"/>
        <v>153788.34397317906</v>
      </c>
      <c r="AA31" s="168">
        <f t="shared" si="19"/>
        <v>117417.92802564905</v>
      </c>
      <c r="AB31" s="168">
        <f t="shared" si="19"/>
        <v>117172.32139581483</v>
      </c>
      <c r="AC31" s="168">
        <f t="shared" si="19"/>
        <v>160639.66518228105</v>
      </c>
      <c r="AD31" s="168">
        <f t="shared" si="19"/>
        <v>162736.78222174675</v>
      </c>
      <c r="AE31" s="167"/>
      <c r="AF31" s="169">
        <f>SUM(S31:AD31)</f>
        <v>1135776.3653626614</v>
      </c>
    </row>
    <row r="32" spans="1:32" s="52" customFormat="1" ht="19">
      <c r="B32" s="88"/>
      <c r="C32" s="152" t="s">
        <v>106</v>
      </c>
      <c r="D32" s="153">
        <f t="shared" ref="D32:O32" si="20">+D31/D14</f>
        <v>0.13932519960595624</v>
      </c>
      <c r="E32" s="153">
        <f t="shared" si="20"/>
        <v>0.12060265047843165</v>
      </c>
      <c r="F32" s="153">
        <f t="shared" si="20"/>
        <v>0.30707961298227915</v>
      </c>
      <c r="G32" s="153">
        <f t="shared" si="20"/>
        <v>5.8676757470879276E-2</v>
      </c>
      <c r="H32" s="153">
        <f t="shared" si="20"/>
        <v>6.2494849671603799E-2</v>
      </c>
      <c r="I32" s="153">
        <f t="shared" si="20"/>
        <v>0.14525076473381518</v>
      </c>
      <c r="J32" s="153">
        <f t="shared" si="20"/>
        <v>-8.2186648533272844E-3</v>
      </c>
      <c r="K32" s="153">
        <f t="shared" si="20"/>
        <v>-2.5648901809915164E-2</v>
      </c>
      <c r="L32" s="153">
        <f t="shared" si="20"/>
        <v>0.15720310050827449</v>
      </c>
      <c r="M32" s="153">
        <f t="shared" si="20"/>
        <v>0.31007068771966168</v>
      </c>
      <c r="N32" s="153">
        <f t="shared" si="20"/>
        <v>-3.2134603900863521</v>
      </c>
      <c r="O32" s="153">
        <f t="shared" si="20"/>
        <v>0.50351929375208038</v>
      </c>
      <c r="P32" s="154"/>
      <c r="Q32" s="153">
        <f>+Q31/Q14</f>
        <v>0.15297555217782344</v>
      </c>
      <c r="R32" s="167"/>
      <c r="S32" s="153">
        <f t="shared" ref="S32:AD32" si="21">+S31/S14</f>
        <v>0.15296131266146265</v>
      </c>
      <c r="T32" s="153">
        <f t="shared" si="21"/>
        <v>0.22697894468453489</v>
      </c>
      <c r="U32" s="153">
        <f t="shared" si="21"/>
        <v>0.19514708227348171</v>
      </c>
      <c r="V32" s="153">
        <f t="shared" si="21"/>
        <v>0.17925895129889319</v>
      </c>
      <c r="W32" s="153">
        <f t="shared" si="21"/>
        <v>0.26903645830990391</v>
      </c>
      <c r="X32" s="153">
        <f t="shared" si="21"/>
        <v>0.19571436902807585</v>
      </c>
      <c r="Y32" s="153">
        <f t="shared" si="21"/>
        <v>0.19695288056212026</v>
      </c>
      <c r="Z32" s="153">
        <f t="shared" si="21"/>
        <v>0.34067123572210084</v>
      </c>
      <c r="AA32" s="153">
        <f t="shared" si="21"/>
        <v>0.25792898476877096</v>
      </c>
      <c r="AB32" s="153">
        <f t="shared" si="21"/>
        <v>0.257424595140614</v>
      </c>
      <c r="AC32" s="153">
        <f t="shared" si="21"/>
        <v>0.31722927093926367</v>
      </c>
      <c r="AD32" s="153">
        <f t="shared" si="21"/>
        <v>0.31997356163428853</v>
      </c>
      <c r="AE32" s="167"/>
      <c r="AF32" s="153">
        <f>+AF31/AF14</f>
        <v>0.25504249422275205</v>
      </c>
    </row>
    <row r="33" spans="2:36" s="52" customFormat="1" ht="19">
      <c r="B33" s="88"/>
      <c r="C33" s="170"/>
      <c r="P33" s="162"/>
      <c r="R33" s="135"/>
      <c r="AE33" s="135"/>
    </row>
    <row r="34" spans="2:36" s="52" customFormat="1" ht="20" thickBot="1">
      <c r="B34" s="88"/>
      <c r="C34" s="171" t="s">
        <v>107</v>
      </c>
      <c r="D34" s="164">
        <f>+D28</f>
        <v>-83701.618081446417</v>
      </c>
      <c r="E34" s="164">
        <f t="shared" ref="E34:O34" si="22">+E28</f>
        <v>-133916.4704141774</v>
      </c>
      <c r="F34" s="164">
        <f t="shared" si="22"/>
        <v>-75618.103548772517</v>
      </c>
      <c r="G34" s="164">
        <f t="shared" si="22"/>
        <v>-66682.604300497624</v>
      </c>
      <c r="H34" s="164">
        <f t="shared" si="22"/>
        <v>-106182.68685714292</v>
      </c>
      <c r="I34" s="164">
        <f t="shared" si="22"/>
        <v>-56317.098285714281</v>
      </c>
      <c r="J34" s="164">
        <f t="shared" si="22"/>
        <v>-105088.46465306118</v>
      </c>
      <c r="K34" s="164">
        <f t="shared" si="22"/>
        <v>-111832.16285714283</v>
      </c>
      <c r="L34" s="164">
        <f t="shared" si="22"/>
        <v>-71531.131428571534</v>
      </c>
      <c r="M34" s="164">
        <f t="shared" si="22"/>
        <v>46400.53203875912</v>
      </c>
      <c r="N34" s="164">
        <f t="shared" si="22"/>
        <v>-227614.74509925424</v>
      </c>
      <c r="O34" s="164">
        <f t="shared" si="22"/>
        <v>113566.92043796473</v>
      </c>
      <c r="P34" s="135"/>
      <c r="Q34" s="164">
        <f>SUM(D34:O34)</f>
        <v>-878517.63304905721</v>
      </c>
      <c r="R34" s="165"/>
      <c r="S34" s="164">
        <f>+S28</f>
        <v>-74966.003113886982</v>
      </c>
      <c r="T34" s="164">
        <f t="shared" ref="T34:AD34" si="23">+T28</f>
        <v>-43967.452551946335</v>
      </c>
      <c r="U34" s="164">
        <f t="shared" si="23"/>
        <v>-29302.3437939914</v>
      </c>
      <c r="V34" s="164">
        <f t="shared" si="23"/>
        <v>-43502.283414434263</v>
      </c>
      <c r="W34" s="164">
        <f t="shared" si="23"/>
        <v>1756.7833852596523</v>
      </c>
      <c r="X34" s="164">
        <f t="shared" si="23"/>
        <v>-23748.66837050335</v>
      </c>
      <c r="Y34" s="164">
        <f t="shared" si="23"/>
        <v>-24470.814511024539</v>
      </c>
      <c r="Z34" s="164">
        <f t="shared" si="23"/>
        <v>54624.762030152662</v>
      </c>
      <c r="AA34" s="164">
        <f t="shared" si="23"/>
        <v>30943.015569802141</v>
      </c>
      <c r="AB34" s="164">
        <f t="shared" si="23"/>
        <v>29843.837401506433</v>
      </c>
      <c r="AC34" s="164">
        <f t="shared" si="23"/>
        <v>68741.483239254681</v>
      </c>
      <c r="AD34" s="164">
        <f t="shared" si="23"/>
        <v>21580.690150515293</v>
      </c>
      <c r="AE34" s="165"/>
      <c r="AF34" s="164">
        <f>SUM(S34:AD34)</f>
        <v>-32466.993979296007</v>
      </c>
    </row>
    <row r="35" spans="2:36" s="52" customFormat="1" ht="21" thickTop="1" thickBot="1">
      <c r="B35" s="88"/>
      <c r="C35" s="134" t="s">
        <v>108</v>
      </c>
      <c r="D35" s="172">
        <f t="shared" ref="D35:O35" si="24">+D34/D14</f>
        <v>-0.44325940760953347</v>
      </c>
      <c r="E35" s="172">
        <f t="shared" si="24"/>
        <v>-0.69011218903191229</v>
      </c>
      <c r="F35" s="172">
        <f t="shared" si="24"/>
        <v>-0.23192014468589295</v>
      </c>
      <c r="G35" s="172">
        <f t="shared" si="24"/>
        <v>-0.25881099737856444</v>
      </c>
      <c r="H35" s="172">
        <f t="shared" si="24"/>
        <v>-0.41959006423044087</v>
      </c>
      <c r="I35" s="172">
        <f t="shared" si="24"/>
        <v>-0.19799142358251484</v>
      </c>
      <c r="J35" s="172">
        <f t="shared" si="24"/>
        <v>-0.49535126924745748</v>
      </c>
      <c r="K35" s="172">
        <f t="shared" si="24"/>
        <v>-0.47701212370128498</v>
      </c>
      <c r="L35" s="172">
        <f t="shared" si="24"/>
        <v>-0.22709427558316886</v>
      </c>
      <c r="M35" s="172">
        <f t="shared" si="24"/>
        <v>0.10310604681981173</v>
      </c>
      <c r="N35" s="172">
        <f t="shared" si="24"/>
        <v>-5.5207678778886766</v>
      </c>
      <c r="O35" s="172">
        <f t="shared" si="24"/>
        <v>0.2639157907061318</v>
      </c>
      <c r="P35" s="165"/>
      <c r="Q35" s="172">
        <f>+Q34/Q14</f>
        <v>-0.27563608650348181</v>
      </c>
      <c r="R35" s="173"/>
      <c r="S35" s="172">
        <f t="shared" ref="S35:AD35" si="25">+S34/S14</f>
        <v>-0.28727180919221185</v>
      </c>
      <c r="T35" s="172">
        <f t="shared" si="25"/>
        <v>-0.15326887458921806</v>
      </c>
      <c r="U35" s="172">
        <f t="shared" si="25"/>
        <v>-0.10667729723082457</v>
      </c>
      <c r="V35" s="172">
        <f t="shared" si="25"/>
        <v>-0.16116291684557399</v>
      </c>
      <c r="W35" s="172">
        <f t="shared" si="25"/>
        <v>5.3660909999438114E-3</v>
      </c>
      <c r="X35" s="172">
        <f t="shared" si="25"/>
        <v>-7.2370314140958777E-2</v>
      </c>
      <c r="Y35" s="172">
        <f t="shared" si="25"/>
        <v>-7.4492854669208866E-2</v>
      </c>
      <c r="Z35" s="172">
        <f t="shared" si="25"/>
        <v>0.12100452284656409</v>
      </c>
      <c r="AA35" s="172">
        <f t="shared" si="25"/>
        <v>6.797173758559194E-2</v>
      </c>
      <c r="AB35" s="172">
        <f t="shared" si="25"/>
        <v>6.5566147952066708E-2</v>
      </c>
      <c r="AC35" s="172">
        <f t="shared" si="25"/>
        <v>0.13574985098809655</v>
      </c>
      <c r="AD35" s="172">
        <f t="shared" si="25"/>
        <v>4.2432019336459695E-2</v>
      </c>
      <c r="AE35" s="173"/>
      <c r="AF35" s="172">
        <f>+AF34/AF14</f>
        <v>-7.2905753077109649E-3</v>
      </c>
    </row>
    <row r="36" spans="2:36" s="52" customFormat="1" ht="17" thickTop="1">
      <c r="C36" s="174"/>
      <c r="P36" s="173"/>
      <c r="R36" s="135"/>
      <c r="AE36" s="135"/>
    </row>
    <row r="37" spans="2:36" s="52" customFormat="1">
      <c r="P37" s="173"/>
      <c r="R37" s="173"/>
      <c r="AE37" s="173"/>
    </row>
    <row r="38" spans="2:36" s="52" customFormat="1" ht="17" customHeight="1">
      <c r="B38" s="175" t="s">
        <v>109</v>
      </c>
      <c r="C38" s="134" t="s">
        <v>89</v>
      </c>
      <c r="P38" s="135"/>
      <c r="R38" s="135"/>
      <c r="T38" s="513"/>
      <c r="U38" s="513"/>
      <c r="V38" s="513"/>
      <c r="W38" s="513"/>
      <c r="X38" s="513"/>
      <c r="Y38" s="513"/>
      <c r="Z38" s="513"/>
      <c r="AA38" s="513"/>
      <c r="AB38" s="513"/>
      <c r="AC38" s="513"/>
      <c r="AD38" s="513"/>
      <c r="AE38" s="173"/>
    </row>
    <row r="39" spans="2:36" s="52" customFormat="1" ht="16" customHeight="1">
      <c r="B39" s="176"/>
      <c r="C39" s="137" t="s">
        <v>110</v>
      </c>
      <c r="D39" s="138">
        <v>6397</v>
      </c>
      <c r="E39" s="138">
        <v>6892</v>
      </c>
      <c r="F39" s="138">
        <v>5001.09</v>
      </c>
      <c r="G39" s="138">
        <v>5616.03</v>
      </c>
      <c r="H39" s="138">
        <v>5773.93</v>
      </c>
      <c r="I39" s="138">
        <v>5867.64</v>
      </c>
      <c r="J39" s="138">
        <v>5173.22</v>
      </c>
      <c r="K39" s="138">
        <v>7786.79</v>
      </c>
      <c r="L39" s="138">
        <v>4308.42</v>
      </c>
      <c r="M39" s="138">
        <v>6540.2</v>
      </c>
      <c r="N39" s="140">
        <v>14427.18</v>
      </c>
      <c r="O39" s="140">
        <f>+AVERAGE(L39:N39)</f>
        <v>8425.2666666666664</v>
      </c>
      <c r="P39" s="139"/>
      <c r="Q39" s="140">
        <f>SUM(D39:O39)</f>
        <v>82208.766666666663</v>
      </c>
      <c r="R39" s="139"/>
      <c r="S39" s="527">
        <f>Model!M131</f>
        <v>7204.3323622183489</v>
      </c>
      <c r="T39" s="527">
        <f>Model!N131</f>
        <v>4240</v>
      </c>
      <c r="U39" s="527">
        <f>Model!O131</f>
        <v>4240</v>
      </c>
      <c r="V39" s="527">
        <f>Model!P131</f>
        <v>4240</v>
      </c>
      <c r="W39" s="527">
        <f>Model!Q131</f>
        <v>5940</v>
      </c>
      <c r="X39" s="527">
        <f>Model!R131</f>
        <v>5940</v>
      </c>
      <c r="Y39" s="527">
        <f>Model!S131</f>
        <v>5940</v>
      </c>
      <c r="Z39" s="527">
        <f>Model!T131</f>
        <v>9975</v>
      </c>
      <c r="AA39" s="527">
        <f>Model!U131</f>
        <v>9975</v>
      </c>
      <c r="AB39" s="527">
        <f>Model!V131</f>
        <v>9975</v>
      </c>
      <c r="AC39" s="527">
        <f>Model!W131</f>
        <v>11875</v>
      </c>
      <c r="AD39" s="527">
        <f>Model!X131</f>
        <v>11875</v>
      </c>
      <c r="AE39" s="139"/>
      <c r="AF39" s="140">
        <f t="shared" ref="AF39:AF44" si="26">SUM(S39:AD39)</f>
        <v>91419.332362218353</v>
      </c>
    </row>
    <row r="40" spans="2:36" s="52" customFormat="1" ht="19">
      <c r="B40" s="175"/>
      <c r="C40" s="137" t="s">
        <v>111</v>
      </c>
      <c r="D40" s="177">
        <v>477.46999999999025</v>
      </c>
      <c r="E40" s="177">
        <v>0</v>
      </c>
      <c r="F40" s="177">
        <v>692.49999999999091</v>
      </c>
      <c r="G40" s="177">
        <v>92.499999999989086</v>
      </c>
      <c r="H40" s="177">
        <v>387.48999999998887</v>
      </c>
      <c r="I40" s="177">
        <v>957.48000000000502</v>
      </c>
      <c r="J40" s="177">
        <v>626.43999999997322</v>
      </c>
      <c r="K40" s="177">
        <v>422.45000000006985</v>
      </c>
      <c r="L40" s="177">
        <v>146.98999999999432</v>
      </c>
      <c r="M40" s="140"/>
      <c r="N40" s="140"/>
      <c r="O40" s="140"/>
      <c r="P40" s="142"/>
      <c r="Q40" s="141">
        <f>SUM(D40:O40)</f>
        <v>3803.3200000000015</v>
      </c>
      <c r="R40" s="142"/>
      <c r="S40" s="528">
        <f>+Supuestos!$G$28</f>
        <v>1500</v>
      </c>
      <c r="T40" s="528">
        <f>+Supuestos!$G$28</f>
        <v>1500</v>
      </c>
      <c r="U40" s="528">
        <f>+Supuestos!$G$28</f>
        <v>1500</v>
      </c>
      <c r="V40" s="528">
        <f>+Supuestos!$H$28</f>
        <v>2000</v>
      </c>
      <c r="W40" s="528">
        <f>+Supuestos!$H$28</f>
        <v>2000</v>
      </c>
      <c r="X40" s="528">
        <f>+Supuestos!$H$28</f>
        <v>2000</v>
      </c>
      <c r="Y40" s="528">
        <f>+Supuestos!$I$28</f>
        <v>3000</v>
      </c>
      <c r="Z40" s="528">
        <f>+Supuestos!$I$28</f>
        <v>3000</v>
      </c>
      <c r="AA40" s="528">
        <f>+Supuestos!$I$28</f>
        <v>3000</v>
      </c>
      <c r="AB40" s="528">
        <f>+Supuestos!$J$28</f>
        <v>4000</v>
      </c>
      <c r="AC40" s="528">
        <f>+Supuestos!$J$28</f>
        <v>4000</v>
      </c>
      <c r="AD40" s="528">
        <f>+Supuestos!$J$28</f>
        <v>4000</v>
      </c>
      <c r="AE40" s="142"/>
      <c r="AF40" s="141">
        <f t="shared" si="26"/>
        <v>31500</v>
      </c>
    </row>
    <row r="41" spans="2:36" s="52" customFormat="1" ht="19">
      <c r="B41" s="175"/>
      <c r="C41" s="143" t="s">
        <v>93</v>
      </c>
      <c r="D41" s="144">
        <f>+D39+D40</f>
        <v>6874.4699999999903</v>
      </c>
      <c r="E41" s="144">
        <f t="shared" ref="E41:O41" si="27">+E39+E40</f>
        <v>6892</v>
      </c>
      <c r="F41" s="144">
        <f t="shared" si="27"/>
        <v>5693.5899999999911</v>
      </c>
      <c r="G41" s="144">
        <f t="shared" si="27"/>
        <v>5708.5299999999888</v>
      </c>
      <c r="H41" s="144">
        <f t="shared" si="27"/>
        <v>6161.4199999999892</v>
      </c>
      <c r="I41" s="144">
        <f t="shared" si="27"/>
        <v>6825.1200000000053</v>
      </c>
      <c r="J41" s="144">
        <f t="shared" si="27"/>
        <v>5799.6599999999735</v>
      </c>
      <c r="K41" s="144">
        <f t="shared" si="27"/>
        <v>8209.2400000000707</v>
      </c>
      <c r="L41" s="144">
        <f t="shared" si="27"/>
        <v>4455.4099999999944</v>
      </c>
      <c r="M41" s="144">
        <f t="shared" si="27"/>
        <v>6540.2</v>
      </c>
      <c r="N41" s="144">
        <f t="shared" si="27"/>
        <v>14427.18</v>
      </c>
      <c r="O41" s="144">
        <f t="shared" si="27"/>
        <v>8425.2666666666664</v>
      </c>
      <c r="P41" s="142"/>
      <c r="Q41" s="144">
        <f>SUM(D41:O41)</f>
        <v>86012.08666666667</v>
      </c>
      <c r="R41" s="145"/>
      <c r="S41" s="144">
        <f>+S39+S40</f>
        <v>8704.3323622183489</v>
      </c>
      <c r="T41" s="144">
        <f t="shared" ref="T41:AD41" si="28">+T39+T40</f>
        <v>5740</v>
      </c>
      <c r="U41" s="144">
        <f t="shared" si="28"/>
        <v>5740</v>
      </c>
      <c r="V41" s="144">
        <f t="shared" si="28"/>
        <v>6240</v>
      </c>
      <c r="W41" s="144">
        <f t="shared" si="28"/>
        <v>7940</v>
      </c>
      <c r="X41" s="144">
        <f t="shared" si="28"/>
        <v>7940</v>
      </c>
      <c r="Y41" s="144">
        <f t="shared" si="28"/>
        <v>8940</v>
      </c>
      <c r="Z41" s="144">
        <f t="shared" si="28"/>
        <v>12975</v>
      </c>
      <c r="AA41" s="144">
        <f t="shared" si="28"/>
        <v>12975</v>
      </c>
      <c r="AB41" s="144">
        <f t="shared" si="28"/>
        <v>13975</v>
      </c>
      <c r="AC41" s="144">
        <f t="shared" si="28"/>
        <v>15875</v>
      </c>
      <c r="AD41" s="144">
        <f t="shared" si="28"/>
        <v>15875</v>
      </c>
      <c r="AE41" s="145"/>
      <c r="AF41" s="144">
        <f t="shared" si="26"/>
        <v>122919.33236221835</v>
      </c>
    </row>
    <row r="42" spans="2:36" s="52" customFormat="1" ht="20" thickBot="1">
      <c r="B42" s="175"/>
      <c r="C42" s="146" t="s">
        <v>69</v>
      </c>
      <c r="D42" s="147">
        <v>19.110000000000156</v>
      </c>
      <c r="E42" s="147">
        <v>0</v>
      </c>
      <c r="F42" s="147">
        <v>24.34000000000006</v>
      </c>
      <c r="G42" s="147">
        <v>3.2500000000001705</v>
      </c>
      <c r="H42" s="147">
        <v>13.129999999999995</v>
      </c>
      <c r="I42" s="147">
        <v>30.830000000000211</v>
      </c>
      <c r="J42" s="147">
        <v>24.290000000000248</v>
      </c>
      <c r="K42" s="147">
        <v>15.729999999999961</v>
      </c>
      <c r="L42" s="147">
        <v>4.5800000000002683</v>
      </c>
      <c r="M42" s="149"/>
      <c r="N42" s="149"/>
      <c r="O42" s="149"/>
      <c r="P42" s="142"/>
      <c r="Q42" s="149">
        <f>SUM(D42:O42)</f>
        <v>135.26000000000107</v>
      </c>
      <c r="R42" s="150"/>
      <c r="S42" s="516">
        <f>Model!M146</f>
        <v>-60.588164005748403</v>
      </c>
      <c r="T42" s="516">
        <f>Model!N146</f>
        <v>-126.97122142289507</v>
      </c>
      <c r="U42" s="516">
        <f>Model!O146</f>
        <v>-118.13843969711695</v>
      </c>
      <c r="V42" s="516">
        <f>Model!P146</f>
        <v>-120.30906518852129</v>
      </c>
      <c r="W42" s="516">
        <f>Model!Q146</f>
        <v>-190.65333729981032</v>
      </c>
      <c r="X42" s="516">
        <f>Model!R146</f>
        <v>-186.45931800768761</v>
      </c>
      <c r="Y42" s="516">
        <f>Model!S146</f>
        <v>-175.97113857231139</v>
      </c>
      <c r="Z42" s="516">
        <f>Model!T146</f>
        <v>-343.07383244095729</v>
      </c>
      <c r="AA42" s="516">
        <f>Model!U146</f>
        <v>-330.82853997185134</v>
      </c>
      <c r="AB42" s="516">
        <f>Model!V146</f>
        <v>-341.66569453544417</v>
      </c>
      <c r="AC42" s="516">
        <f>Model!W146</f>
        <v>-408.82671210916789</v>
      </c>
      <c r="AD42" s="516">
        <f>Model!X146</f>
        <v>-407.81262130875609</v>
      </c>
      <c r="AE42" s="150"/>
      <c r="AF42" s="149">
        <f t="shared" si="26"/>
        <v>-2811.2980845602679</v>
      </c>
      <c r="AG42"/>
      <c r="AH42"/>
      <c r="AI42"/>
      <c r="AJ42"/>
    </row>
    <row r="43" spans="2:36" s="52" customFormat="1" ht="21" thickTop="1" thickBot="1">
      <c r="B43" s="175"/>
      <c r="C43" s="143" t="s">
        <v>94</v>
      </c>
      <c r="D43" s="74">
        <f t="shared" ref="D43:O43" si="29">+D41+D42</f>
        <v>6893.5799999999908</v>
      </c>
      <c r="E43" s="74">
        <f t="shared" si="29"/>
        <v>6892</v>
      </c>
      <c r="F43" s="74">
        <f t="shared" si="29"/>
        <v>5717.9299999999912</v>
      </c>
      <c r="G43" s="74">
        <f t="shared" si="29"/>
        <v>5711.7799999999888</v>
      </c>
      <c r="H43" s="74">
        <f t="shared" si="29"/>
        <v>6174.5499999999893</v>
      </c>
      <c r="I43" s="74">
        <f t="shared" si="29"/>
        <v>6855.9500000000053</v>
      </c>
      <c r="J43" s="74">
        <f t="shared" si="29"/>
        <v>5823.9499999999734</v>
      </c>
      <c r="K43" s="74">
        <f t="shared" si="29"/>
        <v>8224.9700000000703</v>
      </c>
      <c r="L43" s="74">
        <f t="shared" si="29"/>
        <v>4459.9899999999943</v>
      </c>
      <c r="M43" s="74">
        <f t="shared" si="29"/>
        <v>6540.2</v>
      </c>
      <c r="N43" s="74">
        <f t="shared" si="29"/>
        <v>14427.18</v>
      </c>
      <c r="O43" s="74">
        <f t="shared" si="29"/>
        <v>8425.2666666666664</v>
      </c>
      <c r="P43" s="150"/>
      <c r="Q43" s="74">
        <f>SUM(D43:O43)</f>
        <v>86147.34666666665</v>
      </c>
      <c r="R43" s="151"/>
      <c r="S43" s="74">
        <f t="shared" ref="S43:AD43" si="30">+S41+S42</f>
        <v>8643.7441982126002</v>
      </c>
      <c r="T43" s="74">
        <f t="shared" si="30"/>
        <v>5613.0287785771052</v>
      </c>
      <c r="U43" s="74">
        <f t="shared" si="30"/>
        <v>5621.8615603028829</v>
      </c>
      <c r="V43" s="74">
        <f t="shared" si="30"/>
        <v>6119.6909348114787</v>
      </c>
      <c r="W43" s="74">
        <f t="shared" si="30"/>
        <v>7749.3466627001899</v>
      </c>
      <c r="X43" s="74">
        <f t="shared" si="30"/>
        <v>7753.5406819923128</v>
      </c>
      <c r="Y43" s="74">
        <f t="shared" si="30"/>
        <v>8764.0288614276888</v>
      </c>
      <c r="Z43" s="74">
        <f t="shared" si="30"/>
        <v>12631.926167559042</v>
      </c>
      <c r="AA43" s="74">
        <f t="shared" si="30"/>
        <v>12644.171460028148</v>
      </c>
      <c r="AB43" s="74">
        <f t="shared" si="30"/>
        <v>13633.334305464556</v>
      </c>
      <c r="AC43" s="74">
        <f t="shared" si="30"/>
        <v>15466.173287890831</v>
      </c>
      <c r="AD43" s="74">
        <f t="shared" si="30"/>
        <v>15467.187378691244</v>
      </c>
      <c r="AE43" s="151"/>
      <c r="AF43" s="74">
        <f t="shared" si="26"/>
        <v>120108.03427765808</v>
      </c>
    </row>
    <row r="44" spans="2:36" s="52" customFormat="1" ht="20" thickTop="1">
      <c r="B44" s="175"/>
      <c r="C44" s="152" t="s">
        <v>95</v>
      </c>
      <c r="D44" s="153">
        <f t="shared" ref="D44:O44" si="31">+D43/D41</f>
        <v>1.0027798506648513</v>
      </c>
      <c r="E44" s="153">
        <f t="shared" si="31"/>
        <v>1</v>
      </c>
      <c r="F44" s="153">
        <f t="shared" si="31"/>
        <v>1.0042749829193884</v>
      </c>
      <c r="G44" s="153">
        <f t="shared" si="31"/>
        <v>1.000569323451046</v>
      </c>
      <c r="H44" s="153">
        <f t="shared" si="31"/>
        <v>1.0021310022689576</v>
      </c>
      <c r="I44" s="153">
        <f t="shared" si="31"/>
        <v>1.0045171366950325</v>
      </c>
      <c r="J44" s="153">
        <f t="shared" si="31"/>
        <v>1.0041881765482805</v>
      </c>
      <c r="K44" s="153">
        <f t="shared" si="31"/>
        <v>1.0019161335275859</v>
      </c>
      <c r="L44" s="153">
        <f t="shared" si="31"/>
        <v>1.0010279637564219</v>
      </c>
      <c r="M44" s="153">
        <f t="shared" si="31"/>
        <v>1</v>
      </c>
      <c r="N44" s="153">
        <f t="shared" si="31"/>
        <v>1</v>
      </c>
      <c r="O44" s="153">
        <f t="shared" si="31"/>
        <v>1</v>
      </c>
      <c r="P44" s="151"/>
      <c r="Q44" s="153">
        <f>+Q43/Q41</f>
        <v>1.0015725696845859</v>
      </c>
      <c r="R44" s="154"/>
      <c r="S44" s="153">
        <f t="shared" ref="S44:AD44" si="32">+S43/S41</f>
        <v>0.99303930945137908</v>
      </c>
      <c r="T44" s="153">
        <f t="shared" si="32"/>
        <v>0.97787957814932147</v>
      </c>
      <c r="U44" s="153">
        <f t="shared" si="32"/>
        <v>0.97941839029666955</v>
      </c>
      <c r="V44" s="153">
        <f t="shared" si="32"/>
        <v>0.98071970109158313</v>
      </c>
      <c r="W44" s="153">
        <f t="shared" si="32"/>
        <v>0.97598824467256795</v>
      </c>
      <c r="X44" s="153">
        <f t="shared" si="32"/>
        <v>0.97651645868920811</v>
      </c>
      <c r="Y44" s="153">
        <f t="shared" si="32"/>
        <v>0.9803164274527616</v>
      </c>
      <c r="Z44" s="153">
        <f t="shared" si="32"/>
        <v>0.97355885684462751</v>
      </c>
      <c r="AA44" s="153">
        <f t="shared" si="32"/>
        <v>0.97450261734320986</v>
      </c>
      <c r="AB44" s="153">
        <f t="shared" si="32"/>
        <v>0.9755516497649056</v>
      </c>
      <c r="AC44" s="153">
        <f t="shared" si="32"/>
        <v>0.97424713624509174</v>
      </c>
      <c r="AD44" s="153">
        <f t="shared" si="32"/>
        <v>0.97431101598055081</v>
      </c>
      <c r="AE44" s="154"/>
      <c r="AF44" s="153">
        <f t="shared" si="26"/>
        <v>11.736049385981877</v>
      </c>
    </row>
    <row r="45" spans="2:36" s="52" customFormat="1" ht="19">
      <c r="B45" s="175"/>
      <c r="C45" s="134"/>
      <c r="E45" s="178"/>
      <c r="F45" s="178"/>
      <c r="G45" s="178"/>
      <c r="H45" s="178"/>
      <c r="I45" s="178"/>
      <c r="J45" s="178"/>
      <c r="K45" s="178"/>
      <c r="L45" s="178"/>
      <c r="M45" s="156"/>
      <c r="P45" s="154"/>
      <c r="R45" s="135"/>
      <c r="X45" s="157"/>
      <c r="Y45" s="157"/>
      <c r="AE45" s="135"/>
    </row>
    <row r="46" spans="2:36" s="52" customFormat="1" ht="19">
      <c r="B46" s="175"/>
      <c r="C46" s="134" t="s">
        <v>96</v>
      </c>
      <c r="P46" s="135"/>
      <c r="R46" s="135"/>
      <c r="AE46" s="135"/>
    </row>
    <row r="47" spans="2:36" s="52" customFormat="1" ht="20" thickBot="1">
      <c r="B47" s="175"/>
      <c r="C47" s="146" t="s">
        <v>97</v>
      </c>
      <c r="D47" s="149">
        <v>0</v>
      </c>
      <c r="E47" s="149">
        <v>0</v>
      </c>
      <c r="F47" s="149">
        <v>0</v>
      </c>
      <c r="G47" s="149">
        <v>0</v>
      </c>
      <c r="H47" s="149">
        <v>0</v>
      </c>
      <c r="I47" s="149">
        <v>0</v>
      </c>
      <c r="J47" s="149">
        <v>0</v>
      </c>
      <c r="K47" s="149">
        <v>0</v>
      </c>
      <c r="L47" s="149">
        <v>0</v>
      </c>
      <c r="M47" s="149">
        <v>0</v>
      </c>
      <c r="N47" s="149">
        <v>0</v>
      </c>
      <c r="O47" s="149">
        <v>0</v>
      </c>
      <c r="P47" s="135"/>
      <c r="Q47" s="149">
        <f>SUM(D47:O47)</f>
        <v>0</v>
      </c>
      <c r="R47" s="150"/>
      <c r="S47" s="516">
        <f>'DASHBOARD COSTS'!AR141</f>
        <v>0</v>
      </c>
      <c r="T47" s="516">
        <f>'DASHBOARD COSTS'!AS141</f>
        <v>0</v>
      </c>
      <c r="U47" s="516">
        <f>'DASHBOARD COSTS'!AT141</f>
        <v>0</v>
      </c>
      <c r="V47" s="516">
        <f>'DASHBOARD COSTS'!AU141</f>
        <v>0</v>
      </c>
      <c r="W47" s="516">
        <f>'DASHBOARD COSTS'!AV141</f>
        <v>0</v>
      </c>
      <c r="X47" s="516">
        <f>'DASHBOARD COSTS'!AW141</f>
        <v>0</v>
      </c>
      <c r="Y47" s="516">
        <f>'DASHBOARD COSTS'!AX141</f>
        <v>0</v>
      </c>
      <c r="Z47" s="516">
        <f>'DASHBOARD COSTS'!AY141</f>
        <v>0</v>
      </c>
      <c r="AA47" s="516">
        <f>'DASHBOARD COSTS'!AZ141</f>
        <v>0</v>
      </c>
      <c r="AB47" s="516">
        <f>'DASHBOARD COSTS'!BA141</f>
        <v>0</v>
      </c>
      <c r="AC47" s="516">
        <f>'DASHBOARD COSTS'!BB141</f>
        <v>0</v>
      </c>
      <c r="AD47" s="516">
        <f>'DASHBOARD COSTS'!BC141</f>
        <v>0</v>
      </c>
      <c r="AE47" s="135"/>
      <c r="AF47" s="149">
        <f>SUM(S47:AD47)</f>
        <v>0</v>
      </c>
    </row>
    <row r="48" spans="2:36" s="52" customFormat="1" ht="21" thickTop="1" thickBot="1">
      <c r="B48" s="175"/>
      <c r="C48" s="143" t="s">
        <v>98</v>
      </c>
      <c r="D48" s="74">
        <f>+D43+D47</f>
        <v>6893.5799999999908</v>
      </c>
      <c r="E48" s="74">
        <f t="shared" ref="E48:O48" si="33">+E43+E47</f>
        <v>6892</v>
      </c>
      <c r="F48" s="74">
        <f t="shared" si="33"/>
        <v>5717.9299999999912</v>
      </c>
      <c r="G48" s="74">
        <f t="shared" si="33"/>
        <v>5711.7799999999888</v>
      </c>
      <c r="H48" s="74">
        <f t="shared" si="33"/>
        <v>6174.5499999999893</v>
      </c>
      <c r="I48" s="74">
        <f t="shared" si="33"/>
        <v>6855.9500000000053</v>
      </c>
      <c r="J48" s="74">
        <f t="shared" si="33"/>
        <v>5823.9499999999734</v>
      </c>
      <c r="K48" s="74">
        <f t="shared" si="33"/>
        <v>8224.9700000000703</v>
      </c>
      <c r="L48" s="74">
        <f t="shared" si="33"/>
        <v>4459.9899999999943</v>
      </c>
      <c r="M48" s="74">
        <f t="shared" si="33"/>
        <v>6540.2</v>
      </c>
      <c r="N48" s="74">
        <f t="shared" si="33"/>
        <v>14427.18</v>
      </c>
      <c r="O48" s="74">
        <f t="shared" si="33"/>
        <v>8425.2666666666664</v>
      </c>
      <c r="P48" s="150"/>
      <c r="Q48" s="74">
        <f>SUM(D48:O48)</f>
        <v>86147.34666666665</v>
      </c>
      <c r="R48" s="151"/>
      <c r="S48" s="74">
        <f t="shared" ref="S48:AD48" si="34">+S43+S47</f>
        <v>8643.7441982126002</v>
      </c>
      <c r="T48" s="74">
        <f>+T43+T47</f>
        <v>5613.0287785771052</v>
      </c>
      <c r="U48" s="74">
        <f t="shared" si="34"/>
        <v>5621.8615603028829</v>
      </c>
      <c r="V48" s="74">
        <f t="shared" si="34"/>
        <v>6119.6909348114787</v>
      </c>
      <c r="W48" s="74">
        <f t="shared" si="34"/>
        <v>7749.3466627001899</v>
      </c>
      <c r="X48" s="74">
        <f t="shared" si="34"/>
        <v>7753.5406819923128</v>
      </c>
      <c r="Y48" s="74">
        <f t="shared" si="34"/>
        <v>8764.0288614276888</v>
      </c>
      <c r="Z48" s="74">
        <f t="shared" si="34"/>
        <v>12631.926167559042</v>
      </c>
      <c r="AA48" s="74">
        <f t="shared" si="34"/>
        <v>12644.171460028148</v>
      </c>
      <c r="AB48" s="74">
        <f t="shared" si="34"/>
        <v>13633.334305464556</v>
      </c>
      <c r="AC48" s="74">
        <f t="shared" si="34"/>
        <v>15466.173287890831</v>
      </c>
      <c r="AD48" s="74">
        <f t="shared" si="34"/>
        <v>15467.187378691244</v>
      </c>
      <c r="AE48" s="151"/>
      <c r="AF48" s="74">
        <f>SUM(S48:AD48)</f>
        <v>120108.03427765808</v>
      </c>
    </row>
    <row r="49" spans="2:32" s="52" customFormat="1" ht="20" thickTop="1">
      <c r="B49" s="175"/>
      <c r="C49" s="152" t="s">
        <v>99</v>
      </c>
      <c r="D49" s="153">
        <f t="shared" ref="D49:O49" si="35">+D48/D41</f>
        <v>1.0027798506648513</v>
      </c>
      <c r="E49" s="153">
        <f t="shared" si="35"/>
        <v>1</v>
      </c>
      <c r="F49" s="153">
        <f t="shared" si="35"/>
        <v>1.0042749829193884</v>
      </c>
      <c r="G49" s="153">
        <f t="shared" si="35"/>
        <v>1.000569323451046</v>
      </c>
      <c r="H49" s="153">
        <f t="shared" si="35"/>
        <v>1.0021310022689576</v>
      </c>
      <c r="I49" s="153">
        <f t="shared" si="35"/>
        <v>1.0045171366950325</v>
      </c>
      <c r="J49" s="153">
        <f t="shared" si="35"/>
        <v>1.0041881765482805</v>
      </c>
      <c r="K49" s="153">
        <f t="shared" si="35"/>
        <v>1.0019161335275859</v>
      </c>
      <c r="L49" s="153">
        <f t="shared" si="35"/>
        <v>1.0010279637564219</v>
      </c>
      <c r="M49" s="153">
        <f t="shared" si="35"/>
        <v>1</v>
      </c>
      <c r="N49" s="153">
        <f t="shared" si="35"/>
        <v>1</v>
      </c>
      <c r="O49" s="153">
        <f t="shared" si="35"/>
        <v>1</v>
      </c>
      <c r="P49" s="151"/>
      <c r="Q49" s="153">
        <f>+Q48/Q41</f>
        <v>1.0015725696845859</v>
      </c>
      <c r="R49" s="154"/>
      <c r="S49" s="153">
        <f t="shared" ref="S49:AD49" si="36">+S48/S41</f>
        <v>0.99303930945137908</v>
      </c>
      <c r="T49" s="153">
        <f t="shared" si="36"/>
        <v>0.97787957814932147</v>
      </c>
      <c r="U49" s="153">
        <f t="shared" si="36"/>
        <v>0.97941839029666955</v>
      </c>
      <c r="V49" s="153">
        <f t="shared" si="36"/>
        <v>0.98071970109158313</v>
      </c>
      <c r="W49" s="153">
        <f t="shared" si="36"/>
        <v>0.97598824467256795</v>
      </c>
      <c r="X49" s="153">
        <f t="shared" si="36"/>
        <v>0.97651645868920811</v>
      </c>
      <c r="Y49" s="153">
        <f t="shared" si="36"/>
        <v>0.9803164274527616</v>
      </c>
      <c r="Z49" s="153">
        <f t="shared" si="36"/>
        <v>0.97355885684462751</v>
      </c>
      <c r="AA49" s="153">
        <f t="shared" si="36"/>
        <v>0.97450261734320986</v>
      </c>
      <c r="AB49" s="153">
        <f t="shared" si="36"/>
        <v>0.9755516497649056</v>
      </c>
      <c r="AC49" s="153">
        <f t="shared" si="36"/>
        <v>0.97424713624509174</v>
      </c>
      <c r="AD49" s="153">
        <f t="shared" si="36"/>
        <v>0.97431101598055081</v>
      </c>
      <c r="AE49" s="154"/>
      <c r="AF49" s="153">
        <f>+AF48/AF41</f>
        <v>0.97712891836838212</v>
      </c>
    </row>
    <row r="50" spans="2:32" s="52" customFormat="1" ht="19">
      <c r="B50" s="175"/>
      <c r="C50" s="159"/>
      <c r="F50" s="68"/>
      <c r="G50" s="68"/>
      <c r="P50" s="154"/>
      <c r="R50" s="135"/>
      <c r="U50" s="68"/>
      <c r="V50" s="68"/>
      <c r="AE50" s="135"/>
    </row>
    <row r="51" spans="2:32" s="52" customFormat="1" ht="19">
      <c r="B51" s="175"/>
      <c r="C51" s="134" t="s">
        <v>100</v>
      </c>
      <c r="P51" s="135"/>
      <c r="R51" s="135"/>
      <c r="AE51" s="135"/>
    </row>
    <row r="52" spans="2:32" s="52" customFormat="1" ht="19">
      <c r="B52" s="175"/>
      <c r="C52" s="137" t="s">
        <v>43</v>
      </c>
      <c r="D52" s="161">
        <v>0</v>
      </c>
      <c r="E52" s="161">
        <v>0</v>
      </c>
      <c r="F52" s="161">
        <v>0</v>
      </c>
      <c r="G52" s="161">
        <v>0</v>
      </c>
      <c r="H52" s="161">
        <v>0</v>
      </c>
      <c r="I52" s="161">
        <v>0</v>
      </c>
      <c r="J52" s="161">
        <v>0</v>
      </c>
      <c r="K52" s="161">
        <v>0</v>
      </c>
      <c r="L52" s="161">
        <v>0</v>
      </c>
      <c r="M52" s="161">
        <v>0</v>
      </c>
      <c r="N52" s="161">
        <v>0</v>
      </c>
      <c r="O52" s="161">
        <v>0</v>
      </c>
      <c r="P52" s="135"/>
      <c r="Q52" s="161">
        <f>SUM(D52:O52)</f>
        <v>0</v>
      </c>
      <c r="R52" s="162"/>
      <c r="S52" s="513">
        <f>Model!L106*-1</f>
        <v>-4000</v>
      </c>
      <c r="T52" s="513">
        <f>Model!M106*-1</f>
        <v>-4000</v>
      </c>
      <c r="U52" s="513">
        <f>Model!N106*-1</f>
        <v>-4000</v>
      </c>
      <c r="V52" s="513">
        <f>Model!O106*-1</f>
        <v>-4000</v>
      </c>
      <c r="W52" s="513">
        <f>Model!P106*-1</f>
        <v>-4000</v>
      </c>
      <c r="X52" s="513">
        <f>Model!Q106*-1</f>
        <v>-5400</v>
      </c>
      <c r="Y52" s="513">
        <f>Model!R106*-1</f>
        <v>-5400</v>
      </c>
      <c r="Z52" s="513">
        <f>Model!S106*-1</f>
        <v>-5400</v>
      </c>
      <c r="AA52" s="513">
        <f>Model!T106*-1</f>
        <v>-6300</v>
      </c>
      <c r="AB52" s="513">
        <f>Model!U106*-1</f>
        <v>-6300</v>
      </c>
      <c r="AC52" s="513">
        <f>Model!V106*-1</f>
        <v>-6300</v>
      </c>
      <c r="AD52" s="513">
        <f>Model!W106*-1</f>
        <v>-7500</v>
      </c>
      <c r="AE52" s="162"/>
      <c r="AF52" s="161">
        <f>SUM(S52:AD52)</f>
        <v>-62600</v>
      </c>
    </row>
    <row r="53" spans="2:32" s="52" customFormat="1" ht="19">
      <c r="B53" s="175"/>
      <c r="C53" s="137" t="s">
        <v>101</v>
      </c>
      <c r="D53" s="160">
        <v>-34762.94</v>
      </c>
      <c r="E53" s="160">
        <v>-30846.3</v>
      </c>
      <c r="F53" s="160">
        <v>-45495.3</v>
      </c>
      <c r="G53" s="160">
        <v>-28760.57</v>
      </c>
      <c r="H53" s="160">
        <v>-37473.56</v>
      </c>
      <c r="I53" s="160">
        <v>-28319.75</v>
      </c>
      <c r="J53" s="160">
        <v>-32755.66</v>
      </c>
      <c r="K53" s="160">
        <v>-32574.55</v>
      </c>
      <c r="L53" s="160">
        <v>-37618.49</v>
      </c>
      <c r="M53" s="160">
        <v>-28513.106338501882</v>
      </c>
      <c r="N53" s="160">
        <v>-29261.630684614905</v>
      </c>
      <c r="O53" s="102">
        <f>+AVERAGE(L53:N53)</f>
        <v>-31797.742341038931</v>
      </c>
      <c r="P53" s="162"/>
      <c r="Q53" s="161">
        <f>SUM(D53:O53)</f>
        <v>-398179.59936415573</v>
      </c>
      <c r="R53" s="162"/>
      <c r="S53" s="513">
        <f>('DASHBOARD COSTS'!AR185-'Results CASH'!S47)*-1</f>
        <v>-16495.401028321678</v>
      </c>
      <c r="T53" s="513">
        <f>('DASHBOARD COSTS'!AS185-'Results CASH'!T47)*-1</f>
        <v>-23316.421028321678</v>
      </c>
      <c r="U53" s="513">
        <f>('DASHBOARD COSTS'!AT185-'Results CASH'!U47)*-1</f>
        <v>-8599.6317975524471</v>
      </c>
      <c r="V53" s="513">
        <f>('DASHBOARD COSTS'!AU185-'Results CASH'!V47)*-1</f>
        <v>-8798.9087206293698</v>
      </c>
      <c r="W53" s="513">
        <f>('DASHBOARD COSTS'!AV185-'Results CASH'!W47)*-1</f>
        <v>-8435.831797552446</v>
      </c>
      <c r="X53" s="513">
        <f>('DASHBOARD COSTS'!AW185-'Results CASH'!X47)*-1</f>
        <v>-8543.5241052447545</v>
      </c>
      <c r="Y53" s="513">
        <f>('DASHBOARD COSTS'!AX185-'Results CASH'!Y47)*-1</f>
        <v>-8667.2317975524456</v>
      </c>
      <c r="Z53" s="513">
        <f>('DASHBOARD COSTS'!AY185-'Results CASH'!Z47)*-1</f>
        <v>-8833.5087206293701</v>
      </c>
      <c r="AA53" s="513">
        <f>('DASHBOARD COSTS'!AZ185-'Results CASH'!AA47)*-1</f>
        <v>-8452.8217975524458</v>
      </c>
      <c r="AB53" s="513">
        <f>('DASHBOARD COSTS'!BA185-'Results CASH'!AB47)*-1</f>
        <v>-8626.2271821678314</v>
      </c>
      <c r="AC53" s="513">
        <f>('DASHBOARD COSTS'!BB185-'Results CASH'!AC47)*-1</f>
        <v>-8799.9087206293698</v>
      </c>
      <c r="AD53" s="513">
        <f>('DASHBOARD COSTS'!BC185-'Results CASH'!AD47)*-1</f>
        <v>-17920.788079603728</v>
      </c>
      <c r="AE53" s="162"/>
      <c r="AF53" s="161">
        <f>SUM(S53:AD53)</f>
        <v>-135490.20477575756</v>
      </c>
    </row>
    <row r="54" spans="2:32" s="52" customFormat="1" ht="20" thickBot="1">
      <c r="B54" s="175"/>
      <c r="C54" s="163" t="s">
        <v>102</v>
      </c>
      <c r="D54" s="164">
        <f t="shared" ref="D54:O54" si="37">+SUM(D52:D53)</f>
        <v>-34762.94</v>
      </c>
      <c r="E54" s="164">
        <f t="shared" si="37"/>
        <v>-30846.3</v>
      </c>
      <c r="F54" s="164">
        <f t="shared" si="37"/>
        <v>-45495.3</v>
      </c>
      <c r="G54" s="164">
        <f t="shared" si="37"/>
        <v>-28760.57</v>
      </c>
      <c r="H54" s="164">
        <f t="shared" si="37"/>
        <v>-37473.56</v>
      </c>
      <c r="I54" s="164">
        <f t="shared" si="37"/>
        <v>-28319.75</v>
      </c>
      <c r="J54" s="164">
        <f t="shared" si="37"/>
        <v>-32755.66</v>
      </c>
      <c r="K54" s="164">
        <f t="shared" si="37"/>
        <v>-32574.55</v>
      </c>
      <c r="L54" s="164">
        <f t="shared" si="37"/>
        <v>-37618.49</v>
      </c>
      <c r="M54" s="164">
        <f t="shared" si="37"/>
        <v>-28513.106338501882</v>
      </c>
      <c r="N54" s="164">
        <f t="shared" si="37"/>
        <v>-29261.630684614905</v>
      </c>
      <c r="O54" s="164">
        <f t="shared" si="37"/>
        <v>-31797.742341038931</v>
      </c>
      <c r="P54" s="162"/>
      <c r="Q54" s="164">
        <f>SUM(D54:O54)</f>
        <v>-398179.59936415573</v>
      </c>
      <c r="R54" s="165"/>
      <c r="S54" s="164">
        <f t="shared" ref="S54:AD54" si="38">+SUM(S52:S53)</f>
        <v>-20495.401028321678</v>
      </c>
      <c r="T54" s="164">
        <f t="shared" si="38"/>
        <v>-27316.421028321678</v>
      </c>
      <c r="U54" s="164">
        <f t="shared" si="38"/>
        <v>-12599.631797552447</v>
      </c>
      <c r="V54" s="164">
        <f t="shared" si="38"/>
        <v>-12798.90872062937</v>
      </c>
      <c r="W54" s="164">
        <f t="shared" si="38"/>
        <v>-12435.831797552446</v>
      </c>
      <c r="X54" s="164">
        <f t="shared" si="38"/>
        <v>-13943.524105244755</v>
      </c>
      <c r="Y54" s="164">
        <f t="shared" si="38"/>
        <v>-14067.231797552446</v>
      </c>
      <c r="Z54" s="164">
        <f t="shared" si="38"/>
        <v>-14233.50872062937</v>
      </c>
      <c r="AA54" s="164">
        <f t="shared" si="38"/>
        <v>-14752.821797552446</v>
      </c>
      <c r="AB54" s="164">
        <f t="shared" si="38"/>
        <v>-14926.227182167831</v>
      </c>
      <c r="AC54" s="164">
        <f t="shared" si="38"/>
        <v>-15099.90872062937</v>
      </c>
      <c r="AD54" s="164">
        <f t="shared" si="38"/>
        <v>-25420.788079603728</v>
      </c>
      <c r="AE54" s="165"/>
      <c r="AF54" s="164">
        <f>SUM(S54:AD54)</f>
        <v>-198090.20477575759</v>
      </c>
    </row>
    <row r="55" spans="2:32" s="52" customFormat="1" ht="21" thickTop="1" thickBot="1">
      <c r="B55" s="175"/>
      <c r="C55" s="143" t="s">
        <v>103</v>
      </c>
      <c r="D55" s="166">
        <f t="shared" ref="D55:O55" si="39">+D48+D54</f>
        <v>-27869.360000000011</v>
      </c>
      <c r="E55" s="166">
        <f t="shared" si="39"/>
        <v>-23954.3</v>
      </c>
      <c r="F55" s="166">
        <f t="shared" si="39"/>
        <v>-39777.37000000001</v>
      </c>
      <c r="G55" s="166">
        <f t="shared" si="39"/>
        <v>-23048.790000000012</v>
      </c>
      <c r="H55" s="166">
        <f t="shared" si="39"/>
        <v>-31299.010000000009</v>
      </c>
      <c r="I55" s="166">
        <f t="shared" si="39"/>
        <v>-21463.799999999996</v>
      </c>
      <c r="J55" s="166">
        <f t="shared" si="39"/>
        <v>-26931.710000000028</v>
      </c>
      <c r="K55" s="166">
        <f t="shared" si="39"/>
        <v>-24349.579999999929</v>
      </c>
      <c r="L55" s="166">
        <f t="shared" si="39"/>
        <v>-33158.5</v>
      </c>
      <c r="M55" s="166">
        <f t="shared" si="39"/>
        <v>-21972.906338501882</v>
      </c>
      <c r="N55" s="166">
        <f t="shared" si="39"/>
        <v>-14834.450684614905</v>
      </c>
      <c r="O55" s="166">
        <f t="shared" si="39"/>
        <v>-23372.475674372265</v>
      </c>
      <c r="P55" s="165"/>
      <c r="Q55" s="166">
        <f>SUM(D55:O55)</f>
        <v>-312032.25269748905</v>
      </c>
      <c r="R55" s="167"/>
      <c r="S55" s="166">
        <f>+S48+S54</f>
        <v>-11851.656830109077</v>
      </c>
      <c r="T55" s="166">
        <f t="shared" ref="T55:AD55" si="40">+T48+T54</f>
        <v>-21703.392249744575</v>
      </c>
      <c r="U55" s="166">
        <f t="shared" si="40"/>
        <v>-6977.7702372495642</v>
      </c>
      <c r="V55" s="166">
        <f t="shared" si="40"/>
        <v>-6679.2177858178911</v>
      </c>
      <c r="W55" s="166">
        <f t="shared" si="40"/>
        <v>-4686.4851348522561</v>
      </c>
      <c r="X55" s="166">
        <f t="shared" si="40"/>
        <v>-6189.9834232524418</v>
      </c>
      <c r="Y55" s="166">
        <f t="shared" si="40"/>
        <v>-5303.2029361247569</v>
      </c>
      <c r="Z55" s="166">
        <f t="shared" si="40"/>
        <v>-1601.5825530703278</v>
      </c>
      <c r="AA55" s="166">
        <f t="shared" si="40"/>
        <v>-2108.6503375242974</v>
      </c>
      <c r="AB55" s="166">
        <f t="shared" si="40"/>
        <v>-1292.8928767032758</v>
      </c>
      <c r="AC55" s="166">
        <f t="shared" si="40"/>
        <v>366.26456726146171</v>
      </c>
      <c r="AD55" s="166">
        <f t="shared" si="40"/>
        <v>-9953.6007009124842</v>
      </c>
      <c r="AE55" s="167"/>
      <c r="AF55" s="166">
        <f>SUM(S55:AD55)</f>
        <v>-77982.170498099484</v>
      </c>
    </row>
    <row r="56" spans="2:32" s="52" customFormat="1" ht="20" thickTop="1">
      <c r="B56" s="175"/>
      <c r="C56" s="152" t="s">
        <v>104</v>
      </c>
      <c r="D56" s="153">
        <f t="shared" ref="D56:O56" si="41">+D55/D41</f>
        <v>-4.0540376203547401</v>
      </c>
      <c r="E56" s="153">
        <f t="shared" si="41"/>
        <v>-3.4756674405107368</v>
      </c>
      <c r="F56" s="153">
        <f t="shared" si="41"/>
        <v>-6.9863425360800608</v>
      </c>
      <c r="G56" s="153">
        <f t="shared" si="41"/>
        <v>-4.0376051277649516</v>
      </c>
      <c r="H56" s="153">
        <f t="shared" si="41"/>
        <v>-5.0798371154701458</v>
      </c>
      <c r="I56" s="153">
        <f t="shared" si="41"/>
        <v>-3.1448238272733637</v>
      </c>
      <c r="J56" s="153">
        <f t="shared" si="41"/>
        <v>-4.6436704910288107</v>
      </c>
      <c r="K56" s="153">
        <f t="shared" si="41"/>
        <v>-2.9661186662833248</v>
      </c>
      <c r="L56" s="153">
        <f t="shared" si="41"/>
        <v>-7.4423004841305387</v>
      </c>
      <c r="M56" s="153">
        <f t="shared" si="41"/>
        <v>-3.3596688692244707</v>
      </c>
      <c r="N56" s="153">
        <f t="shared" si="41"/>
        <v>-1.0282294034326116</v>
      </c>
      <c r="O56" s="153">
        <f t="shared" si="41"/>
        <v>-2.7740932838175962</v>
      </c>
      <c r="P56" s="167"/>
      <c r="Q56" s="153">
        <f>+Q55/Q41</f>
        <v>-3.6277721514506029</v>
      </c>
      <c r="R56" s="167"/>
      <c r="S56" s="153">
        <f t="shared" ref="S56:AD56" si="42">+S55/S41</f>
        <v>-1.3615813754483768</v>
      </c>
      <c r="T56" s="153">
        <f t="shared" si="42"/>
        <v>-3.7810787891541069</v>
      </c>
      <c r="U56" s="153">
        <f t="shared" si="42"/>
        <v>-1.2156394141549762</v>
      </c>
      <c r="V56" s="153">
        <f t="shared" si="42"/>
        <v>-1.070387465675944</v>
      </c>
      <c r="W56" s="153">
        <f t="shared" si="42"/>
        <v>-0.59023742252547307</v>
      </c>
      <c r="X56" s="153">
        <f t="shared" si="42"/>
        <v>-0.77959488957839318</v>
      </c>
      <c r="Y56" s="153">
        <f t="shared" si="42"/>
        <v>-0.59319943357100191</v>
      </c>
      <c r="Z56" s="153">
        <f t="shared" si="42"/>
        <v>-0.12343603491871505</v>
      </c>
      <c r="AA56" s="153">
        <f t="shared" si="42"/>
        <v>-0.16251640366275893</v>
      </c>
      <c r="AB56" s="153">
        <f t="shared" si="42"/>
        <v>-9.251469600739004E-2</v>
      </c>
      <c r="AC56" s="153">
        <f t="shared" si="42"/>
        <v>2.3071783764501527E-2</v>
      </c>
      <c r="AD56" s="153">
        <f t="shared" si="42"/>
        <v>-0.62699846934881787</v>
      </c>
      <c r="AE56" s="167"/>
      <c r="AF56" s="153">
        <f>+AF55/AF41</f>
        <v>-0.6344174589909245</v>
      </c>
    </row>
    <row r="57" spans="2:32" s="52" customFormat="1" ht="19">
      <c r="B57" s="175"/>
      <c r="C57" s="134"/>
      <c r="P57" s="154"/>
      <c r="R57" s="167"/>
      <c r="AE57" s="167"/>
    </row>
    <row r="58" spans="2:32" s="52" customFormat="1" ht="19">
      <c r="B58" s="175"/>
      <c r="C58" s="152" t="s">
        <v>105</v>
      </c>
      <c r="D58" s="168">
        <f t="shared" ref="D58:O58" si="43">+D43+D52</f>
        <v>6893.5799999999908</v>
      </c>
      <c r="E58" s="168">
        <f t="shared" si="43"/>
        <v>6892</v>
      </c>
      <c r="F58" s="168">
        <f t="shared" si="43"/>
        <v>5717.9299999999912</v>
      </c>
      <c r="G58" s="168">
        <f t="shared" si="43"/>
        <v>5711.7799999999888</v>
      </c>
      <c r="H58" s="168">
        <f t="shared" si="43"/>
        <v>6174.5499999999893</v>
      </c>
      <c r="I58" s="168">
        <f t="shared" si="43"/>
        <v>6855.9500000000053</v>
      </c>
      <c r="J58" s="168">
        <f t="shared" si="43"/>
        <v>5823.9499999999734</v>
      </c>
      <c r="K58" s="168">
        <f t="shared" si="43"/>
        <v>8224.9700000000703</v>
      </c>
      <c r="L58" s="168">
        <f t="shared" si="43"/>
        <v>4459.9899999999943</v>
      </c>
      <c r="M58" s="168">
        <f t="shared" si="43"/>
        <v>6540.2</v>
      </c>
      <c r="N58" s="168">
        <f t="shared" si="43"/>
        <v>14427.18</v>
      </c>
      <c r="O58" s="168">
        <f t="shared" si="43"/>
        <v>8425.2666666666664</v>
      </c>
      <c r="P58" s="154"/>
      <c r="Q58" s="169">
        <f>SUM(D58:O58)</f>
        <v>86147.34666666665</v>
      </c>
      <c r="R58" s="167"/>
      <c r="S58" s="168">
        <f t="shared" ref="S58:AD58" si="44">+S43+S52</f>
        <v>4643.7441982126002</v>
      </c>
      <c r="T58" s="168">
        <f t="shared" si="44"/>
        <v>1613.0287785771052</v>
      </c>
      <c r="U58" s="168">
        <f t="shared" si="44"/>
        <v>1621.8615603028829</v>
      </c>
      <c r="V58" s="168">
        <f t="shared" si="44"/>
        <v>2119.6909348114787</v>
      </c>
      <c r="W58" s="168">
        <f t="shared" si="44"/>
        <v>3749.3466627001899</v>
      </c>
      <c r="X58" s="168">
        <f t="shared" si="44"/>
        <v>2353.5406819923128</v>
      </c>
      <c r="Y58" s="168">
        <f t="shared" si="44"/>
        <v>3364.0288614276888</v>
      </c>
      <c r="Z58" s="168">
        <f t="shared" si="44"/>
        <v>7231.9261675590424</v>
      </c>
      <c r="AA58" s="168">
        <f t="shared" si="44"/>
        <v>6344.1714600281484</v>
      </c>
      <c r="AB58" s="168">
        <f t="shared" si="44"/>
        <v>7333.3343054645557</v>
      </c>
      <c r="AC58" s="168">
        <f t="shared" si="44"/>
        <v>9166.1732878908315</v>
      </c>
      <c r="AD58" s="168">
        <f t="shared" si="44"/>
        <v>7967.1873786912438</v>
      </c>
      <c r="AE58" s="167"/>
      <c r="AF58" s="169">
        <f>SUM(S58:AD58)</f>
        <v>57508.034277658066</v>
      </c>
    </row>
    <row r="59" spans="2:32" s="52" customFormat="1" ht="19">
      <c r="B59" s="175"/>
      <c r="C59" s="152" t="s">
        <v>106</v>
      </c>
      <c r="D59" s="153">
        <f t="shared" ref="D59:O59" si="45">+D58/D41</f>
        <v>1.0027798506648513</v>
      </c>
      <c r="E59" s="153">
        <f t="shared" si="45"/>
        <v>1</v>
      </c>
      <c r="F59" s="153">
        <f t="shared" si="45"/>
        <v>1.0042749829193884</v>
      </c>
      <c r="G59" s="153">
        <f t="shared" si="45"/>
        <v>1.000569323451046</v>
      </c>
      <c r="H59" s="153">
        <f t="shared" si="45"/>
        <v>1.0021310022689576</v>
      </c>
      <c r="I59" s="153">
        <f t="shared" si="45"/>
        <v>1.0045171366950325</v>
      </c>
      <c r="J59" s="153">
        <f t="shared" si="45"/>
        <v>1.0041881765482805</v>
      </c>
      <c r="K59" s="153">
        <f t="shared" si="45"/>
        <v>1.0019161335275859</v>
      </c>
      <c r="L59" s="153">
        <f t="shared" si="45"/>
        <v>1.0010279637564219</v>
      </c>
      <c r="M59" s="153">
        <f t="shared" si="45"/>
        <v>1</v>
      </c>
      <c r="N59" s="153">
        <f t="shared" si="45"/>
        <v>1</v>
      </c>
      <c r="O59" s="153">
        <f t="shared" si="45"/>
        <v>1</v>
      </c>
      <c r="P59" s="154"/>
      <c r="Q59" s="153">
        <f>+Q58/Q41</f>
        <v>1.0015725696845859</v>
      </c>
      <c r="R59" s="167"/>
      <c r="S59" s="153">
        <f t="shared" ref="S59:AD59" si="46">+S58/S41</f>
        <v>0.53349803350444625</v>
      </c>
      <c r="T59" s="153">
        <f t="shared" si="46"/>
        <v>0.28101546665106364</v>
      </c>
      <c r="U59" s="153">
        <f t="shared" si="46"/>
        <v>0.28255427879841166</v>
      </c>
      <c r="V59" s="153">
        <f t="shared" si="46"/>
        <v>0.33969406006594211</v>
      </c>
      <c r="W59" s="153">
        <f t="shared" si="46"/>
        <v>0.47220990714108185</v>
      </c>
      <c r="X59" s="153">
        <f t="shared" si="46"/>
        <v>0.29641570302170184</v>
      </c>
      <c r="Y59" s="153">
        <f t="shared" si="46"/>
        <v>0.37628958181517769</v>
      </c>
      <c r="Z59" s="153">
        <f t="shared" si="46"/>
        <v>0.5573738857463616</v>
      </c>
      <c r="AA59" s="153">
        <f t="shared" si="46"/>
        <v>0.48895348439523301</v>
      </c>
      <c r="AB59" s="153">
        <f t="shared" si="46"/>
        <v>0.52474664082036171</v>
      </c>
      <c r="AC59" s="153">
        <f t="shared" si="46"/>
        <v>0.5773967425443044</v>
      </c>
      <c r="AD59" s="153">
        <f t="shared" si="46"/>
        <v>0.501870071098661</v>
      </c>
      <c r="AE59" s="167"/>
      <c r="AF59" s="153">
        <f>+AF58/AF41</f>
        <v>0.46785182747489668</v>
      </c>
    </row>
    <row r="60" spans="2:32" s="52" customFormat="1" ht="19">
      <c r="B60" s="175"/>
      <c r="C60" s="134"/>
      <c r="F60" s="179"/>
      <c r="G60" s="68"/>
      <c r="H60" s="68"/>
      <c r="P60" s="154"/>
      <c r="R60" s="135"/>
      <c r="S60" s="68"/>
      <c r="T60" s="68"/>
      <c r="U60" s="68"/>
      <c r="V60" s="68"/>
      <c r="W60" s="68"/>
      <c r="X60" s="68"/>
      <c r="Y60" s="68"/>
      <c r="Z60" s="68"/>
      <c r="AA60" s="68"/>
      <c r="AB60" s="68"/>
      <c r="AC60" s="68"/>
      <c r="AD60" s="68"/>
      <c r="AE60" s="135"/>
    </row>
    <row r="61" spans="2:32" s="52" customFormat="1" ht="19">
      <c r="B61" s="175"/>
      <c r="C61" s="170"/>
      <c r="P61" s="162"/>
      <c r="R61" s="135"/>
      <c r="AE61" s="135"/>
    </row>
    <row r="62" spans="2:32" s="52" customFormat="1" ht="20" thickBot="1">
      <c r="B62" s="175"/>
      <c r="C62" s="171" t="s">
        <v>107</v>
      </c>
      <c r="D62" s="164">
        <f>+D55</f>
        <v>-27869.360000000011</v>
      </c>
      <c r="E62" s="164">
        <f t="shared" ref="E62:O62" si="47">+E55</f>
        <v>-23954.3</v>
      </c>
      <c r="F62" s="164">
        <f t="shared" si="47"/>
        <v>-39777.37000000001</v>
      </c>
      <c r="G62" s="164">
        <f t="shared" si="47"/>
        <v>-23048.790000000012</v>
      </c>
      <c r="H62" s="164">
        <f t="shared" si="47"/>
        <v>-31299.010000000009</v>
      </c>
      <c r="I62" s="164">
        <f t="shared" si="47"/>
        <v>-21463.799999999996</v>
      </c>
      <c r="J62" s="164">
        <f t="shared" si="47"/>
        <v>-26931.710000000028</v>
      </c>
      <c r="K62" s="164">
        <f t="shared" si="47"/>
        <v>-24349.579999999929</v>
      </c>
      <c r="L62" s="164">
        <f t="shared" si="47"/>
        <v>-33158.5</v>
      </c>
      <c r="M62" s="164">
        <f t="shared" si="47"/>
        <v>-21972.906338501882</v>
      </c>
      <c r="N62" s="164">
        <f t="shared" si="47"/>
        <v>-14834.450684614905</v>
      </c>
      <c r="O62" s="164">
        <f t="shared" si="47"/>
        <v>-23372.475674372265</v>
      </c>
      <c r="P62" s="135"/>
      <c r="Q62" s="164">
        <f>SUM(D62:O62)</f>
        <v>-312032.25269748905</v>
      </c>
      <c r="R62" s="165"/>
      <c r="S62" s="164">
        <f>+S55</f>
        <v>-11851.656830109077</v>
      </c>
      <c r="T62" s="164">
        <f t="shared" ref="T62:AD62" si="48">+T55</f>
        <v>-21703.392249744575</v>
      </c>
      <c r="U62" s="164">
        <f t="shared" si="48"/>
        <v>-6977.7702372495642</v>
      </c>
      <c r="V62" s="164">
        <f t="shared" si="48"/>
        <v>-6679.2177858178911</v>
      </c>
      <c r="W62" s="164">
        <f t="shared" si="48"/>
        <v>-4686.4851348522561</v>
      </c>
      <c r="X62" s="164">
        <f t="shared" si="48"/>
        <v>-6189.9834232524418</v>
      </c>
      <c r="Y62" s="164">
        <f t="shared" si="48"/>
        <v>-5303.2029361247569</v>
      </c>
      <c r="Z62" s="164">
        <f t="shared" si="48"/>
        <v>-1601.5825530703278</v>
      </c>
      <c r="AA62" s="164">
        <f t="shared" si="48"/>
        <v>-2108.6503375242974</v>
      </c>
      <c r="AB62" s="164">
        <f t="shared" si="48"/>
        <v>-1292.8928767032758</v>
      </c>
      <c r="AC62" s="164">
        <f t="shared" si="48"/>
        <v>366.26456726146171</v>
      </c>
      <c r="AD62" s="164">
        <f t="shared" si="48"/>
        <v>-9953.6007009124842</v>
      </c>
      <c r="AE62" s="165"/>
      <c r="AF62" s="164">
        <f>SUM(S62:AD62)</f>
        <v>-77982.170498099484</v>
      </c>
    </row>
    <row r="63" spans="2:32" s="52" customFormat="1" ht="21" thickTop="1" thickBot="1">
      <c r="B63" s="175"/>
      <c r="C63" s="134" t="s">
        <v>108</v>
      </c>
      <c r="D63" s="172">
        <f t="shared" ref="D63:O63" si="49">+D62/D41</f>
        <v>-4.0540376203547401</v>
      </c>
      <c r="E63" s="172">
        <f t="shared" si="49"/>
        <v>-3.4756674405107368</v>
      </c>
      <c r="F63" s="172">
        <f t="shared" si="49"/>
        <v>-6.9863425360800608</v>
      </c>
      <c r="G63" s="172">
        <f t="shared" si="49"/>
        <v>-4.0376051277649516</v>
      </c>
      <c r="H63" s="172">
        <f t="shared" si="49"/>
        <v>-5.0798371154701458</v>
      </c>
      <c r="I63" s="172">
        <f t="shared" si="49"/>
        <v>-3.1448238272733637</v>
      </c>
      <c r="J63" s="172">
        <f t="shared" si="49"/>
        <v>-4.6436704910288107</v>
      </c>
      <c r="K63" s="172">
        <f t="shared" si="49"/>
        <v>-2.9661186662833248</v>
      </c>
      <c r="L63" s="172">
        <f t="shared" si="49"/>
        <v>-7.4423004841305387</v>
      </c>
      <c r="M63" s="172">
        <f t="shared" si="49"/>
        <v>-3.3596688692244707</v>
      </c>
      <c r="N63" s="172">
        <f t="shared" si="49"/>
        <v>-1.0282294034326116</v>
      </c>
      <c r="O63" s="172">
        <f t="shared" si="49"/>
        <v>-2.7740932838175962</v>
      </c>
      <c r="P63" s="165"/>
      <c r="Q63" s="172">
        <f>+Q62/Q41</f>
        <v>-3.6277721514506029</v>
      </c>
      <c r="R63" s="173"/>
      <c r="S63" s="172">
        <f t="shared" ref="S63:AD63" si="50">+S62/S41</f>
        <v>-1.3615813754483768</v>
      </c>
      <c r="T63" s="172">
        <f t="shared" si="50"/>
        <v>-3.7810787891541069</v>
      </c>
      <c r="U63" s="172">
        <f t="shared" si="50"/>
        <v>-1.2156394141549762</v>
      </c>
      <c r="V63" s="172">
        <f t="shared" si="50"/>
        <v>-1.070387465675944</v>
      </c>
      <c r="W63" s="172">
        <f t="shared" si="50"/>
        <v>-0.59023742252547307</v>
      </c>
      <c r="X63" s="172">
        <f t="shared" si="50"/>
        <v>-0.77959488957839318</v>
      </c>
      <c r="Y63" s="172">
        <f t="shared" si="50"/>
        <v>-0.59319943357100191</v>
      </c>
      <c r="Z63" s="172">
        <f t="shared" si="50"/>
        <v>-0.12343603491871505</v>
      </c>
      <c r="AA63" s="172">
        <f t="shared" si="50"/>
        <v>-0.16251640366275893</v>
      </c>
      <c r="AB63" s="172">
        <f t="shared" si="50"/>
        <v>-9.251469600739004E-2</v>
      </c>
      <c r="AC63" s="172">
        <f t="shared" si="50"/>
        <v>2.3071783764501527E-2</v>
      </c>
      <c r="AD63" s="172">
        <f t="shared" si="50"/>
        <v>-0.62699846934881787</v>
      </c>
      <c r="AE63" s="173"/>
      <c r="AF63" s="172">
        <f>+AF62/AF41</f>
        <v>-0.6344174589909245</v>
      </c>
    </row>
    <row r="64" spans="2:32" s="52" customFormat="1" ht="17" thickTop="1">
      <c r="P64" s="173"/>
      <c r="R64" s="173"/>
      <c r="AE64" s="173"/>
    </row>
    <row r="65" spans="2:32" s="52" customFormat="1">
      <c r="P65" s="173"/>
      <c r="R65" s="173"/>
      <c r="AE65" s="173"/>
    </row>
    <row r="66" spans="2:32" s="52" customFormat="1" ht="17" customHeight="1">
      <c r="B66" s="180" t="s">
        <v>112</v>
      </c>
      <c r="C66" s="134" t="s">
        <v>89</v>
      </c>
      <c r="P66" s="135"/>
      <c r="R66" s="173"/>
      <c r="U66" s="70"/>
      <c r="X66" s="70"/>
      <c r="Z66" s="70"/>
      <c r="AA66" s="70"/>
      <c r="AD66" s="70"/>
      <c r="AE66" s="173"/>
    </row>
    <row r="67" spans="2:32" s="52" customFormat="1" ht="16" customHeight="1">
      <c r="B67" s="181"/>
      <c r="C67" s="137" t="s">
        <v>113</v>
      </c>
      <c r="D67" s="140">
        <v>0</v>
      </c>
      <c r="E67" s="140">
        <v>0</v>
      </c>
      <c r="F67" s="140">
        <v>0</v>
      </c>
      <c r="G67" s="140">
        <v>0</v>
      </c>
      <c r="H67" s="140">
        <v>0</v>
      </c>
      <c r="I67" s="140">
        <v>0</v>
      </c>
      <c r="J67" s="140">
        <v>0</v>
      </c>
      <c r="K67" s="140">
        <v>0</v>
      </c>
      <c r="L67" s="140">
        <v>0</v>
      </c>
      <c r="M67" s="140">
        <v>0</v>
      </c>
      <c r="N67" s="140">
        <v>0</v>
      </c>
      <c r="O67" s="140">
        <v>0</v>
      </c>
      <c r="P67" s="139"/>
      <c r="Q67" s="140">
        <f>SUM(D67:O67)</f>
        <v>0</v>
      </c>
      <c r="R67" s="139"/>
      <c r="S67" s="140">
        <v>0</v>
      </c>
      <c r="T67" s="140">
        <v>0</v>
      </c>
      <c r="U67" s="140">
        <v>0</v>
      </c>
      <c r="V67" s="140">
        <v>0</v>
      </c>
      <c r="W67" s="140">
        <v>0</v>
      </c>
      <c r="X67" s="140">
        <v>0</v>
      </c>
      <c r="Y67" s="140">
        <v>0</v>
      </c>
      <c r="Z67" s="140">
        <v>0</v>
      </c>
      <c r="AA67" s="140">
        <v>0</v>
      </c>
      <c r="AB67" s="140">
        <v>0</v>
      </c>
      <c r="AC67" s="140">
        <v>0</v>
      </c>
      <c r="AD67" s="140">
        <v>0</v>
      </c>
      <c r="AE67" s="139"/>
      <c r="AF67" s="140">
        <f t="shared" ref="AF67:AF72" si="51">SUM(S67:AD67)</f>
        <v>0</v>
      </c>
    </row>
    <row r="68" spans="2:32" s="52" customFormat="1" ht="19">
      <c r="B68" s="180"/>
      <c r="C68" s="137" t="s">
        <v>114</v>
      </c>
      <c r="D68" s="177">
        <v>85315.5502857143</v>
      </c>
      <c r="E68" s="177">
        <v>17713.822571428573</v>
      </c>
      <c r="F68" s="177">
        <v>82240.51171428572</v>
      </c>
      <c r="G68" s="177">
        <v>22979.488285714287</v>
      </c>
      <c r="H68" s="177">
        <v>29961.419428571426</v>
      </c>
      <c r="I68" s="177">
        <v>10295.468000000001</v>
      </c>
      <c r="J68" s="177">
        <v>43236.108000000007</v>
      </c>
      <c r="K68" s="177">
        <v>14902.044571428571</v>
      </c>
      <c r="L68" s="177">
        <v>23641.15085714286</v>
      </c>
      <c r="M68" s="177">
        <v>24807.961770091559</v>
      </c>
      <c r="N68" s="177">
        <v>5462</v>
      </c>
      <c r="O68" s="102">
        <v>24278.413248677254</v>
      </c>
      <c r="P68" s="142"/>
      <c r="Q68" s="141">
        <f>SUM(D68:O68)</f>
        <v>384833.93873305456</v>
      </c>
      <c r="R68" s="142"/>
      <c r="S68" s="140">
        <f>+Supuestos!$G$27</f>
        <v>25000</v>
      </c>
      <c r="T68" s="140">
        <f>+Supuestos!$G$27</f>
        <v>25000</v>
      </c>
      <c r="U68" s="140">
        <f>+Supuestos!$G$27</f>
        <v>25000</v>
      </c>
      <c r="V68" s="140">
        <f>+Supuestos!$H$27</f>
        <v>30000</v>
      </c>
      <c r="W68" s="140">
        <f>+Supuestos!$H$27</f>
        <v>30000</v>
      </c>
      <c r="X68" s="140">
        <f>+Supuestos!$H$27</f>
        <v>30000</v>
      </c>
      <c r="Y68" s="140">
        <f>+Supuestos!$I$27</f>
        <v>30000</v>
      </c>
      <c r="Z68" s="140">
        <f>+Supuestos!$I$27</f>
        <v>30000</v>
      </c>
      <c r="AA68" s="140">
        <f>+Supuestos!$I$27</f>
        <v>30000</v>
      </c>
      <c r="AB68" s="140">
        <f>+Supuestos!$J$27</f>
        <v>40000</v>
      </c>
      <c r="AC68" s="140">
        <f>+Supuestos!$J$27</f>
        <v>40000</v>
      </c>
      <c r="AD68" s="140">
        <f>+Supuestos!$J$27</f>
        <v>40000</v>
      </c>
      <c r="AE68" s="142"/>
      <c r="AF68" s="141">
        <f t="shared" si="51"/>
        <v>375000</v>
      </c>
    </row>
    <row r="69" spans="2:32" s="52" customFormat="1" ht="19">
      <c r="B69" s="180"/>
      <c r="C69" s="143" t="s">
        <v>93</v>
      </c>
      <c r="D69" s="144">
        <f>+D67+D68</f>
        <v>85315.5502857143</v>
      </c>
      <c r="E69" s="144">
        <f t="shared" ref="E69:O69" si="52">+E67+E68</f>
        <v>17713.822571428573</v>
      </c>
      <c r="F69" s="144">
        <f t="shared" si="52"/>
        <v>82240.51171428572</v>
      </c>
      <c r="G69" s="144">
        <f t="shared" si="52"/>
        <v>22979.488285714287</v>
      </c>
      <c r="H69" s="144">
        <f t="shared" si="52"/>
        <v>29961.419428571426</v>
      </c>
      <c r="I69" s="144">
        <f t="shared" si="52"/>
        <v>10295.468000000001</v>
      </c>
      <c r="J69" s="144">
        <f t="shared" si="52"/>
        <v>43236.108000000007</v>
      </c>
      <c r="K69" s="144">
        <f t="shared" si="52"/>
        <v>14902.044571428571</v>
      </c>
      <c r="L69" s="144">
        <f t="shared" si="52"/>
        <v>23641.15085714286</v>
      </c>
      <c r="M69" s="144">
        <f t="shared" si="52"/>
        <v>24807.961770091559</v>
      </c>
      <c r="N69" s="144">
        <f t="shared" si="52"/>
        <v>5462</v>
      </c>
      <c r="O69" s="144">
        <f t="shared" si="52"/>
        <v>24278.413248677254</v>
      </c>
      <c r="P69" s="142"/>
      <c r="Q69" s="144">
        <f>SUM(D69:O69)</f>
        <v>384833.93873305456</v>
      </c>
      <c r="R69" s="145"/>
      <c r="S69" s="144">
        <f>+S67+S68</f>
        <v>25000</v>
      </c>
      <c r="T69" s="144">
        <f t="shared" ref="T69:AD69" si="53">+T67+T68</f>
        <v>25000</v>
      </c>
      <c r="U69" s="144">
        <f t="shared" si="53"/>
        <v>25000</v>
      </c>
      <c r="V69" s="144">
        <f t="shared" si="53"/>
        <v>30000</v>
      </c>
      <c r="W69" s="144">
        <f t="shared" si="53"/>
        <v>30000</v>
      </c>
      <c r="X69" s="144">
        <f t="shared" si="53"/>
        <v>30000</v>
      </c>
      <c r="Y69" s="144">
        <f t="shared" si="53"/>
        <v>30000</v>
      </c>
      <c r="Z69" s="144">
        <f t="shared" si="53"/>
        <v>30000</v>
      </c>
      <c r="AA69" s="144">
        <f t="shared" si="53"/>
        <v>30000</v>
      </c>
      <c r="AB69" s="144">
        <f t="shared" si="53"/>
        <v>40000</v>
      </c>
      <c r="AC69" s="144">
        <f t="shared" si="53"/>
        <v>40000</v>
      </c>
      <c r="AD69" s="144">
        <f t="shared" si="53"/>
        <v>40000</v>
      </c>
      <c r="AE69" s="145"/>
      <c r="AF69" s="144">
        <f t="shared" si="51"/>
        <v>375000</v>
      </c>
    </row>
    <row r="70" spans="2:32" s="52" customFormat="1" ht="20" thickBot="1">
      <c r="B70" s="180"/>
      <c r="C70" s="146" t="s">
        <v>69</v>
      </c>
      <c r="D70" s="182">
        <v>0</v>
      </c>
      <c r="E70" s="182">
        <v>0</v>
      </c>
      <c r="F70" s="182">
        <v>0</v>
      </c>
      <c r="G70" s="182">
        <v>0</v>
      </c>
      <c r="H70" s="182">
        <v>0</v>
      </c>
      <c r="I70" s="182">
        <v>0</v>
      </c>
      <c r="J70" s="182">
        <v>0</v>
      </c>
      <c r="K70" s="182">
        <v>0</v>
      </c>
      <c r="L70" s="182">
        <v>0</v>
      </c>
      <c r="M70" s="182">
        <v>0</v>
      </c>
      <c r="N70" s="182">
        <v>0</v>
      </c>
      <c r="O70" s="182">
        <v>0</v>
      </c>
      <c r="P70" s="142"/>
      <c r="Q70" s="149">
        <f>SUM(D70:O70)</f>
        <v>0</v>
      </c>
      <c r="R70" s="150"/>
      <c r="S70" s="149">
        <v>0</v>
      </c>
      <c r="T70" s="149">
        <v>0</v>
      </c>
      <c r="U70" s="149">
        <v>0</v>
      </c>
      <c r="V70" s="149">
        <v>0</v>
      </c>
      <c r="W70" s="149">
        <v>0</v>
      </c>
      <c r="X70" s="149">
        <v>0</v>
      </c>
      <c r="Y70" s="149">
        <v>0</v>
      </c>
      <c r="Z70" s="149">
        <v>0</v>
      </c>
      <c r="AA70" s="149">
        <v>0</v>
      </c>
      <c r="AB70" s="149">
        <v>0</v>
      </c>
      <c r="AC70" s="149">
        <v>0</v>
      </c>
      <c r="AD70" s="149">
        <v>0</v>
      </c>
      <c r="AE70" s="150"/>
      <c r="AF70" s="149">
        <f t="shared" si="51"/>
        <v>0</v>
      </c>
    </row>
    <row r="71" spans="2:32" s="52" customFormat="1" ht="21" thickTop="1" thickBot="1">
      <c r="B71" s="180"/>
      <c r="C71" s="143" t="s">
        <v>94</v>
      </c>
      <c r="D71" s="74">
        <f t="shared" ref="D71:O71" si="54">+D69+D70</f>
        <v>85315.5502857143</v>
      </c>
      <c r="E71" s="74">
        <f t="shared" si="54"/>
        <v>17713.822571428573</v>
      </c>
      <c r="F71" s="74">
        <f t="shared" si="54"/>
        <v>82240.51171428572</v>
      </c>
      <c r="G71" s="74">
        <f t="shared" si="54"/>
        <v>22979.488285714287</v>
      </c>
      <c r="H71" s="74">
        <f t="shared" si="54"/>
        <v>29961.419428571426</v>
      </c>
      <c r="I71" s="74">
        <f t="shared" si="54"/>
        <v>10295.468000000001</v>
      </c>
      <c r="J71" s="74">
        <f t="shared" si="54"/>
        <v>43236.108000000007</v>
      </c>
      <c r="K71" s="74">
        <f t="shared" si="54"/>
        <v>14902.044571428571</v>
      </c>
      <c r="L71" s="74">
        <f t="shared" si="54"/>
        <v>23641.15085714286</v>
      </c>
      <c r="M71" s="74">
        <f t="shared" si="54"/>
        <v>24807.961770091559</v>
      </c>
      <c r="N71" s="74">
        <f t="shared" si="54"/>
        <v>5462</v>
      </c>
      <c r="O71" s="74">
        <f t="shared" si="54"/>
        <v>24278.413248677254</v>
      </c>
      <c r="P71" s="150"/>
      <c r="Q71" s="74">
        <f>SUM(D71:O71)</f>
        <v>384833.93873305456</v>
      </c>
      <c r="R71" s="151"/>
      <c r="S71" s="74">
        <f t="shared" ref="S71:AD71" si="55">+S69+S70</f>
        <v>25000</v>
      </c>
      <c r="T71" s="74">
        <f t="shared" si="55"/>
        <v>25000</v>
      </c>
      <c r="U71" s="74">
        <f t="shared" si="55"/>
        <v>25000</v>
      </c>
      <c r="V71" s="74">
        <f t="shared" si="55"/>
        <v>30000</v>
      </c>
      <c r="W71" s="74">
        <f t="shared" si="55"/>
        <v>30000</v>
      </c>
      <c r="X71" s="74">
        <f t="shared" si="55"/>
        <v>30000</v>
      </c>
      <c r="Y71" s="74">
        <f t="shared" si="55"/>
        <v>30000</v>
      </c>
      <c r="Z71" s="74">
        <f t="shared" si="55"/>
        <v>30000</v>
      </c>
      <c r="AA71" s="74">
        <f t="shared" si="55"/>
        <v>30000</v>
      </c>
      <c r="AB71" s="74">
        <f t="shared" si="55"/>
        <v>40000</v>
      </c>
      <c r="AC71" s="74">
        <f t="shared" si="55"/>
        <v>40000</v>
      </c>
      <c r="AD71" s="74">
        <f t="shared" si="55"/>
        <v>40000</v>
      </c>
      <c r="AE71" s="151"/>
      <c r="AF71" s="74">
        <f t="shared" si="51"/>
        <v>375000</v>
      </c>
    </row>
    <row r="72" spans="2:32" s="52" customFormat="1" ht="20" thickTop="1">
      <c r="B72" s="180"/>
      <c r="C72" s="152" t="s">
        <v>95</v>
      </c>
      <c r="D72" s="153">
        <f>+D71/D69</f>
        <v>1</v>
      </c>
      <c r="E72" s="153">
        <f t="shared" ref="E72:O72" si="56">+E71/E69</f>
        <v>1</v>
      </c>
      <c r="F72" s="153">
        <f t="shared" si="56"/>
        <v>1</v>
      </c>
      <c r="G72" s="153">
        <f t="shared" si="56"/>
        <v>1</v>
      </c>
      <c r="H72" s="153">
        <f t="shared" si="56"/>
        <v>1</v>
      </c>
      <c r="I72" s="153">
        <f t="shared" si="56"/>
        <v>1</v>
      </c>
      <c r="J72" s="153">
        <f t="shared" si="56"/>
        <v>1</v>
      </c>
      <c r="K72" s="153">
        <f t="shared" si="56"/>
        <v>1</v>
      </c>
      <c r="L72" s="153">
        <f t="shared" si="56"/>
        <v>1</v>
      </c>
      <c r="M72" s="153">
        <f t="shared" si="56"/>
        <v>1</v>
      </c>
      <c r="N72" s="153">
        <f t="shared" si="56"/>
        <v>1</v>
      </c>
      <c r="O72" s="153">
        <f t="shared" si="56"/>
        <v>1</v>
      </c>
      <c r="P72" s="151"/>
      <c r="Q72" s="153">
        <f>+Q71/Q69</f>
        <v>1</v>
      </c>
      <c r="R72" s="154"/>
      <c r="S72" s="153">
        <f t="shared" ref="S72:AD72" si="57">+S71/S69</f>
        <v>1</v>
      </c>
      <c r="T72" s="153">
        <f t="shared" si="57"/>
        <v>1</v>
      </c>
      <c r="U72" s="153">
        <f t="shared" si="57"/>
        <v>1</v>
      </c>
      <c r="V72" s="153">
        <f t="shared" si="57"/>
        <v>1</v>
      </c>
      <c r="W72" s="153">
        <f t="shared" si="57"/>
        <v>1</v>
      </c>
      <c r="X72" s="153">
        <f t="shared" si="57"/>
        <v>1</v>
      </c>
      <c r="Y72" s="153">
        <f t="shared" si="57"/>
        <v>1</v>
      </c>
      <c r="Z72" s="153">
        <f t="shared" si="57"/>
        <v>1</v>
      </c>
      <c r="AA72" s="153">
        <f t="shared" si="57"/>
        <v>1</v>
      </c>
      <c r="AB72" s="153">
        <f t="shared" si="57"/>
        <v>1</v>
      </c>
      <c r="AC72" s="153">
        <f t="shared" si="57"/>
        <v>1</v>
      </c>
      <c r="AD72" s="153">
        <f t="shared" si="57"/>
        <v>1</v>
      </c>
      <c r="AE72" s="154"/>
      <c r="AF72" s="153">
        <f t="shared" si="51"/>
        <v>12</v>
      </c>
    </row>
    <row r="73" spans="2:32" s="52" customFormat="1" ht="19">
      <c r="B73" s="180"/>
      <c r="C73" s="134"/>
      <c r="E73" s="178"/>
      <c r="F73" s="178"/>
      <c r="G73" s="178"/>
      <c r="H73" s="178"/>
      <c r="I73" s="178"/>
      <c r="J73" s="178"/>
      <c r="K73" s="178"/>
      <c r="L73" s="178"/>
      <c r="M73" s="156"/>
      <c r="P73" s="154"/>
      <c r="R73" s="135"/>
      <c r="X73" s="157"/>
      <c r="Y73" s="157"/>
      <c r="AE73" s="135"/>
    </row>
    <row r="74" spans="2:32" s="52" customFormat="1" ht="19">
      <c r="B74" s="180"/>
      <c r="C74" s="134" t="s">
        <v>96</v>
      </c>
      <c r="P74" s="135"/>
      <c r="R74" s="135"/>
      <c r="AE74" s="135"/>
    </row>
    <row r="75" spans="2:32" s="52" customFormat="1" ht="20" thickBot="1">
      <c r="B75" s="180"/>
      <c r="C75" s="146" t="s">
        <v>97</v>
      </c>
      <c r="D75" s="182">
        <v>0</v>
      </c>
      <c r="E75" s="182">
        <v>0</v>
      </c>
      <c r="F75" s="182">
        <v>0</v>
      </c>
      <c r="G75" s="182">
        <v>0</v>
      </c>
      <c r="H75" s="182">
        <v>0</v>
      </c>
      <c r="I75" s="182">
        <v>0</v>
      </c>
      <c r="J75" s="182">
        <v>0</v>
      </c>
      <c r="K75" s="182">
        <v>0</v>
      </c>
      <c r="L75" s="182">
        <v>0</v>
      </c>
      <c r="M75" s="182">
        <v>0</v>
      </c>
      <c r="N75" s="182">
        <v>0</v>
      </c>
      <c r="O75" s="182">
        <v>0</v>
      </c>
      <c r="P75" s="135"/>
      <c r="Q75" s="149">
        <f>SUM(D75:O75)</f>
        <v>0</v>
      </c>
      <c r="R75" s="150"/>
      <c r="S75" s="516">
        <f>'DASHBOARD COSTS'!BJ141</f>
        <v>0</v>
      </c>
      <c r="T75" s="516">
        <f>'DASHBOARD COSTS'!BK141</f>
        <v>0</v>
      </c>
      <c r="U75" s="516">
        <f>'DASHBOARD COSTS'!BL141</f>
        <v>0</v>
      </c>
      <c r="V75" s="516">
        <f>'DASHBOARD COSTS'!BM141</f>
        <v>0</v>
      </c>
      <c r="W75" s="516">
        <f>'DASHBOARD COSTS'!BN141</f>
        <v>0</v>
      </c>
      <c r="X75" s="516">
        <f>'DASHBOARD COSTS'!BO141</f>
        <v>0</v>
      </c>
      <c r="Y75" s="516">
        <f>'DASHBOARD COSTS'!BP141</f>
        <v>0</v>
      </c>
      <c r="Z75" s="516">
        <f>'DASHBOARD COSTS'!BQ141</f>
        <v>0</v>
      </c>
      <c r="AA75" s="516">
        <f>'DASHBOARD COSTS'!BR141</f>
        <v>0</v>
      </c>
      <c r="AB75" s="516">
        <f>'DASHBOARD COSTS'!BS141</f>
        <v>0</v>
      </c>
      <c r="AC75" s="516">
        <f>'DASHBOARD COSTS'!BT141</f>
        <v>0</v>
      </c>
      <c r="AD75" s="516">
        <f>'DASHBOARD COSTS'!BU141</f>
        <v>0</v>
      </c>
      <c r="AE75" s="135"/>
      <c r="AF75" s="149">
        <f>SUM(S75:AD75)</f>
        <v>0</v>
      </c>
    </row>
    <row r="76" spans="2:32" s="52" customFormat="1" ht="21" thickTop="1" thickBot="1">
      <c r="B76" s="180"/>
      <c r="C76" s="143" t="s">
        <v>98</v>
      </c>
      <c r="D76" s="74">
        <f>+D71+D75</f>
        <v>85315.5502857143</v>
      </c>
      <c r="E76" s="74">
        <f t="shared" ref="E76:O76" si="58">+E71+E75</f>
        <v>17713.822571428573</v>
      </c>
      <c r="F76" s="74">
        <f t="shared" si="58"/>
        <v>82240.51171428572</v>
      </c>
      <c r="G76" s="74">
        <f t="shared" si="58"/>
        <v>22979.488285714287</v>
      </c>
      <c r="H76" s="74">
        <f t="shared" si="58"/>
        <v>29961.419428571426</v>
      </c>
      <c r="I76" s="74">
        <f t="shared" si="58"/>
        <v>10295.468000000001</v>
      </c>
      <c r="J76" s="74">
        <f t="shared" si="58"/>
        <v>43236.108000000007</v>
      </c>
      <c r="K76" s="74">
        <f t="shared" si="58"/>
        <v>14902.044571428571</v>
      </c>
      <c r="L76" s="74">
        <f t="shared" si="58"/>
        <v>23641.15085714286</v>
      </c>
      <c r="M76" s="74">
        <f t="shared" si="58"/>
        <v>24807.961770091559</v>
      </c>
      <c r="N76" s="74">
        <f t="shared" si="58"/>
        <v>5462</v>
      </c>
      <c r="O76" s="74">
        <f t="shared" si="58"/>
        <v>24278.413248677254</v>
      </c>
      <c r="P76" s="150"/>
      <c r="Q76" s="74">
        <f>SUM(D76:O76)</f>
        <v>384833.93873305456</v>
      </c>
      <c r="R76" s="151"/>
      <c r="S76" s="74">
        <f t="shared" ref="S76:AD76" si="59">+S71+S75</f>
        <v>25000</v>
      </c>
      <c r="T76" s="74">
        <f t="shared" si="59"/>
        <v>25000</v>
      </c>
      <c r="U76" s="74">
        <f t="shared" si="59"/>
        <v>25000</v>
      </c>
      <c r="V76" s="74">
        <f t="shared" si="59"/>
        <v>30000</v>
      </c>
      <c r="W76" s="74">
        <f t="shared" si="59"/>
        <v>30000</v>
      </c>
      <c r="X76" s="74">
        <f t="shared" si="59"/>
        <v>30000</v>
      </c>
      <c r="Y76" s="74">
        <f t="shared" si="59"/>
        <v>30000</v>
      </c>
      <c r="Z76" s="74">
        <f t="shared" si="59"/>
        <v>30000</v>
      </c>
      <c r="AA76" s="74">
        <f t="shared" si="59"/>
        <v>30000</v>
      </c>
      <c r="AB76" s="74">
        <f t="shared" si="59"/>
        <v>40000</v>
      </c>
      <c r="AC76" s="74">
        <f t="shared" si="59"/>
        <v>40000</v>
      </c>
      <c r="AD76" s="74">
        <f t="shared" si="59"/>
        <v>40000</v>
      </c>
      <c r="AE76" s="151"/>
      <c r="AF76" s="74">
        <f>SUM(S76:AD76)</f>
        <v>375000</v>
      </c>
    </row>
    <row r="77" spans="2:32" s="52" customFormat="1" ht="20" thickTop="1">
      <c r="B77" s="180"/>
      <c r="C77" s="152" t="s">
        <v>99</v>
      </c>
      <c r="D77" s="153">
        <f>+D76/D69</f>
        <v>1</v>
      </c>
      <c r="E77" s="153">
        <f t="shared" ref="E77:O77" si="60">+E76/E69</f>
        <v>1</v>
      </c>
      <c r="F77" s="153">
        <f t="shared" si="60"/>
        <v>1</v>
      </c>
      <c r="G77" s="153">
        <f t="shared" si="60"/>
        <v>1</v>
      </c>
      <c r="H77" s="153">
        <f t="shared" si="60"/>
        <v>1</v>
      </c>
      <c r="I77" s="153">
        <f t="shared" si="60"/>
        <v>1</v>
      </c>
      <c r="J77" s="153">
        <f t="shared" si="60"/>
        <v>1</v>
      </c>
      <c r="K77" s="153">
        <f t="shared" si="60"/>
        <v>1</v>
      </c>
      <c r="L77" s="153">
        <f t="shared" si="60"/>
        <v>1</v>
      </c>
      <c r="M77" s="153">
        <f t="shared" si="60"/>
        <v>1</v>
      </c>
      <c r="N77" s="153">
        <f t="shared" si="60"/>
        <v>1</v>
      </c>
      <c r="O77" s="153">
        <f t="shared" si="60"/>
        <v>1</v>
      </c>
      <c r="P77" s="151"/>
      <c r="Q77" s="153">
        <f>+Q76/Q69</f>
        <v>1</v>
      </c>
      <c r="R77" s="154"/>
      <c r="S77" s="153">
        <f t="shared" ref="S77:AD77" si="61">+S76/S69</f>
        <v>1</v>
      </c>
      <c r="T77" s="153">
        <f t="shared" si="61"/>
        <v>1</v>
      </c>
      <c r="U77" s="153">
        <f t="shared" si="61"/>
        <v>1</v>
      </c>
      <c r="V77" s="153">
        <f t="shared" si="61"/>
        <v>1</v>
      </c>
      <c r="W77" s="153">
        <f t="shared" si="61"/>
        <v>1</v>
      </c>
      <c r="X77" s="153">
        <f t="shared" si="61"/>
        <v>1</v>
      </c>
      <c r="Y77" s="153">
        <f t="shared" si="61"/>
        <v>1</v>
      </c>
      <c r="Z77" s="153">
        <f t="shared" si="61"/>
        <v>1</v>
      </c>
      <c r="AA77" s="153">
        <f t="shared" si="61"/>
        <v>1</v>
      </c>
      <c r="AB77" s="153">
        <f t="shared" si="61"/>
        <v>1</v>
      </c>
      <c r="AC77" s="153">
        <f t="shared" si="61"/>
        <v>1</v>
      </c>
      <c r="AD77" s="153">
        <f t="shared" si="61"/>
        <v>1</v>
      </c>
      <c r="AE77" s="154"/>
      <c r="AF77" s="153">
        <f>+AF76/AF69</f>
        <v>1</v>
      </c>
    </row>
    <row r="78" spans="2:32" s="52" customFormat="1" ht="19">
      <c r="B78" s="180"/>
      <c r="C78" s="159"/>
      <c r="F78" s="68"/>
      <c r="G78" s="68"/>
      <c r="P78" s="154"/>
      <c r="R78" s="135"/>
      <c r="U78" s="68"/>
      <c r="V78" s="68"/>
      <c r="AE78" s="135"/>
    </row>
    <row r="79" spans="2:32" s="52" customFormat="1" ht="19">
      <c r="B79" s="180"/>
      <c r="C79" s="134" t="s">
        <v>100</v>
      </c>
      <c r="P79" s="135"/>
      <c r="R79" s="135"/>
      <c r="AE79" s="135"/>
    </row>
    <row r="80" spans="2:32" s="52" customFormat="1" ht="19">
      <c r="B80" s="180"/>
      <c r="C80" s="137" t="s">
        <v>43</v>
      </c>
      <c r="D80" s="140">
        <v>0</v>
      </c>
      <c r="E80" s="140">
        <v>0</v>
      </c>
      <c r="F80" s="140">
        <v>0</v>
      </c>
      <c r="G80" s="140">
        <v>0</v>
      </c>
      <c r="H80" s="140">
        <v>0</v>
      </c>
      <c r="I80" s="140">
        <v>0</v>
      </c>
      <c r="J80" s="140">
        <v>0</v>
      </c>
      <c r="K80" s="140">
        <v>0</v>
      </c>
      <c r="L80" s="140">
        <v>0</v>
      </c>
      <c r="M80" s="140">
        <v>0</v>
      </c>
      <c r="N80" s="140">
        <v>0</v>
      </c>
      <c r="O80" s="140">
        <v>0</v>
      </c>
      <c r="P80" s="135"/>
      <c r="Q80" s="161">
        <f>SUM(D80:O80)</f>
        <v>0</v>
      </c>
      <c r="R80" s="162"/>
      <c r="S80" s="513">
        <f>'DASHBOARD COSTS'!BJ105*-1</f>
        <v>0</v>
      </c>
      <c r="T80" s="513">
        <f>'DASHBOARD COSTS'!BK105*-1</f>
        <v>0</v>
      </c>
      <c r="U80" s="513">
        <f>'DASHBOARD COSTS'!BL105*-1</f>
        <v>0</v>
      </c>
      <c r="V80" s="513">
        <f>'DASHBOARD COSTS'!BM105*-1</f>
        <v>0</v>
      </c>
      <c r="W80" s="513">
        <f>'DASHBOARD COSTS'!BN105*-1</f>
        <v>0</v>
      </c>
      <c r="X80" s="513">
        <f>'DASHBOARD COSTS'!BO105*-1</f>
        <v>0</v>
      </c>
      <c r="Y80" s="513">
        <f>'DASHBOARD COSTS'!BP105*-1</f>
        <v>0</v>
      </c>
      <c r="Z80" s="513">
        <f>'DASHBOARD COSTS'!BQ105*-1</f>
        <v>0</v>
      </c>
      <c r="AA80" s="513">
        <f>'DASHBOARD COSTS'!BR105*-1</f>
        <v>0</v>
      </c>
      <c r="AB80" s="513">
        <f>'DASHBOARD COSTS'!BS105*-1</f>
        <v>0</v>
      </c>
      <c r="AC80" s="513">
        <f>'DASHBOARD COSTS'!BT105*-1</f>
        <v>0</v>
      </c>
      <c r="AD80" s="513">
        <f>'DASHBOARD COSTS'!BU105*-1</f>
        <v>0</v>
      </c>
      <c r="AE80" s="162"/>
      <c r="AF80" s="161">
        <f>SUM(S80:AD80)</f>
        <v>0</v>
      </c>
    </row>
    <row r="81" spans="2:39" s="52" customFormat="1" ht="19">
      <c r="B81" s="180"/>
      <c r="C81" s="137" t="s">
        <v>101</v>
      </c>
      <c r="D81" s="160">
        <v>-9406.34</v>
      </c>
      <c r="E81" s="160">
        <v>-6807.36</v>
      </c>
      <c r="F81" s="160">
        <v>-12111</v>
      </c>
      <c r="G81" s="160">
        <v>-6826.68</v>
      </c>
      <c r="H81" s="160">
        <v>-9696.2999999999993</v>
      </c>
      <c r="I81" s="160">
        <v>-7009.29</v>
      </c>
      <c r="J81" s="160">
        <v>-8337.33</v>
      </c>
      <c r="K81" s="160">
        <v>-8294.6299999999992</v>
      </c>
      <c r="L81" s="160">
        <v>-9474.4699999999993</v>
      </c>
      <c r="M81" s="160">
        <v>-7230.644809893407</v>
      </c>
      <c r="N81" s="160">
        <v>-7420.4632608908905</v>
      </c>
      <c r="O81" s="102">
        <f>+AVERAGE(L81:N81)</f>
        <v>-8041.8593569280993</v>
      </c>
      <c r="P81" s="162"/>
      <c r="Q81" s="161">
        <f>SUM(D81:O81)</f>
        <v>-100656.36742771239</v>
      </c>
      <c r="R81" s="162"/>
      <c r="S81" s="513">
        <f>('DASHBOARD COSTS'!BJ185+S75)*-1</f>
        <v>-5195.5737776806527</v>
      </c>
      <c r="T81" s="513">
        <f>('DASHBOARD COSTS'!BK185+T75)*-1</f>
        <v>-5306.3430084498832</v>
      </c>
      <c r="U81" s="513">
        <f>('DASHBOARD COSTS'!BL185+U75)*-1</f>
        <v>-5185.3173674242425</v>
      </c>
      <c r="V81" s="513">
        <f>('DASHBOARD COSTS'!BM185+V75)*-1</f>
        <v>-5306.3430084498832</v>
      </c>
      <c r="W81" s="513">
        <f>('DASHBOARD COSTS'!BN185+W75)*-1</f>
        <v>-5185.3173674242425</v>
      </c>
      <c r="X81" s="513">
        <f>('DASHBOARD COSTS'!BO185+X75)*-1</f>
        <v>-5221.2148033216781</v>
      </c>
      <c r="Y81" s="513">
        <f>('DASHBOARD COSTS'!BP185+Y75)*-1</f>
        <v>-5185.3173674242425</v>
      </c>
      <c r="Z81" s="513">
        <f>('DASHBOARD COSTS'!BQ185+Z75)*-1</f>
        <v>-5306.3430084498832</v>
      </c>
      <c r="AA81" s="513">
        <f>('DASHBOARD COSTS'!BR185+AA75)*-1</f>
        <v>-5185.3173674242425</v>
      </c>
      <c r="AB81" s="513">
        <f>('DASHBOARD COSTS'!BS185+AB75)*-1</f>
        <v>-5185.3173674242425</v>
      </c>
      <c r="AC81" s="513">
        <f>('DASHBOARD COSTS'!BT185+AC75)*-1</f>
        <v>-5306.3430084498832</v>
      </c>
      <c r="AD81" s="513">
        <f>('DASHBOARD COSTS'!BU185+AD75)*-1</f>
        <v>-7266.7665981934724</v>
      </c>
      <c r="AE81" s="162"/>
      <c r="AF81" s="161">
        <f>SUM(S81:AD81)</f>
        <v>-64835.514050116544</v>
      </c>
    </row>
    <row r="82" spans="2:39" s="52" customFormat="1" ht="20" thickBot="1">
      <c r="B82" s="180"/>
      <c r="C82" s="163" t="s">
        <v>102</v>
      </c>
      <c r="D82" s="164">
        <f t="shared" ref="D82:O82" si="62">+SUM(D80:D81)</f>
        <v>-9406.34</v>
      </c>
      <c r="E82" s="164">
        <f t="shared" si="62"/>
        <v>-6807.36</v>
      </c>
      <c r="F82" s="164">
        <f t="shared" si="62"/>
        <v>-12111</v>
      </c>
      <c r="G82" s="164">
        <f t="shared" si="62"/>
        <v>-6826.68</v>
      </c>
      <c r="H82" s="164">
        <f t="shared" si="62"/>
        <v>-9696.2999999999993</v>
      </c>
      <c r="I82" s="164">
        <f t="shared" si="62"/>
        <v>-7009.29</v>
      </c>
      <c r="J82" s="164">
        <f t="shared" si="62"/>
        <v>-8337.33</v>
      </c>
      <c r="K82" s="164">
        <f t="shared" si="62"/>
        <v>-8294.6299999999992</v>
      </c>
      <c r="L82" s="164">
        <f t="shared" si="62"/>
        <v>-9474.4699999999993</v>
      </c>
      <c r="M82" s="164">
        <f t="shared" si="62"/>
        <v>-7230.644809893407</v>
      </c>
      <c r="N82" s="164">
        <f t="shared" si="62"/>
        <v>-7420.4632608908905</v>
      </c>
      <c r="O82" s="164">
        <f t="shared" si="62"/>
        <v>-8041.8593569280993</v>
      </c>
      <c r="P82" s="162"/>
      <c r="Q82" s="164">
        <f>SUM(D82:O82)</f>
        <v>-100656.36742771239</v>
      </c>
      <c r="R82" s="165"/>
      <c r="S82" s="164">
        <f t="shared" ref="S82:AD82" si="63">+SUM(S80:S81)</f>
        <v>-5195.5737776806527</v>
      </c>
      <c r="T82" s="164">
        <f t="shared" si="63"/>
        <v>-5306.3430084498832</v>
      </c>
      <c r="U82" s="164">
        <f t="shared" si="63"/>
        <v>-5185.3173674242425</v>
      </c>
      <c r="V82" s="164">
        <f t="shared" si="63"/>
        <v>-5306.3430084498832</v>
      </c>
      <c r="W82" s="164">
        <f t="shared" si="63"/>
        <v>-5185.3173674242425</v>
      </c>
      <c r="X82" s="164">
        <f t="shared" si="63"/>
        <v>-5221.2148033216781</v>
      </c>
      <c r="Y82" s="164">
        <f t="shared" si="63"/>
        <v>-5185.3173674242425</v>
      </c>
      <c r="Z82" s="164">
        <f t="shared" si="63"/>
        <v>-5306.3430084498832</v>
      </c>
      <c r="AA82" s="164">
        <f t="shared" si="63"/>
        <v>-5185.3173674242425</v>
      </c>
      <c r="AB82" s="164">
        <f t="shared" si="63"/>
        <v>-5185.3173674242425</v>
      </c>
      <c r="AC82" s="164">
        <f t="shared" si="63"/>
        <v>-5306.3430084498832</v>
      </c>
      <c r="AD82" s="164">
        <f t="shared" si="63"/>
        <v>-7266.7665981934724</v>
      </c>
      <c r="AE82" s="165"/>
      <c r="AF82" s="164">
        <f>SUM(S82:AD82)</f>
        <v>-64835.514050116544</v>
      </c>
    </row>
    <row r="83" spans="2:39" s="52" customFormat="1" ht="21" thickTop="1" thickBot="1">
      <c r="B83" s="180"/>
      <c r="C83" s="143" t="s">
        <v>103</v>
      </c>
      <c r="D83" s="166">
        <f t="shared" ref="D83:O83" si="64">+D76+D82</f>
        <v>75909.210285714304</v>
      </c>
      <c r="E83" s="166">
        <f t="shared" si="64"/>
        <v>10906.462571428572</v>
      </c>
      <c r="F83" s="166">
        <f t="shared" si="64"/>
        <v>70129.51171428572</v>
      </c>
      <c r="G83" s="166">
        <f t="shared" si="64"/>
        <v>16152.808285714287</v>
      </c>
      <c r="H83" s="166">
        <f t="shared" si="64"/>
        <v>20265.119428571426</v>
      </c>
      <c r="I83" s="166">
        <f t="shared" si="64"/>
        <v>3286.1780000000008</v>
      </c>
      <c r="J83" s="166">
        <f t="shared" si="64"/>
        <v>34898.778000000006</v>
      </c>
      <c r="K83" s="166">
        <f t="shared" si="64"/>
        <v>6607.4145714285714</v>
      </c>
      <c r="L83" s="166">
        <f t="shared" si="64"/>
        <v>14166.680857142861</v>
      </c>
      <c r="M83" s="166">
        <f t="shared" si="64"/>
        <v>17577.31696019815</v>
      </c>
      <c r="N83" s="166">
        <f t="shared" si="64"/>
        <v>-1958.4632608908905</v>
      </c>
      <c r="O83" s="166">
        <f t="shared" si="64"/>
        <v>16236.553891749154</v>
      </c>
      <c r="P83" s="165"/>
      <c r="Q83" s="166">
        <f>SUM(D83:O83)</f>
        <v>284177.57130534219</v>
      </c>
      <c r="R83" s="167"/>
      <c r="S83" s="166">
        <f t="shared" ref="S83:AD83" si="65">+S76+S82</f>
        <v>19804.426222319347</v>
      </c>
      <c r="T83" s="166">
        <f t="shared" si="65"/>
        <v>19693.656991550117</v>
      </c>
      <c r="U83" s="166">
        <f t="shared" si="65"/>
        <v>19814.682632575757</v>
      </c>
      <c r="V83" s="166">
        <f t="shared" si="65"/>
        <v>24693.656991550117</v>
      </c>
      <c r="W83" s="166">
        <f t="shared" si="65"/>
        <v>24814.682632575757</v>
      </c>
      <c r="X83" s="166">
        <f t="shared" si="65"/>
        <v>24778.78519667832</v>
      </c>
      <c r="Y83" s="166">
        <f t="shared" si="65"/>
        <v>24814.682632575757</v>
      </c>
      <c r="Z83" s="166">
        <f t="shared" si="65"/>
        <v>24693.656991550117</v>
      </c>
      <c r="AA83" s="166">
        <f t="shared" si="65"/>
        <v>24814.682632575757</v>
      </c>
      <c r="AB83" s="166">
        <f t="shared" si="65"/>
        <v>34814.682632575757</v>
      </c>
      <c r="AC83" s="166">
        <f t="shared" si="65"/>
        <v>34693.656991550117</v>
      </c>
      <c r="AD83" s="166">
        <f t="shared" si="65"/>
        <v>32733.233401806527</v>
      </c>
      <c r="AE83" s="167"/>
      <c r="AF83" s="166">
        <f>SUM(S83:AD83)</f>
        <v>310164.48594988341</v>
      </c>
    </row>
    <row r="84" spans="2:39" s="52" customFormat="1" ht="20" thickTop="1">
      <c r="B84" s="180"/>
      <c r="C84" s="152" t="s">
        <v>104</v>
      </c>
      <c r="D84" s="153">
        <f t="shared" ref="D84:O84" si="66">+D83/D69</f>
        <v>0.88974647683219543</v>
      </c>
      <c r="E84" s="153">
        <f t="shared" si="66"/>
        <v>0.6157035008931443</v>
      </c>
      <c r="F84" s="153">
        <f t="shared" si="66"/>
        <v>0.85273681124364598</v>
      </c>
      <c r="G84" s="153">
        <f t="shared" si="66"/>
        <v>0.70292288865962438</v>
      </c>
      <c r="H84" s="153">
        <f t="shared" si="66"/>
        <v>0.67637381055606671</v>
      </c>
      <c r="I84" s="153">
        <f t="shared" si="66"/>
        <v>0.31918684998098196</v>
      </c>
      <c r="J84" s="153">
        <f t="shared" si="66"/>
        <v>0.8071674258931909</v>
      </c>
      <c r="K84" s="153">
        <f t="shared" si="66"/>
        <v>0.44338980062486538</v>
      </c>
      <c r="L84" s="153">
        <f t="shared" si="66"/>
        <v>0.59923820725768884</v>
      </c>
      <c r="M84" s="153">
        <f t="shared" si="66"/>
        <v>0.70853531310215645</v>
      </c>
      <c r="N84" s="153">
        <f t="shared" si="66"/>
        <v>-0.35856156369294956</v>
      </c>
      <c r="O84" s="153">
        <f t="shared" si="66"/>
        <v>0.6687650352369614</v>
      </c>
      <c r="P84" s="167"/>
      <c r="Q84" s="153">
        <f>+Q83/Q69</f>
        <v>0.73844207254928718</v>
      </c>
      <c r="R84" s="167"/>
      <c r="S84" s="153">
        <f t="shared" ref="S84:AD84" si="67">+S83/S69</f>
        <v>0.79217704889277385</v>
      </c>
      <c r="T84" s="153">
        <f t="shared" si="67"/>
        <v>0.78774627966200472</v>
      </c>
      <c r="U84" s="153">
        <f t="shared" si="67"/>
        <v>0.79258730530303034</v>
      </c>
      <c r="V84" s="153">
        <f t="shared" si="67"/>
        <v>0.82312189971833727</v>
      </c>
      <c r="W84" s="153">
        <f t="shared" si="67"/>
        <v>0.82715608775252525</v>
      </c>
      <c r="X84" s="153">
        <f t="shared" si="67"/>
        <v>0.82595950655594397</v>
      </c>
      <c r="Y84" s="153">
        <f t="shared" si="67"/>
        <v>0.82715608775252525</v>
      </c>
      <c r="Z84" s="153">
        <f t="shared" si="67"/>
        <v>0.82312189971833727</v>
      </c>
      <c r="AA84" s="153">
        <f t="shared" si="67"/>
        <v>0.82715608775252525</v>
      </c>
      <c r="AB84" s="153">
        <f t="shared" si="67"/>
        <v>0.87036706581439394</v>
      </c>
      <c r="AC84" s="153">
        <f t="shared" si="67"/>
        <v>0.86734142478875287</v>
      </c>
      <c r="AD84" s="153">
        <f t="shared" si="67"/>
        <v>0.81833083504516313</v>
      </c>
      <c r="AE84" s="167"/>
      <c r="AF84" s="153">
        <f>+AF83/AF69</f>
        <v>0.82710529586635573</v>
      </c>
    </row>
    <row r="85" spans="2:39" s="52" customFormat="1" ht="19">
      <c r="B85" s="180"/>
      <c r="C85" s="134"/>
      <c r="P85" s="154"/>
      <c r="R85" s="167"/>
      <c r="AE85" s="167"/>
    </row>
    <row r="86" spans="2:39" s="52" customFormat="1" ht="19">
      <c r="B86" s="180"/>
      <c r="C86" s="152" t="s">
        <v>105</v>
      </c>
      <c r="D86" s="168">
        <f t="shared" ref="D86:O86" si="68">+D71+D80</f>
        <v>85315.5502857143</v>
      </c>
      <c r="E86" s="168">
        <f t="shared" si="68"/>
        <v>17713.822571428573</v>
      </c>
      <c r="F86" s="168">
        <f t="shared" si="68"/>
        <v>82240.51171428572</v>
      </c>
      <c r="G86" s="168">
        <f t="shared" si="68"/>
        <v>22979.488285714287</v>
      </c>
      <c r="H86" s="168">
        <f t="shared" si="68"/>
        <v>29961.419428571426</v>
      </c>
      <c r="I86" s="168">
        <f t="shared" si="68"/>
        <v>10295.468000000001</v>
      </c>
      <c r="J86" s="168">
        <f t="shared" si="68"/>
        <v>43236.108000000007</v>
      </c>
      <c r="K86" s="168">
        <f t="shared" si="68"/>
        <v>14902.044571428571</v>
      </c>
      <c r="L86" s="168">
        <f t="shared" si="68"/>
        <v>23641.15085714286</v>
      </c>
      <c r="M86" s="168">
        <f t="shared" si="68"/>
        <v>24807.961770091559</v>
      </c>
      <c r="N86" s="168">
        <f t="shared" si="68"/>
        <v>5462</v>
      </c>
      <c r="O86" s="168">
        <f t="shared" si="68"/>
        <v>24278.413248677254</v>
      </c>
      <c r="P86" s="154"/>
      <c r="Q86" s="169">
        <f>SUM(D86:O86)</f>
        <v>384833.93873305456</v>
      </c>
      <c r="R86" s="167"/>
      <c r="S86" s="517">
        <f>+S71+S80</f>
        <v>25000</v>
      </c>
      <c r="T86" s="517">
        <f t="shared" ref="T86:AD86" si="69">+T71+T80</f>
        <v>25000</v>
      </c>
      <c r="U86" s="517">
        <f t="shared" si="69"/>
        <v>25000</v>
      </c>
      <c r="V86" s="517">
        <f t="shared" si="69"/>
        <v>30000</v>
      </c>
      <c r="W86" s="517">
        <f t="shared" si="69"/>
        <v>30000</v>
      </c>
      <c r="X86" s="517">
        <f t="shared" si="69"/>
        <v>30000</v>
      </c>
      <c r="Y86" s="517">
        <f t="shared" si="69"/>
        <v>30000</v>
      </c>
      <c r="Z86" s="517">
        <f t="shared" si="69"/>
        <v>30000</v>
      </c>
      <c r="AA86" s="517">
        <f t="shared" si="69"/>
        <v>30000</v>
      </c>
      <c r="AB86" s="517">
        <f t="shared" si="69"/>
        <v>40000</v>
      </c>
      <c r="AC86" s="517">
        <f t="shared" si="69"/>
        <v>40000</v>
      </c>
      <c r="AD86" s="517">
        <f t="shared" si="69"/>
        <v>40000</v>
      </c>
      <c r="AE86" s="167"/>
      <c r="AF86" s="169">
        <f>SUM(S86:AD86)</f>
        <v>375000</v>
      </c>
    </row>
    <row r="87" spans="2:39" s="52" customFormat="1" ht="19">
      <c r="B87" s="180"/>
      <c r="C87" s="152" t="s">
        <v>106</v>
      </c>
      <c r="D87" s="153">
        <f t="shared" ref="D87:O87" si="70">+D86/D69</f>
        <v>1</v>
      </c>
      <c r="E87" s="153">
        <f t="shared" si="70"/>
        <v>1</v>
      </c>
      <c r="F87" s="153">
        <f t="shared" si="70"/>
        <v>1</v>
      </c>
      <c r="G87" s="153">
        <f t="shared" si="70"/>
        <v>1</v>
      </c>
      <c r="H87" s="153">
        <f t="shared" si="70"/>
        <v>1</v>
      </c>
      <c r="I87" s="153">
        <f t="shared" si="70"/>
        <v>1</v>
      </c>
      <c r="J87" s="153">
        <f t="shared" si="70"/>
        <v>1</v>
      </c>
      <c r="K87" s="153">
        <f t="shared" si="70"/>
        <v>1</v>
      </c>
      <c r="L87" s="153">
        <f t="shared" si="70"/>
        <v>1</v>
      </c>
      <c r="M87" s="153">
        <f t="shared" si="70"/>
        <v>1</v>
      </c>
      <c r="N87" s="153">
        <f t="shared" si="70"/>
        <v>1</v>
      </c>
      <c r="O87" s="153">
        <f t="shared" si="70"/>
        <v>1</v>
      </c>
      <c r="P87" s="154"/>
      <c r="Q87" s="153">
        <f>+Q86/Q69</f>
        <v>1</v>
      </c>
      <c r="R87" s="167"/>
      <c r="S87" s="153">
        <f t="shared" ref="S87:AD87" si="71">+S86/S69</f>
        <v>1</v>
      </c>
      <c r="T87" s="153">
        <f t="shared" si="71"/>
        <v>1</v>
      </c>
      <c r="U87" s="153">
        <f t="shared" si="71"/>
        <v>1</v>
      </c>
      <c r="V87" s="153">
        <f t="shared" si="71"/>
        <v>1</v>
      </c>
      <c r="W87" s="153">
        <f t="shared" si="71"/>
        <v>1</v>
      </c>
      <c r="X87" s="153">
        <f t="shared" si="71"/>
        <v>1</v>
      </c>
      <c r="Y87" s="153">
        <f t="shared" si="71"/>
        <v>1</v>
      </c>
      <c r="Z87" s="153">
        <f t="shared" si="71"/>
        <v>1</v>
      </c>
      <c r="AA87" s="153">
        <f t="shared" si="71"/>
        <v>1</v>
      </c>
      <c r="AB87" s="153">
        <f t="shared" si="71"/>
        <v>1</v>
      </c>
      <c r="AC87" s="153">
        <f t="shared" si="71"/>
        <v>1</v>
      </c>
      <c r="AD87" s="153">
        <f t="shared" si="71"/>
        <v>1</v>
      </c>
      <c r="AE87" s="167"/>
      <c r="AF87" s="153">
        <f>+AF86/AF69</f>
        <v>1</v>
      </c>
    </row>
    <row r="88" spans="2:39" s="52" customFormat="1" ht="19">
      <c r="B88" s="180"/>
      <c r="C88" s="134"/>
      <c r="F88" s="179"/>
      <c r="G88" s="68"/>
      <c r="H88" s="68"/>
      <c r="P88" s="154"/>
      <c r="R88" s="135"/>
      <c r="S88" s="68"/>
      <c r="T88" s="68"/>
      <c r="U88" s="68"/>
      <c r="V88" s="68"/>
      <c r="W88" s="68"/>
      <c r="X88" s="68"/>
      <c r="Y88" s="68"/>
      <c r="Z88" s="68"/>
      <c r="AA88" s="68"/>
      <c r="AB88" s="68"/>
      <c r="AC88" s="68"/>
      <c r="AD88" s="68"/>
      <c r="AE88" s="135"/>
    </row>
    <row r="89" spans="2:39" s="52" customFormat="1" ht="20" thickBot="1">
      <c r="B89" s="180"/>
      <c r="C89" s="171" t="s">
        <v>107</v>
      </c>
      <c r="D89" s="164">
        <f>+D83</f>
        <v>75909.210285714304</v>
      </c>
      <c r="E89" s="164">
        <f t="shared" ref="E89:O89" si="72">+E83</f>
        <v>10906.462571428572</v>
      </c>
      <c r="F89" s="164">
        <f t="shared" si="72"/>
        <v>70129.51171428572</v>
      </c>
      <c r="G89" s="164">
        <f t="shared" si="72"/>
        <v>16152.808285714287</v>
      </c>
      <c r="H89" s="164">
        <f t="shared" si="72"/>
        <v>20265.119428571426</v>
      </c>
      <c r="I89" s="164">
        <f t="shared" si="72"/>
        <v>3286.1780000000008</v>
      </c>
      <c r="J89" s="164">
        <f t="shared" si="72"/>
        <v>34898.778000000006</v>
      </c>
      <c r="K89" s="164">
        <f t="shared" si="72"/>
        <v>6607.4145714285714</v>
      </c>
      <c r="L89" s="164">
        <f t="shared" si="72"/>
        <v>14166.680857142861</v>
      </c>
      <c r="M89" s="164">
        <f t="shared" si="72"/>
        <v>17577.31696019815</v>
      </c>
      <c r="N89" s="164">
        <f t="shared" si="72"/>
        <v>-1958.4632608908905</v>
      </c>
      <c r="O89" s="164">
        <f t="shared" si="72"/>
        <v>16236.553891749154</v>
      </c>
      <c r="P89" s="135"/>
      <c r="Q89" s="164">
        <f>SUM(D89:O89)</f>
        <v>284177.57130534219</v>
      </c>
      <c r="R89" s="165"/>
      <c r="S89" s="164">
        <f>+S83</f>
        <v>19804.426222319347</v>
      </c>
      <c r="T89" s="164">
        <f t="shared" ref="T89:AD89" si="73">+T83</f>
        <v>19693.656991550117</v>
      </c>
      <c r="U89" s="164">
        <f t="shared" si="73"/>
        <v>19814.682632575757</v>
      </c>
      <c r="V89" s="164">
        <f t="shared" si="73"/>
        <v>24693.656991550117</v>
      </c>
      <c r="W89" s="164">
        <f t="shared" si="73"/>
        <v>24814.682632575757</v>
      </c>
      <c r="X89" s="164">
        <f t="shared" si="73"/>
        <v>24778.78519667832</v>
      </c>
      <c r="Y89" s="164">
        <f t="shared" si="73"/>
        <v>24814.682632575757</v>
      </c>
      <c r="Z89" s="164">
        <f t="shared" si="73"/>
        <v>24693.656991550117</v>
      </c>
      <c r="AA89" s="164">
        <f t="shared" si="73"/>
        <v>24814.682632575757</v>
      </c>
      <c r="AB89" s="164">
        <f t="shared" si="73"/>
        <v>34814.682632575757</v>
      </c>
      <c r="AC89" s="164">
        <f t="shared" si="73"/>
        <v>34693.656991550117</v>
      </c>
      <c r="AD89" s="164">
        <f t="shared" si="73"/>
        <v>32733.233401806527</v>
      </c>
      <c r="AE89" s="165"/>
      <c r="AF89" s="164">
        <f>SUM(S89:AD89)</f>
        <v>310164.48594988341</v>
      </c>
    </row>
    <row r="90" spans="2:39" s="52" customFormat="1" ht="20" thickTop="1">
      <c r="B90" s="180"/>
      <c r="C90" s="134" t="s">
        <v>108</v>
      </c>
      <c r="D90" s="172">
        <f t="shared" ref="D90:O90" si="74">+D89/D69</f>
        <v>0.88974647683219543</v>
      </c>
      <c r="E90" s="172">
        <f t="shared" si="74"/>
        <v>0.6157035008931443</v>
      </c>
      <c r="F90" s="172">
        <f t="shared" si="74"/>
        <v>0.85273681124364598</v>
      </c>
      <c r="G90" s="172">
        <f t="shared" si="74"/>
        <v>0.70292288865962438</v>
      </c>
      <c r="H90" s="172">
        <f t="shared" si="74"/>
        <v>0.67637381055606671</v>
      </c>
      <c r="I90" s="172">
        <f t="shared" si="74"/>
        <v>0.31918684998098196</v>
      </c>
      <c r="J90" s="172">
        <f t="shared" si="74"/>
        <v>0.8071674258931909</v>
      </c>
      <c r="K90" s="172">
        <f t="shared" si="74"/>
        <v>0.44338980062486538</v>
      </c>
      <c r="L90" s="172">
        <f t="shared" si="74"/>
        <v>0.59923820725768884</v>
      </c>
      <c r="M90" s="172">
        <f t="shared" si="74"/>
        <v>0.70853531310215645</v>
      </c>
      <c r="N90" s="172">
        <f t="shared" si="74"/>
        <v>-0.35856156369294956</v>
      </c>
      <c r="O90" s="172">
        <f t="shared" si="74"/>
        <v>0.6687650352369614</v>
      </c>
      <c r="P90" s="173"/>
      <c r="Q90" s="172">
        <f>+Q89/Q69</f>
        <v>0.73844207254928718</v>
      </c>
      <c r="R90" s="173"/>
      <c r="S90" s="172">
        <f t="shared" ref="S90:AD90" si="75">+S89/S69</f>
        <v>0.79217704889277385</v>
      </c>
      <c r="T90" s="172">
        <f t="shared" si="75"/>
        <v>0.78774627966200472</v>
      </c>
      <c r="U90" s="172">
        <f t="shared" si="75"/>
        <v>0.79258730530303034</v>
      </c>
      <c r="V90" s="172">
        <f t="shared" si="75"/>
        <v>0.82312189971833727</v>
      </c>
      <c r="W90" s="172">
        <f t="shared" si="75"/>
        <v>0.82715608775252525</v>
      </c>
      <c r="X90" s="172">
        <f t="shared" si="75"/>
        <v>0.82595950655594397</v>
      </c>
      <c r="Y90" s="172">
        <f t="shared" si="75"/>
        <v>0.82715608775252525</v>
      </c>
      <c r="Z90" s="172">
        <f t="shared" si="75"/>
        <v>0.82312189971833727</v>
      </c>
      <c r="AA90" s="172">
        <f t="shared" si="75"/>
        <v>0.82715608775252525</v>
      </c>
      <c r="AB90" s="172">
        <f t="shared" si="75"/>
        <v>0.87036706581439394</v>
      </c>
      <c r="AC90" s="172">
        <f t="shared" si="75"/>
        <v>0.86734142478875287</v>
      </c>
      <c r="AD90" s="172">
        <f t="shared" si="75"/>
        <v>0.81833083504516313</v>
      </c>
      <c r="AE90" s="173"/>
      <c r="AF90" s="172">
        <f>+AF89/AF69</f>
        <v>0.82710529586635573</v>
      </c>
    </row>
    <row r="91" spans="2:39" s="52" customFormat="1">
      <c r="P91" s="173"/>
      <c r="R91" s="173"/>
      <c r="AE91" s="173"/>
    </row>
    <row r="92" spans="2:39" s="52" customFormat="1">
      <c r="P92" s="173"/>
      <c r="R92" s="173"/>
      <c r="AE92" s="173"/>
    </row>
    <row r="93" spans="2:39" s="52" customFormat="1" ht="17" customHeight="1">
      <c r="B93" s="183" t="s">
        <v>115</v>
      </c>
      <c r="C93" s="134" t="s">
        <v>89</v>
      </c>
      <c r="D93" s="70"/>
      <c r="E93" s="70"/>
      <c r="F93" s="70"/>
      <c r="G93" s="70"/>
      <c r="H93" s="70"/>
      <c r="I93" s="70"/>
      <c r="J93" s="70"/>
      <c r="K93" s="70"/>
      <c r="L93" s="70"/>
      <c r="M93" s="70"/>
      <c r="N93" s="70"/>
      <c r="O93" s="70"/>
      <c r="P93" s="173"/>
      <c r="R93" s="173"/>
      <c r="U93" s="70"/>
      <c r="X93" s="70"/>
      <c r="Z93" s="70"/>
      <c r="AA93" s="70"/>
      <c r="AD93" s="70"/>
      <c r="AE93" s="173"/>
    </row>
    <row r="94" spans="2:39" s="52" customFormat="1" ht="16" customHeight="1">
      <c r="B94" s="183" t="s">
        <v>116</v>
      </c>
      <c r="C94" s="137" t="s">
        <v>117</v>
      </c>
      <c r="D94" s="184">
        <f t="shared" ref="D94:M94" si="76">+D14</f>
        <v>188832.13</v>
      </c>
      <c r="E94" s="184">
        <f t="shared" si="76"/>
        <v>194050.29</v>
      </c>
      <c r="F94" s="184">
        <f t="shared" si="76"/>
        <v>326052.33</v>
      </c>
      <c r="G94" s="184">
        <f t="shared" si="76"/>
        <v>257649.81</v>
      </c>
      <c r="H94" s="184">
        <f t="shared" si="76"/>
        <v>253062.92</v>
      </c>
      <c r="I94" s="184">
        <f t="shared" si="76"/>
        <v>284442.11</v>
      </c>
      <c r="J94" s="184">
        <f t="shared" si="76"/>
        <v>212149.38</v>
      </c>
      <c r="K94" s="184">
        <f t="shared" si="76"/>
        <v>234443.02</v>
      </c>
      <c r="L94" s="184">
        <f t="shared" si="76"/>
        <v>314984.3</v>
      </c>
      <c r="M94" s="184">
        <f t="shared" si="76"/>
        <v>450027.26289999997</v>
      </c>
      <c r="N94" s="184">
        <f>+N14</f>
        <v>41228.82</v>
      </c>
      <c r="O94" s="184">
        <v>282130.63857142901</v>
      </c>
      <c r="P94" s="139"/>
      <c r="Q94" s="140">
        <f t="shared" ref="Q94:Q99" si="77">SUM(D94:O94)</f>
        <v>3039053.0114714284</v>
      </c>
      <c r="R94" s="139"/>
      <c r="S94" s="184">
        <f>S14</f>
        <v>260958.43976019131</v>
      </c>
      <c r="T94" s="184">
        <f t="shared" ref="T94:AD94" si="78">T14</f>
        <v>286864.84891198709</v>
      </c>
      <c r="U94" s="184">
        <f t="shared" si="78"/>
        <v>274682.09782806947</v>
      </c>
      <c r="V94" s="184">
        <f t="shared" si="78"/>
        <v>269927.37700396718</v>
      </c>
      <c r="W94" s="184">
        <f t="shared" si="78"/>
        <v>327386.05910299462</v>
      </c>
      <c r="X94" s="184">
        <f t="shared" si="78"/>
        <v>328154.83326833497</v>
      </c>
      <c r="Y94" s="184">
        <f t="shared" si="78"/>
        <v>328498.81535200973</v>
      </c>
      <c r="Z94" s="184">
        <f t="shared" si="78"/>
        <v>451427.44043888216</v>
      </c>
      <c r="AA94" s="184">
        <f t="shared" si="78"/>
        <v>455233.55248698499</v>
      </c>
      <c r="AB94" s="184">
        <f t="shared" si="78"/>
        <v>455171.43119837233</v>
      </c>
      <c r="AC94" s="184">
        <f t="shared" si="78"/>
        <v>506383.48947640753</v>
      </c>
      <c r="AD94" s="184">
        <f t="shared" si="78"/>
        <v>508594.46446311579</v>
      </c>
      <c r="AE94" s="139"/>
      <c r="AF94" s="140">
        <f>SUM(S94:AD94)</f>
        <v>4453282.8492913172</v>
      </c>
    </row>
    <row r="95" spans="2:39" s="52" customFormat="1" ht="16" customHeight="1">
      <c r="B95" s="183"/>
      <c r="C95" s="137" t="s">
        <v>118</v>
      </c>
      <c r="D95" s="184">
        <f t="shared" ref="D95:M95" si="79">+D41</f>
        <v>6874.4699999999903</v>
      </c>
      <c r="E95" s="184">
        <f t="shared" si="79"/>
        <v>6892</v>
      </c>
      <c r="F95" s="184">
        <f t="shared" si="79"/>
        <v>5693.5899999999911</v>
      </c>
      <c r="G95" s="184">
        <f t="shared" si="79"/>
        <v>5708.5299999999888</v>
      </c>
      <c r="H95" s="184">
        <f t="shared" si="79"/>
        <v>6161.4199999999892</v>
      </c>
      <c r="I95" s="184">
        <f t="shared" si="79"/>
        <v>6825.1200000000053</v>
      </c>
      <c r="J95" s="184">
        <f t="shared" si="79"/>
        <v>5799.6599999999735</v>
      </c>
      <c r="K95" s="184">
        <f t="shared" si="79"/>
        <v>8209.2400000000707</v>
      </c>
      <c r="L95" s="184">
        <f t="shared" si="79"/>
        <v>4455.4099999999944</v>
      </c>
      <c r="M95" s="184">
        <f t="shared" si="79"/>
        <v>6540.2</v>
      </c>
      <c r="N95" s="184">
        <f>+N41</f>
        <v>14427.18</v>
      </c>
      <c r="O95" s="184">
        <v>14000</v>
      </c>
      <c r="P95" s="139"/>
      <c r="Q95" s="140">
        <f t="shared" si="77"/>
        <v>91586.82</v>
      </c>
      <c r="R95" s="139"/>
      <c r="S95" s="184">
        <f>S41</f>
        <v>8704.3323622183489</v>
      </c>
      <c r="T95" s="184">
        <f t="shared" ref="T95:AD95" si="80">T41</f>
        <v>5740</v>
      </c>
      <c r="U95" s="184">
        <f t="shared" si="80"/>
        <v>5740</v>
      </c>
      <c r="V95" s="184">
        <f t="shared" si="80"/>
        <v>6240</v>
      </c>
      <c r="W95" s="184">
        <f t="shared" si="80"/>
        <v>7940</v>
      </c>
      <c r="X95" s="184">
        <f t="shared" si="80"/>
        <v>7940</v>
      </c>
      <c r="Y95" s="184">
        <f t="shared" si="80"/>
        <v>8940</v>
      </c>
      <c r="Z95" s="184">
        <f t="shared" si="80"/>
        <v>12975</v>
      </c>
      <c r="AA95" s="184">
        <f t="shared" si="80"/>
        <v>12975</v>
      </c>
      <c r="AB95" s="184">
        <f t="shared" si="80"/>
        <v>13975</v>
      </c>
      <c r="AC95" s="184">
        <f t="shared" si="80"/>
        <v>15875</v>
      </c>
      <c r="AD95" s="184">
        <f t="shared" si="80"/>
        <v>15875</v>
      </c>
      <c r="AE95" s="139"/>
      <c r="AF95" s="140">
        <f>SUM(S95:AD95)</f>
        <v>122919.33236221835</v>
      </c>
    </row>
    <row r="96" spans="2:39" s="52" customFormat="1" ht="19" customHeight="1">
      <c r="B96" s="183"/>
      <c r="C96" s="137" t="s">
        <v>119</v>
      </c>
      <c r="D96" s="185">
        <f t="shared" ref="D96:M96" si="81">+D40+D68</f>
        <v>85793.020285714287</v>
      </c>
      <c r="E96" s="186">
        <f t="shared" si="81"/>
        <v>17713.822571428573</v>
      </c>
      <c r="F96" s="186">
        <f t="shared" si="81"/>
        <v>82933.011714285705</v>
      </c>
      <c r="G96" s="186">
        <f t="shared" si="81"/>
        <v>23071.988285714277</v>
      </c>
      <c r="H96" s="186">
        <f t="shared" si="81"/>
        <v>30348.909428571416</v>
      </c>
      <c r="I96" s="186">
        <f t="shared" si="81"/>
        <v>11252.948000000006</v>
      </c>
      <c r="J96" s="186">
        <f t="shared" si="81"/>
        <v>43862.547999999981</v>
      </c>
      <c r="K96" s="186">
        <f t="shared" si="81"/>
        <v>15324.49457142864</v>
      </c>
      <c r="L96" s="186">
        <f t="shared" si="81"/>
        <v>23788.140857142855</v>
      </c>
      <c r="M96" s="186">
        <f t="shared" si="81"/>
        <v>24807.961770091559</v>
      </c>
      <c r="N96" s="186">
        <f>+N40+N68</f>
        <v>5462</v>
      </c>
      <c r="O96" s="186">
        <v>48500</v>
      </c>
      <c r="P96" s="142"/>
      <c r="Q96" s="141">
        <f t="shared" si="77"/>
        <v>412858.84548437723</v>
      </c>
      <c r="R96" s="142"/>
      <c r="S96" s="186">
        <f>S69</f>
        <v>25000</v>
      </c>
      <c r="T96" s="186">
        <f t="shared" ref="T96:AD96" si="82">T69</f>
        <v>25000</v>
      </c>
      <c r="U96" s="186">
        <f t="shared" si="82"/>
        <v>25000</v>
      </c>
      <c r="V96" s="186">
        <f t="shared" si="82"/>
        <v>30000</v>
      </c>
      <c r="W96" s="186">
        <f t="shared" si="82"/>
        <v>30000</v>
      </c>
      <c r="X96" s="186">
        <f t="shared" si="82"/>
        <v>30000</v>
      </c>
      <c r="Y96" s="186">
        <f t="shared" si="82"/>
        <v>30000</v>
      </c>
      <c r="Z96" s="186">
        <f t="shared" si="82"/>
        <v>30000</v>
      </c>
      <c r="AA96" s="186">
        <f t="shared" si="82"/>
        <v>30000</v>
      </c>
      <c r="AB96" s="186">
        <f t="shared" si="82"/>
        <v>40000</v>
      </c>
      <c r="AC96" s="186">
        <f t="shared" si="82"/>
        <v>40000</v>
      </c>
      <c r="AD96" s="186">
        <f t="shared" si="82"/>
        <v>40000</v>
      </c>
      <c r="AE96" s="142"/>
      <c r="AF96" s="141">
        <f>SUM(S96:AD96)</f>
        <v>375000</v>
      </c>
      <c r="AH96" s="729" t="s">
        <v>89</v>
      </c>
      <c r="AI96" s="730">
        <f>SUM(S97:U97)</f>
        <v>917689.71886246628</v>
      </c>
      <c r="AJ96" s="730">
        <f>SUM(V97:X97)</f>
        <v>1037588.2693752968</v>
      </c>
      <c r="AK96" s="730">
        <f>SUM(Y97:AA97)</f>
        <v>1360049.8082778768</v>
      </c>
      <c r="AL96" s="730">
        <f>SUM(AB97:AD97)</f>
        <v>1635874.3851378956</v>
      </c>
      <c r="AM96" s="731"/>
    </row>
    <row r="97" spans="2:39" s="52" customFormat="1" ht="16" customHeight="1">
      <c r="B97" s="183"/>
      <c r="C97" s="519" t="s">
        <v>93</v>
      </c>
      <c r="D97" s="520">
        <f t="shared" ref="D97:O97" si="83">+SUM(D94:D96)</f>
        <v>281499.62028571428</v>
      </c>
      <c r="E97" s="520">
        <f t="shared" si="83"/>
        <v>218656.11257142859</v>
      </c>
      <c r="F97" s="520">
        <f t="shared" si="83"/>
        <v>414678.93171428569</v>
      </c>
      <c r="G97" s="520">
        <f t="shared" si="83"/>
        <v>286430.32828571426</v>
      </c>
      <c r="H97" s="520">
        <f t="shared" si="83"/>
        <v>289573.24942857143</v>
      </c>
      <c r="I97" s="520">
        <f t="shared" si="83"/>
        <v>302520.17800000001</v>
      </c>
      <c r="J97" s="520">
        <f t="shared" si="83"/>
        <v>261811.58799999996</v>
      </c>
      <c r="K97" s="520">
        <f t="shared" si="83"/>
        <v>257976.7545714287</v>
      </c>
      <c r="L97" s="520">
        <f t="shared" si="83"/>
        <v>343227.85085714282</v>
      </c>
      <c r="M97" s="520">
        <f t="shared" si="83"/>
        <v>481375.42467009154</v>
      </c>
      <c r="N97" s="520">
        <f t="shared" si="83"/>
        <v>61118</v>
      </c>
      <c r="O97" s="520">
        <f t="shared" si="83"/>
        <v>344630.63857142901</v>
      </c>
      <c r="P97" s="521"/>
      <c r="Q97" s="522">
        <f t="shared" si="77"/>
        <v>3543498.6769558061</v>
      </c>
      <c r="R97" s="521"/>
      <c r="S97" s="520">
        <f>+SUM(S94:S96)</f>
        <v>294662.77212240966</v>
      </c>
      <c r="T97" s="520">
        <f t="shared" ref="T97:AC97" si="84">+SUM(T94:T96)</f>
        <v>317604.84891198709</v>
      </c>
      <c r="U97" s="520">
        <f t="shared" si="84"/>
        <v>305422.09782806947</v>
      </c>
      <c r="V97" s="520">
        <f t="shared" si="84"/>
        <v>306167.37700396718</v>
      </c>
      <c r="W97" s="520">
        <f t="shared" si="84"/>
        <v>365326.05910299462</v>
      </c>
      <c r="X97" s="520">
        <f t="shared" si="84"/>
        <v>366094.83326833497</v>
      </c>
      <c r="Y97" s="520">
        <f t="shared" si="84"/>
        <v>367438.81535200973</v>
      </c>
      <c r="Z97" s="520">
        <f t="shared" si="84"/>
        <v>494402.44043888216</v>
      </c>
      <c r="AA97" s="520">
        <f t="shared" si="84"/>
        <v>498208.55248698499</v>
      </c>
      <c r="AB97" s="520">
        <f t="shared" si="84"/>
        <v>509146.43119837233</v>
      </c>
      <c r="AC97" s="520">
        <f t="shared" si="84"/>
        <v>562258.48947640753</v>
      </c>
      <c r="AD97" s="520">
        <f>+SUM(AD94:AD96)</f>
        <v>564469.46446311579</v>
      </c>
      <c r="AE97" s="521"/>
      <c r="AF97" s="520">
        <f>+SUM(AF94:AF96)</f>
        <v>4951202.1816535359</v>
      </c>
      <c r="AH97" s="732" t="s">
        <v>747</v>
      </c>
      <c r="AI97" s="70">
        <f>SUM(S109:U109)</f>
        <v>219833.94757301378</v>
      </c>
      <c r="AJ97" s="70">
        <f>SUM(V109:X109)</f>
        <v>277235.95570890524</v>
      </c>
      <c r="AK97" s="70">
        <f>SUM(Y109:AA109)</f>
        <v>421168.26335574238</v>
      </c>
      <c r="AL97" s="70">
        <f>SUM(AB109:AD109)</f>
        <v>563338.54069496621</v>
      </c>
      <c r="AM97" s="54"/>
    </row>
    <row r="98" spans="2:39" s="52" customFormat="1" ht="20" thickBot="1">
      <c r="B98" s="103"/>
      <c r="C98" s="187" t="s">
        <v>69</v>
      </c>
      <c r="D98" s="147">
        <v>-58720.565795732116</v>
      </c>
      <c r="E98" s="147">
        <v>-57045.070699891723</v>
      </c>
      <c r="F98" s="147">
        <v>-71930.250120201075</v>
      </c>
      <c r="G98" s="147">
        <v>-80427.017729069004</v>
      </c>
      <c r="H98" s="147">
        <v>-75884.771142857149</v>
      </c>
      <c r="I98" s="147">
        <v>-85303.542857142849</v>
      </c>
      <c r="J98" s="147">
        <v>-63616.340081632632</v>
      </c>
      <c r="K98" s="147">
        <v>-72158.114000000001</v>
      </c>
      <c r="L98" s="147">
        <v>-84020.541428571436</v>
      </c>
      <c r="M98" s="147">
        <v>-134853</v>
      </c>
      <c r="N98" s="147">
        <f>N15</f>
        <v>-14588</v>
      </c>
      <c r="O98" s="147">
        <v>-84639.19</v>
      </c>
      <c r="P98" s="142"/>
      <c r="Q98" s="149">
        <f t="shared" si="77"/>
        <v>-883186.40385509818</v>
      </c>
      <c r="R98" s="150"/>
      <c r="S98" s="149">
        <f>+S15+S42+S70</f>
        <v>-67087.438712057643</v>
      </c>
      <c r="T98" s="149">
        <f t="shared" ref="T98:AD98" si="85">+T15+T42+T70</f>
        <v>-72303.281173167488</v>
      </c>
      <c r="U98" s="149">
        <f t="shared" si="85"/>
        <v>-73596.826323859757</v>
      </c>
      <c r="V98" s="149">
        <f t="shared" si="85"/>
        <v>-74060.787540563542</v>
      </c>
      <c r="W98" s="149">
        <f t="shared" si="85"/>
        <v>-91897.926599187864</v>
      </c>
      <c r="X98" s="149">
        <f t="shared" si="85"/>
        <v>-91916.676449717052</v>
      </c>
      <c r="Y98" s="149">
        <f t="shared" si="85"/>
        <v>-91775.998545759663</v>
      </c>
      <c r="Z98" s="149">
        <f t="shared" si="85"/>
        <v>-125782.17029814405</v>
      </c>
      <c r="AA98" s="149">
        <f t="shared" si="85"/>
        <v>-125646.45300130777</v>
      </c>
      <c r="AB98" s="149">
        <f t="shared" si="85"/>
        <v>-125840.77549709297</v>
      </c>
      <c r="AC98" s="149">
        <f t="shared" si="85"/>
        <v>-133652.65100623562</v>
      </c>
      <c r="AD98" s="149">
        <f t="shared" si="85"/>
        <v>-133765.49486267782</v>
      </c>
      <c r="AE98" s="150"/>
      <c r="AF98" s="149">
        <f>SUM(S98:AD98)</f>
        <v>-1207326.4800097712</v>
      </c>
      <c r="AG98" s="709"/>
      <c r="AH98" s="733" t="s">
        <v>748</v>
      </c>
      <c r="AI98" s="70">
        <f>SUM(S119:U119)</f>
        <v>-176060.29759714933</v>
      </c>
      <c r="AJ98" s="70">
        <f>SUM(V119:X119)</f>
        <v>-54963.8156151039</v>
      </c>
      <c r="AK98" s="70">
        <f>SUM(Y118:AA118)</f>
        <v>-346370.16055477847</v>
      </c>
      <c r="AL98" s="70">
        <f>SUM(AB119:AD119)</f>
        <v>163063.58219146985</v>
      </c>
      <c r="AM98" s="54"/>
    </row>
    <row r="99" spans="2:39" s="52" customFormat="1" ht="21" thickTop="1" thickBot="1">
      <c r="B99" s="103"/>
      <c r="C99" s="143" t="s">
        <v>94</v>
      </c>
      <c r="D99" s="74">
        <f>+D97+D98</f>
        <v>222779.05448998217</v>
      </c>
      <c r="E99" s="74">
        <f t="shared" ref="E99:O99" si="86">+E97+E98</f>
        <v>161611.04187153687</v>
      </c>
      <c r="F99" s="74">
        <f t="shared" si="86"/>
        <v>342748.6815940846</v>
      </c>
      <c r="G99" s="74">
        <f t="shared" si="86"/>
        <v>206003.31055664527</v>
      </c>
      <c r="H99" s="74">
        <f t="shared" si="86"/>
        <v>213688.47828571429</v>
      </c>
      <c r="I99" s="74">
        <f t="shared" si="86"/>
        <v>217216.63514285715</v>
      </c>
      <c r="J99" s="74">
        <f t="shared" si="86"/>
        <v>198195.24791836733</v>
      </c>
      <c r="K99" s="74">
        <f t="shared" si="86"/>
        <v>185818.6405714287</v>
      </c>
      <c r="L99" s="74">
        <f t="shared" si="86"/>
        <v>259207.30942857137</v>
      </c>
      <c r="M99" s="74">
        <f t="shared" si="86"/>
        <v>346522.42467009154</v>
      </c>
      <c r="N99" s="74">
        <f t="shared" si="86"/>
        <v>46530</v>
      </c>
      <c r="O99" s="74">
        <f t="shared" si="86"/>
        <v>259991.44857142901</v>
      </c>
      <c r="P99" s="150"/>
      <c r="Q99" s="74">
        <f t="shared" si="77"/>
        <v>2660312.2731007086</v>
      </c>
      <c r="R99" s="151"/>
      <c r="S99" s="74">
        <f>+S97+S98</f>
        <v>227575.333410352</v>
      </c>
      <c r="T99" s="74">
        <f t="shared" ref="T99:AD99" si="87">+T97+T98</f>
        <v>245301.56773881961</v>
      </c>
      <c r="U99" s="74">
        <f t="shared" si="87"/>
        <v>231825.27150420973</v>
      </c>
      <c r="V99" s="74">
        <f t="shared" si="87"/>
        <v>232106.58946340362</v>
      </c>
      <c r="W99" s="74">
        <f t="shared" si="87"/>
        <v>273428.13250380673</v>
      </c>
      <c r="X99" s="74">
        <f t="shared" si="87"/>
        <v>274178.15681861795</v>
      </c>
      <c r="Y99" s="74">
        <f t="shared" si="87"/>
        <v>275662.81680625008</v>
      </c>
      <c r="Z99" s="74">
        <f t="shared" si="87"/>
        <v>368620.27014073811</v>
      </c>
      <c r="AA99" s="74">
        <f t="shared" si="87"/>
        <v>372562.0994856772</v>
      </c>
      <c r="AB99" s="74">
        <f t="shared" si="87"/>
        <v>383305.65570127935</v>
      </c>
      <c r="AC99" s="74">
        <f t="shared" si="87"/>
        <v>428605.8384701719</v>
      </c>
      <c r="AD99" s="74">
        <f t="shared" si="87"/>
        <v>430703.96960043797</v>
      </c>
      <c r="AE99" s="151"/>
      <c r="AF99" s="74">
        <f>SUM(S99:AD99)</f>
        <v>3743875.701643764</v>
      </c>
      <c r="AG99" s="710"/>
      <c r="AH99" s="734" t="s">
        <v>749</v>
      </c>
      <c r="AI99" s="156">
        <f>AI97/AI96</f>
        <v>0.23955149878491794</v>
      </c>
      <c r="AJ99" s="156">
        <f t="shared" ref="AJ99:AL99" si="88">AJ97/AJ96</f>
        <v>0.26719264653581842</v>
      </c>
      <c r="AK99" s="156">
        <f t="shared" si="88"/>
        <v>0.30967120526933817</v>
      </c>
      <c r="AL99" s="156">
        <f t="shared" si="88"/>
        <v>0.34436540226618911</v>
      </c>
      <c r="AM99" s="54"/>
    </row>
    <row r="100" spans="2:39" s="52" customFormat="1" ht="20" thickTop="1">
      <c r="B100" s="103"/>
      <c r="C100" s="152" t="s">
        <v>95</v>
      </c>
      <c r="D100" s="153">
        <f>+D99/D97</f>
        <v>0.79140090584799949</v>
      </c>
      <c r="E100" s="153">
        <f t="shared" ref="E100:O100" si="89">+E99/E97</f>
        <v>0.73911056028101318</v>
      </c>
      <c r="F100" s="153">
        <f t="shared" si="89"/>
        <v>0.82653989720953291</v>
      </c>
      <c r="G100" s="153">
        <f t="shared" si="89"/>
        <v>0.71920914167705374</v>
      </c>
      <c r="H100" s="153">
        <f t="shared" si="89"/>
        <v>0.73794274404626758</v>
      </c>
      <c r="I100" s="153">
        <f t="shared" si="89"/>
        <v>0.71802362599051872</v>
      </c>
      <c r="J100" s="153">
        <f t="shared" si="89"/>
        <v>0.75701480378464903</v>
      </c>
      <c r="K100" s="153">
        <f t="shared" si="89"/>
        <v>0.72029218632556746</v>
      </c>
      <c r="L100" s="153">
        <f t="shared" si="89"/>
        <v>0.7552047678568421</v>
      </c>
      <c r="M100" s="153">
        <f t="shared" si="89"/>
        <v>0.71985898513115643</v>
      </c>
      <c r="N100" s="153">
        <f t="shared" si="89"/>
        <v>0.76131417912889821</v>
      </c>
      <c r="O100" s="153">
        <f t="shared" si="89"/>
        <v>0.75440607848783159</v>
      </c>
      <c r="P100" s="151"/>
      <c r="Q100" s="153">
        <f>+Q99/Q97</f>
        <v>0.75075864720970165</v>
      </c>
      <c r="R100" s="154"/>
      <c r="S100" s="153">
        <f>+S99/S97</f>
        <v>0.77232468754421413</v>
      </c>
      <c r="T100" s="153">
        <f t="shared" ref="T100:AD100" si="90">+T99/T97</f>
        <v>0.77234830821741085</v>
      </c>
      <c r="U100" s="153">
        <f t="shared" si="90"/>
        <v>0.75903241171079427</v>
      </c>
      <c r="V100" s="153">
        <f t="shared" si="90"/>
        <v>0.75810359593078425</v>
      </c>
      <c r="W100" s="153">
        <f t="shared" si="90"/>
        <v>0.74844957180215943</v>
      </c>
      <c r="X100" s="153">
        <f t="shared" si="90"/>
        <v>0.7489265947046424</v>
      </c>
      <c r="Y100" s="153">
        <f t="shared" si="90"/>
        <v>0.75022780743009576</v>
      </c>
      <c r="Z100" s="153">
        <f t="shared" si="90"/>
        <v>0.74558748094672245</v>
      </c>
      <c r="AA100" s="153">
        <f t="shared" si="90"/>
        <v>0.74780350041343358</v>
      </c>
      <c r="AB100" s="153">
        <f t="shared" si="90"/>
        <v>0.75283971803376304</v>
      </c>
      <c r="AC100" s="153">
        <f t="shared" si="90"/>
        <v>0.76229322721174542</v>
      </c>
      <c r="AD100" s="153">
        <f t="shared" si="90"/>
        <v>0.76302439142583867</v>
      </c>
      <c r="AE100" s="154"/>
      <c r="AF100" s="153">
        <f>+AF99/AF97</f>
        <v>0.75615488204390691</v>
      </c>
      <c r="AH100" s="734" t="s">
        <v>750</v>
      </c>
      <c r="AI100" s="735">
        <f>AI98/AI96</f>
        <v>-0.19185166181810021</v>
      </c>
      <c r="AJ100" s="735">
        <f t="shared" ref="AJ100:AL100" si="91">AJ98/AJ96</f>
        <v>-5.2972664820310753E-2</v>
      </c>
      <c r="AK100" s="735">
        <f t="shared" si="91"/>
        <v>-0.25467461444912781</v>
      </c>
      <c r="AL100" s="735">
        <f t="shared" si="91"/>
        <v>9.9679769836193408E-2</v>
      </c>
      <c r="AM100" s="54"/>
    </row>
    <row r="101" spans="2:39" s="52" customFormat="1" ht="19">
      <c r="B101" s="103"/>
      <c r="C101" s="134"/>
      <c r="D101" s="157"/>
      <c r="E101" s="157"/>
      <c r="F101" s="157"/>
      <c r="G101" s="157"/>
      <c r="H101" s="157"/>
      <c r="I101" s="157"/>
      <c r="J101" s="157"/>
      <c r="K101" s="157"/>
      <c r="L101" s="157"/>
      <c r="M101" s="157"/>
      <c r="N101" s="157"/>
      <c r="O101" s="157"/>
      <c r="P101" s="154"/>
      <c r="R101" s="135"/>
      <c r="X101" s="157"/>
      <c r="Y101" s="157"/>
      <c r="AE101" s="135"/>
      <c r="AG101" s="711"/>
      <c r="AH101" s="736"/>
      <c r="AI101" s="737"/>
      <c r="AJ101" s="737"/>
      <c r="AK101" s="737"/>
      <c r="AL101" s="738"/>
      <c r="AM101" s="739"/>
    </row>
    <row r="102" spans="2:39" s="52" customFormat="1" ht="19">
      <c r="B102" s="103"/>
      <c r="C102" s="134" t="s">
        <v>96</v>
      </c>
      <c r="P102" s="135"/>
      <c r="R102" s="135"/>
      <c r="AE102" s="135"/>
      <c r="AG102" s="712"/>
      <c r="AH102" s="712"/>
      <c r="AI102" s="712"/>
      <c r="AJ102" s="712"/>
      <c r="AK102" s="712"/>
    </row>
    <row r="103" spans="2:39" s="52" customFormat="1" ht="20" thickBot="1">
      <c r="B103" s="103"/>
      <c r="C103" s="146" t="s">
        <v>97</v>
      </c>
      <c r="D103" s="147">
        <v>-6967.9622857142858</v>
      </c>
      <c r="E103" s="147">
        <v>-46458.049714285713</v>
      </c>
      <c r="F103" s="147">
        <v>-7239.906857142857</v>
      </c>
      <c r="G103" s="147">
        <v>-7144.9497142857144</v>
      </c>
      <c r="H103" s="147">
        <v>-7806.2659999999996</v>
      </c>
      <c r="I103" s="147">
        <v>-7310.8322857142866</v>
      </c>
      <c r="J103" s="147">
        <v>-7234.82</v>
      </c>
      <c r="K103" s="147">
        <v>-7169.7568571428574</v>
      </c>
      <c r="L103" s="147">
        <v>-6403.14</v>
      </c>
      <c r="M103" s="147">
        <v>-7400</v>
      </c>
      <c r="N103" s="147">
        <f>N20</f>
        <v>-7137</v>
      </c>
      <c r="O103" s="147">
        <v>-7271</v>
      </c>
      <c r="P103" s="135"/>
      <c r="Q103" s="149">
        <f>SUM(D103:O103)</f>
        <v>-125543.68371428573</v>
      </c>
      <c r="R103" s="150"/>
      <c r="S103" s="149">
        <f t="shared" ref="S103:AD103" si="92">+S75+S47+S20</f>
        <v>-7225.6410256410254</v>
      </c>
      <c r="T103" s="149">
        <f t="shared" si="92"/>
        <v>-7225.6410256410254</v>
      </c>
      <c r="U103" s="149">
        <f t="shared" si="92"/>
        <v>-7225.6410256410254</v>
      </c>
      <c r="V103" s="149">
        <f t="shared" si="92"/>
        <v>-7225.6410256410254</v>
      </c>
      <c r="W103" s="149">
        <f t="shared" si="92"/>
        <v>-7225.6410256410254</v>
      </c>
      <c r="X103" s="149">
        <f t="shared" si="92"/>
        <v>-7225.6410256410254</v>
      </c>
      <c r="Y103" s="149">
        <f t="shared" si="92"/>
        <v>-7225.6410256410254</v>
      </c>
      <c r="Z103" s="149">
        <f t="shared" si="92"/>
        <v>-7225.6410256410254</v>
      </c>
      <c r="AA103" s="149">
        <f t="shared" si="92"/>
        <v>-7225.6410256410254</v>
      </c>
      <c r="AB103" s="149">
        <f t="shared" si="92"/>
        <v>-7225.6410256410254</v>
      </c>
      <c r="AC103" s="149">
        <f t="shared" si="92"/>
        <v>-7225.6410256410254</v>
      </c>
      <c r="AD103" s="149">
        <f t="shared" si="92"/>
        <v>-7225.6410256410254</v>
      </c>
      <c r="AE103" s="135"/>
      <c r="AF103" s="149">
        <f>SUM(S103:AD103)</f>
        <v>-86707.692307692312</v>
      </c>
      <c r="AG103" s="712"/>
      <c r="AH103" s="712"/>
      <c r="AI103" s="712"/>
      <c r="AJ103" s="712"/>
      <c r="AK103" s="712"/>
    </row>
    <row r="104" spans="2:39" s="52" customFormat="1" ht="21" thickTop="1" thickBot="1">
      <c r="B104" s="103"/>
      <c r="C104" s="143" t="s">
        <v>98</v>
      </c>
      <c r="D104" s="74">
        <f>+D99+D103</f>
        <v>215811.09220426789</v>
      </c>
      <c r="E104" s="74">
        <f t="shared" ref="E104:O104" si="93">+E99+E103</f>
        <v>115152.99215725117</v>
      </c>
      <c r="F104" s="74">
        <f t="shared" si="93"/>
        <v>335508.77473694173</v>
      </c>
      <c r="G104" s="74">
        <f t="shared" si="93"/>
        <v>198858.36084235954</v>
      </c>
      <c r="H104" s="74">
        <f t="shared" si="93"/>
        <v>205882.21228571428</v>
      </c>
      <c r="I104" s="74">
        <f t="shared" si="93"/>
        <v>209905.80285714287</v>
      </c>
      <c r="J104" s="74">
        <f t="shared" si="93"/>
        <v>190960.42791836732</v>
      </c>
      <c r="K104" s="74">
        <f t="shared" si="93"/>
        <v>178648.88371428582</v>
      </c>
      <c r="L104" s="74">
        <f t="shared" si="93"/>
        <v>252804.16942857136</v>
      </c>
      <c r="M104" s="74">
        <f t="shared" si="93"/>
        <v>339122.42467009154</v>
      </c>
      <c r="N104" s="74">
        <f t="shared" si="93"/>
        <v>39393</v>
      </c>
      <c r="O104" s="74">
        <f t="shared" si="93"/>
        <v>252720.44857142901</v>
      </c>
      <c r="P104" s="150"/>
      <c r="Q104" s="74">
        <f>SUM(D104:O104)</f>
        <v>2534768.5893864227</v>
      </c>
      <c r="R104" s="151"/>
      <c r="S104" s="74">
        <f>+S99+S103</f>
        <v>220349.69238471097</v>
      </c>
      <c r="T104" s="74">
        <f t="shared" ref="T104:AD104" si="94">+T99+T103</f>
        <v>238075.92671317857</v>
      </c>
      <c r="U104" s="74">
        <f t="shared" si="94"/>
        <v>224599.6304785687</v>
      </c>
      <c r="V104" s="74">
        <f t="shared" si="94"/>
        <v>224880.94843776259</v>
      </c>
      <c r="W104" s="74">
        <f t="shared" si="94"/>
        <v>266202.49147816573</v>
      </c>
      <c r="X104" s="74">
        <f t="shared" si="94"/>
        <v>266952.51579297695</v>
      </c>
      <c r="Y104" s="74">
        <f t="shared" si="94"/>
        <v>268437.17578060908</v>
      </c>
      <c r="Z104" s="74">
        <f t="shared" si="94"/>
        <v>361394.62911509711</v>
      </c>
      <c r="AA104" s="74">
        <f t="shared" si="94"/>
        <v>365336.4584600362</v>
      </c>
      <c r="AB104" s="74">
        <f t="shared" si="94"/>
        <v>376080.01467563835</v>
      </c>
      <c r="AC104" s="74">
        <f t="shared" si="94"/>
        <v>421380.1974445309</v>
      </c>
      <c r="AD104" s="74">
        <f t="shared" si="94"/>
        <v>423478.32857479696</v>
      </c>
      <c r="AE104" s="151"/>
      <c r="AF104" s="74">
        <f>SUM(S104:AD104)</f>
        <v>3657168.009336072</v>
      </c>
    </row>
    <row r="105" spans="2:39" s="52" customFormat="1" ht="20" thickTop="1">
      <c r="B105" s="103"/>
      <c r="C105" s="152" t="s">
        <v>99</v>
      </c>
      <c r="D105" s="153">
        <f>+D104/D99</f>
        <v>0.96872254305205507</v>
      </c>
      <c r="E105" s="153">
        <f t="shared" ref="E105:O105" si="95">+E104/E99</f>
        <v>0.71253171085169553</v>
      </c>
      <c r="F105" s="153">
        <f t="shared" si="95"/>
        <v>0.97887692281274175</v>
      </c>
      <c r="G105" s="153">
        <f t="shared" si="95"/>
        <v>0.96531633547548712</v>
      </c>
      <c r="H105" s="153">
        <f t="shared" si="95"/>
        <v>0.96346894290873952</v>
      </c>
      <c r="I105" s="153">
        <f t="shared" si="95"/>
        <v>0.96634312891871221</v>
      </c>
      <c r="J105" s="153">
        <f t="shared" si="95"/>
        <v>0.96349650117252117</v>
      </c>
      <c r="K105" s="153">
        <f t="shared" si="95"/>
        <v>0.96141529808261184</v>
      </c>
      <c r="L105" s="153">
        <f t="shared" si="95"/>
        <v>0.97529722439496058</v>
      </c>
      <c r="M105" s="153">
        <f t="shared" si="95"/>
        <v>0.9786449606918074</v>
      </c>
      <c r="N105" s="153">
        <f>+N104/N99</f>
        <v>0.84661508704061894</v>
      </c>
      <c r="O105" s="153">
        <f t="shared" si="95"/>
        <v>0.97203369556978947</v>
      </c>
      <c r="P105" s="151"/>
      <c r="Q105" s="153">
        <f>+Q104/Q99</f>
        <v>0.95280866649238916</v>
      </c>
      <c r="R105" s="154"/>
      <c r="S105" s="153">
        <f>+S104/S99</f>
        <v>0.96824945429119891</v>
      </c>
      <c r="T105" s="153">
        <f t="shared" ref="T105:AD105" si="96">+T104/T99</f>
        <v>0.97054384489978307</v>
      </c>
      <c r="U105" s="153">
        <f t="shared" si="96"/>
        <v>0.96883152134900086</v>
      </c>
      <c r="V105" s="153">
        <f t="shared" si="96"/>
        <v>0.96886929818603751</v>
      </c>
      <c r="W105" s="153">
        <f t="shared" si="96"/>
        <v>0.97357389322205024</v>
      </c>
      <c r="X105" s="153">
        <f t="shared" si="96"/>
        <v>0.97364618279777437</v>
      </c>
      <c r="Y105" s="153">
        <f t="shared" si="96"/>
        <v>0.97378811872651094</v>
      </c>
      <c r="Z105" s="153">
        <f t="shared" si="96"/>
        <v>0.98039814516200563</v>
      </c>
      <c r="AA105" s="153">
        <f t="shared" si="96"/>
        <v>0.98060553922254567</v>
      </c>
      <c r="AB105" s="153">
        <f t="shared" si="96"/>
        <v>0.98114914059271763</v>
      </c>
      <c r="AC105" s="153">
        <f t="shared" si="96"/>
        <v>0.98314152450318559</v>
      </c>
      <c r="AD105" s="153">
        <f t="shared" si="96"/>
        <v>0.98322364887339164</v>
      </c>
      <c r="AE105" s="151"/>
      <c r="AF105" s="153">
        <f>+AF104/AF99</f>
        <v>0.97684012525586184</v>
      </c>
      <c r="AI105" s="70"/>
      <c r="AJ105" s="70"/>
      <c r="AK105" s="70"/>
      <c r="AL105" s="70"/>
    </row>
    <row r="106" spans="2:39" s="52" customFormat="1" ht="19">
      <c r="B106" s="103"/>
      <c r="C106" s="152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1"/>
      <c r="Q106" s="153"/>
      <c r="R106" s="154"/>
      <c r="S106" s="153"/>
      <c r="T106" s="518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1"/>
      <c r="AF106" s="153"/>
      <c r="AI106" s="70"/>
      <c r="AJ106" s="70"/>
      <c r="AK106" s="70"/>
      <c r="AL106" s="70"/>
    </row>
    <row r="107" spans="2:39" s="52" customFormat="1" ht="19">
      <c r="B107" s="103"/>
      <c r="C107" s="137" t="s">
        <v>43</v>
      </c>
      <c r="D107" s="161">
        <f t="shared" ref="D107:M107" si="97">D25+D52+D80</f>
        <v>-103821.6</v>
      </c>
      <c r="E107" s="161">
        <f t="shared" si="97"/>
        <v>-113602.23999999999</v>
      </c>
      <c r="F107" s="161">
        <f t="shared" si="97"/>
        <v>-154022.39657142857</v>
      </c>
      <c r="G107" s="161">
        <f t="shared" si="97"/>
        <v>-162107.98685714288</v>
      </c>
      <c r="H107" s="161">
        <f t="shared" si="97"/>
        <v>-161376.14971428577</v>
      </c>
      <c r="I107" s="161">
        <f t="shared" si="97"/>
        <v>-157853.96314285716</v>
      </c>
      <c r="J107" s="161">
        <f t="shared" si="97"/>
        <v>-150300.91457142856</v>
      </c>
      <c r="K107" s="161">
        <f t="shared" si="97"/>
        <v>-168313.84199999998</v>
      </c>
      <c r="L107" s="161">
        <f t="shared" si="97"/>
        <v>-181451.83000000007</v>
      </c>
      <c r="M107" s="161">
        <f t="shared" si="97"/>
        <v>-175634</v>
      </c>
      <c r="N107" s="161">
        <f>N25+N52+N80</f>
        <v>-159128</v>
      </c>
      <c r="O107" s="161">
        <v>-148737</v>
      </c>
      <c r="P107" s="135"/>
      <c r="Q107" s="161">
        <f>SUM(D107:O107)</f>
        <v>-1836349.922857143</v>
      </c>
      <c r="R107" s="162"/>
      <c r="S107" s="161">
        <f>S25+S52+S80</f>
        <v>-158015.04371633334</v>
      </c>
      <c r="T107" s="161">
        <f t="shared" ref="T107:AD107" si="98">T25+T52+T80</f>
        <v>-153576.25828711112</v>
      </c>
      <c r="U107" s="161">
        <f t="shared" si="98"/>
        <v>-151600</v>
      </c>
      <c r="V107" s="161">
        <f t="shared" si="98"/>
        <v>-151600</v>
      </c>
      <c r="W107" s="161">
        <f t="shared" si="98"/>
        <v>-151600</v>
      </c>
      <c r="X107" s="161">
        <f t="shared" si="98"/>
        <v>-177600</v>
      </c>
      <c r="Y107" s="161">
        <f t="shared" si="98"/>
        <v>-177600</v>
      </c>
      <c r="Z107" s="161">
        <f t="shared" si="98"/>
        <v>-177600</v>
      </c>
      <c r="AA107" s="161">
        <f t="shared" si="98"/>
        <v>-218800</v>
      </c>
      <c r="AB107" s="161">
        <f t="shared" si="98"/>
        <v>-218800</v>
      </c>
      <c r="AC107" s="161">
        <f t="shared" si="98"/>
        <v>-218800</v>
      </c>
      <c r="AD107" s="161">
        <f t="shared" si="98"/>
        <v>-220000</v>
      </c>
      <c r="AE107" s="162"/>
      <c r="AF107" s="161">
        <f>SUM(S107:AD107)</f>
        <v>-2175591.3020034442</v>
      </c>
      <c r="AI107" s="70"/>
      <c r="AJ107" s="70"/>
      <c r="AK107" s="70"/>
      <c r="AL107" s="70"/>
    </row>
    <row r="108" spans="2:39" s="52" customFormat="1" ht="19">
      <c r="B108" s="103"/>
      <c r="C108" s="137"/>
      <c r="D108" s="161"/>
      <c r="E108" s="161"/>
      <c r="F108" s="161"/>
      <c r="G108" s="161"/>
      <c r="H108" s="161"/>
      <c r="I108" s="161"/>
      <c r="J108" s="161"/>
      <c r="K108" s="161"/>
      <c r="L108" s="161"/>
      <c r="M108" s="161"/>
      <c r="N108" s="161"/>
      <c r="O108" s="161"/>
      <c r="P108" s="135"/>
      <c r="Q108" s="161"/>
      <c r="R108" s="162"/>
      <c r="S108" s="161"/>
      <c r="T108" s="161"/>
      <c r="U108" s="161"/>
      <c r="V108" s="161"/>
      <c r="W108" s="161"/>
      <c r="X108" s="161"/>
      <c r="Y108" s="161"/>
      <c r="Z108" s="161"/>
      <c r="AA108" s="161"/>
      <c r="AB108" s="161"/>
      <c r="AC108" s="161"/>
      <c r="AD108" s="161"/>
      <c r="AE108" s="162"/>
      <c r="AF108" s="161"/>
      <c r="AI108" s="178"/>
      <c r="AJ108" s="178"/>
      <c r="AK108" s="178"/>
      <c r="AL108" s="178"/>
    </row>
    <row r="109" spans="2:39" s="52" customFormat="1" ht="19">
      <c r="B109" s="103"/>
      <c r="C109" s="706" t="s">
        <v>105</v>
      </c>
      <c r="D109" s="523">
        <f>+D104+D107</f>
        <v>111989.49220426788</v>
      </c>
      <c r="E109" s="523">
        <f t="shared" ref="E109:O109" si="99">+E104+E107</f>
        <v>1550.752157251176</v>
      </c>
      <c r="F109" s="523">
        <f t="shared" si="99"/>
        <v>181486.37816551316</v>
      </c>
      <c r="G109" s="523">
        <f t="shared" si="99"/>
        <v>36750.373985216662</v>
      </c>
      <c r="H109" s="523">
        <f t="shared" si="99"/>
        <v>44506.062571428512</v>
      </c>
      <c r="I109" s="523">
        <f t="shared" si="99"/>
        <v>52051.839714285714</v>
      </c>
      <c r="J109" s="523">
        <f t="shared" si="99"/>
        <v>40659.513346938766</v>
      </c>
      <c r="K109" s="523">
        <f t="shared" si="99"/>
        <v>10335.04171428585</v>
      </c>
      <c r="L109" s="523">
        <f t="shared" si="99"/>
        <v>71352.339428571286</v>
      </c>
      <c r="M109" s="523">
        <f t="shared" si="99"/>
        <v>163488.42467009154</v>
      </c>
      <c r="N109" s="523">
        <f t="shared" si="99"/>
        <v>-119735</v>
      </c>
      <c r="O109" s="523">
        <f t="shared" si="99"/>
        <v>103983.44857142901</v>
      </c>
      <c r="P109" s="524"/>
      <c r="Q109" s="518">
        <f>SUM(D109:O109)</f>
        <v>698418.66652927955</v>
      </c>
      <c r="R109" s="525"/>
      <c r="S109" s="523">
        <f>+S104+S107</f>
        <v>62334.648668377631</v>
      </c>
      <c r="T109" s="523">
        <f t="shared" ref="T109:AD109" si="100">+T104+T107</f>
        <v>84499.668426067452</v>
      </c>
      <c r="U109" s="523">
        <f t="shared" si="100"/>
        <v>72999.630478568695</v>
      </c>
      <c r="V109" s="523">
        <f t="shared" si="100"/>
        <v>73280.948437762592</v>
      </c>
      <c r="W109" s="523">
        <f t="shared" si="100"/>
        <v>114602.49147816573</v>
      </c>
      <c r="X109" s="523">
        <f t="shared" si="100"/>
        <v>89352.515792976948</v>
      </c>
      <c r="Y109" s="523">
        <f t="shared" si="100"/>
        <v>90837.175780609075</v>
      </c>
      <c r="Z109" s="523">
        <f t="shared" si="100"/>
        <v>183794.62911509711</v>
      </c>
      <c r="AA109" s="523">
        <f t="shared" si="100"/>
        <v>146536.4584600362</v>
      </c>
      <c r="AB109" s="523">
        <f t="shared" si="100"/>
        <v>157280.01467563835</v>
      </c>
      <c r="AC109" s="523">
        <f t="shared" si="100"/>
        <v>202580.1974445309</v>
      </c>
      <c r="AD109" s="523">
        <f t="shared" si="100"/>
        <v>203478.32857479696</v>
      </c>
      <c r="AE109" s="524"/>
      <c r="AF109" s="518">
        <f>SUM(S109:AD109)</f>
        <v>1481576.7073326276</v>
      </c>
      <c r="AI109" s="178"/>
      <c r="AJ109" s="178"/>
      <c r="AK109" s="178"/>
      <c r="AL109" s="178"/>
    </row>
    <row r="110" spans="2:39" s="52" customFormat="1" ht="19">
      <c r="B110" s="103"/>
      <c r="C110" s="152" t="s">
        <v>106</v>
      </c>
      <c r="D110" s="153">
        <f>+D109/D97</f>
        <v>0.39783177004147169</v>
      </c>
      <c r="E110" s="153">
        <f t="shared" ref="E110:O110" si="101">+E109/E97</f>
        <v>7.0921966873649161E-3</v>
      </c>
      <c r="F110" s="153">
        <f t="shared" si="101"/>
        <v>0.43765516954345174</v>
      </c>
      <c r="G110" s="153">
        <f t="shared" si="101"/>
        <v>0.12830475810703315</v>
      </c>
      <c r="H110" s="153">
        <f t="shared" si="101"/>
        <v>0.15369535224422293</v>
      </c>
      <c r="I110" s="153">
        <f t="shared" si="101"/>
        <v>0.17206072024156258</v>
      </c>
      <c r="J110" s="153">
        <f t="shared" si="101"/>
        <v>0.15530066357085298</v>
      </c>
      <c r="K110" s="153">
        <f t="shared" si="101"/>
        <v>4.0061910738644783E-2</v>
      </c>
      <c r="L110" s="153">
        <f t="shared" si="101"/>
        <v>0.20788621683928943</v>
      </c>
      <c r="M110" s="153">
        <f t="shared" si="101"/>
        <v>0.33962769242351243</v>
      </c>
      <c r="N110" s="153">
        <f t="shared" si="101"/>
        <v>-1.9590791583494225</v>
      </c>
      <c r="O110" s="153">
        <f t="shared" si="101"/>
        <v>0.30172433014796257</v>
      </c>
      <c r="P110" s="154"/>
      <c r="Q110" s="153">
        <f>+Q109/Q97</f>
        <v>0.19709861078014737</v>
      </c>
      <c r="R110" s="167"/>
      <c r="S110" s="153">
        <f>+S109/S97</f>
        <v>0.21154572129825205</v>
      </c>
      <c r="T110" s="153">
        <f t="shared" ref="T110" si="102">+T109/T97</f>
        <v>0.26605282858727242</v>
      </c>
      <c r="U110" s="153">
        <f>+U109/U97</f>
        <v>0.2390122751355804</v>
      </c>
      <c r="V110" s="153">
        <f t="shared" ref="V110" si="103">+V109/V97</f>
        <v>0.23934930349164227</v>
      </c>
      <c r="W110" s="153">
        <f t="shared" ref="W110" si="104">+W109/W97</f>
        <v>0.31369919725834944</v>
      </c>
      <c r="X110" s="153">
        <f t="shared" ref="X110" si="105">+X109/X97</f>
        <v>0.24406931667206735</v>
      </c>
      <c r="Y110" s="153">
        <f t="shared" ref="Y110" si="106">+Y109/Y97</f>
        <v>0.24721714741428782</v>
      </c>
      <c r="Z110" s="153">
        <f t="shared" ref="Z110" si="107">+Z109/Z97</f>
        <v>0.37175105558124311</v>
      </c>
      <c r="AA110" s="153">
        <f t="shared" ref="AA110" si="108">+AA109/AA97</f>
        <v>0.29412674216158557</v>
      </c>
      <c r="AB110" s="153">
        <f t="shared" ref="AB110" si="109">+AB109/AB97</f>
        <v>0.30890919593691368</v>
      </c>
      <c r="AC110" s="153">
        <f t="shared" ref="AC110" si="110">+AC109/AC97</f>
        <v>0.36029726760227282</v>
      </c>
      <c r="AD110" s="153">
        <f t="shared" ref="AD110" si="111">+AD109/AD97</f>
        <v>0.36047712300670054</v>
      </c>
      <c r="AE110" s="154"/>
      <c r="AF110" s="153">
        <f>+AF109/AF97</f>
        <v>0.29923575183872425</v>
      </c>
    </row>
    <row r="111" spans="2:39" s="52" customFormat="1" ht="19">
      <c r="B111" s="103"/>
      <c r="C111" s="152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4"/>
      <c r="Q111" s="153"/>
      <c r="R111" s="167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4"/>
      <c r="AF111" s="153"/>
    </row>
    <row r="112" spans="2:39" s="52" customFormat="1" ht="19">
      <c r="B112" s="103"/>
      <c r="C112" s="134" t="s">
        <v>100</v>
      </c>
      <c r="P112" s="135"/>
      <c r="R112" s="135"/>
      <c r="AE112" s="135"/>
    </row>
    <row r="113" spans="2:32" s="52" customFormat="1" ht="19">
      <c r="B113" s="103"/>
      <c r="C113" s="137" t="s">
        <v>120</v>
      </c>
      <c r="D113" s="161">
        <f t="shared" ref="D113:N113" si="112">+D26</f>
        <v>-103042.73</v>
      </c>
      <c r="E113" s="161">
        <f t="shared" si="112"/>
        <v>-110861.4</v>
      </c>
      <c r="F113" s="161">
        <f t="shared" si="112"/>
        <v>-168502.22</v>
      </c>
      <c r="G113" s="161">
        <f t="shared" si="112"/>
        <v>-74655.710000000006</v>
      </c>
      <c r="H113" s="161">
        <f t="shared" si="112"/>
        <v>-114191.55</v>
      </c>
      <c r="I113" s="161">
        <f t="shared" si="112"/>
        <v>-90321.7</v>
      </c>
      <c r="J113" s="161">
        <f t="shared" si="112"/>
        <v>-96110.06</v>
      </c>
      <c r="K113" s="161">
        <f t="shared" si="112"/>
        <v>-98649.2</v>
      </c>
      <c r="L113" s="161">
        <f t="shared" si="112"/>
        <v>-114644.5</v>
      </c>
      <c r="M113" s="161">
        <f t="shared" si="112"/>
        <v>-85739.730861240852</v>
      </c>
      <c r="N113" s="161">
        <f t="shared" si="112"/>
        <v>-87990.565099254236</v>
      </c>
      <c r="O113" s="161">
        <v>-109632.60929369161</v>
      </c>
      <c r="P113" s="162"/>
      <c r="Q113" s="161">
        <f t="shared" ref="Q113:Q116" si="113">SUM(D113:O113)</f>
        <v>-1254341.9752541864</v>
      </c>
      <c r="R113" s="162"/>
      <c r="S113" s="161">
        <f>+S26</f>
        <v>-107656.90758405204</v>
      </c>
      <c r="T113" s="161">
        <f t="shared" ref="T113:AD113" si="114">+T26</f>
        <v>-101854.09219943667</v>
      </c>
      <c r="U113" s="161">
        <f t="shared" si="114"/>
        <v>-75680.112712257178</v>
      </c>
      <c r="V113" s="161">
        <f t="shared" si="114"/>
        <v>-84663.540917385355</v>
      </c>
      <c r="W113" s="161">
        <f t="shared" si="114"/>
        <v>-79096.36143020587</v>
      </c>
      <c r="X113" s="161">
        <f t="shared" si="114"/>
        <v>-80747.643481487918</v>
      </c>
      <c r="Y113" s="161">
        <f t="shared" si="114"/>
        <v>-81943.961430205876</v>
      </c>
      <c r="Z113" s="161">
        <f t="shared" si="114"/>
        <v>-91937.940917385364</v>
      </c>
      <c r="AA113" s="161">
        <f t="shared" si="114"/>
        <v>-79249.271430205874</v>
      </c>
      <c r="AB113" s="161">
        <f t="shared" si="114"/>
        <v>-80102.842968667421</v>
      </c>
      <c r="AC113" s="161">
        <f t="shared" si="114"/>
        <v>-84672.540917385355</v>
      </c>
      <c r="AD113" s="161">
        <f t="shared" si="114"/>
        <v>-133930.45104559048</v>
      </c>
      <c r="AE113" s="162"/>
      <c r="AF113" s="161">
        <f t="shared" ref="AF113:AF118" si="115">SUM(S113:AD113)</f>
        <v>-1081535.6670342654</v>
      </c>
    </row>
    <row r="114" spans="2:32" s="52" customFormat="1" ht="19">
      <c r="B114" s="103"/>
      <c r="C114" s="137" t="s">
        <v>121</v>
      </c>
      <c r="D114" s="188">
        <f t="shared" ref="D114:N114" si="116">+D53</f>
        <v>-34762.94</v>
      </c>
      <c r="E114" s="188">
        <f t="shared" si="116"/>
        <v>-30846.3</v>
      </c>
      <c r="F114" s="188">
        <f t="shared" si="116"/>
        <v>-45495.3</v>
      </c>
      <c r="G114" s="188">
        <f t="shared" si="116"/>
        <v>-28760.57</v>
      </c>
      <c r="H114" s="188">
        <f t="shared" si="116"/>
        <v>-37473.56</v>
      </c>
      <c r="I114" s="188">
        <f t="shared" si="116"/>
        <v>-28319.75</v>
      </c>
      <c r="J114" s="188">
        <f t="shared" si="116"/>
        <v>-32755.66</v>
      </c>
      <c r="K114" s="188">
        <f t="shared" si="116"/>
        <v>-32574.55</v>
      </c>
      <c r="L114" s="188">
        <f t="shared" si="116"/>
        <v>-37618.49</v>
      </c>
      <c r="M114" s="188">
        <f t="shared" si="116"/>
        <v>-28513.106338501882</v>
      </c>
      <c r="N114" s="188">
        <f t="shared" si="116"/>
        <v>-29261.630684614905</v>
      </c>
      <c r="O114" s="161">
        <v>-36458.783058433539</v>
      </c>
      <c r="P114" s="162"/>
      <c r="Q114" s="161">
        <f t="shared" si="113"/>
        <v>-402840.64008155034</v>
      </c>
      <c r="R114" s="162"/>
      <c r="S114" s="188">
        <f t="shared" ref="S114:AD114" si="117">+S53</f>
        <v>-16495.401028321678</v>
      </c>
      <c r="T114" s="188">
        <f t="shared" si="117"/>
        <v>-23316.421028321678</v>
      </c>
      <c r="U114" s="188">
        <f t="shared" si="117"/>
        <v>-8599.6317975524471</v>
      </c>
      <c r="V114" s="188">
        <f t="shared" si="117"/>
        <v>-8798.9087206293698</v>
      </c>
      <c r="W114" s="188">
        <f t="shared" si="117"/>
        <v>-8435.831797552446</v>
      </c>
      <c r="X114" s="188">
        <f t="shared" si="117"/>
        <v>-8543.5241052447545</v>
      </c>
      <c r="Y114" s="188">
        <f t="shared" si="117"/>
        <v>-8667.2317975524456</v>
      </c>
      <c r="Z114" s="188">
        <f t="shared" si="117"/>
        <v>-8833.5087206293701</v>
      </c>
      <c r="AA114" s="188">
        <f t="shared" si="117"/>
        <v>-8452.8217975524458</v>
      </c>
      <c r="AB114" s="188">
        <f t="shared" si="117"/>
        <v>-8626.2271821678314</v>
      </c>
      <c r="AC114" s="188">
        <f t="shared" si="117"/>
        <v>-8799.9087206293698</v>
      </c>
      <c r="AD114" s="188">
        <f t="shared" si="117"/>
        <v>-17920.788079603728</v>
      </c>
      <c r="AE114" s="162"/>
      <c r="AF114" s="161">
        <f t="shared" si="115"/>
        <v>-135490.20477575756</v>
      </c>
    </row>
    <row r="115" spans="2:32" s="52" customFormat="1" ht="19">
      <c r="B115" s="103"/>
      <c r="C115" s="137" t="s">
        <v>122</v>
      </c>
      <c r="D115" s="161">
        <f t="shared" ref="D115:N115" si="118">+D81</f>
        <v>-9406.34</v>
      </c>
      <c r="E115" s="161">
        <f t="shared" si="118"/>
        <v>-6807.36</v>
      </c>
      <c r="F115" s="161">
        <f t="shared" si="118"/>
        <v>-12111</v>
      </c>
      <c r="G115" s="161">
        <f t="shared" si="118"/>
        <v>-6826.68</v>
      </c>
      <c r="H115" s="161">
        <f t="shared" si="118"/>
        <v>-9696.2999999999993</v>
      </c>
      <c r="I115" s="161">
        <f t="shared" si="118"/>
        <v>-7009.29</v>
      </c>
      <c r="J115" s="161">
        <f t="shared" si="118"/>
        <v>-8337.33</v>
      </c>
      <c r="K115" s="161">
        <f t="shared" si="118"/>
        <v>-8294.6299999999992</v>
      </c>
      <c r="L115" s="161">
        <f t="shared" si="118"/>
        <v>-9474.4699999999993</v>
      </c>
      <c r="M115" s="161">
        <f t="shared" si="118"/>
        <v>-7230.644809893407</v>
      </c>
      <c r="N115" s="161">
        <f t="shared" si="118"/>
        <v>-7420.4632608908905</v>
      </c>
      <c r="O115" s="161">
        <v>-9245.590689658371</v>
      </c>
      <c r="P115" s="162"/>
      <c r="Q115" s="161">
        <f t="shared" si="113"/>
        <v>-101860.09876044268</v>
      </c>
      <c r="R115" s="162"/>
      <c r="S115" s="161">
        <f t="shared" ref="S115:AD115" si="119">+S81</f>
        <v>-5195.5737776806527</v>
      </c>
      <c r="T115" s="161">
        <f t="shared" si="119"/>
        <v>-5306.3430084498832</v>
      </c>
      <c r="U115" s="161">
        <f t="shared" si="119"/>
        <v>-5185.3173674242425</v>
      </c>
      <c r="V115" s="161">
        <f t="shared" si="119"/>
        <v>-5306.3430084498832</v>
      </c>
      <c r="W115" s="161">
        <f t="shared" si="119"/>
        <v>-5185.3173674242425</v>
      </c>
      <c r="X115" s="161">
        <f t="shared" si="119"/>
        <v>-5221.2148033216781</v>
      </c>
      <c r="Y115" s="161">
        <f t="shared" si="119"/>
        <v>-5185.3173674242425</v>
      </c>
      <c r="Z115" s="161">
        <f t="shared" si="119"/>
        <v>-5306.3430084498832</v>
      </c>
      <c r="AA115" s="161">
        <f t="shared" si="119"/>
        <v>-5185.3173674242425</v>
      </c>
      <c r="AB115" s="161">
        <f t="shared" si="119"/>
        <v>-5185.3173674242425</v>
      </c>
      <c r="AC115" s="161">
        <f t="shared" si="119"/>
        <v>-5306.3430084498832</v>
      </c>
      <c r="AD115" s="161">
        <f t="shared" si="119"/>
        <v>-7266.7665981934724</v>
      </c>
      <c r="AE115" s="162"/>
      <c r="AF115" s="161">
        <f t="shared" si="115"/>
        <v>-64835.514050116544</v>
      </c>
    </row>
    <row r="116" spans="2:32" s="52" customFormat="1" ht="19">
      <c r="B116" s="103"/>
      <c r="C116" s="137" t="s">
        <v>123</v>
      </c>
      <c r="D116" s="552">
        <f>-19454.95+5878</f>
        <v>-13576.95</v>
      </c>
      <c r="E116" s="552">
        <f>-16371.09+32150</f>
        <v>15778.91</v>
      </c>
      <c r="F116" s="552">
        <f>+-9975.89+15240</f>
        <v>5264.1100000000006</v>
      </c>
      <c r="G116" s="552">
        <f>-10547.6+4715</f>
        <v>-5832.6</v>
      </c>
      <c r="H116" s="552">
        <f>-5899.68+5829</f>
        <v>-70.680000000000291</v>
      </c>
      <c r="I116" s="552">
        <f>-8006.2+13911</f>
        <v>5904.8</v>
      </c>
      <c r="J116" s="552">
        <f>-8526.84-34669</f>
        <v>-43195.839999999997</v>
      </c>
      <c r="K116" s="552">
        <f>-14312.85-7713</f>
        <v>-22025.85</v>
      </c>
      <c r="L116" s="552">
        <f>-17383.32+8210</f>
        <v>-9173.32</v>
      </c>
      <c r="M116" s="552">
        <v>-20296.517990363864</v>
      </c>
      <c r="N116" s="552">
        <v>-20829.340955239968</v>
      </c>
      <c r="O116" s="161">
        <v>-25952.498386787462</v>
      </c>
      <c r="P116" s="162"/>
      <c r="Q116" s="161">
        <f t="shared" si="113"/>
        <v>-134005.7773323913</v>
      </c>
      <c r="R116" s="162"/>
      <c r="S116" s="161">
        <f>'DASHBOARD COSTS'!CB187*-1</f>
        <v>-20701.842564102561</v>
      </c>
      <c r="T116" s="161">
        <f>'DASHBOARD COSTS'!CC187*-1</f>
        <v>-20190.073333333334</v>
      </c>
      <c r="U116" s="161">
        <f>'DASHBOARD COSTS'!CD187*-1</f>
        <v>-19678.3041025641</v>
      </c>
      <c r="V116" s="161">
        <f>'DASHBOARD COSTS'!CE187*-1</f>
        <v>-20192.175897435896</v>
      </c>
      <c r="W116" s="161">
        <f>'DASHBOARD COSTS'!CF187*-1</f>
        <v>-19780.406666666669</v>
      </c>
      <c r="X116" s="161">
        <f>'DASHBOARD COSTS'!CG187*-1</f>
        <v>-20194.278461538459</v>
      </c>
      <c r="Y116" s="161">
        <f>'DASHBOARD COSTS'!CH187*-1</f>
        <v>-19682.509230769232</v>
      </c>
      <c r="Z116" s="161">
        <f>'DASHBOARD COSTS'!CI187*-1</f>
        <v>-20196.381025641029</v>
      </c>
      <c r="AA116" s="161">
        <f>'DASHBOARD COSTS'!CJ187*-1</f>
        <v>-25695.331794871796</v>
      </c>
      <c r="AB116" s="161">
        <f>'DASHBOARD COSTS'!CK187*-1</f>
        <v>-20198.483589743591</v>
      </c>
      <c r="AC116" s="161">
        <f>'DASHBOARD COSTS'!CL187*-1</f>
        <v>-19686.714358974357</v>
      </c>
      <c r="AD116" s="161">
        <f>'DASHBOARD COSTS'!CM187*-1</f>
        <v>-22544.35</v>
      </c>
      <c r="AE116" s="162"/>
      <c r="AF116" s="161">
        <f t="shared" si="115"/>
        <v>-248740.85102564105</v>
      </c>
    </row>
    <row r="117" spans="2:32" s="52" customFormat="1" ht="19">
      <c r="B117" s="103"/>
      <c r="C117" s="137" t="s">
        <v>731</v>
      </c>
      <c r="D117" s="552"/>
      <c r="E117" s="552"/>
      <c r="F117" s="552"/>
      <c r="G117" s="552"/>
      <c r="H117" s="552"/>
      <c r="I117" s="552"/>
      <c r="J117" s="552"/>
      <c r="K117" s="552"/>
      <c r="L117" s="552"/>
      <c r="M117" s="552"/>
      <c r="N117" s="552"/>
      <c r="O117" s="552"/>
      <c r="P117" s="162"/>
      <c r="Q117" s="161"/>
      <c r="R117" s="162"/>
      <c r="S117" s="755">
        <f>SUM(AHORRO!AB32:AB37)</f>
        <v>4655.2584444444446</v>
      </c>
      <c r="T117" s="161">
        <f>S117</f>
        <v>4655.2584444444446</v>
      </c>
      <c r="U117" s="161">
        <f t="shared" ref="U117:AD117" si="120">T117</f>
        <v>4655.2584444444446</v>
      </c>
      <c r="V117" s="161">
        <f t="shared" si="120"/>
        <v>4655.2584444444446</v>
      </c>
      <c r="W117" s="161">
        <f t="shared" si="120"/>
        <v>4655.2584444444446</v>
      </c>
      <c r="X117" s="161">
        <f t="shared" si="120"/>
        <v>4655.2584444444446</v>
      </c>
      <c r="Y117" s="161">
        <f t="shared" si="120"/>
        <v>4655.2584444444446</v>
      </c>
      <c r="Z117" s="161">
        <f t="shared" si="120"/>
        <v>4655.2584444444446</v>
      </c>
      <c r="AA117" s="161">
        <f t="shared" si="120"/>
        <v>4655.2584444444446</v>
      </c>
      <c r="AB117" s="161">
        <f t="shared" si="120"/>
        <v>4655.2584444444446</v>
      </c>
      <c r="AC117" s="161">
        <f t="shared" si="120"/>
        <v>4655.2584444444446</v>
      </c>
      <c r="AD117" s="161">
        <f t="shared" si="120"/>
        <v>4655.2584444444446</v>
      </c>
      <c r="AE117" s="162"/>
      <c r="AF117" s="161">
        <f t="shared" si="115"/>
        <v>55863.101333333332</v>
      </c>
    </row>
    <row r="118" spans="2:32" s="52" customFormat="1" ht="20" thickBot="1">
      <c r="B118" s="103"/>
      <c r="C118" s="163" t="s">
        <v>102</v>
      </c>
      <c r="D118" s="164">
        <f>+SUM(D113:D117)</f>
        <v>-160788.96</v>
      </c>
      <c r="E118" s="164">
        <f t="shared" ref="E118:M118" si="121">+SUM(E113:E117)</f>
        <v>-132736.14999999997</v>
      </c>
      <c r="F118" s="164">
        <f t="shared" si="121"/>
        <v>-220844.41000000003</v>
      </c>
      <c r="G118" s="164">
        <f t="shared" si="121"/>
        <v>-116075.56</v>
      </c>
      <c r="H118" s="164">
        <f t="shared" si="121"/>
        <v>-161432.08999999997</v>
      </c>
      <c r="I118" s="164">
        <f t="shared" si="121"/>
        <v>-119745.93999999999</v>
      </c>
      <c r="J118" s="164">
        <f t="shared" si="121"/>
        <v>-180398.88999999998</v>
      </c>
      <c r="K118" s="164">
        <f t="shared" si="121"/>
        <v>-161544.23000000001</v>
      </c>
      <c r="L118" s="164">
        <f t="shared" si="121"/>
        <v>-170910.78</v>
      </c>
      <c r="M118" s="164">
        <f t="shared" si="121"/>
        <v>-141780</v>
      </c>
      <c r="N118" s="164">
        <f>+SUM(N113:N117)</f>
        <v>-145502</v>
      </c>
      <c r="O118" s="164">
        <v>-148530.16</v>
      </c>
      <c r="P118" s="162"/>
      <c r="Q118" s="164">
        <f>SUM(D118:O118)</f>
        <v>-1860289.17</v>
      </c>
      <c r="R118" s="165"/>
      <c r="S118" s="164">
        <f>+SUM(S113:S117)</f>
        <v>-145394.46650971248</v>
      </c>
      <c r="T118" s="164">
        <f>+SUM(T113:T117)</f>
        <v>-146011.67112509711</v>
      </c>
      <c r="U118" s="164">
        <f t="shared" ref="U118" si="122">+SUM(U113:U117)</f>
        <v>-104488.10753535351</v>
      </c>
      <c r="V118" s="164">
        <f t="shared" ref="V118" si="123">+SUM(V113:V117)</f>
        <v>-114305.71009945605</v>
      </c>
      <c r="W118" s="164">
        <f t="shared" ref="W118" si="124">+SUM(W113:W117)</f>
        <v>-107842.65881740476</v>
      </c>
      <c r="X118" s="164">
        <f t="shared" ref="X118" si="125">+SUM(X113:X117)</f>
        <v>-110051.40240714836</v>
      </c>
      <c r="Y118" s="164">
        <f t="shared" ref="Y118" si="126">+SUM(Y113:Y117)</f>
        <v>-110823.76138150736</v>
      </c>
      <c r="Z118" s="164">
        <f t="shared" ref="Z118" si="127">+SUM(Z113:Z117)</f>
        <v>-121618.9152276612</v>
      </c>
      <c r="AA118" s="164">
        <f t="shared" ref="AA118" si="128">+SUM(AA113:AA117)</f>
        <v>-113927.48394560991</v>
      </c>
      <c r="AB118" s="164">
        <f t="shared" ref="AB118" si="129">+SUM(AB113:AB117)</f>
        <v>-109457.61266355863</v>
      </c>
      <c r="AC118" s="164">
        <f t="shared" ref="AC118" si="130">+SUM(AC113:AC117)</f>
        <v>-113810.24856099451</v>
      </c>
      <c r="AD118" s="164">
        <f t="shared" ref="AD118" si="131">+SUM(AD113:AD117)</f>
        <v>-177007.09727894323</v>
      </c>
      <c r="AE118" s="162"/>
      <c r="AF118" s="164">
        <f t="shared" si="115"/>
        <v>-1474739.1355524473</v>
      </c>
    </row>
    <row r="119" spans="2:32" s="52" customFormat="1" ht="21" thickTop="1" thickBot="1">
      <c r="B119" s="103"/>
      <c r="C119" s="143" t="s">
        <v>103</v>
      </c>
      <c r="D119" s="166">
        <f>+D104+D118+D107</f>
        <v>-48799.467795732111</v>
      </c>
      <c r="E119" s="166">
        <f t="shared" ref="E119:O119" si="132">+E104+E118+E107</f>
        <v>-131185.39784274879</v>
      </c>
      <c r="F119" s="166">
        <f t="shared" si="132"/>
        <v>-39358.031834486872</v>
      </c>
      <c r="G119" s="166">
        <f t="shared" si="132"/>
        <v>-79325.186014783336</v>
      </c>
      <c r="H119" s="166">
        <f t="shared" si="132"/>
        <v>-116926.02742857145</v>
      </c>
      <c r="I119" s="166">
        <f t="shared" si="132"/>
        <v>-67694.100285714274</v>
      </c>
      <c r="J119" s="166">
        <f t="shared" si="132"/>
        <v>-139739.37665306122</v>
      </c>
      <c r="K119" s="166">
        <f t="shared" si="132"/>
        <v>-151209.18828571416</v>
      </c>
      <c r="L119" s="166">
        <f t="shared" si="132"/>
        <v>-99558.440571428713</v>
      </c>
      <c r="M119" s="166">
        <f t="shared" si="132"/>
        <v>21708.424670091539</v>
      </c>
      <c r="N119" s="166">
        <f t="shared" si="132"/>
        <v>-265237</v>
      </c>
      <c r="O119" s="166">
        <f t="shared" si="132"/>
        <v>-44546.711428570998</v>
      </c>
      <c r="P119" s="165"/>
      <c r="Q119" s="166">
        <f>SUM(D119:O119)</f>
        <v>-1161870.5034707205</v>
      </c>
      <c r="R119" s="167"/>
      <c r="S119" s="166">
        <f>+S104+S118+S107</f>
        <v>-83059.817841334851</v>
      </c>
      <c r="T119" s="166">
        <f>+T104+T118+T107</f>
        <v>-61512.002699029661</v>
      </c>
      <c r="U119" s="166">
        <f t="shared" ref="U119" si="133">+U104+U118+U107</f>
        <v>-31488.477056784817</v>
      </c>
      <c r="V119" s="166">
        <f t="shared" ref="V119" si="134">+V104+V118+V107</f>
        <v>-41024.761661693454</v>
      </c>
      <c r="W119" s="166">
        <f t="shared" ref="W119" si="135">+W104+W118+W107</f>
        <v>6759.8326607609633</v>
      </c>
      <c r="X119" s="166">
        <f t="shared" ref="X119" si="136">+X104+X118+X107</f>
        <v>-20698.88661417141</v>
      </c>
      <c r="Y119" s="166">
        <f t="shared" ref="Y119" si="137">+Y104+Y118+Y107</f>
        <v>-19986.585600898281</v>
      </c>
      <c r="Z119" s="166">
        <f t="shared" ref="Z119" si="138">+Z104+Z118+Z107</f>
        <v>62175.713887435908</v>
      </c>
      <c r="AA119" s="166">
        <f t="shared" ref="AA119" si="139">+AA104+AA118+AA107</f>
        <v>32608.974514426285</v>
      </c>
      <c r="AB119" s="166">
        <f t="shared" ref="AB119" si="140">+AB104+AB118+AB107</f>
        <v>47822.402012079721</v>
      </c>
      <c r="AC119" s="166">
        <f t="shared" ref="AC119" si="141">+AC104+AC118+AC107</f>
        <v>88769.948883536388</v>
      </c>
      <c r="AD119" s="166">
        <f t="shared" ref="AD119" si="142">+AD104+AD118+AD107</f>
        <v>26471.231295853737</v>
      </c>
      <c r="AE119" s="165"/>
      <c r="AF119" s="166">
        <f>SUM(S119:AD119)</f>
        <v>6837.5717801805295</v>
      </c>
    </row>
    <row r="120" spans="2:32" s="52" customFormat="1" ht="20" thickTop="1">
      <c r="B120" s="103"/>
      <c r="C120" s="152" t="s">
        <v>104</v>
      </c>
      <c r="D120" s="153">
        <f t="shared" ref="D120:O120" si="143">+D119/D97</f>
        <v>-0.17335535922287215</v>
      </c>
      <c r="E120" s="153">
        <f t="shared" si="143"/>
        <v>-0.5999621794240686</v>
      </c>
      <c r="F120" s="153">
        <f t="shared" si="143"/>
        <v>-9.4912060450673214E-2</v>
      </c>
      <c r="G120" s="153">
        <f t="shared" si="143"/>
        <v>-0.27694408790278824</v>
      </c>
      <c r="H120" s="153">
        <f t="shared" si="143"/>
        <v>-0.40378739285934423</v>
      </c>
      <c r="I120" s="153">
        <f t="shared" si="143"/>
        <v>-0.22376722350637474</v>
      </c>
      <c r="J120" s="153">
        <f t="shared" si="143"/>
        <v>-0.53374022792704368</v>
      </c>
      <c r="K120" s="153">
        <f t="shared" si="143"/>
        <v>-0.58613493505224834</v>
      </c>
      <c r="L120" s="153">
        <f t="shared" si="143"/>
        <v>-0.29006515736645916</v>
      </c>
      <c r="M120" s="153">
        <f t="shared" si="143"/>
        <v>4.5096661685563422E-2</v>
      </c>
      <c r="N120" s="153">
        <f t="shared" si="143"/>
        <v>-4.3397526097058146</v>
      </c>
      <c r="O120" s="153">
        <f t="shared" si="143"/>
        <v>-0.12925928934591269</v>
      </c>
      <c r="P120" s="167"/>
      <c r="Q120" s="153">
        <f>+Q119/Q97</f>
        <v>-0.32788794617778017</v>
      </c>
      <c r="R120" s="167"/>
      <c r="S120" s="153">
        <f t="shared" ref="S120:AD120" si="144">+S119/S97</f>
        <v>-0.28188093542685433</v>
      </c>
      <c r="T120" s="153">
        <f t="shared" si="144"/>
        <v>-0.19367463346277666</v>
      </c>
      <c r="U120" s="153">
        <f t="shared" si="144"/>
        <v>-0.10309822793015636</v>
      </c>
      <c r="V120" s="153">
        <f t="shared" si="144"/>
        <v>-0.13399455573335586</v>
      </c>
      <c r="W120" s="153">
        <f t="shared" si="144"/>
        <v>1.850356001802542E-2</v>
      </c>
      <c r="X120" s="153">
        <f t="shared" si="144"/>
        <v>-5.6539685166766163E-2</v>
      </c>
      <c r="Y120" s="153">
        <f t="shared" si="144"/>
        <v>-5.4394322988851766E-2</v>
      </c>
      <c r="Z120" s="153">
        <f t="shared" si="144"/>
        <v>0.12575931832424286</v>
      </c>
      <c r="AA120" s="153">
        <f t="shared" si="144"/>
        <v>6.5452458316195103E-2</v>
      </c>
      <c r="AB120" s="153">
        <f t="shared" si="144"/>
        <v>9.3926617337807244E-2</v>
      </c>
      <c r="AC120" s="153">
        <f t="shared" si="144"/>
        <v>0.15788102900180609</v>
      </c>
      <c r="AD120" s="153">
        <f t="shared" si="144"/>
        <v>4.6895771981273315E-2</v>
      </c>
      <c r="AE120" s="167"/>
      <c r="AF120" s="714">
        <f>+AF119/AF97</f>
        <v>1.3809922377068047E-3</v>
      </c>
    </row>
    <row r="121" spans="2:32" s="52" customFormat="1" ht="19">
      <c r="B121" s="103"/>
      <c r="C121" s="170"/>
      <c r="P121" s="162"/>
      <c r="R121" s="135"/>
      <c r="AE121" s="162"/>
    </row>
    <row r="122" spans="2:32" s="52" customFormat="1" ht="20" thickBot="1">
      <c r="B122" s="103"/>
      <c r="C122" s="171" t="s">
        <v>107</v>
      </c>
      <c r="D122" s="164">
        <f>+D119</f>
        <v>-48799.467795732111</v>
      </c>
      <c r="E122" s="164">
        <f t="shared" ref="E122:N122" si="145">+E119</f>
        <v>-131185.39784274879</v>
      </c>
      <c r="F122" s="164">
        <f>+F119</f>
        <v>-39358.031834486872</v>
      </c>
      <c r="G122" s="164">
        <f t="shared" si="145"/>
        <v>-79325.186014783336</v>
      </c>
      <c r="H122" s="164">
        <f t="shared" si="145"/>
        <v>-116926.02742857145</v>
      </c>
      <c r="I122" s="164">
        <f t="shared" si="145"/>
        <v>-67694.100285714274</v>
      </c>
      <c r="J122" s="164">
        <f t="shared" si="145"/>
        <v>-139739.37665306122</v>
      </c>
      <c r="K122" s="164">
        <f t="shared" si="145"/>
        <v>-151209.18828571416</v>
      </c>
      <c r="L122" s="164">
        <f>+L119</f>
        <v>-99558.440571428713</v>
      </c>
      <c r="M122" s="164">
        <f t="shared" si="145"/>
        <v>21708.424670091539</v>
      </c>
      <c r="N122" s="164">
        <f t="shared" si="145"/>
        <v>-265237</v>
      </c>
      <c r="O122" s="164">
        <f>+O119</f>
        <v>-44546.711428570998</v>
      </c>
      <c r="P122" s="135"/>
      <c r="Q122" s="164">
        <f>SUM(D122:O122)</f>
        <v>-1161870.5034707205</v>
      </c>
      <c r="R122" s="165"/>
      <c r="S122" s="164">
        <f>+S119</f>
        <v>-83059.817841334851</v>
      </c>
      <c r="T122" s="164">
        <f t="shared" ref="T122:Z122" si="146">+T119</f>
        <v>-61512.002699029661</v>
      </c>
      <c r="U122" s="164">
        <f t="shared" si="146"/>
        <v>-31488.477056784817</v>
      </c>
      <c r="V122" s="164">
        <f t="shared" si="146"/>
        <v>-41024.761661693454</v>
      </c>
      <c r="W122" s="748">
        <f t="shared" si="146"/>
        <v>6759.8326607609633</v>
      </c>
      <c r="X122" s="164">
        <f t="shared" si="146"/>
        <v>-20698.88661417141</v>
      </c>
      <c r="Y122" s="164">
        <f t="shared" si="146"/>
        <v>-19986.585600898281</v>
      </c>
      <c r="Z122" s="164">
        <f t="shared" si="146"/>
        <v>62175.713887435908</v>
      </c>
      <c r="AA122" s="164">
        <f>+AA119</f>
        <v>32608.974514426285</v>
      </c>
      <c r="AB122" s="164">
        <f>+AB119</f>
        <v>47822.402012079721</v>
      </c>
      <c r="AC122" s="164">
        <f>+AC119</f>
        <v>88769.948883536388</v>
      </c>
      <c r="AD122" s="164">
        <f>+AD119</f>
        <v>26471.231295853737</v>
      </c>
      <c r="AE122" s="135"/>
      <c r="AF122" s="164">
        <f>SUM(S122:AD122)</f>
        <v>6837.5717801805295</v>
      </c>
    </row>
    <row r="123" spans="2:32" s="52" customFormat="1" ht="21" thickTop="1" thickBot="1">
      <c r="B123" s="103"/>
      <c r="C123" s="134" t="s">
        <v>108</v>
      </c>
      <c r="D123" s="172">
        <f t="shared" ref="D123:O123" si="147">+D122/D97</f>
        <v>-0.17335535922287215</v>
      </c>
      <c r="E123" s="172">
        <f t="shared" si="147"/>
        <v>-0.5999621794240686</v>
      </c>
      <c r="F123" s="172">
        <f t="shared" si="147"/>
        <v>-9.4912060450673214E-2</v>
      </c>
      <c r="G123" s="172">
        <f t="shared" si="147"/>
        <v>-0.27694408790278824</v>
      </c>
      <c r="H123" s="172">
        <f t="shared" si="147"/>
        <v>-0.40378739285934423</v>
      </c>
      <c r="I123" s="172">
        <f t="shared" si="147"/>
        <v>-0.22376722350637474</v>
      </c>
      <c r="J123" s="172">
        <f t="shared" si="147"/>
        <v>-0.53374022792704368</v>
      </c>
      <c r="K123" s="172">
        <f t="shared" si="147"/>
        <v>-0.58613493505224834</v>
      </c>
      <c r="L123" s="172">
        <f t="shared" si="147"/>
        <v>-0.29006515736645916</v>
      </c>
      <c r="M123" s="172">
        <f t="shared" si="147"/>
        <v>4.5096661685563422E-2</v>
      </c>
      <c r="N123" s="172">
        <f t="shared" si="147"/>
        <v>-4.3397526097058146</v>
      </c>
      <c r="O123" s="172">
        <f t="shared" si="147"/>
        <v>-0.12925928934591269</v>
      </c>
      <c r="P123" s="165"/>
      <c r="Q123" s="172">
        <f>+Q122/Q97</f>
        <v>-0.32788794617778017</v>
      </c>
      <c r="R123" s="173"/>
      <c r="S123" s="172">
        <f t="shared" ref="S123:AD123" si="148">+S122/S97</f>
        <v>-0.28188093542685433</v>
      </c>
      <c r="T123" s="172">
        <f t="shared" si="148"/>
        <v>-0.19367463346277666</v>
      </c>
      <c r="U123" s="172">
        <f t="shared" si="148"/>
        <v>-0.10309822793015636</v>
      </c>
      <c r="V123" s="172">
        <f t="shared" si="148"/>
        <v>-0.13399455573335586</v>
      </c>
      <c r="W123" s="172">
        <f t="shared" si="148"/>
        <v>1.850356001802542E-2</v>
      </c>
      <c r="X123" s="172">
        <f t="shared" si="148"/>
        <v>-5.6539685166766163E-2</v>
      </c>
      <c r="Y123" s="172">
        <f t="shared" si="148"/>
        <v>-5.4394322988851766E-2</v>
      </c>
      <c r="Z123" s="172">
        <f t="shared" si="148"/>
        <v>0.12575931832424286</v>
      </c>
      <c r="AA123" s="172">
        <f t="shared" si="148"/>
        <v>6.5452458316195103E-2</v>
      </c>
      <c r="AB123" s="172">
        <f t="shared" si="148"/>
        <v>9.3926617337807244E-2</v>
      </c>
      <c r="AC123" s="172">
        <f t="shared" si="148"/>
        <v>0.15788102900180609</v>
      </c>
      <c r="AD123" s="172">
        <f t="shared" si="148"/>
        <v>4.6895771981273315E-2</v>
      </c>
      <c r="AE123" s="165"/>
      <c r="AF123" s="634">
        <f>+AF122/AF97</f>
        <v>1.3809922377068047E-3</v>
      </c>
    </row>
    <row r="124" spans="2:32" ht="17" thickTop="1">
      <c r="U124" s="128">
        <f>+U122+T122+S122</f>
        <v>-176060.29759714933</v>
      </c>
    </row>
    <row r="125" spans="2:32">
      <c r="C125" t="s">
        <v>742</v>
      </c>
      <c r="S125" s="707">
        <v>500000</v>
      </c>
      <c r="T125" s="707"/>
    </row>
    <row r="126" spans="2:32">
      <c r="J126" s="6">
        <f>J113/$J$118</f>
        <v>0.53276414283923812</v>
      </c>
      <c r="K126" s="6">
        <f>K113/$K$118</f>
        <v>0.61066371729897129</v>
      </c>
      <c r="L126" s="6">
        <f>L113/$L$118</f>
        <v>0.67078565787365785</v>
      </c>
      <c r="M126" s="6">
        <f>AVERAGE(J126:L126)</f>
        <v>0.60473783933728908</v>
      </c>
      <c r="O126" s="529" t="s">
        <v>737</v>
      </c>
      <c r="Q126" s="707">
        <v>50000</v>
      </c>
      <c r="S126" s="544">
        <f>Q126+S122+S125</f>
        <v>466940.18215866515</v>
      </c>
      <c r="T126" s="544">
        <f>S126+T122+T125</f>
        <v>405428.17945963552</v>
      </c>
      <c r="U126" s="544">
        <f>T126+U122</f>
        <v>373939.70240285073</v>
      </c>
      <c r="V126" s="544">
        <f>U126+V122</f>
        <v>332914.94074115728</v>
      </c>
      <c r="W126" s="544">
        <f t="shared" ref="W126:AD126" si="149">V126+W122</f>
        <v>339674.77340191824</v>
      </c>
      <c r="X126" s="544">
        <f t="shared" si="149"/>
        <v>318975.8867877468</v>
      </c>
      <c r="Y126" s="544">
        <f t="shared" si="149"/>
        <v>298989.30118684855</v>
      </c>
      <c r="Z126" s="544">
        <f t="shared" si="149"/>
        <v>361165.01507428446</v>
      </c>
      <c r="AA126" s="544">
        <f t="shared" si="149"/>
        <v>393773.98958871071</v>
      </c>
      <c r="AB126" s="544">
        <f t="shared" si="149"/>
        <v>441596.39160079043</v>
      </c>
      <c r="AC126" s="544">
        <f t="shared" si="149"/>
        <v>530366.34048432682</v>
      </c>
      <c r="AD126" s="544">
        <f t="shared" si="149"/>
        <v>556837.57178018056</v>
      </c>
    </row>
    <row r="127" spans="2:32">
      <c r="J127" s="6">
        <f>J114/$J$118</f>
        <v>0.18157351189910317</v>
      </c>
      <c r="K127" s="6">
        <f t="shared" ref="K127:K129" si="150">K114/$K$118</f>
        <v>0.20164477555156254</v>
      </c>
      <c r="L127" s="6">
        <f t="shared" ref="L127:L129" si="151">L114/$L$118</f>
        <v>0.22010601086719045</v>
      </c>
      <c r="M127" s="6">
        <f t="shared" ref="M127:M129" si="152">AVERAGE(J127:L127)</f>
        <v>0.2011080994392854</v>
      </c>
      <c r="Q127" s="29">
        <f>Q126/1000000</f>
        <v>0.05</v>
      </c>
      <c r="S127" s="29">
        <f>S126/1000000</f>
        <v>0.46694018215866517</v>
      </c>
      <c r="T127" s="29">
        <f t="shared" ref="T127:AD127" si="153">T126/1000000</f>
        <v>0.4054281794596355</v>
      </c>
      <c r="U127" s="29">
        <f t="shared" si="153"/>
        <v>0.37393970240285074</v>
      </c>
      <c r="V127" s="29">
        <f t="shared" si="153"/>
        <v>0.33291494074115729</v>
      </c>
      <c r="W127" s="29">
        <f t="shared" si="153"/>
        <v>0.33967477340191826</v>
      </c>
      <c r="X127" s="29">
        <f t="shared" si="153"/>
        <v>0.3189758867877468</v>
      </c>
      <c r="Y127" s="29">
        <f t="shared" si="153"/>
        <v>0.29898930118684852</v>
      </c>
      <c r="Z127" s="29">
        <f t="shared" si="153"/>
        <v>0.36116501507428445</v>
      </c>
      <c r="AA127" s="29">
        <f t="shared" si="153"/>
        <v>0.39377398958871074</v>
      </c>
      <c r="AB127" s="29">
        <f t="shared" si="153"/>
        <v>0.44159639160079045</v>
      </c>
      <c r="AC127" s="29">
        <f t="shared" si="153"/>
        <v>0.53036634048432685</v>
      </c>
      <c r="AD127" s="29">
        <f t="shared" si="153"/>
        <v>0.55683757178018056</v>
      </c>
    </row>
    <row r="128" spans="2:32">
      <c r="J128" s="6">
        <f>J115/$J$118</f>
        <v>4.6216082593412859E-2</v>
      </c>
      <c r="K128" s="6">
        <f t="shared" si="150"/>
        <v>5.1345875987028437E-2</v>
      </c>
      <c r="L128" s="6">
        <f t="shared" si="151"/>
        <v>5.5435180858691299E-2</v>
      </c>
      <c r="M128" s="6">
        <f t="shared" si="152"/>
        <v>5.0999046479710868E-2</v>
      </c>
      <c r="S128" s="6"/>
    </row>
    <row r="129" spans="10:19">
      <c r="J129" s="6">
        <f t="shared" ref="J129" si="154">J116/$J$118</f>
        <v>0.2394462626682459</v>
      </c>
      <c r="K129" s="6">
        <f t="shared" si="150"/>
        <v>0.13634563116243767</v>
      </c>
      <c r="L129" s="6">
        <f t="shared" si="151"/>
        <v>5.3673150400460404E-2</v>
      </c>
      <c r="M129" s="6">
        <f t="shared" si="152"/>
        <v>0.14315501474371464</v>
      </c>
      <c r="S129" s="6"/>
    </row>
    <row r="130" spans="10:19">
      <c r="S130" s="6"/>
    </row>
    <row r="131" spans="10:19">
      <c r="S131" s="6"/>
    </row>
  </sheetData>
  <mergeCells count="3">
    <mergeCell ref="D8:O8"/>
    <mergeCell ref="S8:AD8"/>
    <mergeCell ref="A11:A17"/>
  </mergeCells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D8AFE-FB3F-6448-81B6-D8502D039B94}">
  <sheetPr codeName="Sheet6"/>
  <dimension ref="A1:AE43"/>
  <sheetViews>
    <sheetView showGridLines="0" topLeftCell="A2" zoomScale="131" workbookViewId="0">
      <selection activeCell="A18" sqref="A18:XFD18"/>
    </sheetView>
  </sheetViews>
  <sheetFormatPr baseColWidth="10" defaultRowHeight="16" outlineLevelCol="1"/>
  <cols>
    <col min="2" max="7" width="10.83203125" hidden="1" customWidth="1" outlineLevel="1"/>
    <col min="8" max="8" width="34.6640625" bestFit="1" customWidth="1" collapsed="1"/>
    <col min="9" max="9" width="38.1640625" bestFit="1" customWidth="1"/>
    <col min="10" max="12" width="10.83203125" hidden="1" customWidth="1" outlineLevel="1"/>
    <col min="13" max="13" width="11.1640625" hidden="1" customWidth="1" outlineLevel="1"/>
    <col min="14" max="14" width="14.1640625" bestFit="1" customWidth="1" collapsed="1"/>
    <col min="15" max="15" width="13.83203125" hidden="1" customWidth="1" outlineLevel="1"/>
    <col min="16" max="18" width="12.5" hidden="1" customWidth="1" outlineLevel="1"/>
    <col min="19" max="26" width="11.1640625" hidden="1" customWidth="1" outlineLevel="1"/>
    <col min="27" max="27" width="12.33203125" hidden="1" customWidth="1" outlineLevel="1"/>
    <col min="28" max="28" width="12.6640625" bestFit="1" customWidth="1" collapsed="1"/>
  </cols>
  <sheetData>
    <row r="1" spans="1:31" s="22" customFormat="1">
      <c r="AE1" s="682"/>
    </row>
    <row r="2" spans="1:31" s="22" customFormat="1">
      <c r="H2" s="682" t="s">
        <v>730</v>
      </c>
      <c r="AE2" s="683"/>
    </row>
    <row r="3" spans="1:31" s="22" customFormat="1">
      <c r="H3" s="684" t="s">
        <v>128</v>
      </c>
      <c r="AE3" s="683"/>
    </row>
    <row r="4" spans="1:31">
      <c r="N4" s="570">
        <f>SUBTOTAL(9,N6:N38)</f>
        <v>383948.34716083913</v>
      </c>
      <c r="O4" s="29"/>
      <c r="AB4" s="721">
        <f>SUBTOTAL(9,AB6:AB43)</f>
        <v>32767.486109557114</v>
      </c>
      <c r="AE4" s="213"/>
    </row>
    <row r="5" spans="1:31">
      <c r="A5" s="194" t="s">
        <v>130</v>
      </c>
      <c r="B5" s="194" t="s">
        <v>131</v>
      </c>
      <c r="C5" s="195" t="s">
        <v>132</v>
      </c>
      <c r="D5" s="196" t="s">
        <v>133</v>
      </c>
      <c r="E5" s="197" t="s">
        <v>134</v>
      </c>
      <c r="F5" s="198" t="s">
        <v>135</v>
      </c>
      <c r="G5" s="194" t="s">
        <v>136</v>
      </c>
      <c r="H5" s="194" t="s">
        <v>137</v>
      </c>
      <c r="I5" s="194" t="s">
        <v>138</v>
      </c>
      <c r="J5" s="194" t="s">
        <v>139</v>
      </c>
      <c r="K5" s="194" t="s">
        <v>140</v>
      </c>
      <c r="L5" s="194" t="s">
        <v>141</v>
      </c>
      <c r="M5" s="194" t="s">
        <v>142</v>
      </c>
      <c r="N5" s="566" t="s">
        <v>143</v>
      </c>
      <c r="O5" s="194" t="s">
        <v>143</v>
      </c>
      <c r="P5" s="194" t="s">
        <v>144</v>
      </c>
      <c r="Q5" s="194" t="s">
        <v>145</v>
      </c>
      <c r="R5" s="194" t="s">
        <v>146</v>
      </c>
      <c r="S5" s="194" t="s">
        <v>147</v>
      </c>
      <c r="T5" s="194" t="s">
        <v>34</v>
      </c>
      <c r="U5" s="194" t="s">
        <v>148</v>
      </c>
      <c r="V5" s="194" t="s">
        <v>149</v>
      </c>
      <c r="W5" s="194" t="s">
        <v>150</v>
      </c>
      <c r="X5" s="194" t="s">
        <v>151</v>
      </c>
      <c r="Y5" s="194" t="s">
        <v>152</v>
      </c>
      <c r="Z5" s="194" t="s">
        <v>153</v>
      </c>
      <c r="AA5" s="194" t="s">
        <v>154</v>
      </c>
      <c r="AB5" s="194" t="s">
        <v>707</v>
      </c>
      <c r="AE5" s="213"/>
    </row>
    <row r="6" spans="1:31">
      <c r="A6" t="s">
        <v>436</v>
      </c>
      <c r="B6" t="s">
        <v>437</v>
      </c>
      <c r="C6" s="202">
        <v>1</v>
      </c>
      <c r="D6" s="203"/>
      <c r="E6" s="204"/>
      <c r="F6" s="205"/>
      <c r="G6" t="s">
        <v>438</v>
      </c>
      <c r="H6" s="291" t="s">
        <v>444</v>
      </c>
      <c r="I6" s="291" t="s">
        <v>445</v>
      </c>
      <c r="J6" s="206" t="s">
        <v>441</v>
      </c>
      <c r="K6" t="s">
        <v>442</v>
      </c>
      <c r="L6" t="s">
        <v>58</v>
      </c>
      <c r="M6" s="236" t="s">
        <v>128</v>
      </c>
      <c r="N6" s="199">
        <f>96000/2</f>
        <v>48000</v>
      </c>
      <c r="O6" s="207">
        <f>96000/2</f>
        <v>48000</v>
      </c>
      <c r="P6" s="292">
        <f t="shared" ref="P6:AA6" si="0">8000/2</f>
        <v>4000</v>
      </c>
      <c r="Q6" s="292">
        <f t="shared" si="0"/>
        <v>4000</v>
      </c>
      <c r="R6" s="292">
        <f t="shared" si="0"/>
        <v>4000</v>
      </c>
      <c r="S6" s="292">
        <f t="shared" si="0"/>
        <v>4000</v>
      </c>
      <c r="T6" s="292">
        <f t="shared" si="0"/>
        <v>4000</v>
      </c>
      <c r="U6" s="292">
        <f t="shared" si="0"/>
        <v>4000</v>
      </c>
      <c r="V6" s="292">
        <f t="shared" si="0"/>
        <v>4000</v>
      </c>
      <c r="W6" s="292">
        <f t="shared" si="0"/>
        <v>4000</v>
      </c>
      <c r="X6" s="292">
        <f t="shared" si="0"/>
        <v>4000</v>
      </c>
      <c r="Y6" s="292">
        <f t="shared" si="0"/>
        <v>4000</v>
      </c>
      <c r="Z6" s="292">
        <f t="shared" si="0"/>
        <v>4000</v>
      </c>
      <c r="AA6" s="292">
        <f t="shared" si="0"/>
        <v>4000</v>
      </c>
      <c r="AB6" s="29">
        <f t="shared" ref="AB6:AB36" si="1">N6/12</f>
        <v>4000</v>
      </c>
      <c r="AE6" s="213"/>
    </row>
    <row r="7" spans="1:31">
      <c r="A7" t="s">
        <v>157</v>
      </c>
      <c r="B7" t="s">
        <v>158</v>
      </c>
      <c r="C7" s="202"/>
      <c r="D7" s="203"/>
      <c r="E7" s="204"/>
      <c r="F7" s="205">
        <v>1</v>
      </c>
      <c r="G7" t="s">
        <v>325</v>
      </c>
      <c r="H7" t="s">
        <v>701</v>
      </c>
      <c r="I7" t="s">
        <v>701</v>
      </c>
      <c r="J7" s="206" t="s">
        <v>321</v>
      </c>
      <c r="K7" t="s">
        <v>322</v>
      </c>
      <c r="L7" t="s">
        <v>324</v>
      </c>
      <c r="M7" t="s">
        <v>129</v>
      </c>
      <c r="N7" s="199">
        <v>3809.2307692307691</v>
      </c>
      <c r="O7" s="207">
        <v>74280</v>
      </c>
      <c r="P7" s="209">
        <v>6190</v>
      </c>
      <c r="Q7" s="209">
        <v>6190</v>
      </c>
      <c r="R7" s="209">
        <v>6190</v>
      </c>
      <c r="S7" s="209">
        <v>6190</v>
      </c>
      <c r="T7" s="209">
        <v>6190</v>
      </c>
      <c r="U7" s="209">
        <v>6190</v>
      </c>
      <c r="V7" s="209">
        <v>6190</v>
      </c>
      <c r="W7" s="209">
        <v>6190</v>
      </c>
      <c r="X7" s="209">
        <v>6190</v>
      </c>
      <c r="Y7" s="209">
        <v>6190</v>
      </c>
      <c r="Z7" s="209">
        <v>6190</v>
      </c>
      <c r="AA7" s="209">
        <v>6190</v>
      </c>
      <c r="AB7" s="29">
        <f t="shared" si="1"/>
        <v>317.4358974358974</v>
      </c>
      <c r="AE7" s="213"/>
    </row>
    <row r="8" spans="1:31">
      <c r="A8" t="s">
        <v>157</v>
      </c>
      <c r="B8" t="s">
        <v>158</v>
      </c>
      <c r="C8" s="202"/>
      <c r="D8" s="203"/>
      <c r="E8" s="204"/>
      <c r="F8" s="205">
        <v>1</v>
      </c>
      <c r="G8" t="s">
        <v>243</v>
      </c>
      <c r="H8" t="s">
        <v>244</v>
      </c>
      <c r="I8" t="s">
        <v>245</v>
      </c>
      <c r="J8" s="214" t="s">
        <v>246</v>
      </c>
      <c r="K8" t="s">
        <v>247</v>
      </c>
      <c r="L8" t="s">
        <v>248</v>
      </c>
      <c r="M8" t="s">
        <v>129</v>
      </c>
      <c r="N8" s="566">
        <v>205.12820512820514</v>
      </c>
      <c r="O8" s="571">
        <v>4000</v>
      </c>
      <c r="P8" s="269">
        <v>0</v>
      </c>
      <c r="Q8" s="574">
        <v>0</v>
      </c>
      <c r="R8" s="574">
        <v>0</v>
      </c>
      <c r="S8" s="574">
        <v>0</v>
      </c>
      <c r="T8" s="575">
        <v>2000</v>
      </c>
      <c r="U8" s="269">
        <v>0</v>
      </c>
      <c r="V8" s="574">
        <v>0</v>
      </c>
      <c r="W8" s="574">
        <v>0</v>
      </c>
      <c r="X8" s="574">
        <v>0</v>
      </c>
      <c r="Y8" s="574">
        <v>0</v>
      </c>
      <c r="Z8" s="574">
        <v>0</v>
      </c>
      <c r="AA8" s="575">
        <v>2000</v>
      </c>
      <c r="AB8" s="29">
        <f t="shared" si="1"/>
        <v>17.094017094017094</v>
      </c>
      <c r="AC8" t="s">
        <v>716</v>
      </c>
    </row>
    <row r="9" spans="1:31">
      <c r="A9" t="s">
        <v>157</v>
      </c>
      <c r="B9" t="s">
        <v>158</v>
      </c>
      <c r="C9" s="202"/>
      <c r="D9" s="203"/>
      <c r="E9" s="204"/>
      <c r="F9" s="205">
        <v>1</v>
      </c>
      <c r="G9" t="s">
        <v>249</v>
      </c>
      <c r="H9" t="s">
        <v>244</v>
      </c>
      <c r="I9" t="s">
        <v>245</v>
      </c>
      <c r="J9" s="214" t="s">
        <v>250</v>
      </c>
      <c r="K9" t="s">
        <v>251</v>
      </c>
      <c r="L9" t="s">
        <v>248</v>
      </c>
      <c r="M9" t="s">
        <v>129</v>
      </c>
      <c r="N9" s="566">
        <v>102.56410256410257</v>
      </c>
      <c r="O9" s="571">
        <v>2000</v>
      </c>
      <c r="P9" s="269">
        <v>0</v>
      </c>
      <c r="Q9" s="574">
        <v>0</v>
      </c>
      <c r="R9" s="574">
        <v>0</v>
      </c>
      <c r="S9" s="574">
        <v>0</v>
      </c>
      <c r="T9" s="575">
        <v>1000</v>
      </c>
      <c r="U9" s="269">
        <v>0</v>
      </c>
      <c r="V9" s="574">
        <v>0</v>
      </c>
      <c r="W9" s="574">
        <v>0</v>
      </c>
      <c r="X9" s="574">
        <v>0</v>
      </c>
      <c r="Y9" s="574">
        <v>0</v>
      </c>
      <c r="Z9" s="574">
        <v>0</v>
      </c>
      <c r="AA9" s="575">
        <v>1000</v>
      </c>
      <c r="AB9" s="29">
        <f t="shared" si="1"/>
        <v>8.5470085470085468</v>
      </c>
      <c r="AC9" t="s">
        <v>716</v>
      </c>
    </row>
    <row r="10" spans="1:31">
      <c r="A10" t="s">
        <v>157</v>
      </c>
      <c r="B10" t="s">
        <v>158</v>
      </c>
      <c r="C10" s="202"/>
      <c r="D10" s="203"/>
      <c r="E10" s="204"/>
      <c r="F10" s="205">
        <v>1</v>
      </c>
      <c r="G10" t="s">
        <v>252</v>
      </c>
      <c r="H10" t="s">
        <v>244</v>
      </c>
      <c r="I10" t="s">
        <v>245</v>
      </c>
      <c r="J10" s="214" t="s">
        <v>253</v>
      </c>
      <c r="K10" t="s">
        <v>254</v>
      </c>
      <c r="L10" t="s">
        <v>248</v>
      </c>
      <c r="M10" t="s">
        <v>129</v>
      </c>
      <c r="N10" s="566">
        <v>410.25641025641028</v>
      </c>
      <c r="O10" s="571">
        <v>8000</v>
      </c>
      <c r="P10" s="269">
        <v>0</v>
      </c>
      <c r="Q10" s="574">
        <v>0</v>
      </c>
      <c r="R10" s="574">
        <v>0</v>
      </c>
      <c r="S10" s="574">
        <v>0</v>
      </c>
      <c r="T10" s="575">
        <v>4000</v>
      </c>
      <c r="U10" s="269">
        <v>0</v>
      </c>
      <c r="V10" s="574">
        <v>0</v>
      </c>
      <c r="W10" s="574">
        <v>0</v>
      </c>
      <c r="X10" s="574">
        <v>0</v>
      </c>
      <c r="Y10" s="574">
        <v>0</v>
      </c>
      <c r="Z10" s="574">
        <v>0</v>
      </c>
      <c r="AA10" s="575">
        <v>4000</v>
      </c>
      <c r="AB10" s="29">
        <f t="shared" si="1"/>
        <v>34.188034188034187</v>
      </c>
      <c r="AC10" t="s">
        <v>716</v>
      </c>
    </row>
    <row r="11" spans="1:31">
      <c r="A11" t="s">
        <v>157</v>
      </c>
      <c r="B11" t="s">
        <v>158</v>
      </c>
      <c r="C11" s="202"/>
      <c r="D11" s="203"/>
      <c r="E11" s="204"/>
      <c r="F11" s="205">
        <v>1</v>
      </c>
      <c r="G11" t="s">
        <v>255</v>
      </c>
      <c r="H11" t="s">
        <v>244</v>
      </c>
      <c r="I11" t="s">
        <v>245</v>
      </c>
      <c r="J11" s="214" t="s">
        <v>256</v>
      </c>
      <c r="K11" t="s">
        <v>257</v>
      </c>
      <c r="L11" t="s">
        <v>248</v>
      </c>
      <c r="M11" t="s">
        <v>129</v>
      </c>
      <c r="N11" s="566">
        <v>153.84615384615384</v>
      </c>
      <c r="O11" s="571">
        <v>3000</v>
      </c>
      <c r="P11" s="269">
        <v>0</v>
      </c>
      <c r="Q11" s="574">
        <v>0</v>
      </c>
      <c r="R11" s="574">
        <v>0</v>
      </c>
      <c r="S11" s="574">
        <v>0</v>
      </c>
      <c r="T11" s="575">
        <v>1500</v>
      </c>
      <c r="U11" s="269">
        <v>0</v>
      </c>
      <c r="V11" s="574">
        <v>0</v>
      </c>
      <c r="W11" s="574">
        <v>0</v>
      </c>
      <c r="X11" s="574">
        <v>0</v>
      </c>
      <c r="Y11" s="574">
        <v>0</v>
      </c>
      <c r="Z11" s="574">
        <v>0</v>
      </c>
      <c r="AA11" s="575">
        <v>1500</v>
      </c>
      <c r="AB11" s="29">
        <f t="shared" si="1"/>
        <v>12.820512820512819</v>
      </c>
      <c r="AC11" t="s">
        <v>716</v>
      </c>
    </row>
    <row r="12" spans="1:31">
      <c r="A12" t="s">
        <v>386</v>
      </c>
      <c r="B12" t="s">
        <v>387</v>
      </c>
      <c r="C12" s="202"/>
      <c r="D12" s="203"/>
      <c r="E12" s="204"/>
      <c r="F12" s="564">
        <v>1</v>
      </c>
      <c r="G12" t="s">
        <v>243</v>
      </c>
      <c r="H12" t="s">
        <v>244</v>
      </c>
      <c r="J12" s="214" t="s">
        <v>246</v>
      </c>
      <c r="K12" t="s">
        <v>247</v>
      </c>
      <c r="L12" t="s">
        <v>248</v>
      </c>
      <c r="M12" t="s">
        <v>129</v>
      </c>
      <c r="N12" s="566">
        <v>615.38461538461536</v>
      </c>
      <c r="O12" s="581">
        <v>12000</v>
      </c>
      <c r="P12" s="580">
        <v>0</v>
      </c>
      <c r="Q12" s="580">
        <v>0</v>
      </c>
      <c r="R12" s="579">
        <v>6000</v>
      </c>
      <c r="S12" s="580">
        <v>0</v>
      </c>
      <c r="T12" s="580">
        <v>0</v>
      </c>
      <c r="U12" s="580">
        <v>0</v>
      </c>
      <c r="V12" s="580">
        <v>0</v>
      </c>
      <c r="W12" s="580">
        <v>0</v>
      </c>
      <c r="X12" s="579">
        <v>6000</v>
      </c>
      <c r="Y12" s="580">
        <v>0</v>
      </c>
      <c r="Z12" s="580">
        <v>0</v>
      </c>
      <c r="AA12" s="580">
        <v>0</v>
      </c>
      <c r="AB12" s="29">
        <f t="shared" si="1"/>
        <v>51.282051282051277</v>
      </c>
      <c r="AC12" t="s">
        <v>716</v>
      </c>
    </row>
    <row r="13" spans="1:31">
      <c r="A13" t="s">
        <v>386</v>
      </c>
      <c r="B13" t="s">
        <v>387</v>
      </c>
      <c r="C13" s="202"/>
      <c r="D13" s="203"/>
      <c r="E13" s="204"/>
      <c r="F13" s="564">
        <v>1</v>
      </c>
      <c r="G13" t="s">
        <v>249</v>
      </c>
      <c r="H13" t="s">
        <v>244</v>
      </c>
      <c r="J13" s="214" t="s">
        <v>250</v>
      </c>
      <c r="K13" t="s">
        <v>251</v>
      </c>
      <c r="L13" t="s">
        <v>248</v>
      </c>
      <c r="M13" t="s">
        <v>129</v>
      </c>
      <c r="N13" s="566">
        <v>205.12820512820514</v>
      </c>
      <c r="O13" s="581">
        <v>4000</v>
      </c>
      <c r="P13" s="580">
        <v>0</v>
      </c>
      <c r="Q13" s="580">
        <v>0</v>
      </c>
      <c r="R13" s="579">
        <v>2000</v>
      </c>
      <c r="S13" s="580">
        <v>0</v>
      </c>
      <c r="T13" s="580">
        <v>0</v>
      </c>
      <c r="U13" s="580">
        <v>0</v>
      </c>
      <c r="V13" s="580">
        <v>0</v>
      </c>
      <c r="W13" s="580">
        <v>0</v>
      </c>
      <c r="X13" s="579">
        <v>2000</v>
      </c>
      <c r="Y13" s="580">
        <v>0</v>
      </c>
      <c r="Z13" s="580">
        <v>0</v>
      </c>
      <c r="AA13" s="580">
        <v>0</v>
      </c>
      <c r="AB13" s="29">
        <f t="shared" si="1"/>
        <v>17.094017094017094</v>
      </c>
      <c r="AC13" t="s">
        <v>716</v>
      </c>
    </row>
    <row r="14" spans="1:31">
      <c r="A14" t="s">
        <v>386</v>
      </c>
      <c r="B14" t="s">
        <v>387</v>
      </c>
      <c r="C14" s="202"/>
      <c r="D14" s="203"/>
      <c r="E14" s="204"/>
      <c r="F14" s="564">
        <v>1</v>
      </c>
      <c r="G14" t="s">
        <v>252</v>
      </c>
      <c r="H14" t="s">
        <v>244</v>
      </c>
      <c r="J14" s="214" t="s">
        <v>253</v>
      </c>
      <c r="K14" t="s">
        <v>254</v>
      </c>
      <c r="L14" t="s">
        <v>248</v>
      </c>
      <c r="M14" t="s">
        <v>27</v>
      </c>
      <c r="N14" s="566">
        <v>2713.4545454545455</v>
      </c>
      <c r="O14" s="581">
        <v>14924</v>
      </c>
      <c r="P14" s="580">
        <v>0</v>
      </c>
      <c r="Q14" s="580">
        <v>0</v>
      </c>
      <c r="R14" s="579">
        <v>7462</v>
      </c>
      <c r="S14" s="580">
        <v>0</v>
      </c>
      <c r="T14" s="580">
        <v>0</v>
      </c>
      <c r="U14" s="580">
        <v>0</v>
      </c>
      <c r="V14" s="580">
        <v>0</v>
      </c>
      <c r="W14" s="580">
        <v>0</v>
      </c>
      <c r="X14" s="579">
        <v>7462</v>
      </c>
      <c r="Y14" s="580">
        <v>0</v>
      </c>
      <c r="Z14" s="580">
        <v>0</v>
      </c>
      <c r="AA14" s="580">
        <v>0</v>
      </c>
      <c r="AB14" s="29">
        <f t="shared" si="1"/>
        <v>226.12121212121212</v>
      </c>
    </row>
    <row r="15" spans="1:31">
      <c r="A15" t="s">
        <v>386</v>
      </c>
      <c r="B15" t="s">
        <v>387</v>
      </c>
      <c r="C15" s="202"/>
      <c r="D15" s="203"/>
      <c r="E15" s="204"/>
      <c r="F15" s="564">
        <v>1</v>
      </c>
      <c r="G15" t="s">
        <v>255</v>
      </c>
      <c r="H15" t="s">
        <v>244</v>
      </c>
      <c r="J15" s="214" t="s">
        <v>256</v>
      </c>
      <c r="K15" t="s">
        <v>257</v>
      </c>
      <c r="L15" t="s">
        <v>248</v>
      </c>
      <c r="M15" t="s">
        <v>129</v>
      </c>
      <c r="N15" s="566">
        <v>102.56410256410257</v>
      </c>
      <c r="O15" s="581">
        <v>2000</v>
      </c>
      <c r="P15" s="580">
        <v>0</v>
      </c>
      <c r="Q15" s="580">
        <v>0</v>
      </c>
      <c r="R15" s="579">
        <v>1000</v>
      </c>
      <c r="S15" s="580">
        <v>0</v>
      </c>
      <c r="T15" s="580">
        <v>0</v>
      </c>
      <c r="U15" s="580">
        <v>0</v>
      </c>
      <c r="V15" s="580">
        <v>0</v>
      </c>
      <c r="W15" s="580">
        <v>0</v>
      </c>
      <c r="X15" s="579">
        <v>1000</v>
      </c>
      <c r="Y15" s="580">
        <v>0</v>
      </c>
      <c r="Z15" s="580">
        <v>0</v>
      </c>
      <c r="AA15" s="580">
        <v>0</v>
      </c>
      <c r="AB15" s="29">
        <f t="shared" si="1"/>
        <v>8.5470085470085468</v>
      </c>
    </row>
    <row r="16" spans="1:31">
      <c r="A16" t="s">
        <v>436</v>
      </c>
      <c r="B16" t="s">
        <v>437</v>
      </c>
      <c r="C16" s="202"/>
      <c r="D16" s="203"/>
      <c r="E16" s="204"/>
      <c r="F16" s="205">
        <v>1</v>
      </c>
      <c r="G16" t="s">
        <v>252</v>
      </c>
      <c r="H16" t="s">
        <v>244</v>
      </c>
      <c r="J16" s="214" t="s">
        <v>253</v>
      </c>
      <c r="K16" t="s">
        <v>254</v>
      </c>
      <c r="L16" t="s">
        <v>248</v>
      </c>
      <c r="M16" t="s">
        <v>129</v>
      </c>
      <c r="N16" s="199">
        <v>205.12820512820514</v>
      </c>
      <c r="O16" s="207">
        <v>4000</v>
      </c>
      <c r="P16" s="209">
        <v>0</v>
      </c>
      <c r="Q16" s="209">
        <v>0</v>
      </c>
      <c r="R16" s="209">
        <v>0</v>
      </c>
      <c r="S16" s="209">
        <v>0</v>
      </c>
      <c r="T16" s="209">
        <v>0</v>
      </c>
      <c r="U16" s="209">
        <v>0</v>
      </c>
      <c r="V16" s="209">
        <v>0</v>
      </c>
      <c r="W16" s="209">
        <v>0</v>
      </c>
      <c r="X16" s="220">
        <v>4000</v>
      </c>
      <c r="Y16" s="209">
        <v>0</v>
      </c>
      <c r="Z16" s="209">
        <v>0</v>
      </c>
      <c r="AA16" s="209">
        <v>0</v>
      </c>
      <c r="AB16" s="29">
        <f t="shared" si="1"/>
        <v>17.094017094017094</v>
      </c>
    </row>
    <row r="17" spans="1:29">
      <c r="A17" t="s">
        <v>157</v>
      </c>
      <c r="B17" t="s">
        <v>158</v>
      </c>
      <c r="C17" s="202"/>
      <c r="D17" s="203"/>
      <c r="E17" s="204"/>
      <c r="F17" s="205">
        <v>1</v>
      </c>
      <c r="G17" t="s">
        <v>180</v>
      </c>
      <c r="H17" t="s">
        <v>181</v>
      </c>
      <c r="I17" t="s">
        <v>181</v>
      </c>
      <c r="J17" s="206" t="s">
        <v>162</v>
      </c>
      <c r="K17" t="s">
        <v>163</v>
      </c>
      <c r="L17" t="s">
        <v>164</v>
      </c>
      <c r="M17" t="s">
        <v>128</v>
      </c>
      <c r="N17" s="566">
        <v>153.5</v>
      </c>
      <c r="O17" s="571">
        <v>153.5</v>
      </c>
      <c r="P17" s="263">
        <v>0</v>
      </c>
      <c r="Q17" s="263">
        <v>0</v>
      </c>
      <c r="R17" s="263">
        <v>0</v>
      </c>
      <c r="S17" s="263">
        <v>0</v>
      </c>
      <c r="T17" s="263">
        <v>0</v>
      </c>
      <c r="U17" s="263">
        <v>0</v>
      </c>
      <c r="V17" s="263">
        <v>0</v>
      </c>
      <c r="W17" s="573">
        <v>153.5</v>
      </c>
      <c r="X17" s="263">
        <v>0</v>
      </c>
      <c r="Y17" s="263">
        <v>0</v>
      </c>
      <c r="Z17" s="263">
        <v>0</v>
      </c>
      <c r="AA17" s="263">
        <v>0</v>
      </c>
      <c r="AB17" s="29">
        <f t="shared" si="1"/>
        <v>12.791666666666666</v>
      </c>
    </row>
    <row r="18" spans="1:29">
      <c r="A18" s="52" t="s">
        <v>386</v>
      </c>
      <c r="B18" s="52" t="s">
        <v>387</v>
      </c>
      <c r="C18" s="202">
        <v>0.9</v>
      </c>
      <c r="D18" s="203">
        <v>0.1</v>
      </c>
      <c r="E18" s="563"/>
      <c r="F18" s="564"/>
      <c r="G18" s="52" t="s">
        <v>388</v>
      </c>
      <c r="H18" s="52" t="s">
        <v>398</v>
      </c>
      <c r="I18" s="52" t="s">
        <v>616</v>
      </c>
      <c r="J18" s="565" t="s">
        <v>162</v>
      </c>
      <c r="K18" s="52" t="s">
        <v>163</v>
      </c>
      <c r="L18" s="52" t="s">
        <v>164</v>
      </c>
      <c r="M18" s="52" t="s">
        <v>128</v>
      </c>
      <c r="N18" s="566">
        <v>3588</v>
      </c>
      <c r="O18" s="567">
        <v>3588</v>
      </c>
      <c r="P18" s="569">
        <v>299</v>
      </c>
      <c r="Q18" s="569">
        <v>299</v>
      </c>
      <c r="R18" s="569">
        <v>299</v>
      </c>
      <c r="S18" s="569">
        <v>299</v>
      </c>
      <c r="T18" s="569">
        <v>299</v>
      </c>
      <c r="U18" s="569">
        <v>299</v>
      </c>
      <c r="V18" s="569">
        <v>299</v>
      </c>
      <c r="W18" s="569">
        <v>299</v>
      </c>
      <c r="X18" s="569">
        <v>299</v>
      </c>
      <c r="Y18" s="569">
        <v>299</v>
      </c>
      <c r="Z18" s="569">
        <v>299</v>
      </c>
      <c r="AA18" s="569">
        <v>299</v>
      </c>
      <c r="AB18" s="29">
        <f t="shared" si="1"/>
        <v>299</v>
      </c>
    </row>
    <row r="19" spans="1:29" s="52" customFormat="1">
      <c r="A19" s="52" t="s">
        <v>386</v>
      </c>
      <c r="B19" s="52" t="s">
        <v>387</v>
      </c>
      <c r="C19" s="202">
        <v>0.9</v>
      </c>
      <c r="D19" s="203">
        <v>0.1</v>
      </c>
      <c r="E19" s="563"/>
      <c r="F19" s="564"/>
      <c r="G19" s="52" t="s">
        <v>388</v>
      </c>
      <c r="H19" s="52" t="s">
        <v>399</v>
      </c>
      <c r="J19" s="565" t="s">
        <v>162</v>
      </c>
      <c r="K19" s="52" t="s">
        <v>163</v>
      </c>
      <c r="L19" s="52" t="s">
        <v>164</v>
      </c>
      <c r="M19" s="52" t="s">
        <v>400</v>
      </c>
      <c r="N19" s="566">
        <v>348</v>
      </c>
      <c r="O19" s="567">
        <v>348</v>
      </c>
      <c r="P19" s="569">
        <v>29</v>
      </c>
      <c r="Q19" s="569">
        <v>29</v>
      </c>
      <c r="R19" s="569">
        <v>29</v>
      </c>
      <c r="S19" s="569">
        <v>29</v>
      </c>
      <c r="T19" s="569">
        <v>29</v>
      </c>
      <c r="U19" s="569">
        <v>29</v>
      </c>
      <c r="V19" s="569">
        <v>29</v>
      </c>
      <c r="W19" s="569">
        <v>29</v>
      </c>
      <c r="X19" s="569">
        <v>29</v>
      </c>
      <c r="Y19" s="569">
        <v>29</v>
      </c>
      <c r="Z19" s="569">
        <v>29</v>
      </c>
      <c r="AA19" s="569">
        <v>29</v>
      </c>
      <c r="AB19" s="29">
        <f t="shared" si="1"/>
        <v>29</v>
      </c>
    </row>
    <row r="20" spans="1:29" s="52" customFormat="1">
      <c r="A20" t="s">
        <v>157</v>
      </c>
      <c r="B20" t="s">
        <v>158</v>
      </c>
      <c r="C20" s="202"/>
      <c r="D20" s="203"/>
      <c r="E20" s="204"/>
      <c r="F20" s="205">
        <v>1</v>
      </c>
      <c r="G20" t="s">
        <v>205</v>
      </c>
      <c r="H20" t="s">
        <v>206</v>
      </c>
      <c r="I20" t="s">
        <v>205</v>
      </c>
      <c r="J20" s="206" t="s">
        <v>186</v>
      </c>
      <c r="K20" t="s">
        <v>187</v>
      </c>
      <c r="L20" t="s">
        <v>188</v>
      </c>
      <c r="M20" t="s">
        <v>129</v>
      </c>
      <c r="N20" s="566">
        <v>125.12820512820512</v>
      </c>
      <c r="O20" s="571">
        <v>2440</v>
      </c>
      <c r="P20" s="263">
        <v>0</v>
      </c>
      <c r="Q20" s="263">
        <v>0</v>
      </c>
      <c r="R20" s="263">
        <v>0</v>
      </c>
      <c r="S20" s="263">
        <v>1220</v>
      </c>
      <c r="T20" s="263">
        <v>0</v>
      </c>
      <c r="U20" s="263">
        <v>0</v>
      </c>
      <c r="V20" s="263">
        <v>0</v>
      </c>
      <c r="W20" s="263">
        <v>0</v>
      </c>
      <c r="X20" s="263">
        <v>1220</v>
      </c>
      <c r="Y20" s="263">
        <v>0</v>
      </c>
      <c r="Z20" s="263">
        <v>0</v>
      </c>
      <c r="AA20" s="263">
        <v>0</v>
      </c>
      <c r="AB20" s="29">
        <f t="shared" si="1"/>
        <v>10.427350427350428</v>
      </c>
    </row>
    <row r="21" spans="1:29" s="52" customFormat="1">
      <c r="A21" t="s">
        <v>386</v>
      </c>
      <c r="B21" t="s">
        <v>387</v>
      </c>
      <c r="C21" s="202">
        <v>0.9</v>
      </c>
      <c r="D21" s="203">
        <v>0.1</v>
      </c>
      <c r="E21" s="204"/>
      <c r="F21" s="205"/>
      <c r="G21" s="260" t="s">
        <v>388</v>
      </c>
      <c r="H21" s="260" t="s">
        <v>413</v>
      </c>
      <c r="I21" s="260" t="s">
        <v>414</v>
      </c>
      <c r="J21" s="214" t="s">
        <v>186</v>
      </c>
      <c r="K21" t="s">
        <v>187</v>
      </c>
      <c r="L21" t="s">
        <v>188</v>
      </c>
      <c r="M21" t="s">
        <v>128</v>
      </c>
      <c r="N21" s="566">
        <v>3000</v>
      </c>
      <c r="O21" s="579">
        <v>3000</v>
      </c>
      <c r="P21" s="580">
        <v>0</v>
      </c>
      <c r="Q21" s="580">
        <v>0</v>
      </c>
      <c r="R21" s="580">
        <v>0</v>
      </c>
      <c r="S21" s="580">
        <v>2000</v>
      </c>
      <c r="T21" s="580">
        <v>0</v>
      </c>
      <c r="U21" s="580">
        <v>0</v>
      </c>
      <c r="V21" s="580">
        <v>0</v>
      </c>
      <c r="W21" s="580">
        <v>0</v>
      </c>
      <c r="X21" s="580">
        <v>1000</v>
      </c>
      <c r="Y21" s="580">
        <v>0</v>
      </c>
      <c r="Z21" s="580">
        <v>0</v>
      </c>
      <c r="AA21" s="580">
        <v>0</v>
      </c>
      <c r="AB21" s="29">
        <f t="shared" si="1"/>
        <v>250</v>
      </c>
    </row>
    <row r="22" spans="1:29" s="52" customFormat="1">
      <c r="A22" t="s">
        <v>386</v>
      </c>
      <c r="B22" t="s">
        <v>387</v>
      </c>
      <c r="C22" s="202">
        <v>0.9</v>
      </c>
      <c r="D22" s="203">
        <v>0.1</v>
      </c>
      <c r="E22" s="204"/>
      <c r="F22" s="205"/>
      <c r="G22" s="260" t="s">
        <v>388</v>
      </c>
      <c r="H22" s="260" t="s">
        <v>415</v>
      </c>
      <c r="I22" s="260" t="s">
        <v>416</v>
      </c>
      <c r="J22" s="214" t="s">
        <v>186</v>
      </c>
      <c r="K22" t="s">
        <v>187</v>
      </c>
      <c r="L22" t="s">
        <v>188</v>
      </c>
      <c r="M22" t="s">
        <v>128</v>
      </c>
      <c r="N22" s="566">
        <v>5000</v>
      </c>
      <c r="O22" s="581">
        <v>5000</v>
      </c>
      <c r="P22" s="580">
        <v>0</v>
      </c>
      <c r="Q22" s="580">
        <v>0</v>
      </c>
      <c r="R22" s="580">
        <v>0</v>
      </c>
      <c r="S22" s="579">
        <v>2500</v>
      </c>
      <c r="T22" s="580">
        <v>0</v>
      </c>
      <c r="U22" s="580">
        <v>0</v>
      </c>
      <c r="V22" s="580">
        <v>0</v>
      </c>
      <c r="W22" s="580">
        <v>0</v>
      </c>
      <c r="X22" s="579">
        <v>2500</v>
      </c>
      <c r="Y22" s="580">
        <v>0</v>
      </c>
      <c r="Z22" s="580">
        <v>0</v>
      </c>
      <c r="AA22" s="580">
        <v>0</v>
      </c>
      <c r="AB22" s="29">
        <f t="shared" si="1"/>
        <v>416.66666666666669</v>
      </c>
    </row>
    <row r="23" spans="1:29" s="52" customFormat="1">
      <c r="A23" t="s">
        <v>157</v>
      </c>
      <c r="B23" t="s">
        <v>158</v>
      </c>
      <c r="C23" s="601">
        <v>0.4</v>
      </c>
      <c r="D23" s="601">
        <v>0.4</v>
      </c>
      <c r="E23" s="601">
        <v>0.2</v>
      </c>
      <c r="F23" s="601">
        <v>0</v>
      </c>
      <c r="G23" t="s">
        <v>209</v>
      </c>
      <c r="H23" t="s">
        <v>210</v>
      </c>
      <c r="I23" t="s">
        <v>211</v>
      </c>
      <c r="J23" s="214" t="s">
        <v>212</v>
      </c>
      <c r="K23" t="s">
        <v>213</v>
      </c>
      <c r="L23" t="s">
        <v>214</v>
      </c>
      <c r="M23" t="s">
        <v>129</v>
      </c>
      <c r="N23" s="566">
        <v>48964.732307692298</v>
      </c>
      <c r="O23" s="571">
        <v>954812.2799999998</v>
      </c>
      <c r="P23" s="217">
        <v>79567.69</v>
      </c>
      <c r="Q23" s="217">
        <v>79567.69</v>
      </c>
      <c r="R23" s="217">
        <v>79567.69</v>
      </c>
      <c r="S23" s="217">
        <v>79567.69</v>
      </c>
      <c r="T23" s="217">
        <v>79567.69</v>
      </c>
      <c r="U23" s="217">
        <v>79567.69</v>
      </c>
      <c r="V23" s="217">
        <v>79567.69</v>
      </c>
      <c r="W23" s="217">
        <v>79567.69</v>
      </c>
      <c r="X23" s="217">
        <v>79567.69</v>
      </c>
      <c r="Y23" s="217">
        <v>79567.69</v>
      </c>
      <c r="Z23" s="217">
        <v>79567.69</v>
      </c>
      <c r="AA23" s="217">
        <v>79567.69</v>
      </c>
      <c r="AB23" s="29">
        <f t="shared" si="1"/>
        <v>4080.3943589743581</v>
      </c>
      <c r="AC23"/>
    </row>
    <row r="24" spans="1:29" s="235" customFormat="1">
      <c r="A24" t="s">
        <v>157</v>
      </c>
      <c r="B24" t="s">
        <v>158</v>
      </c>
      <c r="C24" s="601"/>
      <c r="D24" s="601"/>
      <c r="E24" s="601"/>
      <c r="F24" s="601">
        <v>1</v>
      </c>
      <c r="G24" t="s">
        <v>209</v>
      </c>
      <c r="H24" t="s">
        <v>219</v>
      </c>
      <c r="I24" t="s">
        <v>719</v>
      </c>
      <c r="J24" s="206" t="s">
        <v>217</v>
      </c>
      <c r="K24" t="s">
        <v>218</v>
      </c>
      <c r="L24" t="s">
        <v>214</v>
      </c>
      <c r="M24" t="s">
        <v>129</v>
      </c>
      <c r="N24" s="566">
        <f>26953.8461538462/2</f>
        <v>13476.9230769231</v>
      </c>
      <c r="O24" s="572">
        <v>525600</v>
      </c>
      <c r="P24" s="554">
        <v>43800</v>
      </c>
      <c r="Q24" s="554">
        <v>43800</v>
      </c>
      <c r="R24" s="554">
        <v>43800</v>
      </c>
      <c r="S24" s="554">
        <v>43800</v>
      </c>
      <c r="T24" s="554">
        <v>43800</v>
      </c>
      <c r="U24" s="554">
        <v>43800</v>
      </c>
      <c r="V24" s="554">
        <v>43800</v>
      </c>
      <c r="W24" s="554">
        <v>43800</v>
      </c>
      <c r="X24" s="554">
        <v>43800</v>
      </c>
      <c r="Y24" s="554">
        <v>43800</v>
      </c>
      <c r="Z24" s="554">
        <v>43800</v>
      </c>
      <c r="AA24" s="554">
        <v>43800</v>
      </c>
      <c r="AB24" s="29">
        <f t="shared" si="1"/>
        <v>1123.0769230769249</v>
      </c>
      <c r="AC24" t="s">
        <v>716</v>
      </c>
    </row>
    <row r="25" spans="1:29" s="235" customFormat="1">
      <c r="A25" s="260" t="s">
        <v>327</v>
      </c>
      <c r="B25" t="s">
        <v>285</v>
      </c>
      <c r="C25" s="601"/>
      <c r="D25" s="601">
        <v>1</v>
      </c>
      <c r="E25" s="601"/>
      <c r="F25" s="601"/>
      <c r="G25" t="s">
        <v>209</v>
      </c>
      <c r="H25" t="s">
        <v>382</v>
      </c>
      <c r="I25" t="s">
        <v>383</v>
      </c>
      <c r="J25" s="260" t="s">
        <v>217</v>
      </c>
      <c r="K25" t="s">
        <v>218</v>
      </c>
      <c r="L25" t="s">
        <v>214</v>
      </c>
      <c r="M25" s="260" t="s">
        <v>128</v>
      </c>
      <c r="N25" s="566">
        <f>27720/2</f>
        <v>13860</v>
      </c>
      <c r="O25" s="571">
        <v>27720</v>
      </c>
      <c r="P25" s="266">
        <v>2310</v>
      </c>
      <c r="Q25" s="266">
        <v>2310</v>
      </c>
      <c r="R25" s="266">
        <v>2310</v>
      </c>
      <c r="S25" s="266">
        <v>2310</v>
      </c>
      <c r="T25" s="266">
        <v>2310</v>
      </c>
      <c r="U25" s="266">
        <v>2310</v>
      </c>
      <c r="V25" s="266">
        <v>2310</v>
      </c>
      <c r="W25" s="266">
        <v>2310</v>
      </c>
      <c r="X25" s="266">
        <v>2310</v>
      </c>
      <c r="Y25" s="266">
        <v>2310</v>
      </c>
      <c r="Z25" s="266">
        <v>2310</v>
      </c>
      <c r="AA25" s="266">
        <v>2310</v>
      </c>
      <c r="AB25" s="29">
        <f t="shared" si="1"/>
        <v>1155</v>
      </c>
      <c r="AC25" t="s">
        <v>716</v>
      </c>
    </row>
    <row r="26" spans="1:29" s="235" customFormat="1">
      <c r="A26" s="260" t="s">
        <v>327</v>
      </c>
      <c r="B26" t="s">
        <v>285</v>
      </c>
      <c r="C26" s="601">
        <v>1</v>
      </c>
      <c r="D26" s="601"/>
      <c r="E26" s="601"/>
      <c r="F26" s="601"/>
      <c r="G26" t="s">
        <v>209</v>
      </c>
      <c r="H26" t="s">
        <v>359</v>
      </c>
      <c r="I26" t="s">
        <v>360</v>
      </c>
      <c r="J26" s="260" t="s">
        <v>217</v>
      </c>
      <c r="K26" t="s">
        <v>218</v>
      </c>
      <c r="L26" t="s">
        <v>214</v>
      </c>
      <c r="M26" s="260" t="s">
        <v>129</v>
      </c>
      <c r="N26" s="566">
        <v>40615.384615384617</v>
      </c>
      <c r="O26" s="571">
        <v>792000</v>
      </c>
      <c r="P26" s="267">
        <v>66000</v>
      </c>
      <c r="Q26" s="267">
        <v>66000</v>
      </c>
      <c r="R26" s="267">
        <v>66000</v>
      </c>
      <c r="S26" s="267">
        <v>66000</v>
      </c>
      <c r="T26" s="267">
        <v>66000</v>
      </c>
      <c r="U26" s="267">
        <v>66000</v>
      </c>
      <c r="V26" s="267">
        <v>66000</v>
      </c>
      <c r="W26" s="267">
        <v>66000</v>
      </c>
      <c r="X26" s="267">
        <v>66000</v>
      </c>
      <c r="Y26" s="267">
        <v>66000</v>
      </c>
      <c r="Z26" s="267">
        <v>66000</v>
      </c>
      <c r="AA26" s="267">
        <v>66000</v>
      </c>
      <c r="AB26" s="29">
        <f t="shared" si="1"/>
        <v>3384.6153846153848</v>
      </c>
      <c r="AC26" t="s">
        <v>716</v>
      </c>
    </row>
    <row r="27" spans="1:29" s="235" customFormat="1">
      <c r="A27" s="260" t="s">
        <v>327</v>
      </c>
      <c r="B27" t="s">
        <v>285</v>
      </c>
      <c r="C27" s="601">
        <v>1</v>
      </c>
      <c r="D27" s="601"/>
      <c r="E27" s="601"/>
      <c r="F27" s="601"/>
      <c r="G27" t="s">
        <v>209</v>
      </c>
      <c r="H27" t="s">
        <v>372</v>
      </c>
      <c r="I27" t="s">
        <v>368</v>
      </c>
      <c r="J27" s="260" t="s">
        <v>217</v>
      </c>
      <c r="K27" t="s">
        <v>218</v>
      </c>
      <c r="L27" t="s">
        <v>214</v>
      </c>
      <c r="M27" s="260" t="s">
        <v>129</v>
      </c>
      <c r="N27" s="566">
        <v>18461.538461538461</v>
      </c>
      <c r="O27" s="571">
        <v>360000</v>
      </c>
      <c r="P27" s="266">
        <v>30000</v>
      </c>
      <c r="Q27" s="266">
        <v>30000</v>
      </c>
      <c r="R27" s="266">
        <v>30000</v>
      </c>
      <c r="S27" s="266">
        <v>30000</v>
      </c>
      <c r="T27" s="266">
        <v>30000</v>
      </c>
      <c r="U27" s="266">
        <v>30000</v>
      </c>
      <c r="V27" s="266">
        <v>30000</v>
      </c>
      <c r="W27" s="266">
        <v>30000</v>
      </c>
      <c r="X27" s="266">
        <v>30000</v>
      </c>
      <c r="Y27" s="266">
        <v>30000</v>
      </c>
      <c r="Z27" s="266">
        <v>30000</v>
      </c>
      <c r="AA27" s="266">
        <v>30000</v>
      </c>
      <c r="AB27" s="29">
        <f t="shared" si="1"/>
        <v>1538.4615384615383</v>
      </c>
      <c r="AC27" t="s">
        <v>716</v>
      </c>
    </row>
    <row r="28" spans="1:29" s="235" customFormat="1">
      <c r="A28" s="260" t="s">
        <v>327</v>
      </c>
      <c r="B28" t="s">
        <v>285</v>
      </c>
      <c r="C28" s="601">
        <v>1</v>
      </c>
      <c r="D28" s="601"/>
      <c r="E28" s="601"/>
      <c r="F28" s="601"/>
      <c r="G28" t="s">
        <v>209</v>
      </c>
      <c r="H28" t="s">
        <v>367</v>
      </c>
      <c r="I28" t="s">
        <v>368</v>
      </c>
      <c r="J28" s="260" t="s">
        <v>217</v>
      </c>
      <c r="K28" t="s">
        <v>218</v>
      </c>
      <c r="L28" t="s">
        <v>214</v>
      </c>
      <c r="M28" s="260" t="s">
        <v>129</v>
      </c>
      <c r="N28" s="566">
        <v>18461.538461538461</v>
      </c>
      <c r="O28" s="571">
        <v>360000</v>
      </c>
      <c r="P28" s="267">
        <v>30000</v>
      </c>
      <c r="Q28" s="267">
        <v>30000</v>
      </c>
      <c r="R28" s="267">
        <v>30000</v>
      </c>
      <c r="S28" s="267">
        <v>30000</v>
      </c>
      <c r="T28" s="267">
        <v>30000</v>
      </c>
      <c r="U28" s="267">
        <v>30000</v>
      </c>
      <c r="V28" s="267">
        <v>30000</v>
      </c>
      <c r="W28" s="267">
        <v>30000</v>
      </c>
      <c r="X28" s="267">
        <v>30000</v>
      </c>
      <c r="Y28" s="267">
        <v>30000</v>
      </c>
      <c r="Z28" s="267">
        <v>30000</v>
      </c>
      <c r="AA28" s="267">
        <v>30000</v>
      </c>
      <c r="AB28" s="29">
        <f t="shared" si="1"/>
        <v>1538.4615384615383</v>
      </c>
      <c r="AC28" t="s">
        <v>716</v>
      </c>
    </row>
    <row r="29" spans="1:29">
      <c r="A29" s="52" t="s">
        <v>386</v>
      </c>
      <c r="B29" s="52" t="s">
        <v>387</v>
      </c>
      <c r="C29" s="601">
        <v>0.9</v>
      </c>
      <c r="D29" s="601">
        <v>0.1</v>
      </c>
      <c r="E29" s="602"/>
      <c r="F29" s="602"/>
      <c r="G29" s="52" t="s">
        <v>209</v>
      </c>
      <c r="H29" s="52" t="s">
        <v>428</v>
      </c>
      <c r="I29" s="52" t="s">
        <v>425</v>
      </c>
      <c r="J29" s="565" t="s">
        <v>217</v>
      </c>
      <c r="K29" s="52" t="s">
        <v>218</v>
      </c>
      <c r="L29" s="52" t="s">
        <v>214</v>
      </c>
      <c r="M29" s="52" t="s">
        <v>129</v>
      </c>
      <c r="N29" s="199">
        <v>15815.384615384615</v>
      </c>
      <c r="O29" s="567">
        <v>308400</v>
      </c>
      <c r="P29" s="568">
        <v>25700</v>
      </c>
      <c r="Q29" s="568">
        <v>25700</v>
      </c>
      <c r="R29" s="568">
        <v>25700</v>
      </c>
      <c r="S29" s="568">
        <v>25700</v>
      </c>
      <c r="T29" s="568">
        <v>25700</v>
      </c>
      <c r="U29" s="568">
        <v>25700</v>
      </c>
      <c r="V29" s="568">
        <v>25700</v>
      </c>
      <c r="W29" s="568">
        <v>25700</v>
      </c>
      <c r="X29" s="568">
        <v>25700</v>
      </c>
      <c r="Y29" s="568">
        <v>25700</v>
      </c>
      <c r="Z29" s="568">
        <v>25700</v>
      </c>
      <c r="AA29" s="568">
        <v>25700</v>
      </c>
      <c r="AB29" s="29">
        <f t="shared" si="1"/>
        <v>1317.948717948718</v>
      </c>
    </row>
    <row r="30" spans="1:29">
      <c r="A30" s="236" t="s">
        <v>436</v>
      </c>
      <c r="B30" t="s">
        <v>437</v>
      </c>
      <c r="C30" s="601">
        <v>0.9</v>
      </c>
      <c r="D30" s="601">
        <v>0.1</v>
      </c>
      <c r="E30" s="601"/>
      <c r="F30" s="601"/>
      <c r="G30" s="236" t="s">
        <v>209</v>
      </c>
      <c r="H30" s="291" t="s">
        <v>475</v>
      </c>
      <c r="I30" s="236" t="s">
        <v>476</v>
      </c>
      <c r="J30" s="294" t="s">
        <v>217</v>
      </c>
      <c r="K30" t="s">
        <v>218</v>
      </c>
      <c r="L30" t="s">
        <v>214</v>
      </c>
      <c r="M30" s="291" t="s">
        <v>129</v>
      </c>
      <c r="N30" s="199">
        <v>15384.738461538465</v>
      </c>
      <c r="O30" s="591">
        <v>300002.40000000008</v>
      </c>
      <c r="P30" s="593">
        <v>25000.2</v>
      </c>
      <c r="Q30" s="593">
        <v>25000.2</v>
      </c>
      <c r="R30" s="593">
        <v>25000.2</v>
      </c>
      <c r="S30" s="593">
        <v>25000.2</v>
      </c>
      <c r="T30" s="593">
        <v>25000.2</v>
      </c>
      <c r="U30" s="593">
        <v>25000.2</v>
      </c>
      <c r="V30" s="593">
        <v>25000.2</v>
      </c>
      <c r="W30" s="593">
        <v>25000.2</v>
      </c>
      <c r="X30" s="593">
        <v>25000.2</v>
      </c>
      <c r="Y30" s="593">
        <v>25000.2</v>
      </c>
      <c r="Z30" s="593">
        <v>25000.2</v>
      </c>
      <c r="AA30" s="593">
        <v>25000.2</v>
      </c>
      <c r="AB30" s="29">
        <f t="shared" si="1"/>
        <v>1282.0615384615387</v>
      </c>
    </row>
    <row r="31" spans="1:29">
      <c r="A31" t="s">
        <v>157</v>
      </c>
      <c r="B31" t="s">
        <v>158</v>
      </c>
      <c r="C31" s="601"/>
      <c r="D31" s="601"/>
      <c r="E31" s="601"/>
      <c r="F31" s="601">
        <v>1</v>
      </c>
      <c r="G31" t="s">
        <v>224</v>
      </c>
      <c r="H31" t="s">
        <v>232</v>
      </c>
      <c r="I31" t="s">
        <v>232</v>
      </c>
      <c r="J31" s="206" t="s">
        <v>233</v>
      </c>
      <c r="K31" t="s">
        <v>234</v>
      </c>
      <c r="L31" t="s">
        <v>214</v>
      </c>
      <c r="M31" t="s">
        <v>128</v>
      </c>
      <c r="N31" s="199">
        <v>50000</v>
      </c>
      <c r="O31" s="591">
        <v>50000</v>
      </c>
      <c r="P31" s="592">
        <v>0</v>
      </c>
      <c r="Q31" s="592">
        <v>50000</v>
      </c>
      <c r="R31" s="592">
        <v>0</v>
      </c>
      <c r="S31" s="592">
        <v>0</v>
      </c>
      <c r="T31" s="592">
        <v>0</v>
      </c>
      <c r="U31" s="592">
        <v>0</v>
      </c>
      <c r="V31" s="592">
        <v>0</v>
      </c>
      <c r="W31" s="592">
        <v>0</v>
      </c>
      <c r="X31" s="592">
        <v>0</v>
      </c>
      <c r="Y31" s="592">
        <v>0</v>
      </c>
      <c r="Z31" s="592">
        <v>0</v>
      </c>
      <c r="AA31" s="592">
        <v>0</v>
      </c>
      <c r="AB31" s="29">
        <f t="shared" si="1"/>
        <v>4166.666666666667</v>
      </c>
    </row>
    <row r="32" spans="1:29" s="749" customFormat="1">
      <c r="A32" s="749" t="s">
        <v>717</v>
      </c>
      <c r="H32" s="750" t="s">
        <v>708</v>
      </c>
      <c r="N32" s="751">
        <f>SUM(N24,N38,N25)/12*0.7+SUM(N26,N27,N28,N30,N29,N40)/12/2</f>
        <v>8776.710256410257</v>
      </c>
      <c r="AB32" s="752">
        <f t="shared" si="1"/>
        <v>731.39252136752145</v>
      </c>
    </row>
    <row r="33" spans="1:29" s="749" customFormat="1">
      <c r="A33" s="749" t="s">
        <v>717</v>
      </c>
      <c r="H33" s="750" t="s">
        <v>709</v>
      </c>
      <c r="N33" s="751">
        <f>(1200*12*7)/19.5</f>
        <v>5169.2307692307695</v>
      </c>
      <c r="AB33" s="752">
        <f>N33/12</f>
        <v>430.76923076923077</v>
      </c>
      <c r="AC33" s="749" t="s">
        <v>716</v>
      </c>
    </row>
    <row r="34" spans="1:29" s="749" customFormat="1">
      <c r="A34" s="756" t="s">
        <v>717</v>
      </c>
      <c r="B34" s="756"/>
      <c r="C34" s="756"/>
      <c r="D34" s="756"/>
      <c r="E34" s="756"/>
      <c r="F34" s="756"/>
      <c r="G34" s="756"/>
      <c r="H34" s="757" t="s">
        <v>710</v>
      </c>
      <c r="I34" s="756"/>
      <c r="J34" s="756"/>
      <c r="K34" s="756"/>
      <c r="L34" s="756"/>
      <c r="M34" s="756"/>
      <c r="N34" s="758">
        <f>800*12*6/19.5</f>
        <v>2953.8461538461538</v>
      </c>
      <c r="O34" s="759"/>
      <c r="P34" s="759"/>
      <c r="Q34" s="759"/>
      <c r="R34" s="759"/>
      <c r="S34" s="759"/>
      <c r="T34" s="759"/>
      <c r="U34" s="759"/>
      <c r="V34" s="759"/>
      <c r="W34" s="759"/>
      <c r="X34" s="759"/>
      <c r="Y34" s="759"/>
      <c r="Z34" s="759"/>
      <c r="AA34" s="759"/>
      <c r="AB34" s="760">
        <f>N34/12</f>
        <v>246.15384615384616</v>
      </c>
      <c r="AC34" s="749" t="s">
        <v>716</v>
      </c>
    </row>
    <row r="35" spans="1:29" s="749" customFormat="1">
      <c r="A35" s="749" t="s">
        <v>717</v>
      </c>
      <c r="H35" s="750" t="s">
        <v>711</v>
      </c>
      <c r="N35" s="751">
        <f>SUM(N26:N29,N30,N40)*0.24</f>
        <v>33201.260307692304</v>
      </c>
      <c r="O35" s="753"/>
      <c r="P35" s="753"/>
      <c r="Q35" s="753"/>
      <c r="R35" s="753"/>
      <c r="S35" s="753"/>
      <c r="T35" s="753"/>
      <c r="U35" s="753"/>
      <c r="V35" s="753"/>
      <c r="W35" s="753"/>
      <c r="X35" s="753"/>
      <c r="Y35" s="753"/>
      <c r="Z35" s="753"/>
      <c r="AA35" s="753"/>
      <c r="AB35" s="754">
        <f t="shared" si="1"/>
        <v>2766.7716923076919</v>
      </c>
    </row>
    <row r="36" spans="1:29" s="749" customFormat="1">
      <c r="A36" s="756" t="s">
        <v>717</v>
      </c>
      <c r="B36" s="756"/>
      <c r="C36" s="756"/>
      <c r="D36" s="756"/>
      <c r="E36" s="756"/>
      <c r="F36" s="756"/>
      <c r="G36" s="756"/>
      <c r="H36" s="757" t="s">
        <v>712</v>
      </c>
      <c r="I36" s="756"/>
      <c r="J36" s="756"/>
      <c r="K36" s="756"/>
      <c r="L36" s="756"/>
      <c r="M36" s="756"/>
      <c r="N36" s="758">
        <f>40*12*6</f>
        <v>2880</v>
      </c>
      <c r="O36" s="759"/>
      <c r="P36" s="759"/>
      <c r="Q36" s="759"/>
      <c r="R36" s="759"/>
      <c r="S36" s="759"/>
      <c r="T36" s="759"/>
      <c r="U36" s="759"/>
      <c r="V36" s="759"/>
      <c r="W36" s="759"/>
      <c r="X36" s="759"/>
      <c r="Y36" s="759"/>
      <c r="Z36" s="759"/>
      <c r="AA36" s="759"/>
      <c r="AB36" s="760">
        <f t="shared" si="1"/>
        <v>240</v>
      </c>
    </row>
    <row r="37" spans="1:29" s="749" customFormat="1">
      <c r="A37" s="749" t="s">
        <v>717</v>
      </c>
      <c r="H37" s="750" t="s">
        <v>715</v>
      </c>
      <c r="N37" s="751">
        <f>SUM(N26:N29,N30,N40)/12*0.25</f>
        <v>2882.0538461538458</v>
      </c>
      <c r="O37" s="753"/>
      <c r="P37" s="753"/>
      <c r="Q37" s="753"/>
      <c r="R37" s="753"/>
      <c r="S37" s="753"/>
      <c r="T37" s="753"/>
      <c r="U37" s="753"/>
      <c r="V37" s="753"/>
      <c r="W37" s="753"/>
      <c r="X37" s="753"/>
      <c r="Y37" s="753"/>
      <c r="Z37" s="753"/>
      <c r="AA37" s="753"/>
      <c r="AB37" s="752">
        <f>N37/12</f>
        <v>240.17115384615383</v>
      </c>
    </row>
    <row r="38" spans="1:29" s="271" customFormat="1" ht="15" customHeight="1">
      <c r="A38" s="271" t="s">
        <v>386</v>
      </c>
      <c r="B38" s="271" t="s">
        <v>387</v>
      </c>
      <c r="C38" s="279">
        <v>0.8</v>
      </c>
      <c r="D38" s="280">
        <v>0.1</v>
      </c>
      <c r="E38" s="253">
        <v>0.1</v>
      </c>
      <c r="F38" s="281"/>
      <c r="G38" s="271" t="s">
        <v>209</v>
      </c>
      <c r="H38" s="282" t="s">
        <v>422</v>
      </c>
      <c r="I38" s="271" t="s">
        <v>423</v>
      </c>
      <c r="J38" s="283" t="s">
        <v>217</v>
      </c>
      <c r="K38" s="271" t="s">
        <v>218</v>
      </c>
      <c r="L38" s="271" t="s">
        <v>214</v>
      </c>
      <c r="M38" s="271" t="s">
        <v>129</v>
      </c>
      <c r="N38" s="199">
        <v>24307.692307692301</v>
      </c>
      <c r="O38" s="284">
        <v>474000</v>
      </c>
      <c r="P38" s="285">
        <v>39500</v>
      </c>
      <c r="Q38" s="285">
        <v>39500</v>
      </c>
      <c r="R38" s="285">
        <v>39500</v>
      </c>
      <c r="S38" s="285">
        <v>39500</v>
      </c>
      <c r="T38" s="285">
        <v>39500</v>
      </c>
      <c r="U38" s="285">
        <v>39500</v>
      </c>
      <c r="V38" s="285">
        <v>39500</v>
      </c>
      <c r="W38" s="285">
        <v>39500</v>
      </c>
      <c r="X38" s="285">
        <v>39500</v>
      </c>
      <c r="Y38" s="285">
        <v>39500</v>
      </c>
      <c r="Z38" s="285">
        <v>39500</v>
      </c>
      <c r="AA38" s="285">
        <v>39500</v>
      </c>
      <c r="AB38" s="29">
        <f>N38/12</f>
        <v>2025.6410256410252</v>
      </c>
    </row>
    <row r="39" spans="1:29">
      <c r="A39" s="260" t="s">
        <v>327</v>
      </c>
      <c r="B39" t="s">
        <v>285</v>
      </c>
      <c r="C39" s="46">
        <v>1</v>
      </c>
      <c r="D39" s="46"/>
      <c r="E39" s="46"/>
      <c r="F39" s="46"/>
      <c r="G39" t="s">
        <v>209</v>
      </c>
      <c r="H39" t="s">
        <v>365</v>
      </c>
      <c r="I39" t="s">
        <v>366</v>
      </c>
      <c r="J39" s="260" t="s">
        <v>217</v>
      </c>
      <c r="K39" t="s">
        <v>218</v>
      </c>
      <c r="L39" t="s">
        <v>214</v>
      </c>
      <c r="M39" s="260" t="s">
        <v>129</v>
      </c>
      <c r="N39" s="247">
        <v>9923.08</v>
      </c>
      <c r="O39" s="29"/>
      <c r="P39" s="266"/>
      <c r="Q39" s="266"/>
      <c r="R39" s="266"/>
      <c r="S39" s="266"/>
      <c r="T39" s="266"/>
      <c r="U39" s="266"/>
      <c r="V39" s="266"/>
      <c r="W39" s="266"/>
      <c r="X39" s="266"/>
      <c r="Y39" s="266"/>
      <c r="Z39" s="266"/>
      <c r="AA39" s="266"/>
      <c r="AB39" s="29">
        <v>826.92333333333329</v>
      </c>
    </row>
    <row r="40" spans="1:29">
      <c r="A40" s="260" t="s">
        <v>327</v>
      </c>
      <c r="B40" t="s">
        <v>285</v>
      </c>
      <c r="C40" s="46">
        <v>1</v>
      </c>
      <c r="D40" s="46"/>
      <c r="E40" s="46"/>
      <c r="F40" s="46"/>
      <c r="G40" t="s">
        <v>209</v>
      </c>
      <c r="H40" t="s">
        <v>744</v>
      </c>
      <c r="I40" t="s">
        <v>370</v>
      </c>
      <c r="J40" s="260" t="s">
        <v>217</v>
      </c>
      <c r="K40" t="s">
        <v>218</v>
      </c>
      <c r="L40" t="s">
        <v>214</v>
      </c>
      <c r="M40" s="260" t="s">
        <v>129</v>
      </c>
      <c r="N40" s="247">
        <v>29600</v>
      </c>
      <c r="O40" s="29">
        <v>577200</v>
      </c>
      <c r="P40" s="264">
        <v>48100</v>
      </c>
      <c r="Q40" s="264">
        <v>48100</v>
      </c>
      <c r="R40" s="264">
        <v>48100</v>
      </c>
      <c r="S40" s="264">
        <v>48100</v>
      </c>
      <c r="T40" s="264">
        <v>48100</v>
      </c>
      <c r="U40" s="264">
        <v>48100</v>
      </c>
      <c r="V40" s="264">
        <v>48100</v>
      </c>
      <c r="W40" s="264">
        <v>48100</v>
      </c>
      <c r="X40" s="264">
        <v>48100</v>
      </c>
      <c r="Y40" s="264">
        <v>48100</v>
      </c>
      <c r="Z40" s="264">
        <v>48100</v>
      </c>
      <c r="AA40" s="264">
        <v>48100</v>
      </c>
      <c r="AB40" s="29">
        <v>2466.6666666666665</v>
      </c>
    </row>
    <row r="41" spans="1:29">
      <c r="A41" s="260" t="s">
        <v>327</v>
      </c>
      <c r="B41" t="s">
        <v>285</v>
      </c>
      <c r="C41" s="46">
        <v>1</v>
      </c>
      <c r="D41" s="46"/>
      <c r="E41" s="46"/>
      <c r="F41" s="46"/>
      <c r="G41" t="s">
        <v>209</v>
      </c>
      <c r="H41" t="s">
        <v>743</v>
      </c>
      <c r="I41" t="s">
        <v>370</v>
      </c>
      <c r="J41" s="260" t="s">
        <v>217</v>
      </c>
      <c r="K41" t="s">
        <v>218</v>
      </c>
      <c r="L41" t="s">
        <v>214</v>
      </c>
      <c r="M41" s="260" t="s">
        <v>128</v>
      </c>
      <c r="N41" s="247">
        <v>-25200</v>
      </c>
      <c r="O41" s="29">
        <v>25200</v>
      </c>
      <c r="P41" s="264">
        <v>2100</v>
      </c>
      <c r="Q41" s="264">
        <v>2100</v>
      </c>
      <c r="R41" s="264">
        <v>2100</v>
      </c>
      <c r="S41" s="264">
        <v>2100</v>
      </c>
      <c r="T41" s="264">
        <v>2100</v>
      </c>
      <c r="U41" s="264">
        <v>2100</v>
      </c>
      <c r="V41" s="264">
        <v>2100</v>
      </c>
      <c r="W41" s="264">
        <v>2100</v>
      </c>
      <c r="X41" s="264">
        <v>2100</v>
      </c>
      <c r="Y41" s="264">
        <v>2100</v>
      </c>
      <c r="Z41" s="264">
        <v>2100</v>
      </c>
      <c r="AA41" s="264">
        <v>2100</v>
      </c>
      <c r="AB41" s="29">
        <v>-2100</v>
      </c>
    </row>
    <row r="42" spans="1:29" ht="17">
      <c r="A42" s="271" t="s">
        <v>386</v>
      </c>
      <c r="H42" t="s">
        <v>745</v>
      </c>
      <c r="J42" s="260" t="s">
        <v>217</v>
      </c>
      <c r="K42" t="s">
        <v>218</v>
      </c>
      <c r="L42" t="s">
        <v>214</v>
      </c>
      <c r="M42" s="260" t="s">
        <v>129</v>
      </c>
      <c r="N42" s="199">
        <v>-2846.1538461538462</v>
      </c>
      <c r="AB42" s="29">
        <v>-237.17948717948718</v>
      </c>
    </row>
    <row r="43" spans="1:29" ht="17">
      <c r="A43" s="271" t="s">
        <v>386</v>
      </c>
      <c r="H43" t="s">
        <v>746</v>
      </c>
      <c r="J43" s="260" t="s">
        <v>217</v>
      </c>
      <c r="K43" t="s">
        <v>218</v>
      </c>
      <c r="L43" t="s">
        <v>214</v>
      </c>
      <c r="M43" s="260" t="s">
        <v>129</v>
      </c>
      <c r="N43" s="199">
        <v>-2215.44</v>
      </c>
      <c r="AB43" s="29">
        <v>-184.62</v>
      </c>
    </row>
  </sheetData>
  <autoFilter ref="A5:AB37" xr:uid="{8D6D8AFE-FB3F-6448-81B6-D8502D039B94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73181-77E7-AE4C-AAE7-6E4188C9BA28}">
  <sheetPr codeName="Sheet7"/>
  <dimension ref="B1:CO203"/>
  <sheetViews>
    <sheetView showGridLines="0" topLeftCell="A158" zoomScale="94" zoomScaleNormal="100" workbookViewId="0">
      <selection activeCell="B185" sqref="B185:R185"/>
    </sheetView>
  </sheetViews>
  <sheetFormatPr baseColWidth="10" defaultRowHeight="16" outlineLevelRow="1"/>
  <cols>
    <col min="3" max="3" width="8.83203125" bestFit="1" customWidth="1"/>
    <col min="4" max="4" width="31.33203125" bestFit="1" customWidth="1"/>
    <col min="6" max="8" width="12.1640625" bestFit="1" customWidth="1"/>
    <col min="9" max="10" width="11.1640625" bestFit="1" customWidth="1"/>
    <col min="11" max="11" width="11.6640625" bestFit="1" customWidth="1"/>
    <col min="12" max="19" width="11" bestFit="1" customWidth="1"/>
    <col min="25" max="25" width="11.5" bestFit="1" customWidth="1"/>
    <col min="26" max="37" width="11" bestFit="1" customWidth="1"/>
    <col min="43" max="53" width="11" bestFit="1" customWidth="1"/>
    <col min="76" max="76" width="8.83203125" bestFit="1" customWidth="1"/>
    <col min="77" max="77" width="30.5" bestFit="1" customWidth="1"/>
  </cols>
  <sheetData>
    <row r="1" spans="2:25">
      <c r="B1" s="302"/>
      <c r="C1" s="302"/>
      <c r="D1" s="302"/>
      <c r="E1" s="302"/>
      <c r="F1" s="302"/>
      <c r="G1" s="302"/>
      <c r="H1" s="303"/>
      <c r="J1" s="304"/>
      <c r="K1" s="304"/>
      <c r="L1" s="304"/>
      <c r="M1" s="304"/>
      <c r="N1" s="304"/>
    </row>
    <row r="2" spans="2:25" ht="20">
      <c r="B2" s="305" t="s">
        <v>483</v>
      </c>
      <c r="C2" s="302"/>
      <c r="D2" s="302"/>
      <c r="E2" s="302"/>
      <c r="F2" s="302"/>
      <c r="G2" s="302"/>
      <c r="H2" s="303"/>
      <c r="J2" s="304"/>
      <c r="K2" s="304"/>
      <c r="L2" s="304"/>
      <c r="M2" s="304"/>
      <c r="N2" s="304"/>
    </row>
    <row r="3" spans="2:25">
      <c r="B3" s="306"/>
      <c r="C3" s="306"/>
      <c r="D3" s="306"/>
      <c r="E3" s="776" t="s">
        <v>128</v>
      </c>
      <c r="F3" s="776"/>
      <c r="G3" s="306"/>
      <c r="H3" s="307"/>
      <c r="J3" s="304"/>
      <c r="K3" s="304"/>
      <c r="L3" s="304"/>
      <c r="M3" s="304"/>
      <c r="N3" s="304"/>
      <c r="R3" s="304"/>
      <c r="S3" s="304"/>
      <c r="T3" s="304"/>
      <c r="U3" s="304"/>
      <c r="V3" s="304"/>
      <c r="W3" s="304"/>
    </row>
    <row r="4" spans="2:25" ht="17" thickBot="1">
      <c r="B4" s="308"/>
      <c r="C4" s="306"/>
      <c r="D4" s="306"/>
      <c r="E4" s="309"/>
      <c r="F4" s="309">
        <v>2025</v>
      </c>
      <c r="G4" s="287" t="s">
        <v>132</v>
      </c>
      <c r="H4" s="289" t="s">
        <v>133</v>
      </c>
      <c r="I4" s="288" t="s">
        <v>134</v>
      </c>
      <c r="J4" s="290" t="s">
        <v>135</v>
      </c>
      <c r="K4" s="310"/>
      <c r="L4" s="304"/>
      <c r="M4" s="304"/>
      <c r="N4" s="304"/>
    </row>
    <row r="5" spans="2:25">
      <c r="B5" s="403" t="s">
        <v>484</v>
      </c>
      <c r="C5" s="404"/>
      <c r="D5" s="404"/>
      <c r="E5" s="405"/>
      <c r="F5" s="406"/>
      <c r="G5" s="406"/>
      <c r="H5" s="406"/>
      <c r="I5" s="406"/>
      <c r="J5" s="407"/>
      <c r="K5" s="310"/>
      <c r="L5" s="304"/>
      <c r="M5" s="304"/>
      <c r="N5" s="304"/>
      <c r="R5" s="304"/>
      <c r="S5" s="304"/>
      <c r="T5" s="304"/>
      <c r="U5" s="304"/>
      <c r="V5" s="304"/>
      <c r="W5" s="304"/>
    </row>
    <row r="6" spans="2:25">
      <c r="B6" s="408"/>
      <c r="C6" s="316" t="s">
        <v>441</v>
      </c>
      <c r="D6" s="316" t="s">
        <v>442</v>
      </c>
      <c r="E6" s="317"/>
      <c r="F6" s="318">
        <f>+SUMIF('Consolidado Costos'!$K$6:$K$158,$C6,'Consolidado Costos'!$AD$6:$AD$158)</f>
        <v>2739600</v>
      </c>
      <c r="G6" s="318" cm="1">
        <f t="array" ref="G6">+SUMPRODUCT(IF('Consolidado Costos'!$K$6:$K$158=$C6,('Consolidado Costos'!$AD$6:$AD$158*'Consolidado Costos'!D$6:D$158),0))</f>
        <v>2670000</v>
      </c>
      <c r="H6" s="318" cm="1">
        <f t="array" ref="H6">+SUMPRODUCT(IF('Consolidado Costos'!$K$6:$K$158=$C6,('Consolidado Costos'!$AD$6:$AD$158*'Consolidado Costos'!E$6:E$158),0))</f>
        <v>69600</v>
      </c>
      <c r="I6" s="318" cm="1">
        <f t="array" ref="I6">+SUMPRODUCT(IF('Consolidado Costos'!$K$6:$K$158=$C6,('Consolidado Costos'!$AD$6:$AD$158*'Consolidado Costos'!F$6:F$158),0))</f>
        <v>0</v>
      </c>
      <c r="J6" s="409" cm="1">
        <f t="array" ref="J6">+SUMPRODUCT(IF('Consolidado Costos'!$K$6:$K$158=$C6,('Consolidado Costos'!$AD$6:$AD$158*'Consolidado Costos'!G$6:G$158),0))</f>
        <v>0</v>
      </c>
      <c r="K6" s="356">
        <f>+SUM(G6:J6)</f>
        <v>2739600</v>
      </c>
      <c r="L6" s="357">
        <f>+IF(K6=F6,1,0)</f>
        <v>1</v>
      </c>
      <c r="M6" s="304"/>
      <c r="N6" s="304"/>
      <c r="R6" s="304"/>
      <c r="S6" s="304"/>
      <c r="T6" s="304"/>
      <c r="U6" s="304"/>
      <c r="V6" s="304"/>
      <c r="W6" s="304"/>
    </row>
    <row r="7" spans="2:25">
      <c r="B7" s="410" t="s">
        <v>485</v>
      </c>
      <c r="C7" s="320"/>
      <c r="D7" s="333" t="s">
        <v>486</v>
      </c>
      <c r="E7" s="334"/>
      <c r="F7" s="335">
        <f>+SUM(F6)</f>
        <v>2739600</v>
      </c>
      <c r="G7" s="335">
        <f>+SUM(G6)</f>
        <v>2670000</v>
      </c>
      <c r="H7" s="335">
        <f>+SUM(H6)</f>
        <v>69600</v>
      </c>
      <c r="I7" s="335">
        <f>+SUM(I6)</f>
        <v>0</v>
      </c>
      <c r="J7" s="411">
        <f>+SUM(J6)</f>
        <v>0</v>
      </c>
      <c r="K7" s="356">
        <f t="shared" ref="K7:K70" si="0">+SUM(G7:J7)</f>
        <v>2739600</v>
      </c>
      <c r="L7" s="357">
        <f t="shared" ref="L7:L70" si="1">+IF(K7=F7,1,0)</f>
        <v>1</v>
      </c>
      <c r="M7" s="304"/>
      <c r="N7" s="304"/>
    </row>
    <row r="8" spans="2:25">
      <c r="B8" s="410"/>
      <c r="C8" s="320"/>
      <c r="D8" s="320"/>
      <c r="E8" s="317"/>
      <c r="F8" s="318"/>
      <c r="G8" s="318"/>
      <c r="H8" s="318"/>
      <c r="I8" s="318"/>
      <c r="J8" s="409"/>
      <c r="K8" s="356">
        <f t="shared" si="0"/>
        <v>0</v>
      </c>
      <c r="L8" s="357">
        <f t="shared" si="1"/>
        <v>1</v>
      </c>
      <c r="M8" s="304"/>
      <c r="N8" s="304"/>
      <c r="R8" s="323"/>
      <c r="S8" s="323"/>
      <c r="T8" s="323"/>
      <c r="U8" s="323"/>
      <c r="V8" s="323"/>
      <c r="W8" s="323"/>
      <c r="X8" s="324"/>
      <c r="Y8" s="324"/>
    </row>
    <row r="9" spans="2:25">
      <c r="B9" s="410" t="s">
        <v>487</v>
      </c>
      <c r="C9" s="325" t="s">
        <v>139</v>
      </c>
      <c r="D9" s="325" t="s">
        <v>140</v>
      </c>
      <c r="E9" s="317"/>
      <c r="F9" s="326"/>
      <c r="G9" s="326"/>
      <c r="H9" s="326"/>
      <c r="I9" s="326"/>
      <c r="J9" s="412"/>
      <c r="K9" s="356">
        <f t="shared" si="0"/>
        <v>0</v>
      </c>
      <c r="L9" s="357">
        <f t="shared" si="1"/>
        <v>1</v>
      </c>
      <c r="M9" s="304"/>
      <c r="N9" s="304"/>
      <c r="R9" s="323"/>
      <c r="S9" s="323"/>
      <c r="T9" s="323"/>
      <c r="U9" s="323"/>
      <c r="V9" s="323"/>
      <c r="W9" s="323"/>
      <c r="X9" s="324"/>
      <c r="Y9" s="324"/>
    </row>
    <row r="10" spans="2:25" s="310" customFormat="1" outlineLevel="1">
      <c r="B10" s="413"/>
      <c r="C10" s="328" t="s">
        <v>217</v>
      </c>
      <c r="D10" s="328" t="s">
        <v>218</v>
      </c>
      <c r="E10" s="329"/>
      <c r="F10" s="318">
        <f>+SUMIF('Consolidado Costos'!$K$6:$K$158,$C10,'Consolidado Costos'!$AD$6:$AD$158)</f>
        <v>893701.3238601397</v>
      </c>
      <c r="G10" s="318" cm="1">
        <f t="array" ref="G10">+SUMPRODUCT(IF('Consolidado Costos'!$K$6:$K$158=$C10,('Consolidado Costos'!$AD$6:$AD$158*'Consolidado Costos'!D$6:D$158),0))</f>
        <v>720336.31619580404</v>
      </c>
      <c r="H10" s="318" cm="1">
        <f t="array" ref="H10">+SUMPRODUCT(IF('Consolidado Costos'!$K$6:$K$158=$C10,('Consolidado Costos'!$AD$6:$AD$158*'Consolidado Costos'!E$6:E$158),0))</f>
        <v>95423.824447552441</v>
      </c>
      <c r="I10" s="318" cm="1">
        <f t="array" ref="I10">+SUMPRODUCT(IF('Consolidado Costos'!$K$6:$K$158=$C10,('Consolidado Costos'!$AD$6:$AD$158*'Consolidado Costos'!F$6:F$158),0))</f>
        <v>49739.583216783227</v>
      </c>
      <c r="J10" s="409" cm="1">
        <f t="array" ref="J10">+SUMPRODUCT(IF('Consolidado Costos'!$K$6:$K$158=$C10,('Consolidado Costos'!$AD$6:$AD$158*'Consolidado Costos'!G$6:G$158),0))</f>
        <v>28201.600000000006</v>
      </c>
      <c r="K10" s="356">
        <f t="shared" si="0"/>
        <v>893701.3238601397</v>
      </c>
      <c r="L10" s="357">
        <f t="shared" si="1"/>
        <v>1</v>
      </c>
      <c r="R10" s="324"/>
      <c r="S10" s="324"/>
      <c r="T10" s="324"/>
      <c r="U10" s="324"/>
      <c r="V10" s="324"/>
      <c r="W10" s="324"/>
      <c r="X10" s="324"/>
      <c r="Y10" s="324"/>
    </row>
    <row r="11" spans="2:25" s="310" customFormat="1" outlineLevel="1">
      <c r="B11" s="413"/>
      <c r="C11" s="328" t="s">
        <v>488</v>
      </c>
      <c r="D11" s="328" t="s">
        <v>489</v>
      </c>
      <c r="E11" s="329"/>
      <c r="F11" s="318">
        <f>+SUMIF('Consolidado Costos'!$K$6:$K$158,$C11,'Consolidado Costos'!$AD$6:$AD$158)</f>
        <v>0</v>
      </c>
      <c r="G11" s="318" cm="1">
        <f t="array" ref="G11">+SUMPRODUCT(IF('Consolidado Costos'!$K$6:$K$158=$C11,('Consolidado Costos'!$AD$6:$AD$158*'Consolidado Costos'!D$6:D$158),0))</f>
        <v>0</v>
      </c>
      <c r="H11" s="318" cm="1">
        <f t="array" ref="H11">+SUMPRODUCT(IF('Consolidado Costos'!$K$6:$K$158=$C11,('Consolidado Costos'!$AD$6:$AD$158*'Consolidado Costos'!E$6:E$158),0))</f>
        <v>0</v>
      </c>
      <c r="I11" s="318" cm="1">
        <f t="array" ref="I11">+SUMPRODUCT(IF('Consolidado Costos'!$K$6:$K$158=$C11,('Consolidado Costos'!$AD$6:$AD$158*'Consolidado Costos'!F$6:F$158),0))</f>
        <v>0</v>
      </c>
      <c r="J11" s="409" cm="1">
        <f t="array" ref="J11">+SUMPRODUCT(IF('Consolidado Costos'!$K$6:$K$158=$C11,('Consolidado Costos'!$AD$6:$AD$158*'Consolidado Costos'!G$6:G$158),0))</f>
        <v>0</v>
      </c>
      <c r="K11" s="356">
        <f t="shared" si="0"/>
        <v>0</v>
      </c>
      <c r="L11" s="357">
        <f t="shared" si="1"/>
        <v>1</v>
      </c>
      <c r="R11" s="324"/>
      <c r="S11" s="324"/>
      <c r="T11" s="324"/>
      <c r="U11" s="324"/>
      <c r="V11" s="324"/>
      <c r="W11" s="324"/>
      <c r="X11" s="324"/>
      <c r="Y11" s="324"/>
    </row>
    <row r="12" spans="2:25" s="310" customFormat="1" outlineLevel="1">
      <c r="B12" s="413"/>
      <c r="C12" s="330" t="s">
        <v>490</v>
      </c>
      <c r="D12" s="330" t="s">
        <v>491</v>
      </c>
      <c r="E12" s="329"/>
      <c r="F12" s="318">
        <f>+SUMIF('Consolidado Costos'!$K$6:$K$158,$C12,'Consolidado Costos'!$AD$6:$AD$158)</f>
        <v>0</v>
      </c>
      <c r="G12" s="318" cm="1">
        <f t="array" ref="G12">+SUMPRODUCT(IF('Consolidado Costos'!$K$6:$K$158=$C12,('Consolidado Costos'!$AD$6:$AD$158*'Consolidado Costos'!D$6:D$158),0))</f>
        <v>0</v>
      </c>
      <c r="H12" s="318" cm="1">
        <f t="array" ref="H12">+SUMPRODUCT(IF('Consolidado Costos'!$K$6:$K$158=$C12,('Consolidado Costos'!$AD$6:$AD$158*'Consolidado Costos'!E$6:E$158),0))</f>
        <v>0</v>
      </c>
      <c r="I12" s="318" cm="1">
        <f t="array" ref="I12">+SUMPRODUCT(IF('Consolidado Costos'!$K$6:$K$158=$C12,('Consolidado Costos'!$AD$6:$AD$158*'Consolidado Costos'!F$6:F$158),0))</f>
        <v>0</v>
      </c>
      <c r="J12" s="409" cm="1">
        <f t="array" ref="J12">+SUMPRODUCT(IF('Consolidado Costos'!$K$6:$K$158=$C12,('Consolidado Costos'!$AD$6:$AD$158*'Consolidado Costos'!G$6:G$158),0))</f>
        <v>0</v>
      </c>
      <c r="K12" s="356">
        <f t="shared" si="0"/>
        <v>0</v>
      </c>
      <c r="L12" s="357">
        <f t="shared" si="1"/>
        <v>1</v>
      </c>
      <c r="R12" s="324"/>
      <c r="S12" s="324"/>
      <c r="T12" s="324"/>
      <c r="U12" s="324"/>
      <c r="V12" s="324"/>
      <c r="W12" s="324"/>
      <c r="X12" s="324"/>
      <c r="Y12" s="324"/>
    </row>
    <row r="13" spans="2:25" s="310" customFormat="1" outlineLevel="1">
      <c r="B13" s="413"/>
      <c r="C13" s="328" t="s">
        <v>313</v>
      </c>
      <c r="D13" s="328" t="s">
        <v>314</v>
      </c>
      <c r="E13" s="329"/>
      <c r="F13" s="318">
        <f>+SUMIF('Consolidado Costos'!$K$6:$K$158,$C13,'Consolidado Costos'!$AD$6:$AD$158)</f>
        <v>9744.4307692307666</v>
      </c>
      <c r="G13" s="318" cm="1">
        <f t="array" ref="G13">+SUMPRODUCT(IF('Consolidado Costos'!$K$6:$K$158=$C13,('Consolidado Costos'!$AD$6:$AD$158*'Consolidado Costos'!D$6:D$158),0))</f>
        <v>9149.7788461538439</v>
      </c>
      <c r="H13" s="318" cm="1">
        <f t="array" ref="H13">+SUMPRODUCT(IF('Consolidado Costos'!$K$6:$K$158=$C13,('Consolidado Costos'!$AD$6:$AD$158*'Consolidado Costos'!E$6:E$158),0))</f>
        <v>520.88525641025626</v>
      </c>
      <c r="I13" s="318" cm="1">
        <f t="array" ref="I13">+SUMPRODUCT(IF('Consolidado Costos'!$K$6:$K$158=$C13,('Consolidado Costos'!$AD$6:$AD$158*'Consolidado Costos'!F$6:F$158),0))</f>
        <v>73.766666666666666</v>
      </c>
      <c r="J13" s="409" cm="1">
        <f t="array" ref="J13">+SUMPRODUCT(IF('Consolidado Costos'!$K$6:$K$158=$C13,('Consolidado Costos'!$AD$6:$AD$158*'Consolidado Costos'!G$6:G$158),0))</f>
        <v>0</v>
      </c>
      <c r="K13" s="356">
        <f t="shared" si="0"/>
        <v>9744.4307692307666</v>
      </c>
      <c r="L13" s="357">
        <f t="shared" si="1"/>
        <v>1</v>
      </c>
      <c r="R13" s="324"/>
      <c r="S13" s="324"/>
      <c r="T13" s="324"/>
      <c r="U13" s="324"/>
      <c r="V13" s="324"/>
      <c r="W13" s="324"/>
      <c r="X13" s="324"/>
      <c r="Y13" s="324"/>
    </row>
    <row r="14" spans="2:25" s="310" customFormat="1" outlineLevel="1">
      <c r="B14" s="413"/>
      <c r="C14" s="328" t="s">
        <v>492</v>
      </c>
      <c r="D14" s="328" t="s">
        <v>493</v>
      </c>
      <c r="E14" s="329"/>
      <c r="F14" s="318">
        <f>+SUMIF('Consolidado Costos'!$K$6:$K$158,$C14,'Consolidado Costos'!$AD$6:$AD$158)</f>
        <v>0</v>
      </c>
      <c r="G14" s="318" cm="1">
        <f t="array" ref="G14">+SUMPRODUCT(IF('Consolidado Costos'!$K$6:$K$158=$C14,('Consolidado Costos'!$AD$6:$AD$158*'Consolidado Costos'!D$6:D$158),0))</f>
        <v>0</v>
      </c>
      <c r="H14" s="318" cm="1">
        <f t="array" ref="H14">+SUMPRODUCT(IF('Consolidado Costos'!$K$6:$K$158=$C14,('Consolidado Costos'!$AD$6:$AD$158*'Consolidado Costos'!E$6:E$158),0))</f>
        <v>0</v>
      </c>
      <c r="I14" s="318" cm="1">
        <f t="array" ref="I14">+SUMPRODUCT(IF('Consolidado Costos'!$K$6:$K$158=$C14,('Consolidado Costos'!$AD$6:$AD$158*'Consolidado Costos'!F$6:F$158),0))</f>
        <v>0</v>
      </c>
      <c r="J14" s="409" cm="1">
        <f t="array" ref="J14">+SUMPRODUCT(IF('Consolidado Costos'!$K$6:$K$158=$C14,('Consolidado Costos'!$AD$6:$AD$158*'Consolidado Costos'!G$6:G$158),0))</f>
        <v>0</v>
      </c>
      <c r="K14" s="356">
        <f t="shared" si="0"/>
        <v>0</v>
      </c>
      <c r="L14" s="357">
        <f t="shared" si="1"/>
        <v>1</v>
      </c>
      <c r="R14" s="324"/>
      <c r="S14" s="324"/>
      <c r="T14" s="324"/>
      <c r="U14" s="324"/>
      <c r="V14" s="324"/>
      <c r="W14" s="324"/>
      <c r="X14" s="324"/>
      <c r="Y14" s="324"/>
    </row>
    <row r="15" spans="2:25" s="310" customFormat="1" outlineLevel="1">
      <c r="B15" s="414"/>
      <c r="C15" s="330" t="s">
        <v>494</v>
      </c>
      <c r="D15" s="330" t="s">
        <v>495</v>
      </c>
      <c r="E15" s="329"/>
      <c r="F15" s="318">
        <f>+SUMIF('Consolidado Costos'!$K$6:$K$158,$C15,'Consolidado Costos'!$AD$6:$AD$158)</f>
        <v>0</v>
      </c>
      <c r="G15" s="318" cm="1">
        <f t="array" ref="G15">+SUMPRODUCT(IF('Consolidado Costos'!$K$6:$K$158=$C15,('Consolidado Costos'!$AD$6:$AD$158*'Consolidado Costos'!D$6:D$158),0))</f>
        <v>0</v>
      </c>
      <c r="H15" s="318" cm="1">
        <f t="array" ref="H15">+SUMPRODUCT(IF('Consolidado Costos'!$K$6:$K$158=$C15,('Consolidado Costos'!$AD$6:$AD$158*'Consolidado Costos'!E$6:E$158),0))</f>
        <v>0</v>
      </c>
      <c r="I15" s="318" cm="1">
        <f t="array" ref="I15">+SUMPRODUCT(IF('Consolidado Costos'!$K$6:$K$158=$C15,('Consolidado Costos'!$AD$6:$AD$158*'Consolidado Costos'!F$6:F$158),0))</f>
        <v>0</v>
      </c>
      <c r="J15" s="409" cm="1">
        <f t="array" ref="J15">+SUMPRODUCT(IF('Consolidado Costos'!$K$6:$K$158=$C15,('Consolidado Costos'!$AD$6:$AD$158*'Consolidado Costos'!G$6:G$158),0))</f>
        <v>0</v>
      </c>
      <c r="K15" s="356">
        <f t="shared" si="0"/>
        <v>0</v>
      </c>
      <c r="L15" s="357">
        <f t="shared" si="1"/>
        <v>1</v>
      </c>
      <c r="R15" s="324"/>
      <c r="S15" s="324"/>
      <c r="T15" s="324"/>
      <c r="U15" s="324"/>
      <c r="V15" s="324"/>
      <c r="W15" s="324"/>
      <c r="X15" s="324"/>
      <c r="Y15" s="324"/>
    </row>
    <row r="16" spans="2:25" s="310" customFormat="1" outlineLevel="1">
      <c r="B16" s="413"/>
      <c r="C16" s="330" t="s">
        <v>231</v>
      </c>
      <c r="D16" s="330" t="s">
        <v>229</v>
      </c>
      <c r="E16" s="329"/>
      <c r="F16" s="318">
        <f>+SUMIF('Consolidado Costos'!$K$6:$K$158,$C16,'Consolidado Costos'!$AD$6:$AD$158)</f>
        <v>63156.579487179479</v>
      </c>
      <c r="G16" s="318" cm="1">
        <f t="array" ref="G16">+SUMPRODUCT(IF('Consolidado Costos'!$K$6:$K$158=$C16,('Consolidado Costos'!$AD$6:$AD$158*'Consolidado Costos'!D$6:D$158),0))</f>
        <v>51058.002115384603</v>
      </c>
      <c r="H16" s="318" cm="1">
        <f t="array" ref="H16">+SUMPRODUCT(IF('Consolidado Costos'!$K$6:$K$158=$C16,('Consolidado Costos'!$AD$6:$AD$158*'Consolidado Costos'!E$6:E$158),0))</f>
        <v>8263.5652564102566</v>
      </c>
      <c r="I16" s="318" cm="1">
        <f t="array" ref="I16">+SUMPRODUCT(IF('Consolidado Costos'!$K$6:$K$158=$C16,('Consolidado Costos'!$AD$6:$AD$158*'Consolidado Costos'!F$6:F$158),0))</f>
        <v>2004.0687820512819</v>
      </c>
      <c r="J16" s="409" cm="1">
        <f t="array" ref="J16">+SUMPRODUCT(IF('Consolidado Costos'!$K$6:$K$158=$C16,('Consolidado Costos'!$AD$6:$AD$158*'Consolidado Costos'!G$6:G$158),0))</f>
        <v>1830.9433333333332</v>
      </c>
      <c r="K16" s="356">
        <f>+SUM(G16:J16)</f>
        <v>63156.579487179479</v>
      </c>
      <c r="L16" s="357">
        <f t="shared" si="1"/>
        <v>1</v>
      </c>
      <c r="R16" s="324"/>
      <c r="S16" s="324"/>
      <c r="T16" s="324"/>
      <c r="U16" s="324"/>
      <c r="V16" s="324"/>
      <c r="W16" s="324"/>
      <c r="X16" s="324"/>
      <c r="Y16" s="324"/>
    </row>
    <row r="17" spans="2:25" s="310" customFormat="1" outlineLevel="1">
      <c r="B17" s="413"/>
      <c r="C17" s="330" t="s">
        <v>496</v>
      </c>
      <c r="D17" s="330" t="s">
        <v>497</v>
      </c>
      <c r="E17" s="329"/>
      <c r="F17" s="318">
        <f>+SUMIF('Consolidado Costos'!$K$6:$K$158,$C17,'Consolidado Costos'!$AD$6:$AD$158)</f>
        <v>0</v>
      </c>
      <c r="G17" s="318" cm="1">
        <f t="array" ref="G17">+SUMPRODUCT(IF('Consolidado Costos'!$K$6:$K$158=$C17,('Consolidado Costos'!$AD$6:$AD$158*'Consolidado Costos'!D$6:D$158),0))</f>
        <v>0</v>
      </c>
      <c r="H17" s="318" cm="1">
        <f t="array" ref="H17">+SUMPRODUCT(IF('Consolidado Costos'!$K$6:$K$158=$C17,('Consolidado Costos'!$AD$6:$AD$158*'Consolidado Costos'!E$6:E$158),0))</f>
        <v>0</v>
      </c>
      <c r="I17" s="318" cm="1">
        <f t="array" ref="I17">+SUMPRODUCT(IF('Consolidado Costos'!$K$6:$K$158=$C17,('Consolidado Costos'!$AD$6:$AD$158*'Consolidado Costos'!F$6:F$158),0))</f>
        <v>0</v>
      </c>
      <c r="J17" s="409" cm="1">
        <f t="array" ref="J17">+SUMPRODUCT(IF('Consolidado Costos'!$K$6:$K$158=$C17,('Consolidado Costos'!$AD$6:$AD$158*'Consolidado Costos'!G$6:G$158),0))</f>
        <v>0</v>
      </c>
      <c r="K17" s="356">
        <f t="shared" si="0"/>
        <v>0</v>
      </c>
      <c r="L17" s="357">
        <f t="shared" si="1"/>
        <v>1</v>
      </c>
      <c r="R17" s="324"/>
      <c r="S17" s="324"/>
      <c r="T17" s="324"/>
      <c r="U17" s="324"/>
      <c r="V17" s="324"/>
      <c r="W17" s="324"/>
      <c r="X17" s="324"/>
      <c r="Y17" s="324"/>
    </row>
    <row r="18" spans="2:25" s="310" customFormat="1" outlineLevel="1">
      <c r="B18" s="413"/>
      <c r="C18" s="328" t="s">
        <v>498</v>
      </c>
      <c r="D18" s="328" t="s">
        <v>499</v>
      </c>
      <c r="E18" s="329"/>
      <c r="F18" s="318">
        <f>+SUMIF('Consolidado Costos'!$K$6:$K$158,$C18,'Consolidado Costos'!$AD$6:$AD$158)</f>
        <v>0</v>
      </c>
      <c r="G18" s="318" cm="1">
        <f t="array" ref="G18">+SUMPRODUCT(IF('Consolidado Costos'!$K$6:$K$158=$C18,('Consolidado Costos'!$AD$6:$AD$158*'Consolidado Costos'!D$6:D$158),0))</f>
        <v>0</v>
      </c>
      <c r="H18" s="318" cm="1">
        <f t="array" ref="H18">+SUMPRODUCT(IF('Consolidado Costos'!$K$6:$K$158=$C18,('Consolidado Costos'!$AD$6:$AD$158*'Consolidado Costos'!E$6:E$158),0))</f>
        <v>0</v>
      </c>
      <c r="I18" s="318" cm="1">
        <f t="array" ref="I18">+SUMPRODUCT(IF('Consolidado Costos'!$K$6:$K$158=$C18,('Consolidado Costos'!$AD$6:$AD$158*'Consolidado Costos'!F$6:F$158),0))</f>
        <v>0</v>
      </c>
      <c r="J18" s="409" cm="1">
        <f t="array" ref="J18">+SUMPRODUCT(IF('Consolidado Costos'!$K$6:$K$158=$C18,('Consolidado Costos'!$AD$6:$AD$158*'Consolidado Costos'!G$6:G$158),0))</f>
        <v>0</v>
      </c>
      <c r="K18" s="356">
        <f t="shared" si="0"/>
        <v>0</v>
      </c>
      <c r="L18" s="357">
        <f t="shared" si="1"/>
        <v>1</v>
      </c>
      <c r="R18" s="324"/>
      <c r="S18" s="324"/>
      <c r="T18" s="324"/>
      <c r="U18" s="324"/>
      <c r="V18" s="324"/>
      <c r="W18" s="324"/>
      <c r="X18" s="324"/>
      <c r="Y18" s="324"/>
    </row>
    <row r="19" spans="2:25" s="310" customFormat="1" outlineLevel="1">
      <c r="B19" s="414"/>
      <c r="C19" s="328" t="s">
        <v>227</v>
      </c>
      <c r="D19" s="328" t="s">
        <v>228</v>
      </c>
      <c r="E19" s="329"/>
      <c r="F19" s="318">
        <f>+SUMIF('Consolidado Costos'!$K$6:$K$158,$C19,'Consolidado Costos'!$AD$6:$AD$158)</f>
        <v>11269.538461538461</v>
      </c>
      <c r="G19" s="318" cm="1">
        <f t="array" ref="G19">+SUMPRODUCT(IF('Consolidado Costos'!$K$6:$K$158=$C19,('Consolidado Costos'!$AD$6:$AD$158*'Consolidado Costos'!D$6:D$158),0))</f>
        <v>10095.507692307692</v>
      </c>
      <c r="H19" s="318" cm="1">
        <f t="array" ref="H19">+SUMPRODUCT(IF('Consolidado Costos'!$K$6:$K$158=$C19,('Consolidado Costos'!$AD$6:$AD$158*'Consolidado Costos'!E$6:E$158),0))</f>
        <v>913.96923076923099</v>
      </c>
      <c r="I19" s="318" cm="1">
        <f t="array" ref="I19">+SUMPRODUCT(IF('Consolidado Costos'!$K$6:$K$158=$C19,('Consolidado Costos'!$AD$6:$AD$158*'Consolidado Costos'!F$6:F$158),0))</f>
        <v>260.06153846153853</v>
      </c>
      <c r="J19" s="409" cm="1">
        <f t="array" ref="J19">+SUMPRODUCT(IF('Consolidado Costos'!$K$6:$K$158=$C19,('Consolidado Costos'!$AD$6:$AD$158*'Consolidado Costos'!G$6:G$158),0))</f>
        <v>0</v>
      </c>
      <c r="K19" s="356">
        <f t="shared" si="0"/>
        <v>11269.538461538463</v>
      </c>
      <c r="L19" s="357">
        <f t="shared" si="1"/>
        <v>1</v>
      </c>
      <c r="R19" s="324"/>
      <c r="S19" s="324"/>
      <c r="T19" s="324"/>
      <c r="U19" s="324"/>
      <c r="V19" s="324"/>
      <c r="W19" s="324"/>
      <c r="X19" s="324"/>
      <c r="Y19" s="324"/>
    </row>
    <row r="20" spans="2:25" s="310" customFormat="1" outlineLevel="1">
      <c r="B20" s="414"/>
      <c r="C20" s="328" t="s">
        <v>500</v>
      </c>
      <c r="D20" s="328" t="s">
        <v>501</v>
      </c>
      <c r="E20" s="329"/>
      <c r="F20" s="318">
        <f>+SUMIF('Consolidado Costos'!$K$6:$K$158,$C20,'Consolidado Costos'!$AD$6:$AD$158)</f>
        <v>0</v>
      </c>
      <c r="G20" s="318" cm="1">
        <f t="array" ref="G20">+SUMPRODUCT(IF('Consolidado Costos'!$K$6:$K$158=$C20,('Consolidado Costos'!$AD$6:$AD$158*'Consolidado Costos'!D$6:D$158),0))</f>
        <v>0</v>
      </c>
      <c r="H20" s="318" cm="1">
        <f t="array" ref="H20">+SUMPRODUCT(IF('Consolidado Costos'!$K$6:$K$158=$C20,('Consolidado Costos'!$AD$6:$AD$158*'Consolidado Costos'!E$6:E$158),0))</f>
        <v>0</v>
      </c>
      <c r="I20" s="318" cm="1">
        <f t="array" ref="I20">+SUMPRODUCT(IF('Consolidado Costos'!$K$6:$K$158=$C20,('Consolidado Costos'!$AD$6:$AD$158*'Consolidado Costos'!F$6:F$158),0))</f>
        <v>0</v>
      </c>
      <c r="J20" s="409" cm="1">
        <f t="array" ref="J20">+SUMPRODUCT(IF('Consolidado Costos'!$K$6:$K$158=$C20,('Consolidado Costos'!$AD$6:$AD$158*'Consolidado Costos'!G$6:G$158),0))</f>
        <v>0</v>
      </c>
      <c r="K20" s="356">
        <f t="shared" si="0"/>
        <v>0</v>
      </c>
      <c r="L20" s="357">
        <f t="shared" si="1"/>
        <v>1</v>
      </c>
      <c r="R20" s="324"/>
      <c r="S20" s="324"/>
      <c r="T20" s="324"/>
      <c r="U20" s="324"/>
      <c r="V20" s="324"/>
      <c r="W20" s="324"/>
      <c r="X20" s="324"/>
      <c r="Y20" s="324"/>
    </row>
    <row r="21" spans="2:25" s="310" customFormat="1" outlineLevel="1">
      <c r="B21" s="414"/>
      <c r="C21" s="330" t="s">
        <v>233</v>
      </c>
      <c r="D21" s="330" t="s">
        <v>232</v>
      </c>
      <c r="E21" s="329"/>
      <c r="F21" s="318">
        <f>+SUMIF('Consolidado Costos'!$K$6:$K$158,$C21,'Consolidado Costos'!$AD$6:$AD$158)</f>
        <v>0</v>
      </c>
      <c r="G21" s="318" cm="1">
        <f t="array" ref="G21">+SUMPRODUCT(IF('Consolidado Costos'!$K$6:$K$158=$C21,('Consolidado Costos'!$AD$6:$AD$158*'Consolidado Costos'!D$6:D$158),0))</f>
        <v>0</v>
      </c>
      <c r="H21" s="318" cm="1">
        <f t="array" ref="H21">+SUMPRODUCT(IF('Consolidado Costos'!$K$6:$K$158=$C21,('Consolidado Costos'!$AD$6:$AD$158*'Consolidado Costos'!E$6:E$158),0))</f>
        <v>0</v>
      </c>
      <c r="I21" s="318" cm="1">
        <f t="array" ref="I21">+SUMPRODUCT(IF('Consolidado Costos'!$K$6:$K$158=$C21,('Consolidado Costos'!$AD$6:$AD$158*'Consolidado Costos'!F$6:F$158),0))</f>
        <v>0</v>
      </c>
      <c r="J21" s="409" cm="1">
        <f t="array" ref="J21">+SUMPRODUCT(IF('Consolidado Costos'!$K$6:$K$158=$C21,('Consolidado Costos'!$AD$6:$AD$158*'Consolidado Costos'!G$6:G$158),0))</f>
        <v>0</v>
      </c>
      <c r="K21" s="356">
        <f t="shared" si="0"/>
        <v>0</v>
      </c>
      <c r="L21" s="357">
        <f t="shared" si="1"/>
        <v>1</v>
      </c>
      <c r="R21" s="324"/>
      <c r="S21" s="324"/>
      <c r="T21" s="324"/>
      <c r="U21" s="324"/>
      <c r="V21" s="324"/>
      <c r="W21" s="324"/>
      <c r="X21" s="324"/>
      <c r="Y21" s="324"/>
    </row>
    <row r="22" spans="2:25" s="310" customFormat="1" outlineLevel="1">
      <c r="B22" s="413"/>
      <c r="C22" s="328" t="s">
        <v>502</v>
      </c>
      <c r="D22" s="328" t="s">
        <v>503</v>
      </c>
      <c r="E22" s="329"/>
      <c r="F22" s="318">
        <f>+SUMIF('Consolidado Costos'!$K$6:$K$158,$C22,'Consolidado Costos'!$AD$6:$AD$158)</f>
        <v>0</v>
      </c>
      <c r="G22" s="318" cm="1">
        <f t="array" ref="G22">+SUMPRODUCT(IF('Consolidado Costos'!$K$6:$K$158=$C22,('Consolidado Costos'!$AD$6:$AD$158*'Consolidado Costos'!D$6:D$158),0))</f>
        <v>0</v>
      </c>
      <c r="H22" s="318" cm="1">
        <f t="array" ref="H22">+SUMPRODUCT(IF('Consolidado Costos'!$K$6:$K$158=$C22,('Consolidado Costos'!$AD$6:$AD$158*'Consolidado Costos'!E$6:E$158),0))</f>
        <v>0</v>
      </c>
      <c r="I22" s="318" cm="1">
        <f t="array" ref="I22">+SUMPRODUCT(IF('Consolidado Costos'!$K$6:$K$158=$C22,('Consolidado Costos'!$AD$6:$AD$158*'Consolidado Costos'!F$6:F$158),0))</f>
        <v>0</v>
      </c>
      <c r="J22" s="409" cm="1">
        <f t="array" ref="J22">+SUMPRODUCT(IF('Consolidado Costos'!$K$6:$K$158=$C22,('Consolidado Costos'!$AD$6:$AD$158*'Consolidado Costos'!G$6:G$158),0))</f>
        <v>0</v>
      </c>
      <c r="K22" s="356">
        <f t="shared" si="0"/>
        <v>0</v>
      </c>
      <c r="L22" s="357">
        <f t="shared" si="1"/>
        <v>1</v>
      </c>
      <c r="R22" s="324"/>
      <c r="S22" s="324"/>
      <c r="T22" s="324"/>
      <c r="U22" s="324"/>
      <c r="V22" s="324"/>
      <c r="W22" s="324"/>
      <c r="X22" s="324"/>
      <c r="Y22" s="324"/>
    </row>
    <row r="23" spans="2:25" s="310" customFormat="1" outlineLevel="1">
      <c r="B23" s="413"/>
      <c r="C23" s="330" t="s">
        <v>504</v>
      </c>
      <c r="D23" s="330" t="s">
        <v>505</v>
      </c>
      <c r="E23" s="329"/>
      <c r="F23" s="318">
        <f>+SUMIF('Consolidado Costos'!$K$6:$K$158,$C23,'Consolidado Costos'!$AD$6:$AD$158)</f>
        <v>0</v>
      </c>
      <c r="G23" s="318" cm="1">
        <f t="array" ref="G23">+SUMPRODUCT(IF('Consolidado Costos'!$K$6:$K$158=$C23,('Consolidado Costos'!$AD$6:$AD$158*'Consolidado Costos'!D$6:D$158),0))</f>
        <v>0</v>
      </c>
      <c r="H23" s="318" cm="1">
        <f t="array" ref="H23">+SUMPRODUCT(IF('Consolidado Costos'!$K$6:$K$158=$C23,('Consolidado Costos'!$AD$6:$AD$158*'Consolidado Costos'!E$6:E$158),0))</f>
        <v>0</v>
      </c>
      <c r="I23" s="318" cm="1">
        <f t="array" ref="I23">+SUMPRODUCT(IF('Consolidado Costos'!$K$6:$K$158=$C23,('Consolidado Costos'!$AD$6:$AD$158*'Consolidado Costos'!F$6:F$158),0))</f>
        <v>0</v>
      </c>
      <c r="J23" s="409" cm="1">
        <f t="array" ref="J23">+SUMPRODUCT(IF('Consolidado Costos'!$K$6:$K$158=$C23,('Consolidado Costos'!$AD$6:$AD$158*'Consolidado Costos'!G$6:G$158),0))</f>
        <v>0</v>
      </c>
      <c r="K23" s="356">
        <f t="shared" si="0"/>
        <v>0</v>
      </c>
      <c r="L23" s="357">
        <f t="shared" si="1"/>
        <v>1</v>
      </c>
      <c r="R23" s="324"/>
      <c r="S23" s="324"/>
      <c r="T23" s="324"/>
      <c r="U23" s="324"/>
      <c r="V23" s="324"/>
      <c r="W23" s="324"/>
      <c r="X23" s="324"/>
      <c r="Y23" s="324"/>
    </row>
    <row r="24" spans="2:25" s="310" customFormat="1" outlineLevel="1">
      <c r="B24" s="413"/>
      <c r="C24" s="328" t="s">
        <v>506</v>
      </c>
      <c r="D24" s="328" t="s">
        <v>507</v>
      </c>
      <c r="E24" s="329"/>
      <c r="F24" s="318">
        <f>+SUMIF('Consolidado Costos'!$K$6:$K$158,$C24,'Consolidado Costos'!$AD$6:$AD$158)</f>
        <v>0</v>
      </c>
      <c r="G24" s="318" cm="1">
        <f t="array" ref="G24">+SUMPRODUCT(IF('Consolidado Costos'!$K$6:$K$158=$C24,('Consolidado Costos'!$AD$6:$AD$158*'Consolidado Costos'!D$6:D$158),0))</f>
        <v>0</v>
      </c>
      <c r="H24" s="318" cm="1">
        <f t="array" ref="H24">+SUMPRODUCT(IF('Consolidado Costos'!$K$6:$K$158=$C24,('Consolidado Costos'!$AD$6:$AD$158*'Consolidado Costos'!E$6:E$158),0))</f>
        <v>0</v>
      </c>
      <c r="I24" s="318" cm="1">
        <f t="array" ref="I24">+SUMPRODUCT(IF('Consolidado Costos'!$K$6:$K$158=$C24,('Consolidado Costos'!$AD$6:$AD$158*'Consolidado Costos'!F$6:F$158),0))</f>
        <v>0</v>
      </c>
      <c r="J24" s="409" cm="1">
        <f t="array" ref="J24">+SUMPRODUCT(IF('Consolidado Costos'!$K$6:$K$158=$C24,('Consolidado Costos'!$AD$6:$AD$158*'Consolidado Costos'!G$6:G$158),0))</f>
        <v>0</v>
      </c>
      <c r="K24" s="356">
        <f t="shared" si="0"/>
        <v>0</v>
      </c>
      <c r="L24" s="357">
        <f t="shared" si="1"/>
        <v>1</v>
      </c>
      <c r="R24" s="324"/>
      <c r="S24" s="324"/>
      <c r="T24" s="324"/>
      <c r="U24" s="324"/>
      <c r="V24" s="324"/>
      <c r="W24" s="324"/>
      <c r="X24" s="324"/>
      <c r="Y24" s="324"/>
    </row>
    <row r="25" spans="2:25" s="310" customFormat="1" outlineLevel="1">
      <c r="B25" s="414"/>
      <c r="C25" s="328" t="s">
        <v>508</v>
      </c>
      <c r="D25" s="328" t="s">
        <v>509</v>
      </c>
      <c r="E25" s="329"/>
      <c r="F25" s="318">
        <f>+SUMIF('Consolidado Costos'!$K$6:$K$158,$C25,'Consolidado Costos'!$AD$6:$AD$158)</f>
        <v>0</v>
      </c>
      <c r="G25" s="318" cm="1">
        <f t="array" ref="G25">+SUMPRODUCT(IF('Consolidado Costos'!$K$6:$K$158=$C25,('Consolidado Costos'!$AD$6:$AD$158*'Consolidado Costos'!D$6:D$158),0))</f>
        <v>0</v>
      </c>
      <c r="H25" s="318" cm="1">
        <f t="array" ref="H25">+SUMPRODUCT(IF('Consolidado Costos'!$K$6:$K$158=$C25,('Consolidado Costos'!$AD$6:$AD$158*'Consolidado Costos'!E$6:E$158),0))</f>
        <v>0</v>
      </c>
      <c r="I25" s="318" cm="1">
        <f t="array" ref="I25">+SUMPRODUCT(IF('Consolidado Costos'!$K$6:$K$158=$C25,('Consolidado Costos'!$AD$6:$AD$158*'Consolidado Costos'!F$6:F$158),0))</f>
        <v>0</v>
      </c>
      <c r="J25" s="409" cm="1">
        <f t="array" ref="J25">+SUMPRODUCT(IF('Consolidado Costos'!$K$6:$K$158=$C25,('Consolidado Costos'!$AD$6:$AD$158*'Consolidado Costos'!G$6:G$158),0))</f>
        <v>0</v>
      </c>
      <c r="K25" s="356">
        <f t="shared" si="0"/>
        <v>0</v>
      </c>
      <c r="L25" s="357">
        <f t="shared" si="1"/>
        <v>1</v>
      </c>
      <c r="R25" s="324"/>
      <c r="S25" s="324"/>
      <c r="T25" s="324"/>
      <c r="U25" s="324"/>
      <c r="V25" s="324"/>
      <c r="W25" s="324"/>
      <c r="X25" s="324"/>
      <c r="Y25" s="324"/>
    </row>
    <row r="26" spans="2:25" s="310" customFormat="1" outlineLevel="1">
      <c r="B26" s="413"/>
      <c r="C26" s="328" t="s">
        <v>510</v>
      </c>
      <c r="D26" s="328" t="s">
        <v>511</v>
      </c>
      <c r="E26" s="329"/>
      <c r="F26" s="318">
        <f>+SUMIF('Consolidado Costos'!$K$6:$K$158,$C26,'Consolidado Costos'!$AD$6:$AD$158)</f>
        <v>0</v>
      </c>
      <c r="G26" s="318" cm="1">
        <f t="array" ref="G26">+SUMPRODUCT(IF('Consolidado Costos'!$K$6:$K$158=$C26,('Consolidado Costos'!$AD$6:$AD$158*'Consolidado Costos'!D$6:D$158),0))</f>
        <v>0</v>
      </c>
      <c r="H26" s="318" cm="1">
        <f t="array" ref="H26">+SUMPRODUCT(IF('Consolidado Costos'!$K$6:$K$158=$C26,('Consolidado Costos'!$AD$6:$AD$158*'Consolidado Costos'!E$6:E$158),0))</f>
        <v>0</v>
      </c>
      <c r="I26" s="318" cm="1">
        <f t="array" ref="I26">+SUMPRODUCT(IF('Consolidado Costos'!$K$6:$K$158=$C26,('Consolidado Costos'!$AD$6:$AD$158*'Consolidado Costos'!F$6:F$158),0))</f>
        <v>0</v>
      </c>
      <c r="J26" s="409" cm="1">
        <f t="array" ref="J26">+SUMPRODUCT(IF('Consolidado Costos'!$K$6:$K$158=$C26,('Consolidado Costos'!$AD$6:$AD$158*'Consolidado Costos'!G$6:G$158),0))</f>
        <v>0</v>
      </c>
      <c r="K26" s="356">
        <f t="shared" si="0"/>
        <v>0</v>
      </c>
      <c r="L26" s="357">
        <f t="shared" si="1"/>
        <v>1</v>
      </c>
      <c r="R26" s="324"/>
      <c r="S26" s="324"/>
      <c r="T26" s="324"/>
      <c r="U26" s="324"/>
      <c r="V26" s="324"/>
      <c r="W26" s="324"/>
      <c r="X26" s="324"/>
      <c r="Y26" s="324"/>
    </row>
    <row r="27" spans="2:25" s="310" customFormat="1" outlineLevel="1">
      <c r="B27" s="413"/>
      <c r="C27" s="330" t="s">
        <v>512</v>
      </c>
      <c r="D27" s="330" t="s">
        <v>513</v>
      </c>
      <c r="E27" s="329"/>
      <c r="F27" s="318">
        <f>+SUMIF('Consolidado Costos'!$K$6:$K$158,$C27,'Consolidado Costos'!$AD$6:$AD$158)</f>
        <v>0</v>
      </c>
      <c r="G27" s="318" cm="1">
        <f t="array" ref="G27">+SUMPRODUCT(IF('Consolidado Costos'!$K$6:$K$158=$C27,('Consolidado Costos'!$AD$6:$AD$158*'Consolidado Costos'!D$6:D$158),0))</f>
        <v>0</v>
      </c>
      <c r="H27" s="318" cm="1">
        <f t="array" ref="H27">+SUMPRODUCT(IF('Consolidado Costos'!$K$6:$K$158=$C27,('Consolidado Costos'!$AD$6:$AD$158*'Consolidado Costos'!E$6:E$158),0))</f>
        <v>0</v>
      </c>
      <c r="I27" s="318" cm="1">
        <f t="array" ref="I27">+SUMPRODUCT(IF('Consolidado Costos'!$K$6:$K$158=$C27,('Consolidado Costos'!$AD$6:$AD$158*'Consolidado Costos'!F$6:F$158),0))</f>
        <v>0</v>
      </c>
      <c r="J27" s="409" cm="1">
        <f t="array" ref="J27">+SUMPRODUCT(IF('Consolidado Costos'!$K$6:$K$158=$C27,('Consolidado Costos'!$AD$6:$AD$158*'Consolidado Costos'!G$6:G$158),0))</f>
        <v>0</v>
      </c>
      <c r="K27" s="356">
        <f t="shared" si="0"/>
        <v>0</v>
      </c>
      <c r="L27" s="357">
        <f t="shared" si="1"/>
        <v>1</v>
      </c>
      <c r="R27" s="324"/>
      <c r="S27" s="324"/>
      <c r="T27" s="324"/>
      <c r="U27" s="324"/>
      <c r="V27" s="324"/>
      <c r="W27" s="324"/>
      <c r="X27" s="324"/>
      <c r="Y27" s="324"/>
    </row>
    <row r="28" spans="2:25" s="310" customFormat="1" outlineLevel="1">
      <c r="B28" s="413"/>
      <c r="C28" s="330" t="s">
        <v>212</v>
      </c>
      <c r="D28" s="330" t="s">
        <v>213</v>
      </c>
      <c r="E28" s="329"/>
      <c r="F28" s="318">
        <f>+SUMIF('Consolidado Costos'!$K$6:$K$158,$C28,'Consolidado Costos'!$AD$6:$AD$158)</f>
        <v>0</v>
      </c>
      <c r="G28" s="318" cm="1">
        <f t="array" ref="G28">+SUMPRODUCT(IF('Consolidado Costos'!$K$6:$K$158=$C28,('Consolidado Costos'!$AD$6:$AD$158*'Consolidado Costos'!D$6:D$158),0))</f>
        <v>0</v>
      </c>
      <c r="H28" s="318" cm="1">
        <f t="array" ref="H28">+SUMPRODUCT(IF('Consolidado Costos'!$K$6:$K$158=$C28,('Consolidado Costos'!$AD$6:$AD$158*'Consolidado Costos'!E$6:E$158),0))</f>
        <v>0</v>
      </c>
      <c r="I28" s="318" cm="1">
        <f t="array" ref="I28">+SUMPRODUCT(IF('Consolidado Costos'!$K$6:$K$158=$C28,('Consolidado Costos'!$AD$6:$AD$158*'Consolidado Costos'!F$6:F$158),0))</f>
        <v>0</v>
      </c>
      <c r="J28" s="409" cm="1">
        <f t="array" ref="J28">+SUMPRODUCT(IF('Consolidado Costos'!$K$6:$K$158=$C28,('Consolidado Costos'!$AD$6:$AD$158*'Consolidado Costos'!G$6:G$158),0))</f>
        <v>0</v>
      </c>
      <c r="K28" s="356">
        <f t="shared" si="0"/>
        <v>0</v>
      </c>
      <c r="L28" s="357">
        <f t="shared" si="1"/>
        <v>1</v>
      </c>
      <c r="R28" s="324"/>
      <c r="S28" s="324"/>
      <c r="T28" s="324"/>
      <c r="U28" s="324"/>
      <c r="V28" s="324"/>
      <c r="W28" s="324"/>
      <c r="X28" s="324"/>
      <c r="Y28" s="324"/>
    </row>
    <row r="29" spans="2:25" s="310" customFormat="1" outlineLevel="1">
      <c r="B29" s="413"/>
      <c r="C29" s="330" t="s">
        <v>514</v>
      </c>
      <c r="D29" s="330" t="s">
        <v>515</v>
      </c>
      <c r="E29" s="329"/>
      <c r="F29" s="318">
        <f>+SUMIF('Consolidado Costos'!$K$6:$K$158,$C29,'Consolidado Costos'!$AD$6:$AD$158)</f>
        <v>0</v>
      </c>
      <c r="G29" s="318" cm="1">
        <f t="array" ref="G29">+SUMPRODUCT(IF('Consolidado Costos'!$K$6:$K$158=$C29,('Consolidado Costos'!$AD$6:$AD$158*'Consolidado Costos'!D$6:D$158),0))</f>
        <v>0</v>
      </c>
      <c r="H29" s="318" cm="1">
        <f t="array" ref="H29">+SUMPRODUCT(IF('Consolidado Costos'!$K$6:$K$158=$C29,('Consolidado Costos'!$AD$6:$AD$158*'Consolidado Costos'!E$6:E$158),0))</f>
        <v>0</v>
      </c>
      <c r="I29" s="318" cm="1">
        <f t="array" ref="I29">+SUMPRODUCT(IF('Consolidado Costos'!$K$6:$K$158=$C29,('Consolidado Costos'!$AD$6:$AD$158*'Consolidado Costos'!F$6:F$158),0))</f>
        <v>0</v>
      </c>
      <c r="J29" s="409" cm="1">
        <f t="array" ref="J29">+SUMPRODUCT(IF('Consolidado Costos'!$K$6:$K$158=$C29,('Consolidado Costos'!$AD$6:$AD$158*'Consolidado Costos'!G$6:G$158),0))</f>
        <v>0</v>
      </c>
      <c r="K29" s="356">
        <f t="shared" si="0"/>
        <v>0</v>
      </c>
      <c r="L29" s="357">
        <f t="shared" si="1"/>
        <v>1</v>
      </c>
      <c r="R29" s="324"/>
      <c r="S29" s="324"/>
      <c r="T29" s="324"/>
      <c r="U29" s="324"/>
      <c r="V29" s="324"/>
      <c r="W29" s="324"/>
      <c r="X29" s="324"/>
      <c r="Y29" s="324"/>
    </row>
    <row r="30" spans="2:25" s="337" customFormat="1">
      <c r="B30" s="414" t="s">
        <v>516</v>
      </c>
      <c r="C30" s="332"/>
      <c r="D30" s="333" t="s">
        <v>486</v>
      </c>
      <c r="E30" s="334"/>
      <c r="F30" s="335">
        <f>+SUM(F10:F29)</f>
        <v>977871.87257808854</v>
      </c>
      <c r="G30" s="335">
        <f>+SUM(G10:G29)</f>
        <v>790639.60484965018</v>
      </c>
      <c r="H30" s="335">
        <f>+SUM(H10:H29)</f>
        <v>105122.24419114218</v>
      </c>
      <c r="I30" s="335">
        <f>+SUM(I10:I29)</f>
        <v>52077.480203962717</v>
      </c>
      <c r="J30" s="411">
        <f>+SUM(J10:J29)</f>
        <v>30032.543333333339</v>
      </c>
      <c r="K30" s="356">
        <f t="shared" si="0"/>
        <v>977871.87257808843</v>
      </c>
      <c r="L30" s="357">
        <f>+IF(K30=F30,1,0)</f>
        <v>0</v>
      </c>
      <c r="M30" s="336"/>
    </row>
    <row r="31" spans="2:25" s="310" customFormat="1" outlineLevel="1">
      <c r="B31" s="413"/>
      <c r="C31" s="330" t="s">
        <v>517</v>
      </c>
      <c r="D31" s="330" t="s">
        <v>518</v>
      </c>
      <c r="E31" s="329"/>
      <c r="F31" s="318">
        <f>+SUMIF('Consolidado Costos'!$K$6:$K$158,$C31,'Consolidado Costos'!$AD$6:$AD$158)</f>
        <v>0</v>
      </c>
      <c r="G31" s="318" cm="1">
        <f t="array" ref="G31">+SUMPRODUCT(IF('Consolidado Costos'!$K$6:$K$158=$C31,('Consolidado Costos'!$AD$6:$AD$158*'Consolidado Costos'!D$6:D$158),0))</f>
        <v>0</v>
      </c>
      <c r="H31" s="318" cm="1">
        <f t="array" ref="H31">+SUMPRODUCT(IF('Consolidado Costos'!$K$6:$K$158=$C31,('Consolidado Costos'!$AD$6:$AD$158*'Consolidado Costos'!E$6:E$158),0))</f>
        <v>0</v>
      </c>
      <c r="I31" s="318" cm="1">
        <f t="array" ref="I31">+SUMPRODUCT(IF('Consolidado Costos'!$K$6:$K$158=$C31,('Consolidado Costos'!$AD$6:$AD$158*'Consolidado Costos'!F$6:F$158),0))</f>
        <v>0</v>
      </c>
      <c r="J31" s="409" cm="1">
        <f t="array" ref="J31">+SUMPRODUCT(IF('Consolidado Costos'!$K$6:$K$158=$C31,('Consolidado Costos'!$AD$6:$AD$158*'Consolidado Costos'!G$6:G$158),0))</f>
        <v>0</v>
      </c>
      <c r="K31" s="356">
        <f t="shared" si="0"/>
        <v>0</v>
      </c>
      <c r="L31" s="357">
        <f t="shared" si="1"/>
        <v>1</v>
      </c>
      <c r="M31" s="338"/>
      <c r="R31" s="324"/>
      <c r="S31" s="324"/>
      <c r="T31" s="324"/>
      <c r="U31" s="324"/>
      <c r="V31" s="324"/>
      <c r="W31" s="324"/>
      <c r="X31" s="324"/>
      <c r="Y31" s="324"/>
    </row>
    <row r="32" spans="2:25" s="310" customFormat="1" outlineLevel="1">
      <c r="B32" s="413"/>
      <c r="C32" s="330" t="s">
        <v>519</v>
      </c>
      <c r="D32" s="330" t="s">
        <v>520</v>
      </c>
      <c r="E32" s="329"/>
      <c r="F32" s="318">
        <f>+SUMIF('Consolidado Costos'!$K$6:$K$158,$C32,'Consolidado Costos'!$AD$6:$AD$158)</f>
        <v>0</v>
      </c>
      <c r="G32" s="318" cm="1">
        <f t="array" ref="G32">+SUMPRODUCT(IF('Consolidado Costos'!$K$6:$K$158=$C32,('Consolidado Costos'!$AD$6:$AD$158*'Consolidado Costos'!D$6:D$158),0))</f>
        <v>0</v>
      </c>
      <c r="H32" s="318" cm="1">
        <f t="array" ref="H32">+SUMPRODUCT(IF('Consolidado Costos'!$K$6:$K$158=$C32,('Consolidado Costos'!$AD$6:$AD$158*'Consolidado Costos'!E$6:E$158),0))</f>
        <v>0</v>
      </c>
      <c r="I32" s="318" cm="1">
        <f t="array" ref="I32">+SUMPRODUCT(IF('Consolidado Costos'!$K$6:$K$158=$C32,('Consolidado Costos'!$AD$6:$AD$158*'Consolidado Costos'!F$6:F$158),0))</f>
        <v>0</v>
      </c>
      <c r="J32" s="409" cm="1">
        <f t="array" ref="J32">+SUMPRODUCT(IF('Consolidado Costos'!$K$6:$K$158=$C32,('Consolidado Costos'!$AD$6:$AD$158*'Consolidado Costos'!G$6:G$158),0))</f>
        <v>0</v>
      </c>
      <c r="K32" s="356">
        <f t="shared" si="0"/>
        <v>0</v>
      </c>
      <c r="L32" s="357">
        <f t="shared" si="1"/>
        <v>1</v>
      </c>
      <c r="M32" s="338"/>
      <c r="R32" s="324"/>
      <c r="S32" s="324"/>
      <c r="T32" s="324"/>
      <c r="U32" s="324"/>
      <c r="V32" s="324"/>
      <c r="W32" s="324"/>
      <c r="X32" s="324"/>
      <c r="Y32" s="324"/>
    </row>
    <row r="33" spans="2:25" s="310" customFormat="1" outlineLevel="1">
      <c r="B33" s="413"/>
      <c r="C33" s="330" t="s">
        <v>521</v>
      </c>
      <c r="D33" s="330" t="s">
        <v>522</v>
      </c>
      <c r="E33" s="329"/>
      <c r="F33" s="318">
        <f>+SUMIF('Consolidado Costos'!$K$6:$K$158,$C33,'Consolidado Costos'!$AD$6:$AD$158)</f>
        <v>0</v>
      </c>
      <c r="G33" s="318" cm="1">
        <f t="array" ref="G33">+SUMPRODUCT(IF('Consolidado Costos'!$K$6:$K$158=$C33,('Consolidado Costos'!$AD$6:$AD$158*'Consolidado Costos'!D$6:D$158),0))</f>
        <v>0</v>
      </c>
      <c r="H33" s="318" cm="1">
        <f t="array" ref="H33">+SUMPRODUCT(IF('Consolidado Costos'!$K$6:$K$158=$C33,('Consolidado Costos'!$AD$6:$AD$158*'Consolidado Costos'!E$6:E$158),0))</f>
        <v>0</v>
      </c>
      <c r="I33" s="318" cm="1">
        <f t="array" ref="I33">+SUMPRODUCT(IF('Consolidado Costos'!$K$6:$K$158=$C33,('Consolidado Costos'!$AD$6:$AD$158*'Consolidado Costos'!F$6:F$158),0))</f>
        <v>0</v>
      </c>
      <c r="J33" s="409" cm="1">
        <f t="array" ref="J33">+SUMPRODUCT(IF('Consolidado Costos'!$K$6:$K$158=$C33,('Consolidado Costos'!$AD$6:$AD$158*'Consolidado Costos'!G$6:G$158),0))</f>
        <v>0</v>
      </c>
      <c r="K33" s="356">
        <f t="shared" si="0"/>
        <v>0</v>
      </c>
      <c r="L33" s="357">
        <f t="shared" si="1"/>
        <v>1</v>
      </c>
      <c r="M33" s="338"/>
      <c r="R33" s="324"/>
      <c r="S33" s="324"/>
      <c r="T33" s="324"/>
      <c r="U33" s="324"/>
      <c r="V33" s="324"/>
      <c r="W33" s="324"/>
      <c r="X33" s="324"/>
      <c r="Y33" s="324"/>
    </row>
    <row r="34" spans="2:25" s="310" customFormat="1" outlineLevel="1">
      <c r="B34" s="413"/>
      <c r="C34" s="330" t="s">
        <v>523</v>
      </c>
      <c r="D34" s="330" t="s">
        <v>524</v>
      </c>
      <c r="E34" s="329"/>
      <c r="F34" s="318">
        <f>+SUMIF('Consolidado Costos'!$K$6:$K$158,$C34,'Consolidado Costos'!$AD$6:$AD$158)</f>
        <v>0</v>
      </c>
      <c r="G34" s="318" cm="1">
        <f t="array" ref="G34">+SUMPRODUCT(IF('Consolidado Costos'!$K$6:$K$158=$C34,('Consolidado Costos'!$AD$6:$AD$158*'Consolidado Costos'!D$6:D$158),0))</f>
        <v>0</v>
      </c>
      <c r="H34" s="318" cm="1">
        <f t="array" ref="H34">+SUMPRODUCT(IF('Consolidado Costos'!$K$6:$K$158=$C34,('Consolidado Costos'!$AD$6:$AD$158*'Consolidado Costos'!E$6:E$158),0))</f>
        <v>0</v>
      </c>
      <c r="I34" s="318" cm="1">
        <f t="array" ref="I34">+SUMPRODUCT(IF('Consolidado Costos'!$K$6:$K$158=$C34,('Consolidado Costos'!$AD$6:$AD$158*'Consolidado Costos'!F$6:F$158),0))</f>
        <v>0</v>
      </c>
      <c r="J34" s="409" cm="1">
        <f t="array" ref="J34">+SUMPRODUCT(IF('Consolidado Costos'!$K$6:$K$158=$C34,('Consolidado Costos'!$AD$6:$AD$158*'Consolidado Costos'!G$6:G$158),0))</f>
        <v>0</v>
      </c>
      <c r="K34" s="356">
        <f t="shared" si="0"/>
        <v>0</v>
      </c>
      <c r="L34" s="357">
        <f t="shared" si="1"/>
        <v>1</v>
      </c>
      <c r="M34" s="338"/>
      <c r="R34" s="324"/>
      <c r="S34" s="324"/>
      <c r="T34" s="324"/>
      <c r="U34" s="324"/>
      <c r="V34" s="324"/>
      <c r="W34" s="324"/>
      <c r="X34" s="324"/>
      <c r="Y34" s="324"/>
    </row>
    <row r="35" spans="2:25" s="310" customFormat="1" outlineLevel="1">
      <c r="B35" s="413"/>
      <c r="C35" s="328" t="s">
        <v>525</v>
      </c>
      <c r="D35" s="328" t="s">
        <v>526</v>
      </c>
      <c r="E35" s="329"/>
      <c r="F35" s="318">
        <f>+SUMIF('Consolidado Costos'!$K$6:$K$158,$C35,'Consolidado Costos'!$AD$6:$AD$158)</f>
        <v>0</v>
      </c>
      <c r="G35" s="318" cm="1">
        <f t="array" ref="G35">+SUMPRODUCT(IF('Consolidado Costos'!$K$6:$K$158=$C35,('Consolidado Costos'!$AD$6:$AD$158*'Consolidado Costos'!D$6:D$158),0))</f>
        <v>0</v>
      </c>
      <c r="H35" s="318" cm="1">
        <f t="array" ref="H35">+SUMPRODUCT(IF('Consolidado Costos'!$K$6:$K$158=$C35,('Consolidado Costos'!$AD$6:$AD$158*'Consolidado Costos'!E$6:E$158),0))</f>
        <v>0</v>
      </c>
      <c r="I35" s="318" cm="1">
        <f t="array" ref="I35">+SUMPRODUCT(IF('Consolidado Costos'!$K$6:$K$158=$C35,('Consolidado Costos'!$AD$6:$AD$158*'Consolidado Costos'!F$6:F$158),0))</f>
        <v>0</v>
      </c>
      <c r="J35" s="409" cm="1">
        <f t="array" ref="J35">+SUMPRODUCT(IF('Consolidado Costos'!$K$6:$K$158=$C35,('Consolidado Costos'!$AD$6:$AD$158*'Consolidado Costos'!G$6:G$158),0))</f>
        <v>0</v>
      </c>
      <c r="K35" s="356">
        <f t="shared" si="0"/>
        <v>0</v>
      </c>
      <c r="L35" s="357">
        <f t="shared" si="1"/>
        <v>1</v>
      </c>
      <c r="M35" s="338"/>
      <c r="R35" s="324"/>
      <c r="S35" s="324"/>
      <c r="T35" s="324"/>
      <c r="U35" s="324"/>
      <c r="V35" s="324"/>
      <c r="W35" s="324"/>
      <c r="X35" s="324"/>
      <c r="Y35" s="324"/>
    </row>
    <row r="36" spans="2:25" s="310" customFormat="1" outlineLevel="1">
      <c r="B36" s="413"/>
      <c r="C36" s="328" t="s">
        <v>527</v>
      </c>
      <c r="D36" s="328" t="s">
        <v>528</v>
      </c>
      <c r="E36" s="329"/>
      <c r="F36" s="318">
        <f>+SUMIF('Consolidado Costos'!$K$6:$K$158,$C36,'Consolidado Costos'!$AD$6:$AD$158)</f>
        <v>0</v>
      </c>
      <c r="G36" s="318" cm="1">
        <f t="array" ref="G36">+SUMPRODUCT(IF('Consolidado Costos'!$K$6:$K$158=$C36,('Consolidado Costos'!$AD$6:$AD$158*'Consolidado Costos'!D$6:D$158),0))</f>
        <v>0</v>
      </c>
      <c r="H36" s="318" cm="1">
        <f t="array" ref="H36">+SUMPRODUCT(IF('Consolidado Costos'!$K$6:$K$158=$C36,('Consolidado Costos'!$AD$6:$AD$158*'Consolidado Costos'!E$6:E$158),0))</f>
        <v>0</v>
      </c>
      <c r="I36" s="318" cm="1">
        <f t="array" ref="I36">+SUMPRODUCT(IF('Consolidado Costos'!$K$6:$K$158=$C36,('Consolidado Costos'!$AD$6:$AD$158*'Consolidado Costos'!F$6:F$158),0))</f>
        <v>0</v>
      </c>
      <c r="J36" s="409" cm="1">
        <f t="array" ref="J36">+SUMPRODUCT(IF('Consolidado Costos'!$K$6:$K$158=$C36,('Consolidado Costos'!$AD$6:$AD$158*'Consolidado Costos'!G$6:G$158),0))</f>
        <v>0</v>
      </c>
      <c r="K36" s="356">
        <f t="shared" si="0"/>
        <v>0</v>
      </c>
      <c r="L36" s="357">
        <f t="shared" si="1"/>
        <v>1</v>
      </c>
      <c r="M36" s="338"/>
      <c r="R36" s="324"/>
      <c r="S36" s="324"/>
      <c r="T36" s="324"/>
      <c r="U36" s="324"/>
      <c r="V36" s="324"/>
      <c r="W36" s="324"/>
      <c r="X36" s="324"/>
      <c r="Y36" s="324"/>
    </row>
    <row r="37" spans="2:25" s="310" customFormat="1" outlineLevel="1">
      <c r="B37" s="413"/>
      <c r="C37" s="330" t="s">
        <v>186</v>
      </c>
      <c r="D37" s="330" t="s">
        <v>187</v>
      </c>
      <c r="E37" s="329"/>
      <c r="F37" s="318">
        <f>+SUMIF('Consolidado Costos'!$K$6:$K$158,$C37,'Consolidado Costos'!$AD$6:$AD$158)</f>
        <v>346312.66461538465</v>
      </c>
      <c r="G37" s="318" cm="1">
        <f t="array" ref="G37">+SUMPRODUCT(IF('Consolidado Costos'!$K$6:$K$158=$C37,('Consolidado Costos'!$AD$6:$AD$158*'Consolidado Costos'!D$6:D$158),0))</f>
        <v>180000</v>
      </c>
      <c r="H37" s="318" cm="1">
        <f t="array" ref="H37">+SUMPRODUCT(IF('Consolidado Costos'!$K$6:$K$158=$C37,('Consolidado Costos'!$AD$6:$AD$158*'Consolidado Costos'!E$6:E$158),0))</f>
        <v>0</v>
      </c>
      <c r="I37" s="318" cm="1">
        <f t="array" ref="I37">+SUMPRODUCT(IF('Consolidado Costos'!$K$6:$K$158=$C37,('Consolidado Costos'!$AD$6:$AD$158*'Consolidado Costos'!F$6:F$158),0))</f>
        <v>12000</v>
      </c>
      <c r="J37" s="409" cm="1">
        <f t="array" ref="J37">+SUMPRODUCT(IF('Consolidado Costos'!$K$6:$K$158=$C37,('Consolidado Costos'!$AD$6:$AD$158*'Consolidado Costos'!G$6:G$158),0))</f>
        <v>154312.66461538462</v>
      </c>
      <c r="K37" s="356">
        <f t="shared" si="0"/>
        <v>346312.66461538465</v>
      </c>
      <c r="L37" s="357">
        <f t="shared" si="1"/>
        <v>1</v>
      </c>
      <c r="M37" s="338"/>
      <c r="R37" s="324"/>
      <c r="S37" s="324"/>
      <c r="T37" s="324"/>
      <c r="U37" s="324"/>
      <c r="V37" s="324"/>
      <c r="W37" s="324"/>
      <c r="X37" s="324"/>
      <c r="Y37" s="324"/>
    </row>
    <row r="38" spans="2:25" s="310" customFormat="1" outlineLevel="1">
      <c r="B38" s="413"/>
      <c r="C38" s="330" t="s">
        <v>192</v>
      </c>
      <c r="D38" s="330" t="s">
        <v>193</v>
      </c>
      <c r="E38" s="329"/>
      <c r="F38" s="318">
        <f>+SUMIF('Consolidado Costos'!$K$6:$K$158,$C38,'Consolidado Costos'!$AD$6:$AD$158)</f>
        <v>24000</v>
      </c>
      <c r="G38" s="318" cm="1">
        <f t="array" ref="G38">+SUMPRODUCT(IF('Consolidado Costos'!$K$6:$K$158=$C38,('Consolidado Costos'!$AD$6:$AD$158*'Consolidado Costos'!D$6:D$158),0))</f>
        <v>0</v>
      </c>
      <c r="H38" s="318" cm="1">
        <f t="array" ref="H38">+SUMPRODUCT(IF('Consolidado Costos'!$K$6:$K$158=$C38,('Consolidado Costos'!$AD$6:$AD$158*'Consolidado Costos'!E$6:E$158),0))</f>
        <v>0</v>
      </c>
      <c r="I38" s="318" cm="1">
        <f t="array" ref="I38">+SUMPRODUCT(IF('Consolidado Costos'!$K$6:$K$158=$C38,('Consolidado Costos'!$AD$6:$AD$158*'Consolidado Costos'!F$6:F$158),0))</f>
        <v>0</v>
      </c>
      <c r="J38" s="409" cm="1">
        <f t="array" ref="J38">+SUMPRODUCT(IF('Consolidado Costos'!$K$6:$K$158=$C38,('Consolidado Costos'!$AD$6:$AD$158*'Consolidado Costos'!G$6:G$158),0))</f>
        <v>24000</v>
      </c>
      <c r="K38" s="356">
        <f t="shared" si="0"/>
        <v>24000</v>
      </c>
      <c r="L38" s="357">
        <f t="shared" si="1"/>
        <v>1</v>
      </c>
      <c r="M38" s="338"/>
      <c r="R38" s="324"/>
      <c r="S38" s="324"/>
      <c r="T38" s="324"/>
      <c r="U38" s="324"/>
      <c r="V38" s="324"/>
      <c r="W38" s="324"/>
      <c r="X38" s="324"/>
      <c r="Y38" s="324"/>
    </row>
    <row r="39" spans="2:25" s="310" customFormat="1" outlineLevel="1">
      <c r="B39" s="413"/>
      <c r="C39" s="330" t="s">
        <v>529</v>
      </c>
      <c r="D39" s="330" t="s">
        <v>530</v>
      </c>
      <c r="E39" s="329"/>
      <c r="F39" s="318">
        <f>+SUMIF('Consolidado Costos'!$K$6:$K$158,$C39,'Consolidado Costos'!$AD$6:$AD$158)</f>
        <v>0</v>
      </c>
      <c r="G39" s="318" cm="1">
        <f t="array" ref="G39">+SUMPRODUCT(IF('Consolidado Costos'!$K$6:$K$158=$C39,('Consolidado Costos'!$AD$6:$AD$158*'Consolidado Costos'!D$6:D$158),0))</f>
        <v>0</v>
      </c>
      <c r="H39" s="318" cm="1">
        <f t="array" ref="H39">+SUMPRODUCT(IF('Consolidado Costos'!$K$6:$K$158=$C39,('Consolidado Costos'!$AD$6:$AD$158*'Consolidado Costos'!E$6:E$158),0))</f>
        <v>0</v>
      </c>
      <c r="I39" s="318" cm="1">
        <f t="array" ref="I39">+SUMPRODUCT(IF('Consolidado Costos'!$K$6:$K$158=$C39,('Consolidado Costos'!$AD$6:$AD$158*'Consolidado Costos'!F$6:F$158),0))</f>
        <v>0</v>
      </c>
      <c r="J39" s="409" cm="1">
        <f t="array" ref="J39">+SUMPRODUCT(IF('Consolidado Costos'!$K$6:$K$158=$C39,('Consolidado Costos'!$AD$6:$AD$158*'Consolidado Costos'!G$6:G$158),0))</f>
        <v>0</v>
      </c>
      <c r="K39" s="356">
        <f t="shared" si="0"/>
        <v>0</v>
      </c>
      <c r="L39" s="357">
        <f t="shared" si="1"/>
        <v>1</v>
      </c>
      <c r="M39" s="338"/>
      <c r="R39" s="324"/>
      <c r="S39" s="324"/>
      <c r="T39" s="324"/>
      <c r="U39" s="324"/>
      <c r="V39" s="324"/>
      <c r="W39" s="324"/>
      <c r="X39" s="324"/>
      <c r="Y39" s="324"/>
    </row>
    <row r="40" spans="2:25" s="310" customFormat="1" outlineLevel="1">
      <c r="B40" s="413"/>
      <c r="C40" s="330" t="s">
        <v>531</v>
      </c>
      <c r="D40" s="330" t="s">
        <v>532</v>
      </c>
      <c r="E40" s="329"/>
      <c r="F40" s="318">
        <f>+SUMIF('Consolidado Costos'!$K$6:$K$158,$C40,'Consolidado Costos'!$AD$6:$AD$158)</f>
        <v>0</v>
      </c>
      <c r="G40" s="318" cm="1">
        <f t="array" ref="G40">+SUMPRODUCT(IF('Consolidado Costos'!$K$6:$K$158=$C40,('Consolidado Costos'!$AD$6:$AD$158*'Consolidado Costos'!D$6:D$158),0))</f>
        <v>0</v>
      </c>
      <c r="H40" s="318" cm="1">
        <f t="array" ref="H40">+SUMPRODUCT(IF('Consolidado Costos'!$K$6:$K$158=$C40,('Consolidado Costos'!$AD$6:$AD$158*'Consolidado Costos'!E$6:E$158),0))</f>
        <v>0</v>
      </c>
      <c r="I40" s="318" cm="1">
        <f t="array" ref="I40">+SUMPRODUCT(IF('Consolidado Costos'!$K$6:$K$158=$C40,('Consolidado Costos'!$AD$6:$AD$158*'Consolidado Costos'!F$6:F$158),0))</f>
        <v>0</v>
      </c>
      <c r="J40" s="409" cm="1">
        <f t="array" ref="J40">+SUMPRODUCT(IF('Consolidado Costos'!$K$6:$K$158=$C40,('Consolidado Costos'!$AD$6:$AD$158*'Consolidado Costos'!G$6:G$158),0))</f>
        <v>0</v>
      </c>
      <c r="K40" s="356">
        <f t="shared" si="0"/>
        <v>0</v>
      </c>
      <c r="L40" s="357">
        <f t="shared" si="1"/>
        <v>1</v>
      </c>
      <c r="M40" s="338"/>
      <c r="R40" s="324"/>
      <c r="S40" s="324"/>
      <c r="T40" s="324"/>
      <c r="U40" s="324"/>
      <c r="V40" s="324"/>
      <c r="W40" s="324"/>
      <c r="X40" s="324"/>
      <c r="Y40" s="324"/>
    </row>
    <row r="41" spans="2:25" s="337" customFormat="1">
      <c r="B41" s="414" t="s">
        <v>533</v>
      </c>
      <c r="C41" s="332"/>
      <c r="D41" s="333" t="s">
        <v>486</v>
      </c>
      <c r="E41" s="334"/>
      <c r="F41" s="318">
        <f>+SUMIF('Consolidado Costos'!$K$6:$K$158,$C41,'Consolidado Costos'!$AD$6:$AD$158)</f>
        <v>0</v>
      </c>
      <c r="G41" s="318" cm="1">
        <f t="array" ref="G41">+SUMPRODUCT(IF('Consolidado Costos'!$K$6:$K$158=$B41,('Consolidado Costos'!$AD$6:$AD$158*'Consolidado Costos'!D$6:D$158),0))</f>
        <v>0</v>
      </c>
      <c r="H41" s="318" cm="1">
        <f t="array" ref="H41">+SUMPRODUCT(IF('Consolidado Costos'!$K$6:$K$158=$C41,('Consolidado Costos'!$AD$6:$AD$158*'Consolidado Costos'!E$6:E$158),0))</f>
        <v>0</v>
      </c>
      <c r="I41" s="318" cm="1">
        <f t="array" ref="I41">+SUMPRODUCT(IF('Consolidado Costos'!$K$6:$K$158=$C41,('Consolidado Costos'!$AD$6:$AD$158*'Consolidado Costos'!F$6:F$158),0))</f>
        <v>0</v>
      </c>
      <c r="J41" s="409" cm="1">
        <f t="array" ref="J41">+SUMPRODUCT(IF('Consolidado Costos'!$K$6:$K$158=$C41,('Consolidado Costos'!$AD$6:$AD$158*'Consolidado Costos'!G$6:G$158),0))</f>
        <v>0</v>
      </c>
      <c r="K41" s="356">
        <f t="shared" si="0"/>
        <v>0</v>
      </c>
      <c r="L41" s="357">
        <f t="shared" si="1"/>
        <v>1</v>
      </c>
      <c r="M41" s="336"/>
    </row>
    <row r="42" spans="2:25" s="310" customFormat="1" outlineLevel="1">
      <c r="B42" s="413"/>
      <c r="C42" s="328" t="s">
        <v>331</v>
      </c>
      <c r="D42" s="328" t="s">
        <v>332</v>
      </c>
      <c r="E42" s="329"/>
      <c r="F42" s="318">
        <f>+SUMIF('Consolidado Costos'!$K$6:$K$158,$C42,'Consolidado Costos'!$AD$6:$AD$158)</f>
        <v>86707.692307692312</v>
      </c>
      <c r="G42" s="318" cm="1">
        <f t="array" ref="G42">+SUMPRODUCT(IF('Consolidado Costos'!$K$6:$K$158=$C42,('Consolidado Costos'!$AD$6:$AD$158*'Consolidado Costos'!D$6:D$158),0))</f>
        <v>86707.692307692312</v>
      </c>
      <c r="H42" s="318" cm="1">
        <f t="array" ref="H42">+SUMPRODUCT(IF('Consolidado Costos'!$K$6:$K$158=$C42,('Consolidado Costos'!$AD$6:$AD$158*'Consolidado Costos'!E$6:E$158),0))</f>
        <v>0</v>
      </c>
      <c r="I42" s="318" cm="1">
        <f t="array" ref="I42">+SUMPRODUCT(IF('Consolidado Costos'!$K$6:$K$158=$C42,('Consolidado Costos'!$AD$6:$AD$158*'Consolidado Costos'!F$6:F$158),0))</f>
        <v>0</v>
      </c>
      <c r="J42" s="409" cm="1">
        <f t="array" ref="J42">+SUMPRODUCT(IF('Consolidado Costos'!$K$6:$K$158=$C42,('Consolidado Costos'!$AD$6:$AD$158*'Consolidado Costos'!G$6:G$158),0))</f>
        <v>0</v>
      </c>
      <c r="K42" s="356">
        <f t="shared" si="0"/>
        <v>86707.692307692312</v>
      </c>
      <c r="L42" s="357">
        <f t="shared" si="1"/>
        <v>1</v>
      </c>
      <c r="M42" s="338"/>
      <c r="R42" s="324"/>
      <c r="S42" s="324"/>
      <c r="T42" s="324"/>
      <c r="U42" s="324"/>
      <c r="V42" s="324"/>
      <c r="W42" s="324"/>
      <c r="X42" s="324"/>
      <c r="Y42" s="324"/>
    </row>
    <row r="43" spans="2:25" s="310" customFormat="1" outlineLevel="1">
      <c r="B43" s="413"/>
      <c r="C43" s="328" t="s">
        <v>534</v>
      </c>
      <c r="D43" s="328" t="s">
        <v>535</v>
      </c>
      <c r="E43" s="329"/>
      <c r="F43" s="318">
        <f>+SUMIF('Consolidado Costos'!$K$6:$K$158,$C43,'Consolidado Costos'!$AD$6:$AD$158)</f>
        <v>0</v>
      </c>
      <c r="G43" s="318" cm="1">
        <f t="array" ref="G43">+SUMPRODUCT(IF('Consolidado Costos'!$K$6:$K$158=$C43,('Consolidado Costos'!$AD$6:$AD$158*'Consolidado Costos'!D$6:D$158),0))</f>
        <v>0</v>
      </c>
      <c r="H43" s="318" cm="1">
        <f t="array" ref="H43">+SUMPRODUCT(IF('Consolidado Costos'!$K$6:$K$158=$C43,('Consolidado Costos'!$AD$6:$AD$158*'Consolidado Costos'!E$6:E$158),0))</f>
        <v>0</v>
      </c>
      <c r="I43" s="318" cm="1">
        <f t="array" ref="I43">+SUMPRODUCT(IF('Consolidado Costos'!$K$6:$K$158=$C43,('Consolidado Costos'!$AD$6:$AD$158*'Consolidado Costos'!F$6:F$158),0))</f>
        <v>0</v>
      </c>
      <c r="J43" s="409" cm="1">
        <f t="array" ref="J43">+SUMPRODUCT(IF('Consolidado Costos'!$K$6:$K$158=$C43,('Consolidado Costos'!$AD$6:$AD$158*'Consolidado Costos'!G$6:G$158),0))</f>
        <v>0</v>
      </c>
      <c r="K43" s="356">
        <f t="shared" si="0"/>
        <v>0</v>
      </c>
      <c r="L43" s="357">
        <f t="shared" si="1"/>
        <v>1</v>
      </c>
      <c r="M43" s="338"/>
      <c r="R43" s="324"/>
      <c r="S43" s="324"/>
      <c r="T43" s="324"/>
      <c r="U43" s="324"/>
      <c r="V43" s="324"/>
      <c r="W43" s="324"/>
      <c r="X43" s="324"/>
      <c r="Y43" s="324"/>
    </row>
    <row r="44" spans="2:25" s="310" customFormat="1" outlineLevel="1">
      <c r="B44" s="413"/>
      <c r="C44" s="330" t="s">
        <v>536</v>
      </c>
      <c r="D44" s="330" t="s">
        <v>537</v>
      </c>
      <c r="E44" s="329"/>
      <c r="F44" s="318">
        <f>+SUMIF('Consolidado Costos'!$K$6:$K$158,$C44,'Consolidado Costos'!$AD$6:$AD$158)</f>
        <v>0</v>
      </c>
      <c r="G44" s="318" cm="1">
        <f t="array" ref="G44">+SUMPRODUCT(IF('Consolidado Costos'!$K$6:$K$158=$C44,('Consolidado Costos'!$AD$6:$AD$158*'Consolidado Costos'!D$6:D$158),0))</f>
        <v>0</v>
      </c>
      <c r="H44" s="318" cm="1">
        <f t="array" ref="H44">+SUMPRODUCT(IF('Consolidado Costos'!$K$6:$K$158=$C44,('Consolidado Costos'!$AD$6:$AD$158*'Consolidado Costos'!E$6:E$158),0))</f>
        <v>0</v>
      </c>
      <c r="I44" s="318" cm="1">
        <f t="array" ref="I44">+SUMPRODUCT(IF('Consolidado Costos'!$K$6:$K$158=$C44,('Consolidado Costos'!$AD$6:$AD$158*'Consolidado Costos'!F$6:F$158),0))</f>
        <v>0</v>
      </c>
      <c r="J44" s="409" cm="1">
        <f t="array" ref="J44">+SUMPRODUCT(IF('Consolidado Costos'!$K$6:$K$158=$C44,('Consolidado Costos'!$AD$6:$AD$158*'Consolidado Costos'!G$6:G$158),0))</f>
        <v>0</v>
      </c>
      <c r="K44" s="356">
        <f t="shared" si="0"/>
        <v>0</v>
      </c>
      <c r="L44" s="357">
        <f t="shared" si="1"/>
        <v>1</v>
      </c>
      <c r="M44" s="338"/>
      <c r="R44" s="324"/>
      <c r="S44" s="324"/>
      <c r="T44" s="324"/>
      <c r="U44" s="324"/>
      <c r="V44" s="324"/>
      <c r="W44" s="324"/>
      <c r="X44" s="324"/>
      <c r="Y44" s="324"/>
    </row>
    <row r="45" spans="2:25" s="310" customFormat="1" outlineLevel="1">
      <c r="B45" s="413"/>
      <c r="C45" s="328" t="s">
        <v>538</v>
      </c>
      <c r="D45" s="328" t="s">
        <v>539</v>
      </c>
      <c r="E45" s="329"/>
      <c r="F45" s="318">
        <f>+SUMIF('Consolidado Costos'!$K$6:$K$158,$C45,'Consolidado Costos'!$AD$6:$AD$158)</f>
        <v>0</v>
      </c>
      <c r="G45" s="318" cm="1">
        <f t="array" ref="G45">+SUMPRODUCT(IF('Consolidado Costos'!$K$6:$K$158=$C45,('Consolidado Costos'!$AD$6:$AD$158*'Consolidado Costos'!D$6:D$158),0))</f>
        <v>0</v>
      </c>
      <c r="H45" s="318" cm="1">
        <f t="array" ref="H45">+SUMPRODUCT(IF('Consolidado Costos'!$K$6:$K$158=$C45,('Consolidado Costos'!$AD$6:$AD$158*'Consolidado Costos'!E$6:E$158),0))</f>
        <v>0</v>
      </c>
      <c r="I45" s="318" cm="1">
        <f t="array" ref="I45">+SUMPRODUCT(IF('Consolidado Costos'!$K$6:$K$158=$C45,('Consolidado Costos'!$AD$6:$AD$158*'Consolidado Costos'!F$6:F$158),0))</f>
        <v>0</v>
      </c>
      <c r="J45" s="409" cm="1">
        <f t="array" ref="J45">+SUMPRODUCT(IF('Consolidado Costos'!$K$6:$K$158=$C45,('Consolidado Costos'!$AD$6:$AD$158*'Consolidado Costos'!G$6:G$158),0))</f>
        <v>0</v>
      </c>
      <c r="K45" s="356">
        <f t="shared" si="0"/>
        <v>0</v>
      </c>
      <c r="L45" s="357">
        <f t="shared" si="1"/>
        <v>1</v>
      </c>
      <c r="M45" s="338"/>
      <c r="R45" s="324"/>
      <c r="S45" s="324"/>
      <c r="T45" s="324"/>
      <c r="U45" s="324"/>
      <c r="V45" s="324"/>
      <c r="W45" s="324"/>
      <c r="X45" s="324"/>
      <c r="Y45" s="324"/>
    </row>
    <row r="46" spans="2:25" s="310" customFormat="1" outlineLevel="1">
      <c r="B46" s="413"/>
      <c r="C46" s="328" t="s">
        <v>540</v>
      </c>
      <c r="D46" s="328" t="s">
        <v>541</v>
      </c>
      <c r="E46" s="329"/>
      <c r="F46" s="318">
        <f>+SUMIF('Consolidado Costos'!$K$6:$K$158,$C46,'Consolidado Costos'!$AD$6:$AD$158)</f>
        <v>0</v>
      </c>
      <c r="G46" s="318" cm="1">
        <f t="array" ref="G46">+SUMPRODUCT(IF('Consolidado Costos'!$K$6:$K$158=$C46,('Consolidado Costos'!$AD$6:$AD$158*'Consolidado Costos'!D$6:D$158),0))</f>
        <v>0</v>
      </c>
      <c r="H46" s="318" cm="1">
        <f t="array" ref="H46">+SUMPRODUCT(IF('Consolidado Costos'!$K$6:$K$158=$C46,('Consolidado Costos'!$AD$6:$AD$158*'Consolidado Costos'!E$6:E$158),0))</f>
        <v>0</v>
      </c>
      <c r="I46" s="318" cm="1">
        <f t="array" ref="I46">+SUMPRODUCT(IF('Consolidado Costos'!$K$6:$K$158=$C46,('Consolidado Costos'!$AD$6:$AD$158*'Consolidado Costos'!F$6:F$158),0))</f>
        <v>0</v>
      </c>
      <c r="J46" s="409" cm="1">
        <f t="array" ref="J46">+SUMPRODUCT(IF('Consolidado Costos'!$K$6:$K$158=$C46,('Consolidado Costos'!$AD$6:$AD$158*'Consolidado Costos'!G$6:G$158),0))</f>
        <v>0</v>
      </c>
      <c r="K46" s="356">
        <f t="shared" si="0"/>
        <v>0</v>
      </c>
      <c r="L46" s="357">
        <f t="shared" si="1"/>
        <v>1</v>
      </c>
      <c r="M46" s="338"/>
      <c r="R46" s="324"/>
      <c r="S46" s="324"/>
      <c r="T46" s="324"/>
      <c r="U46" s="324"/>
      <c r="V46" s="324"/>
      <c r="W46" s="324"/>
      <c r="X46" s="324"/>
      <c r="Y46" s="324"/>
    </row>
    <row r="47" spans="2:25" s="310" customFormat="1" outlineLevel="1">
      <c r="B47" s="413"/>
      <c r="C47" s="330" t="s">
        <v>542</v>
      </c>
      <c r="D47" s="330" t="s">
        <v>543</v>
      </c>
      <c r="E47" s="329"/>
      <c r="F47" s="318">
        <f>+SUMIF('Consolidado Costos'!$K$6:$K$158,$C47,'Consolidado Costos'!$AD$6:$AD$158)</f>
        <v>0</v>
      </c>
      <c r="G47" s="318" cm="1">
        <f t="array" ref="G47">+SUMPRODUCT(IF('Consolidado Costos'!$K$6:$K$158=$C47,('Consolidado Costos'!$AD$6:$AD$158*'Consolidado Costos'!D$6:D$158),0))</f>
        <v>0</v>
      </c>
      <c r="H47" s="318" cm="1">
        <f t="array" ref="H47">+SUMPRODUCT(IF('Consolidado Costos'!$K$6:$K$158=$C47,('Consolidado Costos'!$AD$6:$AD$158*'Consolidado Costos'!E$6:E$158),0))</f>
        <v>0</v>
      </c>
      <c r="I47" s="318" cm="1">
        <f t="array" ref="I47">+SUMPRODUCT(IF('Consolidado Costos'!$K$6:$K$158=$C47,('Consolidado Costos'!$AD$6:$AD$158*'Consolidado Costos'!F$6:F$158),0))</f>
        <v>0</v>
      </c>
      <c r="J47" s="409" cm="1">
        <f t="array" ref="J47">+SUMPRODUCT(IF('Consolidado Costos'!$K$6:$K$158=$C47,('Consolidado Costos'!$AD$6:$AD$158*'Consolidado Costos'!G$6:G$158),0))</f>
        <v>0</v>
      </c>
      <c r="K47" s="356">
        <f t="shared" si="0"/>
        <v>0</v>
      </c>
      <c r="L47" s="357">
        <f t="shared" si="1"/>
        <v>1</v>
      </c>
      <c r="M47" s="338"/>
      <c r="R47" s="324"/>
      <c r="S47" s="324"/>
      <c r="T47" s="324"/>
      <c r="U47" s="324"/>
      <c r="V47" s="324"/>
      <c r="W47" s="324"/>
      <c r="X47" s="324"/>
      <c r="Y47" s="324"/>
    </row>
    <row r="48" spans="2:25" s="310" customFormat="1" outlineLevel="1">
      <c r="B48" s="413"/>
      <c r="C48" s="330" t="s">
        <v>544</v>
      </c>
      <c r="D48" s="330" t="s">
        <v>545</v>
      </c>
      <c r="E48" s="329"/>
      <c r="F48" s="318">
        <f>+SUMIF('Consolidado Costos'!$K$6:$K$158,$C48,'Consolidado Costos'!$AD$6:$AD$158)</f>
        <v>0</v>
      </c>
      <c r="G48" s="318" cm="1">
        <f t="array" ref="G48">+SUMPRODUCT(IF('Consolidado Costos'!$K$6:$K$158=$C48,('Consolidado Costos'!$AD$6:$AD$158*'Consolidado Costos'!D$6:D$158),0))</f>
        <v>0</v>
      </c>
      <c r="H48" s="318" cm="1">
        <f t="array" ref="H48">+SUMPRODUCT(IF('Consolidado Costos'!$K$6:$K$158=$C48,('Consolidado Costos'!$AD$6:$AD$158*'Consolidado Costos'!E$6:E$158),0))</f>
        <v>0</v>
      </c>
      <c r="I48" s="318" cm="1">
        <f t="array" ref="I48">+SUMPRODUCT(IF('Consolidado Costos'!$K$6:$K$158=$C48,('Consolidado Costos'!$AD$6:$AD$158*'Consolidado Costos'!F$6:F$158),0))</f>
        <v>0</v>
      </c>
      <c r="J48" s="409" cm="1">
        <f t="array" ref="J48">+SUMPRODUCT(IF('Consolidado Costos'!$K$6:$K$158=$C48,('Consolidado Costos'!$AD$6:$AD$158*'Consolidado Costos'!G$6:G$158),0))</f>
        <v>0</v>
      </c>
      <c r="K48" s="356">
        <f t="shared" si="0"/>
        <v>0</v>
      </c>
      <c r="L48" s="357">
        <f t="shared" si="1"/>
        <v>1</v>
      </c>
      <c r="M48" s="338"/>
      <c r="R48" s="324"/>
      <c r="S48" s="324"/>
      <c r="T48" s="324"/>
      <c r="U48" s="324"/>
      <c r="V48" s="324"/>
      <c r="W48" s="324"/>
      <c r="X48" s="324"/>
      <c r="Y48" s="324"/>
    </row>
    <row r="49" spans="2:25" s="310" customFormat="1" outlineLevel="1">
      <c r="B49" s="413"/>
      <c r="C49" s="330" t="s">
        <v>546</v>
      </c>
      <c r="D49" s="330" t="s">
        <v>547</v>
      </c>
      <c r="E49" s="329"/>
      <c r="F49" s="318">
        <f>+SUMIF('Consolidado Costos'!$K$6:$K$158,$C49,'Consolidado Costos'!$AD$6:$AD$158)</f>
        <v>0</v>
      </c>
      <c r="G49" s="318" cm="1">
        <f t="array" ref="G49">+SUMPRODUCT(IF('Consolidado Costos'!$K$6:$K$158=$C49,('Consolidado Costos'!$AD$6:$AD$158*'Consolidado Costos'!D$6:D$158),0))</f>
        <v>0</v>
      </c>
      <c r="H49" s="318" cm="1">
        <f t="array" ref="H49">+SUMPRODUCT(IF('Consolidado Costos'!$K$6:$K$158=$C49,('Consolidado Costos'!$AD$6:$AD$158*'Consolidado Costos'!E$6:E$158),0))</f>
        <v>0</v>
      </c>
      <c r="I49" s="318" cm="1">
        <f t="array" ref="I49">+SUMPRODUCT(IF('Consolidado Costos'!$K$6:$K$158=$C49,('Consolidado Costos'!$AD$6:$AD$158*'Consolidado Costos'!F$6:F$158),0))</f>
        <v>0</v>
      </c>
      <c r="J49" s="409" cm="1">
        <f t="array" ref="J49">+SUMPRODUCT(IF('Consolidado Costos'!$K$6:$K$158=$C49,('Consolidado Costos'!$AD$6:$AD$158*'Consolidado Costos'!G$6:G$158),0))</f>
        <v>0</v>
      </c>
      <c r="K49" s="356">
        <f t="shared" si="0"/>
        <v>0</v>
      </c>
      <c r="L49" s="357">
        <f t="shared" si="1"/>
        <v>1</v>
      </c>
      <c r="M49" s="338"/>
      <c r="R49" s="324"/>
      <c r="S49" s="324"/>
      <c r="T49" s="324"/>
      <c r="U49" s="324"/>
      <c r="V49" s="324"/>
      <c r="W49" s="324"/>
      <c r="X49" s="324"/>
      <c r="Y49" s="324"/>
    </row>
    <row r="50" spans="2:25" s="310" customFormat="1" outlineLevel="1">
      <c r="B50" s="413"/>
      <c r="C50" s="330" t="s">
        <v>548</v>
      </c>
      <c r="D50" s="330" t="s">
        <v>549</v>
      </c>
      <c r="E50" s="329"/>
      <c r="F50" s="318">
        <f>+SUMIF('Consolidado Costos'!$K$6:$K$158,$C50,'Consolidado Costos'!$AD$6:$AD$158)</f>
        <v>0</v>
      </c>
      <c r="G50" s="318" cm="1">
        <f t="array" ref="G50">+SUMPRODUCT(IF('Consolidado Costos'!$K$6:$K$158=$C50,('Consolidado Costos'!$AD$6:$AD$158*'Consolidado Costos'!D$6:D$158),0))</f>
        <v>0</v>
      </c>
      <c r="H50" s="318" cm="1">
        <f t="array" ref="H50">+SUMPRODUCT(IF('Consolidado Costos'!$K$6:$K$158=$C50,('Consolidado Costos'!$AD$6:$AD$158*'Consolidado Costos'!E$6:E$158),0))</f>
        <v>0</v>
      </c>
      <c r="I50" s="318" cm="1">
        <f t="array" ref="I50">+SUMPRODUCT(IF('Consolidado Costos'!$K$6:$K$158=$C50,('Consolidado Costos'!$AD$6:$AD$158*'Consolidado Costos'!F$6:F$158),0))</f>
        <v>0</v>
      </c>
      <c r="J50" s="409" cm="1">
        <f t="array" ref="J50">+SUMPRODUCT(IF('Consolidado Costos'!$K$6:$K$158=$C50,('Consolidado Costos'!$AD$6:$AD$158*'Consolidado Costos'!G$6:G$158),0))</f>
        <v>0</v>
      </c>
      <c r="K50" s="356">
        <f t="shared" si="0"/>
        <v>0</v>
      </c>
      <c r="L50" s="357">
        <f t="shared" si="1"/>
        <v>1</v>
      </c>
      <c r="M50" s="338"/>
      <c r="R50" s="324"/>
      <c r="S50" s="324"/>
      <c r="T50" s="324"/>
      <c r="U50" s="324"/>
      <c r="V50" s="324"/>
      <c r="W50" s="324"/>
      <c r="X50" s="324"/>
      <c r="Y50" s="324"/>
    </row>
    <row r="51" spans="2:25" s="310" customFormat="1" outlineLevel="1">
      <c r="B51" s="413"/>
      <c r="C51" s="328" t="s">
        <v>162</v>
      </c>
      <c r="D51" s="328" t="s">
        <v>163</v>
      </c>
      <c r="E51" s="329"/>
      <c r="F51" s="318">
        <f>+SUMIF('Consolidado Costos'!$K$6:$K$158,$C51,'Consolidado Costos'!$AD$6:$AD$158)</f>
        <v>143340.77661538462</v>
      </c>
      <c r="G51" s="318" cm="1">
        <f t="array" ref="G51">+SUMPRODUCT(IF('Consolidado Costos'!$K$6:$K$158=$C51,('Consolidado Costos'!$AD$6:$AD$158*'Consolidado Costos'!D$6:D$158),0))</f>
        <v>84852.985261538444</v>
      </c>
      <c r="H51" s="318" cm="1">
        <f t="array" ref="H51">+SUMPRODUCT(IF('Consolidado Costos'!$K$6:$K$158=$C51,('Consolidado Costos'!$AD$6:$AD$158*'Consolidado Costos'!E$6:E$158),0))</f>
        <v>28669.499046153844</v>
      </c>
      <c r="I51" s="318" cm="1">
        <f t="array" ref="I51">+SUMPRODUCT(IF('Consolidado Costos'!$K$6:$K$158=$C51,('Consolidado Costos'!$AD$6:$AD$158*'Consolidado Costos'!F$6:F$158),0))</f>
        <v>191.88000000000002</v>
      </c>
      <c r="J51" s="409" cm="1">
        <f t="array" ref="J51">+SUMPRODUCT(IF('Consolidado Costos'!$K$6:$K$158=$C51,('Consolidado Costos'!$AD$6:$AD$158*'Consolidado Costos'!G$6:G$158),0))</f>
        <v>29626.412307692306</v>
      </c>
      <c r="K51" s="356">
        <f t="shared" si="0"/>
        <v>143340.77661538459</v>
      </c>
      <c r="L51" s="357">
        <f t="shared" si="1"/>
        <v>1</v>
      </c>
      <c r="M51" s="338"/>
      <c r="R51" s="324"/>
      <c r="S51" s="324"/>
      <c r="T51" s="324"/>
      <c r="U51" s="324"/>
      <c r="V51" s="324"/>
      <c r="W51" s="324"/>
      <c r="X51" s="324"/>
      <c r="Y51" s="324"/>
    </row>
    <row r="52" spans="2:25" s="310" customFormat="1" outlineLevel="1">
      <c r="B52" s="413"/>
      <c r="C52" s="328" t="s">
        <v>550</v>
      </c>
      <c r="D52" s="328" t="s">
        <v>551</v>
      </c>
      <c r="E52" s="329"/>
      <c r="F52" s="318">
        <f>+SUMIF('Consolidado Costos'!$K$6:$K$158,$C52,'Consolidado Costos'!$AD$6:$AD$158)</f>
        <v>0</v>
      </c>
      <c r="G52" s="318" cm="1">
        <f t="array" ref="G52">+SUMPRODUCT(IF('Consolidado Costos'!$K$6:$K$158=$C52,('Consolidado Costos'!$AD$6:$AD$158*'Consolidado Costos'!D$6:D$158),0))</f>
        <v>0</v>
      </c>
      <c r="H52" s="318" cm="1">
        <f t="array" ref="H52">+SUMPRODUCT(IF('Consolidado Costos'!$K$6:$K$158=$C52,('Consolidado Costos'!$AD$6:$AD$158*'Consolidado Costos'!E$6:E$158),0))</f>
        <v>0</v>
      </c>
      <c r="I52" s="318" cm="1">
        <f t="array" ref="I52">+SUMPRODUCT(IF('Consolidado Costos'!$K$6:$K$158=$C52,('Consolidado Costos'!$AD$6:$AD$158*'Consolidado Costos'!F$6:F$158),0))</f>
        <v>0</v>
      </c>
      <c r="J52" s="409" cm="1">
        <f t="array" ref="J52">+SUMPRODUCT(IF('Consolidado Costos'!$K$6:$K$158=$C52,('Consolidado Costos'!$AD$6:$AD$158*'Consolidado Costos'!G$6:G$158),0))</f>
        <v>0</v>
      </c>
      <c r="K52" s="356">
        <f t="shared" si="0"/>
        <v>0</v>
      </c>
      <c r="L52" s="357">
        <f t="shared" si="1"/>
        <v>1</v>
      </c>
      <c r="M52" s="338"/>
      <c r="R52" s="324"/>
      <c r="S52" s="324"/>
      <c r="T52" s="324"/>
      <c r="U52" s="324"/>
      <c r="V52" s="324"/>
      <c r="W52" s="324"/>
      <c r="X52" s="324"/>
      <c r="Y52" s="324"/>
    </row>
    <row r="53" spans="2:25" s="337" customFormat="1">
      <c r="B53" s="414" t="s">
        <v>552</v>
      </c>
      <c r="C53" s="332"/>
      <c r="D53" s="333" t="s">
        <v>486</v>
      </c>
      <c r="E53" s="334"/>
      <c r="F53" s="335">
        <f>+SUM(F42:F52)</f>
        <v>230048.46892307693</v>
      </c>
      <c r="G53" s="335">
        <f>+SUM(G42:G52)</f>
        <v>171560.67756923076</v>
      </c>
      <c r="H53" s="335">
        <f>+SUM(H42:H52)</f>
        <v>28669.499046153844</v>
      </c>
      <c r="I53" s="335">
        <f>+SUM(I42:I52)</f>
        <v>191.88000000000002</v>
      </c>
      <c r="J53" s="411">
        <f>+SUM(J42:J52)</f>
        <v>29626.412307692306</v>
      </c>
      <c r="K53" s="356">
        <f t="shared" si="0"/>
        <v>230048.46892307693</v>
      </c>
      <c r="L53" s="357">
        <f t="shared" si="1"/>
        <v>1</v>
      </c>
      <c r="M53" s="336"/>
    </row>
    <row r="54" spans="2:25" s="310" customFormat="1" outlineLevel="1">
      <c r="B54" s="413"/>
      <c r="C54" s="330" t="s">
        <v>246</v>
      </c>
      <c r="D54" s="330" t="s">
        <v>247</v>
      </c>
      <c r="E54" s="329"/>
      <c r="F54" s="318">
        <f>+SUMIF('Consolidado Costos'!$K$6:$K$158,$C54,'Consolidado Costos'!$AD$6:$AD$158)</f>
        <v>0</v>
      </c>
      <c r="G54" s="318" cm="1">
        <f t="array" ref="G54">+SUMPRODUCT(IF('Consolidado Costos'!$K$6:$K$158=$C54,('Consolidado Costos'!$AD$6:$AD$158*'Consolidado Costos'!D$6:D$158),0))</f>
        <v>0</v>
      </c>
      <c r="H54" s="318" cm="1">
        <f t="array" ref="H54">+SUMPRODUCT(IF('Consolidado Costos'!$K$6:$K$158=$C54,('Consolidado Costos'!$AD$6:$AD$158*'Consolidado Costos'!E$6:E$158),0))</f>
        <v>0</v>
      </c>
      <c r="I54" s="318" cm="1">
        <f t="array" ref="I54">+SUMPRODUCT(IF('Consolidado Costos'!$K$6:$K$158=$C54,('Consolidado Costos'!$AD$6:$AD$158*'Consolidado Costos'!F$6:F$158),0))</f>
        <v>0</v>
      </c>
      <c r="J54" s="409" cm="1">
        <f t="array" ref="J54">+SUMPRODUCT(IF('Consolidado Costos'!$K$6:$K$158=$C54,('Consolidado Costos'!$AD$6:$AD$158*'Consolidado Costos'!G$6:G$158),0))</f>
        <v>0</v>
      </c>
      <c r="K54" s="356">
        <f t="shared" si="0"/>
        <v>0</v>
      </c>
      <c r="L54" s="357">
        <f t="shared" si="1"/>
        <v>1</v>
      </c>
      <c r="M54" s="338"/>
      <c r="R54" s="324"/>
      <c r="S54" s="324"/>
      <c r="T54" s="324"/>
      <c r="U54" s="324"/>
      <c r="V54" s="324"/>
      <c r="W54" s="324"/>
      <c r="X54" s="324"/>
      <c r="Y54" s="324"/>
    </row>
    <row r="55" spans="2:25" s="310" customFormat="1" outlineLevel="1">
      <c r="B55" s="413"/>
      <c r="C55" s="330" t="s">
        <v>250</v>
      </c>
      <c r="D55" s="330" t="s">
        <v>251</v>
      </c>
      <c r="E55" s="329"/>
      <c r="F55" s="318">
        <f>+SUMIF('Consolidado Costos'!$K$6:$K$158,$C55,'Consolidado Costos'!$AD$6:$AD$158)</f>
        <v>0</v>
      </c>
      <c r="G55" s="318" cm="1">
        <f t="array" ref="G55">+SUMPRODUCT(IF('Consolidado Costos'!$K$6:$K$158=$C55,('Consolidado Costos'!$AD$6:$AD$158*'Consolidado Costos'!D$6:D$158),0))</f>
        <v>0</v>
      </c>
      <c r="H55" s="318" cm="1">
        <f t="array" ref="H55">+SUMPRODUCT(IF('Consolidado Costos'!$K$6:$K$158=$C55,('Consolidado Costos'!$AD$6:$AD$158*'Consolidado Costos'!E$6:E$158),0))</f>
        <v>0</v>
      </c>
      <c r="I55" s="318" cm="1">
        <f t="array" ref="I55">+SUMPRODUCT(IF('Consolidado Costos'!$K$6:$K$158=$C55,('Consolidado Costos'!$AD$6:$AD$158*'Consolidado Costos'!F$6:F$158),0))</f>
        <v>0</v>
      </c>
      <c r="J55" s="409" cm="1">
        <f t="array" ref="J55">+SUMPRODUCT(IF('Consolidado Costos'!$K$6:$K$158=$C55,('Consolidado Costos'!$AD$6:$AD$158*'Consolidado Costos'!G$6:G$158),0))</f>
        <v>0</v>
      </c>
      <c r="K55" s="356">
        <f t="shared" si="0"/>
        <v>0</v>
      </c>
      <c r="L55" s="357">
        <f t="shared" si="1"/>
        <v>1</v>
      </c>
      <c r="M55" s="338"/>
      <c r="R55" s="324"/>
      <c r="S55" s="324"/>
      <c r="T55" s="324"/>
      <c r="U55" s="324"/>
      <c r="V55" s="324"/>
      <c r="W55" s="324"/>
      <c r="X55" s="324"/>
      <c r="Y55" s="324"/>
    </row>
    <row r="56" spans="2:25" s="310" customFormat="1" outlineLevel="1">
      <c r="B56" s="413"/>
      <c r="C56" s="330" t="s">
        <v>253</v>
      </c>
      <c r="D56" s="330" t="s">
        <v>254</v>
      </c>
      <c r="E56" s="329"/>
      <c r="F56" s="318">
        <f>+SUMIF('Consolidado Costos'!$K$6:$K$158,$C56,'Consolidado Costos'!$AD$6:$AD$158)</f>
        <v>0</v>
      </c>
      <c r="G56" s="318" cm="1">
        <f t="array" ref="G56">+SUMPRODUCT(IF('Consolidado Costos'!$K$6:$K$158=$C56,('Consolidado Costos'!$AD$6:$AD$158*'Consolidado Costos'!D$6:D$158),0))</f>
        <v>0</v>
      </c>
      <c r="H56" s="318" cm="1">
        <f t="array" ref="H56">+SUMPRODUCT(IF('Consolidado Costos'!$K$6:$K$158=$C56,('Consolidado Costos'!$AD$6:$AD$158*'Consolidado Costos'!E$6:E$158),0))</f>
        <v>0</v>
      </c>
      <c r="I56" s="318" cm="1">
        <f t="array" ref="I56">+SUMPRODUCT(IF('Consolidado Costos'!$K$6:$K$158=$C56,('Consolidado Costos'!$AD$6:$AD$158*'Consolidado Costos'!F$6:F$158),0))</f>
        <v>0</v>
      </c>
      <c r="J56" s="409" cm="1">
        <f t="array" ref="J56">+SUMPRODUCT(IF('Consolidado Costos'!$K$6:$K$158=$C56,('Consolidado Costos'!$AD$6:$AD$158*'Consolidado Costos'!G$6:G$158),0))</f>
        <v>0</v>
      </c>
      <c r="K56" s="356">
        <f t="shared" si="0"/>
        <v>0</v>
      </c>
      <c r="L56" s="357">
        <f t="shared" si="1"/>
        <v>1</v>
      </c>
      <c r="M56" s="338"/>
      <c r="R56" s="324"/>
      <c r="S56" s="324"/>
      <c r="T56" s="324"/>
      <c r="U56" s="324"/>
      <c r="V56" s="324"/>
      <c r="W56" s="324"/>
      <c r="X56" s="324"/>
      <c r="Y56" s="324"/>
    </row>
    <row r="57" spans="2:25" s="310" customFormat="1" outlineLevel="1">
      <c r="B57" s="413"/>
      <c r="C57" s="330" t="s">
        <v>256</v>
      </c>
      <c r="D57" s="330" t="s">
        <v>257</v>
      </c>
      <c r="E57" s="329"/>
      <c r="F57" s="318">
        <f>+SUMIF('Consolidado Costos'!$K$6:$K$158,$C57,'Consolidado Costos'!$AD$6:$AD$158)</f>
        <v>0</v>
      </c>
      <c r="G57" s="318" cm="1">
        <f t="array" ref="G57">+SUMPRODUCT(IF('Consolidado Costos'!$K$6:$K$158=$C57,('Consolidado Costos'!$AD$6:$AD$158*'Consolidado Costos'!D$6:D$158),0))</f>
        <v>0</v>
      </c>
      <c r="H57" s="318" cm="1">
        <f t="array" ref="H57">+SUMPRODUCT(IF('Consolidado Costos'!$K$6:$K$158=$C57,('Consolidado Costos'!$AD$6:$AD$158*'Consolidado Costos'!E$6:E$158),0))</f>
        <v>0</v>
      </c>
      <c r="I57" s="318" cm="1">
        <f t="array" ref="I57">+SUMPRODUCT(IF('Consolidado Costos'!$K$6:$K$158=$C57,('Consolidado Costos'!$AD$6:$AD$158*'Consolidado Costos'!F$6:F$158),0))</f>
        <v>0</v>
      </c>
      <c r="J57" s="409" cm="1">
        <f t="array" ref="J57">+SUMPRODUCT(IF('Consolidado Costos'!$K$6:$K$158=$C57,('Consolidado Costos'!$AD$6:$AD$158*'Consolidado Costos'!G$6:G$158),0))</f>
        <v>0</v>
      </c>
      <c r="K57" s="356">
        <f t="shared" si="0"/>
        <v>0</v>
      </c>
      <c r="L57" s="357">
        <f t="shared" si="1"/>
        <v>1</v>
      </c>
      <c r="M57" s="338"/>
      <c r="R57" s="324"/>
      <c r="S57" s="324"/>
      <c r="T57" s="324"/>
      <c r="U57" s="324"/>
      <c r="V57" s="324"/>
      <c r="W57" s="324"/>
      <c r="X57" s="324"/>
      <c r="Y57" s="324"/>
    </row>
    <row r="58" spans="2:25" s="310" customFormat="1" outlineLevel="1">
      <c r="B58" s="413"/>
      <c r="C58" s="330" t="s">
        <v>553</v>
      </c>
      <c r="D58" s="330" t="s">
        <v>554</v>
      </c>
      <c r="E58" s="329"/>
      <c r="F58" s="318">
        <f>+SUMIF('Consolidado Costos'!$K$6:$K$158,$C58,'Consolidado Costos'!$AD$6:$AD$158)</f>
        <v>0</v>
      </c>
      <c r="G58" s="318" cm="1">
        <f t="array" ref="G58">+SUMPRODUCT(IF('Consolidado Costos'!$K$6:$K$158=$C58,('Consolidado Costos'!$AD$6:$AD$158*'Consolidado Costos'!D$6:D$158),0))</f>
        <v>0</v>
      </c>
      <c r="H58" s="318" cm="1">
        <f t="array" ref="H58">+SUMPRODUCT(IF('Consolidado Costos'!$K$6:$K$158=$C58,('Consolidado Costos'!$AD$6:$AD$158*'Consolidado Costos'!E$6:E$158),0))</f>
        <v>0</v>
      </c>
      <c r="I58" s="318" cm="1">
        <f t="array" ref="I58">+SUMPRODUCT(IF('Consolidado Costos'!$K$6:$K$158=$C58,('Consolidado Costos'!$AD$6:$AD$158*'Consolidado Costos'!F$6:F$158),0))</f>
        <v>0</v>
      </c>
      <c r="J58" s="409" cm="1">
        <f t="array" ref="J58">+SUMPRODUCT(IF('Consolidado Costos'!$K$6:$K$158=$C58,('Consolidado Costos'!$AD$6:$AD$158*'Consolidado Costos'!G$6:G$158),0))</f>
        <v>0</v>
      </c>
      <c r="K58" s="356">
        <f t="shared" si="0"/>
        <v>0</v>
      </c>
      <c r="L58" s="357">
        <f t="shared" si="1"/>
        <v>1</v>
      </c>
      <c r="M58" s="338"/>
      <c r="R58" s="324"/>
      <c r="S58" s="324"/>
      <c r="T58" s="324"/>
      <c r="U58" s="324"/>
      <c r="V58" s="324"/>
      <c r="W58" s="324"/>
      <c r="X58" s="324"/>
      <c r="Y58" s="324"/>
    </row>
    <row r="59" spans="2:25" s="310" customFormat="1" outlineLevel="1">
      <c r="B59" s="413"/>
      <c r="C59" s="328" t="s">
        <v>555</v>
      </c>
      <c r="D59" s="328" t="s">
        <v>556</v>
      </c>
      <c r="E59" s="329"/>
      <c r="F59" s="318">
        <f>+SUMIF('Consolidado Costos'!$K$6:$K$158,$C59,'Consolidado Costos'!$AD$6:$AD$158)</f>
        <v>0</v>
      </c>
      <c r="G59" s="318" cm="1">
        <f t="array" ref="G59">+SUMPRODUCT(IF('Consolidado Costos'!$K$6:$K$158=$C59,('Consolidado Costos'!$AD$6:$AD$158*'Consolidado Costos'!D$6:D$158),0))</f>
        <v>0</v>
      </c>
      <c r="H59" s="318" cm="1">
        <f t="array" ref="H59">+SUMPRODUCT(IF('Consolidado Costos'!$K$6:$K$158=$C59,('Consolidado Costos'!$AD$6:$AD$158*'Consolidado Costos'!E$6:E$158),0))</f>
        <v>0</v>
      </c>
      <c r="I59" s="318" cm="1">
        <f t="array" ref="I59">+SUMPRODUCT(IF('Consolidado Costos'!$K$6:$K$158=$C59,('Consolidado Costos'!$AD$6:$AD$158*'Consolidado Costos'!F$6:F$158),0))</f>
        <v>0</v>
      </c>
      <c r="J59" s="409" cm="1">
        <f t="array" ref="J59">+SUMPRODUCT(IF('Consolidado Costos'!$K$6:$K$158=$C59,('Consolidado Costos'!$AD$6:$AD$158*'Consolidado Costos'!G$6:G$158),0))</f>
        <v>0</v>
      </c>
      <c r="K59" s="356">
        <f t="shared" si="0"/>
        <v>0</v>
      </c>
      <c r="L59" s="357">
        <f t="shared" si="1"/>
        <v>1</v>
      </c>
      <c r="M59" s="338"/>
      <c r="R59" s="324"/>
      <c r="S59" s="324"/>
      <c r="T59" s="324"/>
      <c r="U59" s="324"/>
      <c r="V59" s="324"/>
      <c r="W59" s="324"/>
      <c r="X59" s="324"/>
      <c r="Y59" s="324"/>
    </row>
    <row r="60" spans="2:25" s="337" customFormat="1">
      <c r="B60" s="414" t="s">
        <v>557</v>
      </c>
      <c r="C60" s="332"/>
      <c r="D60" s="333" t="s">
        <v>486</v>
      </c>
      <c r="E60" s="334"/>
      <c r="F60" s="335">
        <f>+SUM(F54:F59)</f>
        <v>0</v>
      </c>
      <c r="G60" s="335">
        <f>+SUM(G54:G59)</f>
        <v>0</v>
      </c>
      <c r="H60" s="335">
        <f>+SUM(H54:H59)</f>
        <v>0</v>
      </c>
      <c r="I60" s="335">
        <f>+SUM(I54:I59)</f>
        <v>0</v>
      </c>
      <c r="J60" s="411">
        <f>+SUM(J54:J59)</f>
        <v>0</v>
      </c>
      <c r="K60" s="356">
        <f t="shared" si="0"/>
        <v>0</v>
      </c>
      <c r="L60" s="357">
        <f t="shared" si="1"/>
        <v>1</v>
      </c>
      <c r="M60" s="336"/>
    </row>
    <row r="61" spans="2:25" s="310" customFormat="1" outlineLevel="1">
      <c r="B61" s="413"/>
      <c r="C61" s="330" t="s">
        <v>558</v>
      </c>
      <c r="D61" s="330" t="s">
        <v>559</v>
      </c>
      <c r="E61" s="329"/>
      <c r="F61" s="318">
        <f>+SUMIF('Consolidado Costos'!$K$6:$K$158,$C61,'Consolidado Costos'!$AD$6:$AD$158)</f>
        <v>0</v>
      </c>
      <c r="G61" s="318" cm="1">
        <f t="array" ref="G61">+SUMPRODUCT(IF('Consolidado Costos'!$K$6:$K$158=$C61,('Consolidado Costos'!$AD$6:$AD$158*'Consolidado Costos'!D$6:D$158),0))</f>
        <v>0</v>
      </c>
      <c r="H61" s="318" cm="1">
        <f t="array" ref="H61">+SUMPRODUCT(IF('Consolidado Costos'!$K$6:$K$158=$C61,('Consolidado Costos'!$AD$6:$AD$158*'Consolidado Costos'!E$6:E$158),0))</f>
        <v>0</v>
      </c>
      <c r="I61" s="318" cm="1">
        <f t="array" ref="I61">+SUMPRODUCT(IF('Consolidado Costos'!$K$6:$K$158=$C61,('Consolidado Costos'!$AD$6:$AD$158*'Consolidado Costos'!F$6:F$158),0))</f>
        <v>0</v>
      </c>
      <c r="J61" s="409" cm="1">
        <f t="array" ref="J61">+SUMPRODUCT(IF('Consolidado Costos'!$K$6:$K$158=$C61,('Consolidado Costos'!$AD$6:$AD$158*'Consolidado Costos'!G$6:G$158),0))</f>
        <v>0</v>
      </c>
      <c r="K61" s="356">
        <f t="shared" si="0"/>
        <v>0</v>
      </c>
      <c r="L61" s="357">
        <f t="shared" si="1"/>
        <v>1</v>
      </c>
      <c r="M61" s="338"/>
      <c r="R61" s="324"/>
      <c r="S61" s="324"/>
      <c r="T61" s="324"/>
      <c r="U61" s="324"/>
      <c r="V61" s="324"/>
      <c r="W61" s="324"/>
      <c r="X61" s="324"/>
      <c r="Y61" s="324"/>
    </row>
    <row r="62" spans="2:25" s="310" customFormat="1" outlineLevel="1">
      <c r="B62" s="413"/>
      <c r="C62" s="330" t="s">
        <v>280</v>
      </c>
      <c r="D62" s="330" t="s">
        <v>282</v>
      </c>
      <c r="E62" s="329"/>
      <c r="F62" s="318">
        <f>+SUMIF('Consolidado Costos'!$K$6:$K$158,$C62,'Consolidado Costos'!$AD$6:$AD$158)</f>
        <v>0</v>
      </c>
      <c r="G62" s="318" cm="1">
        <f t="array" ref="G62">+SUMPRODUCT(IF('Consolidado Costos'!$K$6:$K$158=$C62,('Consolidado Costos'!$AD$6:$AD$158*'Consolidado Costos'!D$6:D$158),0))</f>
        <v>0</v>
      </c>
      <c r="H62" s="318" cm="1">
        <f t="array" ref="H62">+SUMPRODUCT(IF('Consolidado Costos'!$K$6:$K$158=$C62,('Consolidado Costos'!$AD$6:$AD$158*'Consolidado Costos'!E$6:E$158),0))</f>
        <v>0</v>
      </c>
      <c r="I62" s="318" cm="1">
        <f t="array" ref="I62">+SUMPRODUCT(IF('Consolidado Costos'!$K$6:$K$158=$C62,('Consolidado Costos'!$AD$6:$AD$158*'Consolidado Costos'!F$6:F$158),0))</f>
        <v>0</v>
      </c>
      <c r="J62" s="409" cm="1">
        <f t="array" ref="J62">+SUMPRODUCT(IF('Consolidado Costos'!$K$6:$K$158=$C62,('Consolidado Costos'!$AD$6:$AD$158*'Consolidado Costos'!G$6:G$158),0))</f>
        <v>0</v>
      </c>
      <c r="K62" s="356">
        <f t="shared" si="0"/>
        <v>0</v>
      </c>
      <c r="L62" s="357">
        <f t="shared" si="1"/>
        <v>1</v>
      </c>
      <c r="M62" s="338"/>
      <c r="R62" s="324"/>
      <c r="S62" s="324"/>
      <c r="T62" s="324"/>
      <c r="U62" s="324"/>
      <c r="V62" s="324"/>
      <c r="W62" s="324"/>
      <c r="X62" s="324"/>
      <c r="Y62" s="324"/>
    </row>
    <row r="63" spans="2:25" s="310" customFormat="1" outlineLevel="1">
      <c r="B63" s="413"/>
      <c r="C63" s="328" t="s">
        <v>560</v>
      </c>
      <c r="D63" s="328" t="s">
        <v>561</v>
      </c>
      <c r="E63" s="329"/>
      <c r="F63" s="318">
        <f>+SUMIF('Consolidado Costos'!$K$6:$K$158,$C63,'Consolidado Costos'!$AD$6:$AD$158)</f>
        <v>0</v>
      </c>
      <c r="G63" s="318" cm="1">
        <f t="array" ref="G63">+SUMPRODUCT(IF('Consolidado Costos'!$K$6:$K$158=$C63,('Consolidado Costos'!$AD$6:$AD$158*'Consolidado Costos'!D$6:D$158),0))</f>
        <v>0</v>
      </c>
      <c r="H63" s="318" cm="1">
        <f t="array" ref="H63">+SUMPRODUCT(IF('Consolidado Costos'!$K$6:$K$158=$C63,('Consolidado Costos'!$AD$6:$AD$158*'Consolidado Costos'!E$6:E$158),0))</f>
        <v>0</v>
      </c>
      <c r="I63" s="318" cm="1">
        <f t="array" ref="I63">+SUMPRODUCT(IF('Consolidado Costos'!$K$6:$K$158=$C63,('Consolidado Costos'!$AD$6:$AD$158*'Consolidado Costos'!F$6:F$158),0))</f>
        <v>0</v>
      </c>
      <c r="J63" s="409" cm="1">
        <f t="array" ref="J63">+SUMPRODUCT(IF('Consolidado Costos'!$K$6:$K$158=$C63,('Consolidado Costos'!$AD$6:$AD$158*'Consolidado Costos'!G$6:G$158),0))</f>
        <v>0</v>
      </c>
      <c r="K63" s="356">
        <f t="shared" si="0"/>
        <v>0</v>
      </c>
      <c r="L63" s="357">
        <f t="shared" si="1"/>
        <v>1</v>
      </c>
      <c r="M63" s="338"/>
      <c r="R63" s="324"/>
      <c r="S63" s="324"/>
      <c r="T63" s="324"/>
      <c r="U63" s="324"/>
      <c r="V63" s="324"/>
      <c r="W63" s="324"/>
      <c r="X63" s="324"/>
      <c r="Y63" s="324"/>
    </row>
    <row r="64" spans="2:25" s="310" customFormat="1" outlineLevel="1">
      <c r="B64" s="413"/>
      <c r="C64" s="330" t="s">
        <v>562</v>
      </c>
      <c r="D64" s="330" t="s">
        <v>563</v>
      </c>
      <c r="E64" s="329"/>
      <c r="F64" s="318">
        <f>+SUMIF('Consolidado Costos'!$K$6:$K$158,$C64,'Consolidado Costos'!$AD$6:$AD$158)</f>
        <v>0</v>
      </c>
      <c r="G64" s="318" cm="1">
        <f t="array" ref="G64">+SUMPRODUCT(IF('Consolidado Costos'!$K$6:$K$158=$C64,('Consolidado Costos'!$AD$6:$AD$158*'Consolidado Costos'!D$6:D$158),0))</f>
        <v>0</v>
      </c>
      <c r="H64" s="318" cm="1">
        <f t="array" ref="H64">+SUMPRODUCT(IF('Consolidado Costos'!$K$6:$K$158=$C64,('Consolidado Costos'!$AD$6:$AD$158*'Consolidado Costos'!E$6:E$158),0))</f>
        <v>0</v>
      </c>
      <c r="I64" s="318" cm="1">
        <f t="array" ref="I64">+SUMPRODUCT(IF('Consolidado Costos'!$K$6:$K$158=$C64,('Consolidado Costos'!$AD$6:$AD$158*'Consolidado Costos'!F$6:F$158),0))</f>
        <v>0</v>
      </c>
      <c r="J64" s="409" cm="1">
        <f t="array" ref="J64">+SUMPRODUCT(IF('Consolidado Costos'!$K$6:$K$158=$C64,('Consolidado Costos'!$AD$6:$AD$158*'Consolidado Costos'!G$6:G$158),0))</f>
        <v>0</v>
      </c>
      <c r="K64" s="356">
        <f t="shared" si="0"/>
        <v>0</v>
      </c>
      <c r="L64" s="357">
        <f t="shared" si="1"/>
        <v>1</v>
      </c>
      <c r="M64" s="338"/>
      <c r="R64" s="324"/>
      <c r="S64" s="324"/>
      <c r="T64" s="324"/>
      <c r="U64" s="324"/>
      <c r="V64" s="324"/>
      <c r="W64" s="324"/>
      <c r="X64" s="324"/>
      <c r="Y64" s="324"/>
    </row>
    <row r="65" spans="2:25" s="310" customFormat="1" outlineLevel="1">
      <c r="B65" s="413"/>
      <c r="C65" s="328" t="s">
        <v>261</v>
      </c>
      <c r="D65" s="328" t="s">
        <v>259</v>
      </c>
      <c r="E65" s="329"/>
      <c r="F65" s="318">
        <f>+SUMIF('Consolidado Costos'!$K$6:$K$158,$C65,'Consolidado Costos'!$AD$6:$AD$158)</f>
        <v>3076.9230769230767</v>
      </c>
      <c r="G65" s="318" cm="1">
        <f t="array" ref="G65">+SUMPRODUCT(IF('Consolidado Costos'!$K$6:$K$158=$C65,('Consolidado Costos'!$AD$6:$AD$158*'Consolidado Costos'!D$6:D$158),0))</f>
        <v>0</v>
      </c>
      <c r="H65" s="318" cm="1">
        <f t="array" ref="H65">+SUMPRODUCT(IF('Consolidado Costos'!$K$6:$K$158=$C65,('Consolidado Costos'!$AD$6:$AD$158*'Consolidado Costos'!E$6:E$158),0))</f>
        <v>0</v>
      </c>
      <c r="I65" s="318" cm="1">
        <f t="array" ref="I65">+SUMPRODUCT(IF('Consolidado Costos'!$K$6:$K$158=$C65,('Consolidado Costos'!$AD$6:$AD$158*'Consolidado Costos'!F$6:F$158),0))</f>
        <v>0</v>
      </c>
      <c r="J65" s="409" cm="1">
        <f t="array" ref="J65">+SUMPRODUCT(IF('Consolidado Costos'!$K$6:$K$158=$C65,('Consolidado Costos'!$AD$6:$AD$158*'Consolidado Costos'!G$6:G$158),0))</f>
        <v>3076.9230769230767</v>
      </c>
      <c r="K65" s="356">
        <f t="shared" si="0"/>
        <v>3076.9230769230767</v>
      </c>
      <c r="L65" s="357">
        <f t="shared" si="1"/>
        <v>1</v>
      </c>
      <c r="M65" s="338"/>
      <c r="R65" s="324"/>
      <c r="S65" s="324"/>
      <c r="T65" s="324"/>
      <c r="U65" s="324"/>
      <c r="V65" s="324"/>
      <c r="W65" s="324"/>
      <c r="X65" s="324"/>
      <c r="Y65" s="324"/>
    </row>
    <row r="66" spans="2:25" s="310" customFormat="1" outlineLevel="1">
      <c r="B66" s="413"/>
      <c r="C66" s="330" t="s">
        <v>564</v>
      </c>
      <c r="D66" s="330" t="s">
        <v>565</v>
      </c>
      <c r="E66" s="329"/>
      <c r="F66" s="318">
        <f>+SUMIF('Consolidado Costos'!$K$6:$K$158,$C66,'Consolidado Costos'!$AD$6:$AD$158)</f>
        <v>0</v>
      </c>
      <c r="G66" s="318" cm="1">
        <f t="array" ref="G66">+SUMPRODUCT(IF('Consolidado Costos'!$K$6:$K$158=$C66,('Consolidado Costos'!$AD$6:$AD$158*'Consolidado Costos'!D$6:D$158),0))</f>
        <v>0</v>
      </c>
      <c r="H66" s="318" cm="1">
        <f t="array" ref="H66">+SUMPRODUCT(IF('Consolidado Costos'!$K$6:$K$158=$C66,('Consolidado Costos'!$AD$6:$AD$158*'Consolidado Costos'!E$6:E$158),0))</f>
        <v>0</v>
      </c>
      <c r="I66" s="318" cm="1">
        <f t="array" ref="I66">+SUMPRODUCT(IF('Consolidado Costos'!$K$6:$K$158=$C66,('Consolidado Costos'!$AD$6:$AD$158*'Consolidado Costos'!F$6:F$158),0))</f>
        <v>0</v>
      </c>
      <c r="J66" s="409" cm="1">
        <f t="array" ref="J66">+SUMPRODUCT(IF('Consolidado Costos'!$K$6:$K$158=$C66,('Consolidado Costos'!$AD$6:$AD$158*'Consolidado Costos'!G$6:G$158),0))</f>
        <v>0</v>
      </c>
      <c r="K66" s="356">
        <f t="shared" si="0"/>
        <v>0</v>
      </c>
      <c r="L66" s="357">
        <f t="shared" si="1"/>
        <v>1</v>
      </c>
      <c r="M66" s="338"/>
      <c r="R66" s="324"/>
      <c r="S66" s="324"/>
      <c r="T66" s="324"/>
      <c r="U66" s="324"/>
      <c r="V66" s="324"/>
      <c r="W66" s="324"/>
      <c r="X66" s="324"/>
      <c r="Y66" s="324"/>
    </row>
    <row r="67" spans="2:25" s="310" customFormat="1" outlineLevel="1">
      <c r="B67" s="413"/>
      <c r="C67" s="330" t="s">
        <v>566</v>
      </c>
      <c r="D67" s="330" t="s">
        <v>567</v>
      </c>
      <c r="E67" s="329"/>
      <c r="F67" s="318">
        <f>+SUMIF('Consolidado Costos'!$K$6:$K$158,$C67,'Consolidado Costos'!$AD$6:$AD$158)</f>
        <v>0</v>
      </c>
      <c r="G67" s="318" cm="1">
        <f t="array" ref="G67">+SUMPRODUCT(IF('Consolidado Costos'!$K$6:$K$158=$C67,('Consolidado Costos'!$AD$6:$AD$158*'Consolidado Costos'!D$6:D$158),0))</f>
        <v>0</v>
      </c>
      <c r="H67" s="318" cm="1">
        <f t="array" ref="H67">+SUMPRODUCT(IF('Consolidado Costos'!$K$6:$K$158=$C67,('Consolidado Costos'!$AD$6:$AD$158*'Consolidado Costos'!E$6:E$158),0))</f>
        <v>0</v>
      </c>
      <c r="I67" s="318" cm="1">
        <f t="array" ref="I67">+SUMPRODUCT(IF('Consolidado Costos'!$K$6:$K$158=$C67,('Consolidado Costos'!$AD$6:$AD$158*'Consolidado Costos'!F$6:F$158),0))</f>
        <v>0</v>
      </c>
      <c r="J67" s="409" cm="1">
        <f t="array" ref="J67">+SUMPRODUCT(IF('Consolidado Costos'!$K$6:$K$158=$C67,('Consolidado Costos'!$AD$6:$AD$158*'Consolidado Costos'!G$6:G$158),0))</f>
        <v>0</v>
      </c>
      <c r="K67" s="356">
        <f t="shared" si="0"/>
        <v>0</v>
      </c>
      <c r="L67" s="357">
        <f t="shared" si="1"/>
        <v>1</v>
      </c>
      <c r="M67" s="338"/>
      <c r="R67" s="324"/>
      <c r="S67" s="324"/>
      <c r="T67" s="324"/>
      <c r="U67" s="324"/>
      <c r="V67" s="324"/>
      <c r="W67" s="324"/>
      <c r="X67" s="324"/>
      <c r="Y67" s="324"/>
    </row>
    <row r="68" spans="2:25" s="310" customFormat="1" outlineLevel="1">
      <c r="B68" s="413"/>
      <c r="C68" s="330" t="s">
        <v>568</v>
      </c>
      <c r="D68" s="330" t="s">
        <v>569</v>
      </c>
      <c r="E68" s="329"/>
      <c r="F68" s="318">
        <f>+SUMIF('Consolidado Costos'!$K$6:$K$158,$C68,'Consolidado Costos'!$AD$6:$AD$158)</f>
        <v>0</v>
      </c>
      <c r="G68" s="318" cm="1">
        <f t="array" ref="G68">+SUMPRODUCT(IF('Consolidado Costos'!$K$6:$K$158=$C68,('Consolidado Costos'!$AD$6:$AD$158*'Consolidado Costos'!D$6:D$158),0))</f>
        <v>0</v>
      </c>
      <c r="H68" s="318" cm="1">
        <f t="array" ref="H68">+SUMPRODUCT(IF('Consolidado Costos'!$K$6:$K$158=$C68,('Consolidado Costos'!$AD$6:$AD$158*'Consolidado Costos'!E$6:E$158),0))</f>
        <v>0</v>
      </c>
      <c r="I68" s="318" cm="1">
        <f t="array" ref="I68">+SUMPRODUCT(IF('Consolidado Costos'!$K$6:$K$158=$C68,('Consolidado Costos'!$AD$6:$AD$158*'Consolidado Costos'!F$6:F$158),0))</f>
        <v>0</v>
      </c>
      <c r="J68" s="409" cm="1">
        <f t="array" ref="J68">+SUMPRODUCT(IF('Consolidado Costos'!$K$6:$K$158=$C68,('Consolidado Costos'!$AD$6:$AD$158*'Consolidado Costos'!G$6:G$158),0))</f>
        <v>0</v>
      </c>
      <c r="K68" s="356">
        <f t="shared" si="0"/>
        <v>0</v>
      </c>
      <c r="L68" s="357">
        <f t="shared" si="1"/>
        <v>1</v>
      </c>
      <c r="M68" s="338"/>
      <c r="R68" s="324"/>
      <c r="S68" s="324"/>
      <c r="T68" s="324"/>
      <c r="U68" s="324"/>
      <c r="V68" s="324"/>
      <c r="W68" s="324"/>
      <c r="X68" s="324"/>
      <c r="Y68" s="324"/>
    </row>
    <row r="69" spans="2:25" s="310" customFormat="1" outlineLevel="1">
      <c r="B69" s="413"/>
      <c r="C69" s="330" t="s">
        <v>570</v>
      </c>
      <c r="D69" s="330" t="s">
        <v>571</v>
      </c>
      <c r="E69" s="329"/>
      <c r="F69" s="318">
        <f>+SUMIF('Consolidado Costos'!$K$6:$K$158,$C69,'Consolidado Costos'!$AD$6:$AD$158)</f>
        <v>0</v>
      </c>
      <c r="G69" s="318" cm="1">
        <f t="array" ref="G69">+SUMPRODUCT(IF('Consolidado Costos'!$K$6:$K$158=$C69,('Consolidado Costos'!$AD$6:$AD$158*'Consolidado Costos'!D$6:D$158),0))</f>
        <v>0</v>
      </c>
      <c r="H69" s="318" cm="1">
        <f t="array" ref="H69">+SUMPRODUCT(IF('Consolidado Costos'!$K$6:$K$158=$C69,('Consolidado Costos'!$AD$6:$AD$158*'Consolidado Costos'!E$6:E$158),0))</f>
        <v>0</v>
      </c>
      <c r="I69" s="318" cm="1">
        <f t="array" ref="I69">+SUMPRODUCT(IF('Consolidado Costos'!$K$6:$K$158=$C69,('Consolidado Costos'!$AD$6:$AD$158*'Consolidado Costos'!F$6:F$158),0))</f>
        <v>0</v>
      </c>
      <c r="J69" s="409" cm="1">
        <f t="array" ref="J69">+SUMPRODUCT(IF('Consolidado Costos'!$K$6:$K$158=$C69,('Consolidado Costos'!$AD$6:$AD$158*'Consolidado Costos'!G$6:G$158),0))</f>
        <v>0</v>
      </c>
      <c r="K69" s="356">
        <f t="shared" si="0"/>
        <v>0</v>
      </c>
      <c r="L69" s="357">
        <f t="shared" si="1"/>
        <v>1</v>
      </c>
      <c r="M69" s="338"/>
      <c r="R69" s="324"/>
      <c r="S69" s="324"/>
      <c r="T69" s="324"/>
      <c r="U69" s="324"/>
      <c r="V69" s="324"/>
      <c r="W69" s="324"/>
      <c r="X69" s="324"/>
      <c r="Y69" s="324"/>
    </row>
    <row r="70" spans="2:25" s="310" customFormat="1" outlineLevel="1">
      <c r="B70" s="413"/>
      <c r="C70" s="328" t="s">
        <v>237</v>
      </c>
      <c r="D70" s="328" t="s">
        <v>238</v>
      </c>
      <c r="E70" s="329"/>
      <c r="F70" s="318">
        <f>+SUMIF('Consolidado Costos'!$K$6:$K$158,$C70,'Consolidado Costos'!$AD$6:$AD$158)</f>
        <v>28307.692307692309</v>
      </c>
      <c r="G70" s="318" cm="1">
        <f t="array" ref="G70">+SUMPRODUCT(IF('Consolidado Costos'!$K$6:$K$158=$C70,('Consolidado Costos'!$AD$6:$AD$158*'Consolidado Costos'!D$6:D$158),0))</f>
        <v>26043.076923076926</v>
      </c>
      <c r="H70" s="318" cm="1">
        <f t="array" ref="H70">+SUMPRODUCT(IF('Consolidado Costos'!$K$6:$K$158=$C70,('Consolidado Costos'!$AD$6:$AD$158*'Consolidado Costos'!E$6:E$158),0))</f>
        <v>1698.4615384615386</v>
      </c>
      <c r="I70" s="318" cm="1">
        <f t="array" ref="I70">+SUMPRODUCT(IF('Consolidado Costos'!$K$6:$K$158=$C70,('Consolidado Costos'!$AD$6:$AD$158*'Consolidado Costos'!F$6:F$158),0))</f>
        <v>566.15384615384619</v>
      </c>
      <c r="J70" s="409" cm="1">
        <f t="array" ref="J70">+SUMPRODUCT(IF('Consolidado Costos'!$K$6:$K$158=$C70,('Consolidado Costos'!$AD$6:$AD$158*'Consolidado Costos'!G$6:G$158),0))</f>
        <v>0</v>
      </c>
      <c r="K70" s="356">
        <f t="shared" si="0"/>
        <v>28307.692307692312</v>
      </c>
      <c r="L70" s="357">
        <f t="shared" si="1"/>
        <v>1</v>
      </c>
      <c r="M70" s="338"/>
      <c r="R70" s="324"/>
      <c r="S70" s="324"/>
      <c r="T70" s="324"/>
      <c r="U70" s="324"/>
      <c r="V70" s="324"/>
      <c r="W70" s="324"/>
      <c r="X70" s="324"/>
      <c r="Y70" s="324"/>
    </row>
    <row r="71" spans="2:25" s="310" customFormat="1" outlineLevel="1">
      <c r="B71" s="413"/>
      <c r="C71" s="330" t="s">
        <v>572</v>
      </c>
      <c r="D71" s="330" t="s">
        <v>573</v>
      </c>
      <c r="E71" s="329"/>
      <c r="F71" s="318">
        <f>+SUMIF('Consolidado Costos'!$K$6:$K$158,$C71,'Consolidado Costos'!$AD$6:$AD$158)</f>
        <v>0</v>
      </c>
      <c r="G71" s="318" cm="1">
        <f t="array" ref="G71">+SUMPRODUCT(IF('Consolidado Costos'!$K$6:$K$158=$C71,('Consolidado Costos'!$AD$6:$AD$158*'Consolidado Costos'!D$6:D$158),0))</f>
        <v>0</v>
      </c>
      <c r="H71" s="318" cm="1">
        <f t="array" ref="H71">+SUMPRODUCT(IF('Consolidado Costos'!$K$6:$K$158=$C71,('Consolidado Costos'!$AD$6:$AD$158*'Consolidado Costos'!E$6:E$158),0))</f>
        <v>0</v>
      </c>
      <c r="I71" s="318" cm="1">
        <f t="array" ref="I71">+SUMPRODUCT(IF('Consolidado Costos'!$K$6:$K$158=$C71,('Consolidado Costos'!$AD$6:$AD$158*'Consolidado Costos'!F$6:F$158),0))</f>
        <v>0</v>
      </c>
      <c r="J71" s="409" cm="1">
        <f t="array" ref="J71">+SUMPRODUCT(IF('Consolidado Costos'!$K$6:$K$158=$C71,('Consolidado Costos'!$AD$6:$AD$158*'Consolidado Costos'!G$6:G$158),0))</f>
        <v>0</v>
      </c>
      <c r="K71" s="356">
        <f t="shared" ref="K71:K96" si="2">+SUM(G71:J71)</f>
        <v>0</v>
      </c>
      <c r="L71" s="357">
        <f t="shared" ref="L71:L96" si="3">+IF(K71=F71,1,0)</f>
        <v>1</v>
      </c>
      <c r="M71" s="338"/>
      <c r="R71" s="324"/>
      <c r="S71" s="324"/>
      <c r="T71" s="324"/>
      <c r="U71" s="324"/>
      <c r="V71" s="324"/>
      <c r="W71" s="324"/>
      <c r="X71" s="324"/>
      <c r="Y71" s="324"/>
    </row>
    <row r="72" spans="2:25" s="310" customFormat="1" outlineLevel="1">
      <c r="B72" s="413"/>
      <c r="C72" s="330" t="s">
        <v>574</v>
      </c>
      <c r="D72" s="330" t="s">
        <v>575</v>
      </c>
      <c r="E72" s="329"/>
      <c r="F72" s="318">
        <f>+SUMIF('Consolidado Costos'!$K$6:$K$158,$C72,'Consolidado Costos'!$AD$6:$AD$158)</f>
        <v>0</v>
      </c>
      <c r="G72" s="318" cm="1">
        <f t="array" ref="G72">+SUMPRODUCT(IF('Consolidado Costos'!$K$6:$K$158=$C72,('Consolidado Costos'!$AD$6:$AD$158*'Consolidado Costos'!D$6:D$158),0))</f>
        <v>0</v>
      </c>
      <c r="H72" s="318" cm="1">
        <f t="array" ref="H72">+SUMPRODUCT(IF('Consolidado Costos'!$K$6:$K$158=$C72,('Consolidado Costos'!$AD$6:$AD$158*'Consolidado Costos'!E$6:E$158),0))</f>
        <v>0</v>
      </c>
      <c r="I72" s="318" cm="1">
        <f t="array" ref="I72">+SUMPRODUCT(IF('Consolidado Costos'!$K$6:$K$158=$C72,('Consolidado Costos'!$AD$6:$AD$158*'Consolidado Costos'!F$6:F$158),0))</f>
        <v>0</v>
      </c>
      <c r="J72" s="409" cm="1">
        <f t="array" ref="J72">+SUMPRODUCT(IF('Consolidado Costos'!$K$6:$K$158=$C72,('Consolidado Costos'!$AD$6:$AD$158*'Consolidado Costos'!G$6:G$158),0))</f>
        <v>0</v>
      </c>
      <c r="K72" s="356">
        <f t="shared" si="2"/>
        <v>0</v>
      </c>
      <c r="L72" s="357">
        <f t="shared" si="3"/>
        <v>1</v>
      </c>
      <c r="M72" s="338"/>
      <c r="R72" s="324"/>
      <c r="S72" s="324"/>
      <c r="T72" s="324"/>
      <c r="U72" s="324"/>
      <c r="V72" s="324"/>
      <c r="W72" s="324"/>
      <c r="X72" s="324"/>
      <c r="Y72" s="324"/>
    </row>
    <row r="73" spans="2:25" s="310" customFormat="1" outlineLevel="1">
      <c r="B73" s="413"/>
      <c r="C73" s="330" t="s">
        <v>265</v>
      </c>
      <c r="D73" s="330" t="s">
        <v>266</v>
      </c>
      <c r="E73" s="329"/>
      <c r="F73" s="318">
        <f>+SUMIF('Consolidado Costos'!$K$6:$K$158,$C73,'Consolidado Costos'!$AD$6:$AD$158)</f>
        <v>1025.6410256410256</v>
      </c>
      <c r="G73" s="318" cm="1">
        <f t="array" ref="G73">+SUMPRODUCT(IF('Consolidado Costos'!$K$6:$K$158=$C73,('Consolidado Costos'!$AD$6:$AD$158*'Consolidado Costos'!D$6:D$158),0))</f>
        <v>0</v>
      </c>
      <c r="H73" s="318" cm="1">
        <f t="array" ref="H73">+SUMPRODUCT(IF('Consolidado Costos'!$K$6:$K$158=$C73,('Consolidado Costos'!$AD$6:$AD$158*'Consolidado Costos'!E$6:E$158),0))</f>
        <v>0</v>
      </c>
      <c r="I73" s="318" cm="1">
        <f t="array" ref="I73">+SUMPRODUCT(IF('Consolidado Costos'!$K$6:$K$158=$C73,('Consolidado Costos'!$AD$6:$AD$158*'Consolidado Costos'!F$6:F$158),0))</f>
        <v>0</v>
      </c>
      <c r="J73" s="409" cm="1">
        <f t="array" ref="J73">+SUMPRODUCT(IF('Consolidado Costos'!$K$6:$K$158=$C73,('Consolidado Costos'!$AD$6:$AD$158*'Consolidado Costos'!G$6:G$158),0))</f>
        <v>1025.6410256410256</v>
      </c>
      <c r="K73" s="356">
        <f t="shared" si="2"/>
        <v>1025.6410256410256</v>
      </c>
      <c r="L73" s="357">
        <f t="shared" si="3"/>
        <v>1</v>
      </c>
      <c r="M73" s="338"/>
      <c r="R73" s="324"/>
      <c r="S73" s="324"/>
      <c r="T73" s="324"/>
      <c r="U73" s="324"/>
      <c r="V73" s="324"/>
      <c r="W73" s="324"/>
      <c r="X73" s="324"/>
      <c r="Y73" s="324"/>
    </row>
    <row r="74" spans="2:25" s="310" customFormat="1" outlineLevel="1">
      <c r="B74" s="413"/>
      <c r="C74" s="328" t="s">
        <v>481</v>
      </c>
      <c r="D74" s="328" t="s">
        <v>482</v>
      </c>
      <c r="E74" s="329"/>
      <c r="F74" s="318">
        <f>+SUMIF('Consolidado Costos'!$K$6:$K$158,$C74,'Consolidado Costos'!$AD$6:$AD$158)</f>
        <v>0</v>
      </c>
      <c r="G74" s="318" cm="1">
        <f t="array" ref="G74">+SUMPRODUCT(IF('Consolidado Costos'!$K$6:$K$158=$C74,('Consolidado Costos'!$AD$6:$AD$158*'Consolidado Costos'!D$6:D$158),0))</f>
        <v>0</v>
      </c>
      <c r="H74" s="318" cm="1">
        <f t="array" ref="H74">+SUMPRODUCT(IF('Consolidado Costos'!$K$6:$K$158=$C74,('Consolidado Costos'!$AD$6:$AD$158*'Consolidado Costos'!E$6:E$158),0))</f>
        <v>0</v>
      </c>
      <c r="I74" s="318" cm="1">
        <f t="array" ref="I74">+SUMPRODUCT(IF('Consolidado Costos'!$K$6:$K$158=$C74,('Consolidado Costos'!$AD$6:$AD$158*'Consolidado Costos'!F$6:F$158),0))</f>
        <v>0</v>
      </c>
      <c r="J74" s="409" cm="1">
        <f t="array" ref="J74">+SUMPRODUCT(IF('Consolidado Costos'!$K$6:$K$158=$C74,('Consolidado Costos'!$AD$6:$AD$158*'Consolidado Costos'!G$6:G$158),0))</f>
        <v>0</v>
      </c>
      <c r="K74" s="356">
        <f t="shared" si="2"/>
        <v>0</v>
      </c>
      <c r="L74" s="357">
        <f t="shared" si="3"/>
        <v>1</v>
      </c>
      <c r="M74" s="338"/>
      <c r="R74" s="324"/>
      <c r="S74" s="324"/>
      <c r="T74" s="324"/>
      <c r="U74" s="324"/>
      <c r="V74" s="324"/>
      <c r="W74" s="324"/>
      <c r="X74" s="324"/>
      <c r="Y74" s="324"/>
    </row>
    <row r="75" spans="2:25" s="310" customFormat="1" outlineLevel="1">
      <c r="B75" s="413"/>
      <c r="C75" s="328" t="s">
        <v>275</v>
      </c>
      <c r="D75" s="328" t="s">
        <v>276</v>
      </c>
      <c r="E75" s="329"/>
      <c r="F75" s="318">
        <f>+SUMIF('Consolidado Costos'!$K$6:$K$158,$C75,'Consolidado Costos'!$AD$6:$AD$158)</f>
        <v>2564.102564102564</v>
      </c>
      <c r="G75" s="318" cm="1">
        <f t="array" ref="G75">+SUMPRODUCT(IF('Consolidado Costos'!$K$6:$K$158=$C75,('Consolidado Costos'!$AD$6:$AD$158*'Consolidado Costos'!D$6:D$158),0))</f>
        <v>0</v>
      </c>
      <c r="H75" s="318" cm="1">
        <f t="array" ref="H75">+SUMPRODUCT(IF('Consolidado Costos'!$K$6:$K$158=$C75,('Consolidado Costos'!$AD$6:$AD$158*'Consolidado Costos'!E$6:E$158),0))</f>
        <v>0</v>
      </c>
      <c r="I75" s="318" cm="1">
        <f t="array" ref="I75">+SUMPRODUCT(IF('Consolidado Costos'!$K$6:$K$158=$C75,('Consolidado Costos'!$AD$6:$AD$158*'Consolidado Costos'!F$6:F$158),0))</f>
        <v>0</v>
      </c>
      <c r="J75" s="409" cm="1">
        <f t="array" ref="J75">+SUMPRODUCT(IF('Consolidado Costos'!$K$6:$K$158=$C75,('Consolidado Costos'!$AD$6:$AD$158*'Consolidado Costos'!G$6:G$158),0))</f>
        <v>2564.102564102564</v>
      </c>
      <c r="K75" s="356">
        <f t="shared" si="2"/>
        <v>2564.102564102564</v>
      </c>
      <c r="L75" s="357">
        <f t="shared" si="3"/>
        <v>1</v>
      </c>
      <c r="M75" s="338"/>
      <c r="R75" s="324"/>
      <c r="S75" s="324"/>
      <c r="T75" s="324"/>
      <c r="U75" s="324"/>
      <c r="V75" s="324"/>
      <c r="W75" s="324"/>
      <c r="X75" s="324"/>
      <c r="Y75" s="324"/>
    </row>
    <row r="76" spans="2:25" s="310" customFormat="1" outlineLevel="1">
      <c r="B76" s="413"/>
      <c r="C76" s="330" t="s">
        <v>576</v>
      </c>
      <c r="D76" s="330" t="s">
        <v>577</v>
      </c>
      <c r="E76" s="329"/>
      <c r="F76" s="318">
        <f>+SUMIF('Consolidado Costos'!$K$6:$K$158,$C76,'Consolidado Costos'!$AD$6:$AD$158)</f>
        <v>0</v>
      </c>
      <c r="G76" s="318" cm="1">
        <f t="array" ref="G76">+SUMPRODUCT(IF('Consolidado Costos'!$K$6:$K$158=$C76,('Consolidado Costos'!$AD$6:$AD$158*'Consolidado Costos'!D$6:D$158),0))</f>
        <v>0</v>
      </c>
      <c r="H76" s="318" cm="1">
        <f t="array" ref="H76">+SUMPRODUCT(IF('Consolidado Costos'!$K$6:$K$158=$C76,('Consolidado Costos'!$AD$6:$AD$158*'Consolidado Costos'!E$6:E$158),0))</f>
        <v>0</v>
      </c>
      <c r="I76" s="318" cm="1">
        <f t="array" ref="I76">+SUMPRODUCT(IF('Consolidado Costos'!$K$6:$K$158=$C76,('Consolidado Costos'!$AD$6:$AD$158*'Consolidado Costos'!F$6:F$158),0))</f>
        <v>0</v>
      </c>
      <c r="J76" s="409" cm="1">
        <f t="array" ref="J76">+SUMPRODUCT(IF('Consolidado Costos'!$K$6:$K$158=$C76,('Consolidado Costos'!$AD$6:$AD$158*'Consolidado Costos'!G$6:G$158),0))</f>
        <v>0</v>
      </c>
      <c r="K76" s="356">
        <f t="shared" si="2"/>
        <v>0</v>
      </c>
      <c r="L76" s="357">
        <f t="shared" si="3"/>
        <v>1</v>
      </c>
      <c r="M76" s="338"/>
      <c r="R76" s="324"/>
      <c r="S76" s="324"/>
      <c r="T76" s="324"/>
      <c r="U76" s="324"/>
      <c r="V76" s="324"/>
      <c r="W76" s="324"/>
      <c r="X76" s="324"/>
      <c r="Y76" s="324"/>
    </row>
    <row r="77" spans="2:25" s="310" customFormat="1" outlineLevel="1">
      <c r="B77" s="413"/>
      <c r="C77" s="330" t="s">
        <v>578</v>
      </c>
      <c r="D77" s="330" t="s">
        <v>579</v>
      </c>
      <c r="E77" s="329"/>
      <c r="F77" s="318">
        <f>+SUMIF('Consolidado Costos'!$K$6:$K$158,$C77,'Consolidado Costos'!$AD$6:$AD$158)</f>
        <v>0</v>
      </c>
      <c r="G77" s="318" cm="1">
        <f t="array" ref="G77">+SUMPRODUCT(IF('Consolidado Costos'!$K$6:$K$158=$C77,('Consolidado Costos'!$AD$6:$AD$158*'Consolidado Costos'!D$6:D$158),0))</f>
        <v>0</v>
      </c>
      <c r="H77" s="318" cm="1">
        <f t="array" ref="H77">+SUMPRODUCT(IF('Consolidado Costos'!$K$6:$K$158=$C77,('Consolidado Costos'!$AD$6:$AD$158*'Consolidado Costos'!E$6:E$158),0))</f>
        <v>0</v>
      </c>
      <c r="I77" s="318" cm="1">
        <f t="array" ref="I77">+SUMPRODUCT(IF('Consolidado Costos'!$K$6:$K$158=$C77,('Consolidado Costos'!$AD$6:$AD$158*'Consolidado Costos'!F$6:F$158),0))</f>
        <v>0</v>
      </c>
      <c r="J77" s="409" cm="1">
        <f t="array" ref="J77">+SUMPRODUCT(IF('Consolidado Costos'!$K$6:$K$158=$C77,('Consolidado Costos'!$AD$6:$AD$158*'Consolidado Costos'!G$6:G$158),0))</f>
        <v>0</v>
      </c>
      <c r="K77" s="356">
        <f t="shared" si="2"/>
        <v>0</v>
      </c>
      <c r="L77" s="357">
        <f t="shared" si="3"/>
        <v>1</v>
      </c>
      <c r="M77" s="338"/>
      <c r="R77" s="324"/>
      <c r="S77" s="324"/>
      <c r="T77" s="324"/>
      <c r="U77" s="324"/>
      <c r="V77" s="324"/>
      <c r="W77" s="324"/>
      <c r="X77" s="324"/>
      <c r="Y77" s="324"/>
    </row>
    <row r="78" spans="2:25" s="310" customFormat="1" outlineLevel="1">
      <c r="B78" s="413"/>
      <c r="C78" s="328" t="s">
        <v>580</v>
      </c>
      <c r="D78" s="328" t="s">
        <v>581</v>
      </c>
      <c r="E78" s="329"/>
      <c r="F78" s="318">
        <f>+SUMIF('Consolidado Costos'!$K$6:$K$158,$C78,'Consolidado Costos'!$AD$6:$AD$158)</f>
        <v>0</v>
      </c>
      <c r="G78" s="318" cm="1">
        <f t="array" ref="G78">+SUMPRODUCT(IF('Consolidado Costos'!$K$6:$K$158=$C78,('Consolidado Costos'!$AD$6:$AD$158*'Consolidado Costos'!D$6:D$158),0))</f>
        <v>0</v>
      </c>
      <c r="H78" s="318" cm="1">
        <f t="array" ref="H78">+SUMPRODUCT(IF('Consolidado Costos'!$K$6:$K$158=$C78,('Consolidado Costos'!$AD$6:$AD$158*'Consolidado Costos'!E$6:E$158),0))</f>
        <v>0</v>
      </c>
      <c r="I78" s="318" cm="1">
        <f t="array" ref="I78">+SUMPRODUCT(IF('Consolidado Costos'!$K$6:$K$158=$C78,('Consolidado Costos'!$AD$6:$AD$158*'Consolidado Costos'!F$6:F$158),0))</f>
        <v>0</v>
      </c>
      <c r="J78" s="409" cm="1">
        <f t="array" ref="J78">+SUMPRODUCT(IF('Consolidado Costos'!$K$6:$K$158=$C78,('Consolidado Costos'!$AD$6:$AD$158*'Consolidado Costos'!G$6:G$158),0))</f>
        <v>0</v>
      </c>
      <c r="K78" s="356">
        <f t="shared" si="2"/>
        <v>0</v>
      </c>
      <c r="L78" s="357">
        <f t="shared" si="3"/>
        <v>1</v>
      </c>
      <c r="M78" s="338"/>
      <c r="R78" s="324"/>
      <c r="S78" s="324"/>
      <c r="T78" s="324"/>
      <c r="U78" s="324"/>
      <c r="V78" s="324"/>
      <c r="W78" s="324"/>
      <c r="X78" s="324"/>
      <c r="Y78" s="324"/>
    </row>
    <row r="79" spans="2:25" s="310" customFormat="1" outlineLevel="1">
      <c r="B79" s="413"/>
      <c r="C79" s="330" t="s">
        <v>582</v>
      </c>
      <c r="D79" s="330" t="s">
        <v>583</v>
      </c>
      <c r="E79" s="329"/>
      <c r="F79" s="318">
        <f>+SUMIF('Consolidado Costos'!$K$6:$K$158,$C79,'Consolidado Costos'!$AD$6:$AD$158)</f>
        <v>0</v>
      </c>
      <c r="G79" s="318" cm="1">
        <f t="array" ref="G79">+SUMPRODUCT(IF('Consolidado Costos'!$K$6:$K$158=$C79,('Consolidado Costos'!$AD$6:$AD$158*'Consolidado Costos'!D$6:D$158),0))</f>
        <v>0</v>
      </c>
      <c r="H79" s="318" cm="1">
        <f t="array" ref="H79">+SUMPRODUCT(IF('Consolidado Costos'!$K$6:$K$158=$C79,('Consolidado Costos'!$AD$6:$AD$158*'Consolidado Costos'!E$6:E$158),0))</f>
        <v>0</v>
      </c>
      <c r="I79" s="318" cm="1">
        <f t="array" ref="I79">+SUMPRODUCT(IF('Consolidado Costos'!$K$6:$K$158=$C79,('Consolidado Costos'!$AD$6:$AD$158*'Consolidado Costos'!F$6:F$158),0))</f>
        <v>0</v>
      </c>
      <c r="J79" s="409" cm="1">
        <f t="array" ref="J79">+SUMPRODUCT(IF('Consolidado Costos'!$K$6:$K$158=$C79,('Consolidado Costos'!$AD$6:$AD$158*'Consolidado Costos'!G$6:G$158),0))</f>
        <v>0</v>
      </c>
      <c r="K79" s="356">
        <f t="shared" si="2"/>
        <v>0</v>
      </c>
      <c r="L79" s="357">
        <f t="shared" si="3"/>
        <v>1</v>
      </c>
      <c r="M79" s="338"/>
      <c r="R79" s="324"/>
      <c r="S79" s="324"/>
      <c r="T79" s="324"/>
      <c r="U79" s="324"/>
      <c r="V79" s="324"/>
      <c r="W79" s="324"/>
      <c r="X79" s="324"/>
      <c r="Y79" s="324"/>
    </row>
    <row r="80" spans="2:25" s="310" customFormat="1" outlineLevel="1">
      <c r="B80" s="413"/>
      <c r="C80" s="330" t="s">
        <v>584</v>
      </c>
      <c r="D80" s="330" t="s">
        <v>585</v>
      </c>
      <c r="E80" s="329"/>
      <c r="F80" s="318">
        <f>+SUMIF('Consolidado Costos'!$K$6:$K$158,$C80,'Consolidado Costos'!$AD$6:$AD$158)</f>
        <v>0</v>
      </c>
      <c r="G80" s="318" cm="1">
        <f t="array" ref="G80">+SUMPRODUCT(IF('Consolidado Costos'!$K$6:$K$158=$C80,('Consolidado Costos'!$AD$6:$AD$158*'Consolidado Costos'!D$6:D$158),0))</f>
        <v>0</v>
      </c>
      <c r="H80" s="318" cm="1">
        <f t="array" ref="H80">+SUMPRODUCT(IF('Consolidado Costos'!$K$6:$K$158=$C80,('Consolidado Costos'!$AD$6:$AD$158*'Consolidado Costos'!E$6:E$158),0))</f>
        <v>0</v>
      </c>
      <c r="I80" s="318" cm="1">
        <f t="array" ref="I80">+SUMPRODUCT(IF('Consolidado Costos'!$K$6:$K$158=$C80,('Consolidado Costos'!$AD$6:$AD$158*'Consolidado Costos'!F$6:F$158),0))</f>
        <v>0</v>
      </c>
      <c r="J80" s="409" cm="1">
        <f t="array" ref="J80">+SUMPRODUCT(IF('Consolidado Costos'!$K$6:$K$158=$C80,('Consolidado Costos'!$AD$6:$AD$158*'Consolidado Costos'!G$6:G$158),0))</f>
        <v>0</v>
      </c>
      <c r="K80" s="356">
        <f t="shared" si="2"/>
        <v>0</v>
      </c>
      <c r="L80" s="357">
        <f t="shared" si="3"/>
        <v>1</v>
      </c>
      <c r="M80" s="338"/>
      <c r="R80" s="324"/>
      <c r="S80" s="324"/>
      <c r="T80" s="324"/>
      <c r="U80" s="324"/>
      <c r="V80" s="324"/>
      <c r="W80" s="324"/>
      <c r="X80" s="324"/>
      <c r="Y80" s="324"/>
    </row>
    <row r="81" spans="2:25" s="310" customFormat="1" outlineLevel="1">
      <c r="B81" s="413"/>
      <c r="C81" s="328" t="s">
        <v>269</v>
      </c>
      <c r="D81" s="328" t="s">
        <v>270</v>
      </c>
      <c r="E81" s="329"/>
      <c r="F81" s="318">
        <f>+SUMIF('Consolidado Costos'!$K$6:$K$158,$C81,'Consolidado Costos'!$AD$6:$AD$158)</f>
        <v>4102.5641025641025</v>
      </c>
      <c r="G81" s="318" cm="1">
        <f t="array" ref="G81">+SUMPRODUCT(IF('Consolidado Costos'!$K$6:$K$158=$C81,('Consolidado Costos'!$AD$6:$AD$158*'Consolidado Costos'!D$6:D$158),0))</f>
        <v>0</v>
      </c>
      <c r="H81" s="318" cm="1">
        <f t="array" ref="H81">+SUMPRODUCT(IF('Consolidado Costos'!$K$6:$K$158=$C81,('Consolidado Costos'!$AD$6:$AD$158*'Consolidado Costos'!E$6:E$158),0))</f>
        <v>0</v>
      </c>
      <c r="I81" s="318" cm="1">
        <f t="array" ref="I81">+SUMPRODUCT(IF('Consolidado Costos'!$K$6:$K$158=$C81,('Consolidado Costos'!$AD$6:$AD$158*'Consolidado Costos'!F$6:F$158),0))</f>
        <v>0</v>
      </c>
      <c r="J81" s="409" cm="1">
        <f t="array" ref="J81">+SUMPRODUCT(IF('Consolidado Costos'!$K$6:$K$158=$C81,('Consolidado Costos'!$AD$6:$AD$158*'Consolidado Costos'!G$6:G$158),0))</f>
        <v>4102.5641025641025</v>
      </c>
      <c r="K81" s="356">
        <f t="shared" si="2"/>
        <v>4102.5641025641025</v>
      </c>
      <c r="L81" s="357">
        <f t="shared" si="3"/>
        <v>1</v>
      </c>
      <c r="M81" s="338"/>
      <c r="R81" s="324"/>
      <c r="S81" s="324"/>
      <c r="T81" s="324"/>
      <c r="U81" s="324"/>
      <c r="V81" s="324"/>
      <c r="W81" s="324"/>
      <c r="X81" s="324"/>
      <c r="Y81" s="324"/>
    </row>
    <row r="82" spans="2:25" s="310" customFormat="1" outlineLevel="1">
      <c r="B82" s="413"/>
      <c r="C82" s="328" t="s">
        <v>586</v>
      </c>
      <c r="D82" s="328" t="s">
        <v>587</v>
      </c>
      <c r="E82" s="329"/>
      <c r="F82" s="318">
        <f>+SUMIF('Consolidado Costos'!$K$6:$K$158,$C82,'Consolidado Costos'!$AD$6:$AD$158)</f>
        <v>0</v>
      </c>
      <c r="G82" s="318" cm="1">
        <f t="array" ref="G82">+SUMPRODUCT(IF('Consolidado Costos'!$K$6:$K$158=$C82,('Consolidado Costos'!$AD$6:$AD$158*'Consolidado Costos'!D$6:D$158),0))</f>
        <v>0</v>
      </c>
      <c r="H82" s="318" cm="1">
        <f t="array" ref="H82">+SUMPRODUCT(IF('Consolidado Costos'!$K$6:$K$158=$C82,('Consolidado Costos'!$AD$6:$AD$158*'Consolidado Costos'!E$6:E$158),0))</f>
        <v>0</v>
      </c>
      <c r="I82" s="318" cm="1">
        <f t="array" ref="I82">+SUMPRODUCT(IF('Consolidado Costos'!$K$6:$K$158=$C82,('Consolidado Costos'!$AD$6:$AD$158*'Consolidado Costos'!F$6:F$158),0))</f>
        <v>0</v>
      </c>
      <c r="J82" s="409" cm="1">
        <f t="array" ref="J82">+SUMPRODUCT(IF('Consolidado Costos'!$K$6:$K$158=$C82,('Consolidado Costos'!$AD$6:$AD$158*'Consolidado Costos'!G$6:G$158),0))</f>
        <v>0</v>
      </c>
      <c r="K82" s="356">
        <f t="shared" si="2"/>
        <v>0</v>
      </c>
      <c r="L82" s="357">
        <f t="shared" si="3"/>
        <v>1</v>
      </c>
      <c r="M82" s="338"/>
      <c r="R82" s="324"/>
      <c r="S82" s="324"/>
      <c r="T82" s="324"/>
      <c r="U82" s="324"/>
      <c r="V82" s="324"/>
      <c r="W82" s="324"/>
      <c r="X82" s="324"/>
      <c r="Y82" s="324"/>
    </row>
    <row r="83" spans="2:25" s="310" customFormat="1" outlineLevel="1">
      <c r="B83" s="413"/>
      <c r="C83" s="328" t="s">
        <v>588</v>
      </c>
      <c r="D83" s="328" t="s">
        <v>589</v>
      </c>
      <c r="E83" s="329"/>
      <c r="F83" s="318">
        <f>+SUMIF('Consolidado Costos'!$K$6:$K$158,$C83,'Consolidado Costos'!$AD$6:$AD$158)</f>
        <v>0</v>
      </c>
      <c r="G83" s="318" cm="1">
        <f t="array" ref="G83">+SUMPRODUCT(IF('Consolidado Costos'!$K$6:$K$158=$C83,('Consolidado Costos'!$AD$6:$AD$158*'Consolidado Costos'!D$6:D$158),0))</f>
        <v>0</v>
      </c>
      <c r="H83" s="318" cm="1">
        <f t="array" ref="H83">+SUMPRODUCT(IF('Consolidado Costos'!$K$6:$K$158=$C83,('Consolidado Costos'!$AD$6:$AD$158*'Consolidado Costos'!E$6:E$158),0))</f>
        <v>0</v>
      </c>
      <c r="I83" s="318" cm="1">
        <f t="array" ref="I83">+SUMPRODUCT(IF('Consolidado Costos'!$K$6:$K$158=$C83,('Consolidado Costos'!$AD$6:$AD$158*'Consolidado Costos'!F$6:F$158),0))</f>
        <v>0</v>
      </c>
      <c r="J83" s="409" cm="1">
        <f t="array" ref="J83">+SUMPRODUCT(IF('Consolidado Costos'!$K$6:$K$158=$C83,('Consolidado Costos'!$AD$6:$AD$158*'Consolidado Costos'!G$6:G$158),0))</f>
        <v>0</v>
      </c>
      <c r="K83" s="356">
        <f t="shared" si="2"/>
        <v>0</v>
      </c>
      <c r="L83" s="357">
        <f t="shared" si="3"/>
        <v>1</v>
      </c>
      <c r="M83" s="338"/>
      <c r="R83" s="324"/>
      <c r="S83" s="324"/>
      <c r="T83" s="324"/>
      <c r="U83" s="324"/>
      <c r="V83" s="324"/>
      <c r="W83" s="324"/>
      <c r="X83" s="324"/>
      <c r="Y83" s="324"/>
    </row>
    <row r="84" spans="2:25" s="310" customFormat="1" outlineLevel="1">
      <c r="B84" s="413"/>
      <c r="C84" s="330" t="s">
        <v>590</v>
      </c>
      <c r="D84" s="330" t="s">
        <v>591</v>
      </c>
      <c r="E84" s="329"/>
      <c r="F84" s="318">
        <f>+SUMIF('Consolidado Costos'!$K$6:$K$158,$C84,'Consolidado Costos'!$AD$6:$AD$158)</f>
        <v>0</v>
      </c>
      <c r="G84" s="318" cm="1">
        <f t="array" ref="G84">+SUMPRODUCT(IF('Consolidado Costos'!$K$6:$K$158=$C84,('Consolidado Costos'!$AD$6:$AD$158*'Consolidado Costos'!D$6:D$158),0))</f>
        <v>0</v>
      </c>
      <c r="H84" s="318" cm="1">
        <f t="array" ref="H84">+SUMPRODUCT(IF('Consolidado Costos'!$K$6:$K$158=$C84,('Consolidado Costos'!$AD$6:$AD$158*'Consolidado Costos'!E$6:E$158),0))</f>
        <v>0</v>
      </c>
      <c r="I84" s="318" cm="1">
        <f t="array" ref="I84">+SUMPRODUCT(IF('Consolidado Costos'!$K$6:$K$158=$C84,('Consolidado Costos'!$AD$6:$AD$158*'Consolidado Costos'!F$6:F$158),0))</f>
        <v>0</v>
      </c>
      <c r="J84" s="409" cm="1">
        <f t="array" ref="J84">+SUMPRODUCT(IF('Consolidado Costos'!$K$6:$K$158=$C84,('Consolidado Costos'!$AD$6:$AD$158*'Consolidado Costos'!G$6:G$158),0))</f>
        <v>0</v>
      </c>
      <c r="K84" s="356">
        <f t="shared" si="2"/>
        <v>0</v>
      </c>
      <c r="L84" s="357">
        <f t="shared" si="3"/>
        <v>1</v>
      </c>
      <c r="M84" s="338"/>
      <c r="R84" s="324"/>
      <c r="S84" s="324"/>
      <c r="T84" s="324"/>
      <c r="U84" s="324"/>
      <c r="V84" s="324"/>
      <c r="W84" s="324"/>
      <c r="X84" s="324"/>
      <c r="Y84" s="324"/>
    </row>
    <row r="85" spans="2:25" s="337" customFormat="1">
      <c r="B85" s="414" t="s">
        <v>592</v>
      </c>
      <c r="C85" s="332"/>
      <c r="D85" s="333" t="s">
        <v>486</v>
      </c>
      <c r="E85" s="334"/>
      <c r="F85" s="335">
        <f>+SUM(F61:F84)</f>
        <v>39076.923076923078</v>
      </c>
      <c r="G85" s="335">
        <f>+SUM(G61:G84)</f>
        <v>26043.076923076926</v>
      </c>
      <c r="H85" s="335">
        <f>+SUM(H61:H84)</f>
        <v>1698.4615384615386</v>
      </c>
      <c r="I85" s="335">
        <f>+SUM(I61:I84)</f>
        <v>566.15384615384619</v>
      </c>
      <c r="J85" s="411">
        <f>+SUM(J61:J84)</f>
        <v>10769.23076923077</v>
      </c>
      <c r="K85" s="356">
        <f t="shared" si="2"/>
        <v>39076.923076923078</v>
      </c>
      <c r="L85" s="357">
        <f t="shared" si="3"/>
        <v>1</v>
      </c>
      <c r="M85" s="336"/>
    </row>
    <row r="86" spans="2:25" s="5" customFormat="1">
      <c r="B86" s="410" t="s">
        <v>593</v>
      </c>
      <c r="C86" s="332"/>
      <c r="D86" s="333" t="s">
        <v>594</v>
      </c>
      <c r="E86" s="322"/>
      <c r="F86" s="339">
        <f>+F85+F60+F53+F41+F30+F7</f>
        <v>3986597.2645780887</v>
      </c>
      <c r="G86" s="339">
        <f>+G85+G60+G53+G41+G30+G7</f>
        <v>3658243.3593419576</v>
      </c>
      <c r="H86" s="339">
        <f>+H85+H60+H53+H41+H30+H7</f>
        <v>205090.20477575756</v>
      </c>
      <c r="I86" s="339">
        <f>+I85+I60+I53+I41+I30+I7</f>
        <v>52835.514050116566</v>
      </c>
      <c r="J86" s="415">
        <f>+J85+J60+J53+J41+J30+J7</f>
        <v>70428.186410256414</v>
      </c>
      <c r="K86" s="356">
        <f t="shared" si="2"/>
        <v>3986597.2645780882</v>
      </c>
      <c r="L86" s="357">
        <f t="shared" si="3"/>
        <v>1</v>
      </c>
      <c r="M86" s="336"/>
    </row>
    <row r="87" spans="2:25">
      <c r="B87" s="408"/>
      <c r="C87" s="325"/>
      <c r="D87" s="325"/>
      <c r="E87" s="317"/>
      <c r="F87" s="318"/>
      <c r="G87" s="318"/>
      <c r="H87" s="318"/>
      <c r="I87" s="318"/>
      <c r="J87" s="409"/>
      <c r="K87" s="356">
        <f t="shared" si="2"/>
        <v>0</v>
      </c>
      <c r="L87" s="357">
        <f t="shared" si="3"/>
        <v>1</v>
      </c>
      <c r="M87" s="304"/>
      <c r="N87" s="304"/>
      <c r="R87" s="324"/>
      <c r="S87" s="324"/>
      <c r="T87" s="324"/>
      <c r="U87" s="324"/>
      <c r="V87" s="324"/>
      <c r="W87" s="324"/>
      <c r="X87" s="324"/>
      <c r="Y87" s="324"/>
    </row>
    <row r="88" spans="2:25" s="5" customFormat="1">
      <c r="B88" s="410" t="s">
        <v>595</v>
      </c>
      <c r="C88" s="332"/>
      <c r="D88" s="332"/>
      <c r="E88" s="322"/>
      <c r="F88" s="339"/>
      <c r="G88" s="339"/>
      <c r="H88" s="339"/>
      <c r="I88" s="339"/>
      <c r="J88" s="415"/>
      <c r="K88" s="356">
        <f t="shared" si="2"/>
        <v>0</v>
      </c>
      <c r="L88" s="357">
        <f t="shared" si="3"/>
        <v>1</v>
      </c>
      <c r="M88" s="340"/>
      <c r="R88" s="341"/>
      <c r="S88" s="341"/>
      <c r="T88" s="341"/>
      <c r="U88" s="341"/>
      <c r="V88" s="341"/>
      <c r="W88" s="341"/>
      <c r="X88" s="341"/>
      <c r="Y88" s="341"/>
    </row>
    <row r="89" spans="2:25" s="310" customFormat="1" outlineLevel="1">
      <c r="B89" s="413"/>
      <c r="C89" s="330" t="s">
        <v>596</v>
      </c>
      <c r="D89" s="330" t="s">
        <v>597</v>
      </c>
      <c r="E89" s="329"/>
      <c r="F89" s="318">
        <f>+SUMIF('Consolidado Costos'!$K$6:$K$158,$C89,'Consolidado Costos'!$AD$6:$AD$158)</f>
        <v>0</v>
      </c>
      <c r="G89" s="318" cm="1">
        <f t="array" ref="G89">+SUMPRODUCT(IF('Consolidado Costos'!$K$6:$K$158=$C89,('Consolidado Costos'!$AD$6:$AD$158*'Consolidado Costos'!D$6:D$158),0))</f>
        <v>0</v>
      </c>
      <c r="H89" s="318" cm="1">
        <f t="array" ref="H89">+SUMPRODUCT(IF('Consolidado Costos'!$K$6:$K$158=$C89,('Consolidado Costos'!$AD$6:$AD$158*'Consolidado Costos'!E$6:E$158),0))</f>
        <v>0</v>
      </c>
      <c r="I89" s="318" cm="1">
        <f t="array" ref="I89">+SUMPRODUCT(IF('Consolidado Costos'!$K$6:$K$158=$C89,('Consolidado Costos'!$AD$6:$AD$158*'Consolidado Costos'!F$6:F$158),0))</f>
        <v>0</v>
      </c>
      <c r="J89" s="409" cm="1">
        <f t="array" ref="J89">+SUMPRODUCT(IF('Consolidado Costos'!$K$6:$K$158=$C89,('Consolidado Costos'!$AD$6:$AD$158*'Consolidado Costos'!G$6:G$158),0))</f>
        <v>0</v>
      </c>
      <c r="K89" s="356">
        <f t="shared" si="2"/>
        <v>0</v>
      </c>
      <c r="L89" s="357">
        <f t="shared" si="3"/>
        <v>1</v>
      </c>
      <c r="R89" s="324"/>
      <c r="S89" s="324"/>
      <c r="T89" s="324"/>
      <c r="U89" s="324"/>
      <c r="V89" s="324"/>
      <c r="W89" s="324"/>
      <c r="X89" s="324"/>
      <c r="Y89" s="324"/>
    </row>
    <row r="90" spans="2:25" s="310" customFormat="1" outlineLevel="1">
      <c r="B90" s="413"/>
      <c r="C90" s="330" t="s">
        <v>598</v>
      </c>
      <c r="D90" s="330" t="s">
        <v>599</v>
      </c>
      <c r="E90" s="329"/>
      <c r="F90" s="318">
        <f>+SUMIF('Consolidado Costos'!$K$6:$K$158,$C90,'Consolidado Costos'!$AD$6:$AD$158)</f>
        <v>0</v>
      </c>
      <c r="G90" s="318" cm="1">
        <f t="array" ref="G90">+SUMPRODUCT(IF('Consolidado Costos'!$K$6:$K$158=$C90,('Consolidado Costos'!$AD$6:$AD$158*'Consolidado Costos'!D$6:D$158),0))</f>
        <v>0</v>
      </c>
      <c r="H90" s="318" cm="1">
        <f t="array" ref="H90">+SUMPRODUCT(IF('Consolidado Costos'!$K$6:$K$158=$C90,('Consolidado Costos'!$AD$6:$AD$158*'Consolidado Costos'!E$6:E$158),0))</f>
        <v>0</v>
      </c>
      <c r="I90" s="318" cm="1">
        <f t="array" ref="I90">+SUMPRODUCT(IF('Consolidado Costos'!$K$6:$K$158=$C90,('Consolidado Costos'!$AD$6:$AD$158*'Consolidado Costos'!F$6:F$158),0))</f>
        <v>0</v>
      </c>
      <c r="J90" s="409" cm="1">
        <f t="array" ref="J90">+SUMPRODUCT(IF('Consolidado Costos'!$K$6:$K$158=$C90,('Consolidado Costos'!$AD$6:$AD$158*'Consolidado Costos'!G$6:G$158),0))</f>
        <v>0</v>
      </c>
      <c r="K90" s="356">
        <f t="shared" si="2"/>
        <v>0</v>
      </c>
      <c r="L90" s="357">
        <f t="shared" si="3"/>
        <v>1</v>
      </c>
      <c r="R90" s="324"/>
      <c r="S90" s="324"/>
      <c r="T90" s="324"/>
      <c r="U90" s="324"/>
      <c r="V90" s="324"/>
      <c r="W90" s="324"/>
      <c r="X90" s="324"/>
      <c r="Y90" s="324"/>
    </row>
    <row r="91" spans="2:25" s="310" customFormat="1" outlineLevel="1">
      <c r="B91" s="413"/>
      <c r="C91" s="330" t="s">
        <v>321</v>
      </c>
      <c r="D91" s="330" t="s">
        <v>600</v>
      </c>
      <c r="E91" s="329"/>
      <c r="F91" s="318">
        <f>+SUMIF('Consolidado Costos'!$K$6:$K$158,$C91,'Consolidado Costos'!$AD$6:$AD$158)</f>
        <v>4834.8717948717949</v>
      </c>
      <c r="G91" s="318" cm="1">
        <f t="array" ref="G91">+SUMPRODUCT(IF('Consolidado Costos'!$K$6:$K$158=$C91,('Consolidado Costos'!$AD$6:$AD$158*'Consolidado Costos'!D$6:D$158),0))</f>
        <v>0</v>
      </c>
      <c r="H91" s="318" cm="1">
        <f t="array" ref="H91">+SUMPRODUCT(IF('Consolidado Costos'!$K$6:$K$158=$C91,('Consolidado Costos'!$AD$6:$AD$158*'Consolidado Costos'!E$6:E$158),0))</f>
        <v>0</v>
      </c>
      <c r="I91" s="318" cm="1">
        <f t="array" ref="I91">+SUMPRODUCT(IF('Consolidado Costos'!$K$6:$K$158=$C91,('Consolidado Costos'!$AD$6:$AD$158*'Consolidado Costos'!F$6:F$158),0))</f>
        <v>0</v>
      </c>
      <c r="J91" s="409" cm="1">
        <f t="array" ref="J91">+SUMPRODUCT(IF('Consolidado Costos'!$K$6:$K$158=$C91,('Consolidado Costos'!$AD$6:$AD$158*'Consolidado Costos'!G$6:G$158),0))</f>
        <v>4834.8717948717949</v>
      </c>
      <c r="K91" s="356">
        <f t="shared" si="2"/>
        <v>4834.8717948717949</v>
      </c>
      <c r="L91" s="357">
        <f t="shared" si="3"/>
        <v>1</v>
      </c>
      <c r="R91" s="324"/>
      <c r="S91" s="324"/>
      <c r="T91" s="324"/>
      <c r="U91" s="324"/>
      <c r="V91" s="324"/>
      <c r="W91" s="324"/>
      <c r="X91" s="324"/>
      <c r="Y91" s="324"/>
    </row>
    <row r="92" spans="2:25" s="310" customFormat="1" outlineLevel="1">
      <c r="B92" s="413"/>
      <c r="C92" s="330" t="s">
        <v>601</v>
      </c>
      <c r="D92" s="330" t="s">
        <v>602</v>
      </c>
      <c r="E92" s="329"/>
      <c r="F92" s="318">
        <f>+SUMIF('Consolidado Costos'!$K$6:$K$158,$C92,'Consolidado Costos'!$AD$6:$AD$158)</f>
        <v>0</v>
      </c>
      <c r="G92" s="318" cm="1">
        <f t="array" ref="G92">+SUMPRODUCT(IF('Consolidado Costos'!$K$6:$K$158=$C92,('Consolidado Costos'!$AD$6:$AD$158*'Consolidado Costos'!D$6:D$158),0))</f>
        <v>0</v>
      </c>
      <c r="H92" s="318" cm="1">
        <f t="array" ref="H92">+SUMPRODUCT(IF('Consolidado Costos'!$K$6:$K$158=$C92,('Consolidado Costos'!$AD$6:$AD$158*'Consolidado Costos'!E$6:E$158),0))</f>
        <v>0</v>
      </c>
      <c r="I92" s="318" cm="1">
        <f t="array" ref="I92">+SUMPRODUCT(IF('Consolidado Costos'!$K$6:$K$158=$C92,('Consolidado Costos'!$AD$6:$AD$158*'Consolidado Costos'!F$6:F$158),0))</f>
        <v>0</v>
      </c>
      <c r="J92" s="409" cm="1">
        <f t="array" ref="J92">+SUMPRODUCT(IF('Consolidado Costos'!$K$6:$K$158=$C92,('Consolidado Costos'!$AD$6:$AD$158*'Consolidado Costos'!G$6:G$158),0))</f>
        <v>0</v>
      </c>
      <c r="K92" s="356">
        <f t="shared" si="2"/>
        <v>0</v>
      </c>
      <c r="L92" s="357">
        <f t="shared" si="3"/>
        <v>1</v>
      </c>
      <c r="R92" s="324"/>
      <c r="S92" s="324"/>
      <c r="T92" s="324"/>
      <c r="U92" s="324"/>
      <c r="V92" s="324"/>
      <c r="W92" s="324"/>
      <c r="X92" s="324"/>
      <c r="Y92" s="324"/>
    </row>
    <row r="93" spans="2:25" s="310" customFormat="1" outlineLevel="1">
      <c r="B93" s="413"/>
      <c r="C93" s="330" t="s">
        <v>603</v>
      </c>
      <c r="D93" s="330" t="s">
        <v>604</v>
      </c>
      <c r="E93" s="329"/>
      <c r="F93" s="318">
        <f>+SUMIF('Consolidado Costos'!$K$6:$K$158,$C93,'Consolidado Costos'!$AD$6:$AD$158)</f>
        <v>0</v>
      </c>
      <c r="G93" s="318" cm="1">
        <f t="array" ref="G93">+SUMPRODUCT(IF('Consolidado Costos'!$K$6:$K$158=$C93,('Consolidado Costos'!$AD$6:$AD$158*'Consolidado Costos'!D$6:D$158),0))</f>
        <v>0</v>
      </c>
      <c r="H93" s="318" cm="1">
        <f t="array" ref="H93">+SUMPRODUCT(IF('Consolidado Costos'!$K$6:$K$158=$C93,('Consolidado Costos'!$AD$6:$AD$158*'Consolidado Costos'!E$6:E$158),0))</f>
        <v>0</v>
      </c>
      <c r="I93" s="318" cm="1">
        <f t="array" ref="I93">+SUMPRODUCT(IF('Consolidado Costos'!$K$6:$K$158=$C93,('Consolidado Costos'!$AD$6:$AD$158*'Consolidado Costos'!F$6:F$158),0))</f>
        <v>0</v>
      </c>
      <c r="J93" s="409" cm="1">
        <f t="array" ref="J93">+SUMPRODUCT(IF('Consolidado Costos'!$K$6:$K$158=$C93,('Consolidado Costos'!$AD$6:$AD$158*'Consolidado Costos'!G$6:G$158),0))</f>
        <v>0</v>
      </c>
      <c r="K93" s="356">
        <f t="shared" si="2"/>
        <v>0</v>
      </c>
      <c r="L93" s="357">
        <f t="shared" si="3"/>
        <v>1</v>
      </c>
      <c r="R93" s="324"/>
      <c r="S93" s="324"/>
      <c r="T93" s="324"/>
      <c r="U93" s="324"/>
      <c r="V93" s="324"/>
      <c r="W93" s="324"/>
      <c r="X93" s="324"/>
      <c r="Y93" s="324"/>
    </row>
    <row r="94" spans="2:25" s="310" customFormat="1" outlineLevel="1">
      <c r="B94" s="413"/>
      <c r="C94" s="330" t="s">
        <v>605</v>
      </c>
      <c r="D94" s="330" t="s">
        <v>606</v>
      </c>
      <c r="E94" s="329"/>
      <c r="F94" s="318">
        <f>+SUMIF('Consolidado Costos'!$K$6:$K$158,$C94,'Consolidado Costos'!$AD$6:$AD$158)</f>
        <v>0</v>
      </c>
      <c r="G94" s="318" cm="1">
        <f t="array" ref="G94">+SUMPRODUCT(IF('Consolidado Costos'!$K$6:$K$158=$C94,('Consolidado Costos'!$AD$6:$AD$158*'Consolidado Costos'!D$6:D$158),0))</f>
        <v>0</v>
      </c>
      <c r="H94" s="318" cm="1">
        <f t="array" ref="H94">+SUMPRODUCT(IF('Consolidado Costos'!$K$6:$K$158=$C94,('Consolidado Costos'!$AD$6:$AD$158*'Consolidado Costos'!E$6:E$158),0))</f>
        <v>0</v>
      </c>
      <c r="I94" s="318" cm="1">
        <f t="array" ref="I94">+SUMPRODUCT(IF('Consolidado Costos'!$K$6:$K$158=$C94,('Consolidado Costos'!$AD$6:$AD$158*'Consolidado Costos'!F$6:F$158),0))</f>
        <v>0</v>
      </c>
      <c r="J94" s="409" cm="1">
        <f t="array" ref="J94">+SUMPRODUCT(IF('Consolidado Costos'!$K$6:$K$158=$C94,('Consolidado Costos'!$AD$6:$AD$158*'Consolidado Costos'!G$6:G$158),0))</f>
        <v>0</v>
      </c>
      <c r="K94" s="356">
        <f t="shared" si="2"/>
        <v>0</v>
      </c>
      <c r="L94" s="357">
        <f t="shared" si="3"/>
        <v>1</v>
      </c>
      <c r="R94" s="324"/>
      <c r="S94" s="324"/>
      <c r="T94" s="324"/>
      <c r="U94" s="324"/>
      <c r="V94" s="324"/>
      <c r="W94" s="324"/>
      <c r="X94" s="324"/>
      <c r="Y94" s="324"/>
    </row>
    <row r="95" spans="2:25" s="310" customFormat="1" outlineLevel="1">
      <c r="B95" s="413"/>
      <c r="C95" s="330" t="s">
        <v>607</v>
      </c>
      <c r="D95" s="330" t="s">
        <v>608</v>
      </c>
      <c r="E95" s="329"/>
      <c r="F95" s="318">
        <f>+SUMIF('Consolidado Costos'!$K$6:$K$158,$C95,'Consolidado Costos'!$AD$6:$AD$158)</f>
        <v>0</v>
      </c>
      <c r="G95" s="318" cm="1">
        <f t="array" ref="G95">+SUMPRODUCT(IF('Consolidado Costos'!$K$6:$K$158=$C95,('Consolidado Costos'!$AD$6:$AD$158*'Consolidado Costos'!D$6:D$158),0))</f>
        <v>0</v>
      </c>
      <c r="H95" s="318" cm="1">
        <f t="array" ref="H95">+SUMPRODUCT(IF('Consolidado Costos'!$K$6:$K$158=$C95,('Consolidado Costos'!$AD$6:$AD$158*'Consolidado Costos'!E$6:E$158),0))</f>
        <v>0</v>
      </c>
      <c r="I95" s="318" cm="1">
        <f t="array" ref="I95">+SUMPRODUCT(IF('Consolidado Costos'!$K$6:$K$158=$C95,('Consolidado Costos'!$AD$6:$AD$158*'Consolidado Costos'!F$6:F$158),0))</f>
        <v>0</v>
      </c>
      <c r="J95" s="409" cm="1">
        <f t="array" ref="J95">+SUMPRODUCT(IF('Consolidado Costos'!$K$6:$K$158=$C95,('Consolidado Costos'!$AD$6:$AD$158*'Consolidado Costos'!G$6:G$158),0))</f>
        <v>0</v>
      </c>
      <c r="K95" s="356">
        <f t="shared" si="2"/>
        <v>0</v>
      </c>
      <c r="L95" s="357">
        <f t="shared" si="3"/>
        <v>1</v>
      </c>
      <c r="R95" s="324"/>
      <c r="S95" s="324"/>
      <c r="T95" s="324"/>
      <c r="U95" s="324"/>
      <c r="V95" s="324"/>
      <c r="W95" s="324"/>
      <c r="X95" s="324"/>
      <c r="Y95" s="324"/>
    </row>
    <row r="96" spans="2:25" s="310" customFormat="1" outlineLevel="1">
      <c r="B96" s="413"/>
      <c r="C96" s="330" t="s">
        <v>609</v>
      </c>
      <c r="D96" s="330" t="s">
        <v>610</v>
      </c>
      <c r="E96" s="329"/>
      <c r="F96" s="318">
        <f>+SUMIF('Consolidado Costos'!$K$6:$K$158,$C96,'Consolidado Costos'!$AD$6:$AD$158)</f>
        <v>0</v>
      </c>
      <c r="G96" s="318" cm="1">
        <f t="array" ref="G96">+SUMPRODUCT(IF('Consolidado Costos'!$K$6:$K$158=$C96,('Consolidado Costos'!$AD$6:$AD$158*'Consolidado Costos'!D$6:D$158),0))</f>
        <v>0</v>
      </c>
      <c r="H96" s="318" cm="1">
        <f t="array" ref="H96">+SUMPRODUCT(IF('Consolidado Costos'!$K$6:$K$158=$C96,('Consolidado Costos'!$AD$6:$AD$158*'Consolidado Costos'!E$6:E$158),0))</f>
        <v>0</v>
      </c>
      <c r="I96" s="318" cm="1">
        <f t="array" ref="I96">+SUMPRODUCT(IF('Consolidado Costos'!$K$6:$K$158=$C96,('Consolidado Costos'!$AD$6:$AD$158*'Consolidado Costos'!F$6:F$158),0))</f>
        <v>0</v>
      </c>
      <c r="J96" s="409" cm="1">
        <f t="array" ref="J96">+SUMPRODUCT(IF('Consolidado Costos'!$K$6:$K$158=$C96,('Consolidado Costos'!$AD$6:$AD$158*'Consolidado Costos'!G$6:G$158),0))</f>
        <v>0</v>
      </c>
      <c r="K96" s="356">
        <f t="shared" si="2"/>
        <v>0</v>
      </c>
      <c r="L96" s="357">
        <f t="shared" si="3"/>
        <v>1</v>
      </c>
      <c r="R96" s="324"/>
      <c r="S96" s="324"/>
      <c r="T96" s="324"/>
      <c r="U96" s="324"/>
      <c r="V96" s="324"/>
      <c r="W96" s="324"/>
      <c r="X96" s="324"/>
      <c r="Y96" s="324"/>
    </row>
    <row r="97" spans="2:93" s="310" customFormat="1" outlineLevel="1">
      <c r="B97" s="413"/>
      <c r="C97" s="330" t="s">
        <v>611</v>
      </c>
      <c r="D97" s="330" t="s">
        <v>612</v>
      </c>
      <c r="E97" s="329"/>
      <c r="F97" s="318">
        <f>+SUMIF('Consolidado Costos'!$K$6:$K$158,$C97,'Consolidado Costos'!$AD$6:$AD$158)</f>
        <v>0</v>
      </c>
      <c r="G97" s="318" cm="1">
        <f t="array" ref="G97">+SUMPRODUCT(IF('Consolidado Costos'!$K$6:$K$158=$C97,('Consolidado Costos'!$AD$6:$AD$158*'Consolidado Costos'!D$6:D$158),0))</f>
        <v>0</v>
      </c>
      <c r="H97" s="318" cm="1">
        <f t="array" ref="H97">+SUMPRODUCT(IF('Consolidado Costos'!$K$6:$K$158=$C97,('Consolidado Costos'!$AD$6:$AD$158*'Consolidado Costos'!E$6:E$158),0))</f>
        <v>0</v>
      </c>
      <c r="I97" s="318" cm="1">
        <f t="array" ref="I97">+SUMPRODUCT(IF('Consolidado Costos'!$K$6:$K$158=$C97,('Consolidado Costos'!$AD$6:$AD$158*'Consolidado Costos'!F$6:F$158),0))</f>
        <v>0</v>
      </c>
      <c r="J97" s="409" cm="1">
        <f t="array" ref="J97">+SUMPRODUCT(IF('Consolidado Costos'!$K$6:$K$158=$C97,('Consolidado Costos'!$AD$6:$AD$158*'Consolidado Costos'!G$6:G$158),0))</f>
        <v>0</v>
      </c>
      <c r="K97" s="356">
        <f>+SUM(G97:J97)</f>
        <v>0</v>
      </c>
      <c r="L97" s="357">
        <f>+IF(K97=F97,1,0)</f>
        <v>1</v>
      </c>
      <c r="R97" s="324"/>
      <c r="S97" s="324"/>
      <c r="T97" s="324"/>
      <c r="U97" s="324"/>
      <c r="V97" s="324"/>
      <c r="W97" s="324"/>
      <c r="X97" s="324"/>
      <c r="Y97" s="324"/>
    </row>
    <row r="98" spans="2:93" s="310" customFormat="1" outlineLevel="1">
      <c r="B98" s="413"/>
      <c r="C98" s="330" t="s">
        <v>613</v>
      </c>
      <c r="D98" s="330" t="s">
        <v>614</v>
      </c>
      <c r="E98" s="329"/>
      <c r="F98" s="318">
        <f>+SUMIF('Consolidado Costos'!$K$6:$K$158,$C98,'Consolidado Costos'!$AD$6:$AD$158)</f>
        <v>0</v>
      </c>
      <c r="G98" s="318" cm="1">
        <f t="array" ref="G98">+SUMPRODUCT(IF('Consolidado Costos'!$K$6:$K$158=$C98,('Consolidado Costos'!$AD$6:$AD$158*'Consolidado Costos'!D$6:D$158),0))</f>
        <v>0</v>
      </c>
      <c r="H98" s="318" cm="1">
        <f t="array" ref="H98">+SUMPRODUCT(IF('Consolidado Costos'!$K$6:$K$158=$C98,('Consolidado Costos'!$AD$6:$AD$158*'Consolidado Costos'!E$6:E$158),0))</f>
        <v>0</v>
      </c>
      <c r="I98" s="318" cm="1">
        <f t="array" ref="I98">+SUMPRODUCT(IF('Consolidado Costos'!$K$6:$K$158=$C98,('Consolidado Costos'!$AD$6:$AD$158*'Consolidado Costos'!F$6:F$158),0))</f>
        <v>0</v>
      </c>
      <c r="J98" s="409" cm="1">
        <f t="array" ref="J98">+SUMPRODUCT(IF('Consolidado Costos'!$K$6:$K$158=$C98,('Consolidado Costos'!$AD$6:$AD$158*'Consolidado Costos'!G$6:G$158),0))</f>
        <v>0</v>
      </c>
      <c r="K98" s="356">
        <f>+SUM(G98:J98)</f>
        <v>0</v>
      </c>
      <c r="L98" s="357">
        <f>+IF(K98=F98,1,0)</f>
        <v>1</v>
      </c>
      <c r="R98" s="324"/>
      <c r="S98" s="324"/>
      <c r="T98" s="324"/>
      <c r="U98" s="324"/>
      <c r="V98" s="324"/>
      <c r="W98" s="324"/>
      <c r="X98" s="324"/>
      <c r="Y98" s="324"/>
    </row>
    <row r="99" spans="2:93" ht="17" thickBot="1">
      <c r="B99" s="416" t="s">
        <v>615</v>
      </c>
      <c r="C99" s="417"/>
      <c r="D99" s="417"/>
      <c r="E99" s="418"/>
      <c r="F99" s="419">
        <f>+SUMIF('Consolidado Costos'!$K$6:$K$158,$C99,'Consolidado Costos'!$AD$6:$AD$158)</f>
        <v>0</v>
      </c>
      <c r="G99" s="419" cm="1">
        <f t="array" ref="G99">+SUMPRODUCT(IF('Consolidado Costos'!$K$6:$K$158=$C99,('Consolidado Costos'!$AD$6:$AD$158*'Consolidado Costos'!D$6:D$158),0))</f>
        <v>0</v>
      </c>
      <c r="H99" s="419" cm="1">
        <f t="array" ref="H99">+SUMPRODUCT(IF('Consolidado Costos'!$K$6:$K$158=$C99,('Consolidado Costos'!$AD$6:$AD$158*'Consolidado Costos'!E$6:E$158),0))</f>
        <v>0</v>
      </c>
      <c r="I99" s="419" cm="1">
        <f t="array" ref="I99">+SUMPRODUCT(IF('Consolidado Costos'!$K$6:$K$158=$C99,('Consolidado Costos'!$AD$6:$AD$158*'Consolidado Costos'!F$6:F$158),0))</f>
        <v>0</v>
      </c>
      <c r="J99" s="420" cm="1">
        <f t="array" ref="J99">+SUMPRODUCT(IF('Consolidado Costos'!$K$6:$K$158=$C99,('Consolidado Costos'!$AD$6:$AD$158*'Consolidado Costos'!G$6:G$158),0))</f>
        <v>0</v>
      </c>
      <c r="K99" s="356">
        <f>+SUM(G99:J99)</f>
        <v>0</v>
      </c>
      <c r="L99" s="357">
        <f>+IF(K99=F99,1,0)</f>
        <v>1</v>
      </c>
      <c r="M99" s="304"/>
      <c r="N99" s="304"/>
      <c r="O99" s="324"/>
      <c r="P99" s="324"/>
    </row>
    <row r="100" spans="2:93">
      <c r="B100" s="308"/>
      <c r="C100" s="306"/>
      <c r="D100" s="306"/>
      <c r="E100" s="317"/>
      <c r="F100" s="317"/>
      <c r="G100" s="317"/>
      <c r="H100" s="317"/>
      <c r="I100" s="317"/>
      <c r="J100" s="317"/>
      <c r="K100" s="304"/>
      <c r="L100" s="304"/>
      <c r="M100" s="304"/>
      <c r="N100" s="304"/>
      <c r="O100" s="324"/>
      <c r="P100" s="324"/>
      <c r="AN100" s="5"/>
    </row>
    <row r="101" spans="2:93">
      <c r="B101" s="308"/>
      <c r="C101" s="306"/>
      <c r="D101" s="306"/>
      <c r="E101" s="317"/>
      <c r="F101" s="317"/>
      <c r="G101" s="317"/>
      <c r="H101" s="317"/>
      <c r="I101" s="317"/>
      <c r="J101" s="317"/>
      <c r="K101" s="304"/>
      <c r="L101" s="304"/>
      <c r="M101" s="304"/>
      <c r="N101" s="304"/>
      <c r="O101" s="324"/>
      <c r="P101" s="324"/>
    </row>
    <row r="102" spans="2:93">
      <c r="B102" t="s">
        <v>616</v>
      </c>
      <c r="J102" s="304"/>
      <c r="K102" s="310"/>
      <c r="L102" s="304"/>
      <c r="M102" s="304"/>
      <c r="N102" s="304"/>
      <c r="O102" s="324"/>
      <c r="P102" s="324"/>
    </row>
    <row r="103" spans="2:93" ht="17" thickBot="1">
      <c r="G103" s="194" t="s">
        <v>144</v>
      </c>
      <c r="H103" s="194" t="s">
        <v>145</v>
      </c>
      <c r="I103" s="194" t="s">
        <v>146</v>
      </c>
      <c r="J103" s="194" t="s">
        <v>147</v>
      </c>
      <c r="K103" s="194" t="s">
        <v>34</v>
      </c>
      <c r="L103" s="194" t="s">
        <v>148</v>
      </c>
      <c r="M103" s="194" t="s">
        <v>149</v>
      </c>
      <c r="N103" s="194" t="s">
        <v>150</v>
      </c>
      <c r="O103" s="194" t="s">
        <v>151</v>
      </c>
      <c r="P103" s="194" t="s">
        <v>152</v>
      </c>
      <c r="Q103" s="194" t="s">
        <v>153</v>
      </c>
      <c r="R103" s="194" t="s">
        <v>154</v>
      </c>
      <c r="U103" s="346" t="s">
        <v>617</v>
      </c>
      <c r="V103" s="347"/>
      <c r="W103" s="347"/>
      <c r="X103" s="347"/>
      <c r="Y103" s="347"/>
      <c r="Z103" s="194" t="s">
        <v>144</v>
      </c>
      <c r="AA103" s="194" t="s">
        <v>145</v>
      </c>
      <c r="AB103" s="194" t="s">
        <v>146</v>
      </c>
      <c r="AC103" s="194" t="s">
        <v>147</v>
      </c>
      <c r="AD103" s="194" t="s">
        <v>34</v>
      </c>
      <c r="AE103" s="194" t="s">
        <v>148</v>
      </c>
      <c r="AF103" s="194" t="s">
        <v>149</v>
      </c>
      <c r="AG103" s="194" t="s">
        <v>150</v>
      </c>
      <c r="AH103" s="194" t="s">
        <v>151</v>
      </c>
      <c r="AI103" s="194" t="s">
        <v>152</v>
      </c>
      <c r="AJ103" s="194" t="s">
        <v>153</v>
      </c>
      <c r="AK103" s="194" t="s">
        <v>154</v>
      </c>
      <c r="AM103" s="348" t="s">
        <v>618</v>
      </c>
      <c r="AN103" s="349"/>
      <c r="AO103" s="349"/>
      <c r="AP103" s="349"/>
      <c r="AQ103" s="349"/>
      <c r="AR103" s="194" t="s">
        <v>144</v>
      </c>
      <c r="AS103" s="194" t="s">
        <v>145</v>
      </c>
      <c r="AT103" s="194" t="s">
        <v>146</v>
      </c>
      <c r="AU103" s="194" t="s">
        <v>147</v>
      </c>
      <c r="AV103" s="194" t="s">
        <v>34</v>
      </c>
      <c r="AW103" s="194" t="s">
        <v>148</v>
      </c>
      <c r="AX103" s="194" t="s">
        <v>149</v>
      </c>
      <c r="AY103" s="194" t="s">
        <v>150</v>
      </c>
      <c r="AZ103" s="194" t="s">
        <v>151</v>
      </c>
      <c r="BA103" s="194" t="s">
        <v>152</v>
      </c>
      <c r="BB103" s="194" t="s">
        <v>153</v>
      </c>
      <c r="BC103" s="194" t="s">
        <v>154</v>
      </c>
      <c r="BE103" s="350" t="s">
        <v>619</v>
      </c>
      <c r="BF103" s="351"/>
      <c r="BG103" s="351"/>
      <c r="BH103" s="351"/>
      <c r="BI103" s="351"/>
      <c r="BJ103" s="194" t="s">
        <v>144</v>
      </c>
      <c r="BK103" s="194" t="s">
        <v>145</v>
      </c>
      <c r="BL103" s="194" t="s">
        <v>146</v>
      </c>
      <c r="BM103" s="194" t="s">
        <v>147</v>
      </c>
      <c r="BN103" s="194" t="s">
        <v>34</v>
      </c>
      <c r="BO103" s="194" t="s">
        <v>148</v>
      </c>
      <c r="BP103" s="194" t="s">
        <v>149</v>
      </c>
      <c r="BQ103" s="194" t="s">
        <v>150</v>
      </c>
      <c r="BR103" s="194" t="s">
        <v>151</v>
      </c>
      <c r="BS103" s="194" t="s">
        <v>152</v>
      </c>
      <c r="BT103" s="194" t="s">
        <v>153</v>
      </c>
      <c r="BU103" s="194" t="s">
        <v>154</v>
      </c>
      <c r="BW103" s="352" t="s">
        <v>620</v>
      </c>
      <c r="BX103" s="353"/>
      <c r="BY103" s="353"/>
      <c r="BZ103" s="353"/>
      <c r="CA103" s="353"/>
      <c r="CB103" s="194" t="s">
        <v>144</v>
      </c>
      <c r="CC103" s="194" t="s">
        <v>145</v>
      </c>
      <c r="CD103" s="194" t="s">
        <v>146</v>
      </c>
      <c r="CE103" s="194" t="s">
        <v>147</v>
      </c>
      <c r="CF103" s="194" t="s">
        <v>34</v>
      </c>
      <c r="CG103" s="194" t="s">
        <v>148</v>
      </c>
      <c r="CH103" s="194" t="s">
        <v>149</v>
      </c>
      <c r="CI103" s="194" t="s">
        <v>150</v>
      </c>
      <c r="CJ103" s="194" t="s">
        <v>151</v>
      </c>
      <c r="CK103" s="194" t="s">
        <v>152</v>
      </c>
      <c r="CL103" s="194" t="s">
        <v>153</v>
      </c>
      <c r="CM103" s="194" t="s">
        <v>154</v>
      </c>
    </row>
    <row r="104" spans="2:93">
      <c r="B104" s="311" t="s">
        <v>484</v>
      </c>
      <c r="C104" s="312"/>
      <c r="D104" s="312"/>
      <c r="E104" s="313"/>
      <c r="F104" s="314"/>
      <c r="G104" s="314"/>
      <c r="H104" s="314"/>
      <c r="I104" s="314"/>
      <c r="J104" s="314"/>
      <c r="K104" s="314"/>
      <c r="L104" s="304"/>
      <c r="N104" s="304"/>
      <c r="R104" s="318"/>
      <c r="S104" s="304"/>
      <c r="U104" s="311" t="s">
        <v>484</v>
      </c>
      <c r="V104" s="312"/>
      <c r="W104" s="312"/>
      <c r="X104" s="313"/>
      <c r="Y104" s="314"/>
      <c r="Z104" s="314"/>
      <c r="AA104" s="314"/>
      <c r="AB104" s="314"/>
      <c r="AC104" s="314"/>
      <c r="AD104" s="314"/>
      <c r="AE104" s="318"/>
      <c r="AF104" s="318"/>
      <c r="AG104" s="318"/>
      <c r="AH104" s="318"/>
      <c r="AI104" s="318"/>
      <c r="AJ104" s="318"/>
      <c r="AK104" s="318"/>
      <c r="AM104" s="311" t="s">
        <v>484</v>
      </c>
      <c r="AN104" s="312"/>
      <c r="AO104" s="312"/>
      <c r="AP104" s="313"/>
      <c r="AQ104" s="314"/>
      <c r="AR104" s="314"/>
      <c r="AS104" s="314"/>
      <c r="AT104" s="314"/>
      <c r="AU104" s="314"/>
      <c r="AV104" s="314"/>
      <c r="AW104" s="318"/>
      <c r="AX104" s="318"/>
      <c r="AY104" s="318"/>
      <c r="AZ104" s="318"/>
      <c r="BA104" s="318"/>
      <c r="BB104" s="318"/>
      <c r="BC104" s="318"/>
      <c r="BE104" s="311" t="s">
        <v>484</v>
      </c>
      <c r="BF104" s="312"/>
      <c r="BG104" s="312"/>
      <c r="BH104" s="313"/>
      <c r="BI104" s="314"/>
      <c r="BJ104" s="314"/>
      <c r="BK104" s="314"/>
      <c r="BL104" s="314"/>
      <c r="BM104" s="314"/>
      <c r="BN104" s="314"/>
      <c r="BO104" s="318"/>
      <c r="BP104" s="318"/>
      <c r="BQ104" s="318"/>
      <c r="BR104" s="318"/>
      <c r="BS104" s="318"/>
      <c r="BT104" s="318"/>
      <c r="BU104" s="318"/>
      <c r="BW104" s="311" t="s">
        <v>484</v>
      </c>
      <c r="BX104" s="312"/>
      <c r="BY104" s="312"/>
      <c r="BZ104" s="313"/>
      <c r="CA104" s="314"/>
      <c r="CB104" s="314"/>
      <c r="CC104" s="314"/>
      <c r="CD104" s="314"/>
      <c r="CE104" s="314"/>
      <c r="CF104" s="314"/>
      <c r="CG104" s="318"/>
      <c r="CH104" s="318"/>
      <c r="CI104" s="318"/>
      <c r="CJ104" s="318"/>
      <c r="CK104" s="318"/>
      <c r="CL104" s="318"/>
      <c r="CM104" s="318"/>
    </row>
    <row r="105" spans="2:93">
      <c r="B105" s="315"/>
      <c r="C105" s="316" t="s">
        <v>441</v>
      </c>
      <c r="D105" s="316" t="s">
        <v>442</v>
      </c>
      <c r="E105" s="317"/>
      <c r="F105" s="318">
        <f>+SUMIF('Consolidado Costos'!$K$6:$K$158,$C105,'Consolidado Costos'!$AD$6:$AD$158)</f>
        <v>2739600</v>
      </c>
      <c r="G105" s="318">
        <f>+SUMIF('Consolidado Costos'!$K$6:$K$158,$C105,'Consolidado Costos'!AE$6:AE$158)</f>
        <v>184000</v>
      </c>
      <c r="H105" s="318">
        <f>+SUMIF('Consolidado Costos'!$K$6:$K$158,$C105,'Consolidado Costos'!AF$6:AF$158)</f>
        <v>184000</v>
      </c>
      <c r="I105" s="318">
        <f>+SUMIF('Consolidado Costos'!$K$6:$K$158,$C105,'Consolidado Costos'!AG$6:AG$158)</f>
        <v>184000</v>
      </c>
      <c r="J105" s="318">
        <f>+SUMIF('Consolidado Costos'!$K$6:$K$158,$C105,'Consolidado Costos'!AH$6:AH$158)</f>
        <v>215400</v>
      </c>
      <c r="K105" s="318">
        <f>+SUMIF('Consolidado Costos'!$K$6:$K$158,$C105,'Consolidado Costos'!AI$6:AI$158)</f>
        <v>215400</v>
      </c>
      <c r="L105" s="318">
        <f>+SUMIF('Consolidado Costos'!$K$6:$K$158,$C105,'Consolidado Costos'!AJ$6:AJ$158)</f>
        <v>215400</v>
      </c>
      <c r="M105" s="318">
        <f>+SUMIF('Consolidado Costos'!$K$6:$K$158,$C105,'Consolidado Costos'!AK$6:AK$158)</f>
        <v>256300</v>
      </c>
      <c r="N105" s="318">
        <f>+SUMIF('Consolidado Costos'!$K$6:$K$158,$C105,'Consolidado Costos'!AL$6:AL$158)</f>
        <v>256300</v>
      </c>
      <c r="O105" s="318">
        <f>+SUMIF('Consolidado Costos'!$K$6:$K$158,$C105,'Consolidado Costos'!AM$6:AM$158)</f>
        <v>256300</v>
      </c>
      <c r="P105" s="318">
        <f>+SUMIF('Consolidado Costos'!$K$6:$K$158,$C105,'Consolidado Costos'!AN$6:AN$158)</f>
        <v>257500</v>
      </c>
      <c r="Q105" s="318">
        <f>+SUMIF('Consolidado Costos'!$K$6:$K$158,$C105,'Consolidado Costos'!AO$6:AO$158)</f>
        <v>257500</v>
      </c>
      <c r="R105" s="318">
        <f>+SUMIF('Consolidado Costos'!$K$6:$K$158,$C105,'Consolidado Costos'!AP$6:AP$158)</f>
        <v>257500</v>
      </c>
      <c r="S105" s="357">
        <f>+IF(SUM(G105:R105)=F105,1,0)</f>
        <v>1</v>
      </c>
      <c r="U105" s="315"/>
      <c r="V105" s="316" t="s">
        <v>441</v>
      </c>
      <c r="W105" s="316" t="s">
        <v>442</v>
      </c>
      <c r="X105" s="317"/>
      <c r="Y105" s="354">
        <f>+SUM(Z105:AK105)</f>
        <v>2670000</v>
      </c>
      <c r="Z105" s="318" cm="1">
        <f t="array" ref="Z105">+SUMPRODUCT(IF('Consolidado Costos'!$K$6:$K$158=$V105,('Consolidado Costos'!AE$6:AE$158*'Consolidado Costos'!$D$6:$D$158),0))</f>
        <v>180000</v>
      </c>
      <c r="AA105" s="318" cm="1">
        <f t="array" ref="AA105">+SUMPRODUCT(IF('Consolidado Costos'!$K$6:$K$158=$V105,('Consolidado Costos'!AF$6:AF$158*'Consolidado Costos'!$D$6:$D$158),0))</f>
        <v>180000</v>
      </c>
      <c r="AB105" s="318" cm="1">
        <f t="array" ref="AB105">+SUMPRODUCT(IF('Consolidado Costos'!$K$6:$K$158=$V105,('Consolidado Costos'!AG$6:AG$158*'Consolidado Costos'!$D$6:$D$158),0))</f>
        <v>180000</v>
      </c>
      <c r="AC105" s="318" cm="1">
        <f t="array" ref="AC105">+SUMPRODUCT(IF('Consolidado Costos'!$K$6:$K$158=$V105,('Consolidado Costos'!AH$6:AH$158*'Consolidado Costos'!$D$6:$D$158),0))</f>
        <v>210000</v>
      </c>
      <c r="AD105" s="318" cm="1">
        <f t="array" ref="AD105">+SUMPRODUCT(IF('Consolidado Costos'!$K$6:$K$158=$V105,('Consolidado Costos'!AI$6:AI$158*'Consolidado Costos'!$D$6:$D$158),0))</f>
        <v>210000</v>
      </c>
      <c r="AE105" s="318" cm="1">
        <f t="array" ref="AE105">+SUMPRODUCT(IF('Consolidado Costos'!$K$6:$K$158=$V105,('Consolidado Costos'!AJ$6:AJ$158*'Consolidado Costos'!$D$6:$D$158),0))</f>
        <v>210000</v>
      </c>
      <c r="AF105" s="318" cm="1">
        <f t="array" ref="AF105">+SUMPRODUCT(IF('Consolidado Costos'!$K$6:$K$158=$V105,('Consolidado Costos'!AK$6:AK$158*'Consolidado Costos'!$D$6:$D$158),0))</f>
        <v>250000</v>
      </c>
      <c r="AG105" s="318" cm="1">
        <f t="array" ref="AG105">+SUMPRODUCT(IF('Consolidado Costos'!$K$6:$K$158=$V105,('Consolidado Costos'!AL$6:AL$158*'Consolidado Costos'!$D$6:$D$158),0))</f>
        <v>250000</v>
      </c>
      <c r="AH105" s="318" cm="1">
        <f t="array" ref="AH105">+SUMPRODUCT(IF('Consolidado Costos'!$K$6:$K$158=$V105,('Consolidado Costos'!AM$6:AM$158*'Consolidado Costos'!$D$6:$D$158),0))</f>
        <v>250000</v>
      </c>
      <c r="AI105" s="318" cm="1">
        <f t="array" ref="AI105">+SUMPRODUCT(IF('Consolidado Costos'!$K$6:$K$158=$V105,('Consolidado Costos'!AN$6:AN$158*'Consolidado Costos'!$D$6:$D$158),0))</f>
        <v>250000</v>
      </c>
      <c r="AJ105" s="318" cm="1">
        <f t="array" ref="AJ105">+SUMPRODUCT(IF('Consolidado Costos'!$K$6:$K$158=$V105,('Consolidado Costos'!AO$6:AO$158*'Consolidado Costos'!$D$6:$D$158),0))</f>
        <v>250000</v>
      </c>
      <c r="AK105" s="318" cm="1">
        <f t="array" ref="AK105">+SUMPRODUCT(IF('Consolidado Costos'!$K$6:$K$158=$V105,('Consolidado Costos'!AP$6:AP$158*'Consolidado Costos'!$D$6:$D$158),0))</f>
        <v>250000</v>
      </c>
      <c r="AM105" s="315"/>
      <c r="AN105" s="316" t="s">
        <v>441</v>
      </c>
      <c r="AO105" s="316" t="s">
        <v>442</v>
      </c>
      <c r="AP105" s="317"/>
      <c r="AQ105" s="354">
        <f>+SUM(AR105:BC105)</f>
        <v>69600</v>
      </c>
      <c r="AR105" s="318" cm="1">
        <f t="array" ref="AR105">+SUMPRODUCT(IF('Consolidado Costos'!$K$6:$K$158=$AN105,('Consolidado Costos'!AE$6:AE$158*'Consolidado Costos'!$E$6:$E$158),0))</f>
        <v>4000</v>
      </c>
      <c r="AS105" s="318" cm="1">
        <f t="array" ref="AS105">+SUMPRODUCT(IF('Consolidado Costos'!$K$6:$K$158=$AN105,('Consolidado Costos'!AF$6:AF$158*'Consolidado Costos'!$E$6:$E$158),0))</f>
        <v>4000</v>
      </c>
      <c r="AT105" s="318" cm="1">
        <f t="array" ref="AT105">+SUMPRODUCT(IF('Consolidado Costos'!$K$6:$K$158=$AN105,('Consolidado Costos'!AG$6:AG$158*'Consolidado Costos'!$E$6:$E$158),0))</f>
        <v>4000</v>
      </c>
      <c r="AU105" s="318" cm="1">
        <f t="array" ref="AU105">+SUMPRODUCT(IF('Consolidado Costos'!$K$6:$K$158=$AN105,('Consolidado Costos'!AH$6:AH$158*'Consolidado Costos'!$E$6:$E$158),0))</f>
        <v>5400</v>
      </c>
      <c r="AV105" s="318" cm="1">
        <f t="array" ref="AV105">+SUMPRODUCT(IF('Consolidado Costos'!$K$6:$K$158=$AN105,('Consolidado Costos'!AI$6:AI$158*'Consolidado Costos'!$E$6:$E$158),0))</f>
        <v>5400</v>
      </c>
      <c r="AW105" s="318" cm="1">
        <f t="array" ref="AW105">+SUMPRODUCT(IF('Consolidado Costos'!$K$6:$K$158=$AN105,('Consolidado Costos'!AJ$6:AJ$158*'Consolidado Costos'!$E$6:$E$158),0))</f>
        <v>5400</v>
      </c>
      <c r="AX105" s="318" cm="1">
        <f t="array" ref="AX105">+SUMPRODUCT(IF('Consolidado Costos'!$K$6:$K$158=$AN105,('Consolidado Costos'!AK$6:AK$158*'Consolidado Costos'!$E$6:$E$158),0))</f>
        <v>6300</v>
      </c>
      <c r="AY105" s="318" cm="1">
        <f t="array" ref="AY105">+SUMPRODUCT(IF('Consolidado Costos'!$K$6:$K$158=$AN105,('Consolidado Costos'!AL$6:AL$158*'Consolidado Costos'!$E$6:$E$158),0))</f>
        <v>6300</v>
      </c>
      <c r="AZ105" s="318" cm="1">
        <f t="array" ref="AZ105">+SUMPRODUCT(IF('Consolidado Costos'!$K$6:$K$158=$AN105,('Consolidado Costos'!AM$6:AM$158*'Consolidado Costos'!$E$6:$E$158),0))</f>
        <v>6300</v>
      </c>
      <c r="BA105" s="318" cm="1">
        <f t="array" ref="BA105">+SUMPRODUCT(IF('Consolidado Costos'!$K$6:$K$158=$AN105,('Consolidado Costos'!AN$6:AN$158*'Consolidado Costos'!$E$6:$E$158),0))</f>
        <v>7500</v>
      </c>
      <c r="BB105" s="318" cm="1">
        <f t="array" ref="BB105">+SUMPRODUCT(IF('Consolidado Costos'!$K$6:$K$158=$AN105,('Consolidado Costos'!AO$6:AO$158*'Consolidado Costos'!$E$6:$E$158),0))</f>
        <v>7500</v>
      </c>
      <c r="BC105" s="318" cm="1">
        <f t="array" ref="BC105">+SUMPRODUCT(IF('Consolidado Costos'!$K$6:$K$158=$AN105,('Consolidado Costos'!AP$6:AP$158*'Consolidado Costos'!$E$6:$E$158),0))</f>
        <v>7500</v>
      </c>
      <c r="BE105" s="315"/>
      <c r="BF105" s="316" t="s">
        <v>441</v>
      </c>
      <c r="BG105" s="316" t="s">
        <v>442</v>
      </c>
      <c r="BH105" s="317"/>
      <c r="BI105" s="354">
        <f>+SUM(BJ105:BU105)</f>
        <v>0</v>
      </c>
      <c r="BJ105" s="318" cm="1">
        <f t="array" ref="BJ105">+SUMPRODUCT(IF('Consolidado Costos'!$K$6:$K$158=$BF105,('Consolidado Costos'!AE$6:AE$158*'Consolidado Costos'!$F$6:$F$158),0))</f>
        <v>0</v>
      </c>
      <c r="BK105" s="318" cm="1">
        <f t="array" ref="BK105">+SUMPRODUCT(IF('Consolidado Costos'!$K$6:$K$158=$BF105,('Consolidado Costos'!AF$6:AF$158*'Consolidado Costos'!$F$6:$F$158),0))</f>
        <v>0</v>
      </c>
      <c r="BL105" s="318" cm="1">
        <f t="array" ref="BL105">+SUMPRODUCT(IF('Consolidado Costos'!$K$6:$K$158=$BF105,('Consolidado Costos'!AG$6:AG$158*'Consolidado Costos'!$F$6:$F$158),0))</f>
        <v>0</v>
      </c>
      <c r="BM105" s="318" cm="1">
        <f t="array" ref="BM105">+SUMPRODUCT(IF('Consolidado Costos'!$K$6:$K$158=$BF105,('Consolidado Costos'!AH$6:AH$158*'Consolidado Costos'!$F$6:$F$158),0))</f>
        <v>0</v>
      </c>
      <c r="BN105" s="318" cm="1">
        <f t="array" ref="BN105">+SUMPRODUCT(IF('Consolidado Costos'!$K$6:$K$158=$BF105,('Consolidado Costos'!AI$6:AI$158*'Consolidado Costos'!$F$6:$F$158),0))</f>
        <v>0</v>
      </c>
      <c r="BO105" s="318" cm="1">
        <f t="array" ref="BO105">+SUMPRODUCT(IF('Consolidado Costos'!$K$6:$K$158=$BF105,('Consolidado Costos'!AJ$6:AJ$158*'Consolidado Costos'!$F$6:$F$158),0))</f>
        <v>0</v>
      </c>
      <c r="BP105" s="318" cm="1">
        <f t="array" ref="BP105">+SUMPRODUCT(IF('Consolidado Costos'!$K$6:$K$158=$BF105,('Consolidado Costos'!AK$6:AK$158*'Consolidado Costos'!$F$6:$F$158),0))</f>
        <v>0</v>
      </c>
      <c r="BQ105" s="318" cm="1">
        <f t="array" ref="BQ105">+SUMPRODUCT(IF('Consolidado Costos'!$K$6:$K$158=$BF105,('Consolidado Costos'!AL$6:AL$158*'Consolidado Costos'!$F$6:$F$158),0))</f>
        <v>0</v>
      </c>
      <c r="BR105" s="318" cm="1">
        <f t="array" ref="BR105">+SUMPRODUCT(IF('Consolidado Costos'!$K$6:$K$158=$BF105,('Consolidado Costos'!AM$6:AM$158*'Consolidado Costos'!$F$6:$F$158),0))</f>
        <v>0</v>
      </c>
      <c r="BS105" s="318" cm="1">
        <f t="array" ref="BS105">+SUMPRODUCT(IF('Consolidado Costos'!$K$6:$K$158=$BF105,('Consolidado Costos'!AN$6:AN$158*'Consolidado Costos'!$F$6:$F$158),0))</f>
        <v>0</v>
      </c>
      <c r="BT105" s="318" cm="1">
        <f t="array" ref="BT105">+SUMPRODUCT(IF('Consolidado Costos'!$K$6:$K$158=$BF105,('Consolidado Costos'!AO$6:AO$158*'Consolidado Costos'!$F$6:$F$158),0))</f>
        <v>0</v>
      </c>
      <c r="BU105" s="318" cm="1">
        <f t="array" ref="BU105">+SUMPRODUCT(IF('Consolidado Costos'!$K$6:$K$158=$BF105,('Consolidado Costos'!AP$6:AP$158*'Consolidado Costos'!$F$6:$F$158),0))</f>
        <v>0</v>
      </c>
      <c r="BW105" s="315"/>
      <c r="BX105" s="316" t="s">
        <v>441</v>
      </c>
      <c r="BY105" s="316" t="s">
        <v>442</v>
      </c>
      <c r="BZ105" s="317"/>
      <c r="CA105" s="354">
        <f>+SUM(CB105:CM105)</f>
        <v>0</v>
      </c>
      <c r="CB105" s="318" cm="1">
        <f t="array" ref="CB105">+SUMPRODUCT(IF('Consolidado Costos'!$K$6:$K$158=$BX105,('Consolidado Costos'!AE$6:AE$158*'Consolidado Costos'!$G$6:$G$158),0))</f>
        <v>0</v>
      </c>
      <c r="CC105" s="318" cm="1">
        <f t="array" ref="CC105">+SUMPRODUCT(IF('Consolidado Costos'!$K$6:$K$158=$BX105,('Consolidado Costos'!AF$6:AF$158*'Consolidado Costos'!$G$6:$G$158),0))</f>
        <v>0</v>
      </c>
      <c r="CD105" s="318" cm="1">
        <f t="array" ref="CD105">+SUMPRODUCT(IF('Consolidado Costos'!$K$6:$K$158=$BX105,('Consolidado Costos'!AG$6:AG$158*'Consolidado Costos'!$G$6:$G$158),0))</f>
        <v>0</v>
      </c>
      <c r="CE105" s="318" cm="1">
        <f t="array" ref="CE105">+SUMPRODUCT(IF('Consolidado Costos'!$K$6:$K$158=$BX105,('Consolidado Costos'!AH$6:AH$158*'Consolidado Costos'!$G$6:$G$158),0))</f>
        <v>0</v>
      </c>
      <c r="CF105" s="318" cm="1">
        <f t="array" ref="CF105">+SUMPRODUCT(IF('Consolidado Costos'!$K$6:$K$158=$BX105,('Consolidado Costos'!AI$6:AI$158*'Consolidado Costos'!$G$6:$G$158),0))</f>
        <v>0</v>
      </c>
      <c r="CG105" s="318" cm="1">
        <f t="array" ref="CG105">+SUMPRODUCT(IF('Consolidado Costos'!$K$6:$K$158=$BX105,('Consolidado Costos'!AJ$6:AJ$158*'Consolidado Costos'!$G$6:$G$158),0))</f>
        <v>0</v>
      </c>
      <c r="CH105" s="318" cm="1">
        <f t="array" ref="CH105">+SUMPRODUCT(IF('Consolidado Costos'!$K$6:$K$158=$BX105,('Consolidado Costos'!AK$6:AK$158*'Consolidado Costos'!$G$6:$G$158),0))</f>
        <v>0</v>
      </c>
      <c r="CI105" s="318" cm="1">
        <f t="array" ref="CI105">+SUMPRODUCT(IF('Consolidado Costos'!$K$6:$K$158=$BX105,('Consolidado Costos'!AL$6:AL$158*'Consolidado Costos'!$G$6:$G$158),0))</f>
        <v>0</v>
      </c>
      <c r="CJ105" s="318" cm="1">
        <f t="array" ref="CJ105">+SUMPRODUCT(IF('Consolidado Costos'!$K$6:$K$158=$BX105,('Consolidado Costos'!AM$6:AM$158*'Consolidado Costos'!$G$6:$G$158),0))</f>
        <v>0</v>
      </c>
      <c r="CK105" s="318" cm="1">
        <f t="array" ref="CK105">+SUMPRODUCT(IF('Consolidado Costos'!$K$6:$K$158=$BX105,('Consolidado Costos'!AN$6:AN$158*'Consolidado Costos'!$G$6:$G$158),0))</f>
        <v>0</v>
      </c>
      <c r="CL105" s="318" cm="1">
        <f t="array" ref="CL105">+SUMPRODUCT(IF('Consolidado Costos'!$K$6:$K$158=$BX105,('Consolidado Costos'!AO$6:AO$158*'Consolidado Costos'!$G$6:$G$158),0))</f>
        <v>0</v>
      </c>
      <c r="CM105" s="318" cm="1">
        <f t="array" ref="CM105">+SUMPRODUCT(IF('Consolidado Costos'!$K$6:$K$158=$BX105,('Consolidado Costos'!AP$6:AP$158*'Consolidado Costos'!$G$6:$G$158),0))</f>
        <v>0</v>
      </c>
      <c r="CN105" s="357">
        <f>+IF(SUM(CA105+BI105+AQ105+Y105)=F105,1,0)</f>
        <v>1</v>
      </c>
    </row>
    <row r="106" spans="2:93">
      <c r="B106" s="319" t="s">
        <v>485</v>
      </c>
      <c r="C106" s="320"/>
      <c r="D106" s="321" t="s">
        <v>486</v>
      </c>
      <c r="E106" s="322"/>
      <c r="F106" s="355">
        <f>+F105</f>
        <v>2739600</v>
      </c>
      <c r="G106" s="355">
        <f t="shared" ref="G106:R106" si="4">+G105</f>
        <v>184000</v>
      </c>
      <c r="H106" s="355">
        <f t="shared" si="4"/>
        <v>184000</v>
      </c>
      <c r="I106" s="355">
        <f t="shared" si="4"/>
        <v>184000</v>
      </c>
      <c r="J106" s="355">
        <f t="shared" si="4"/>
        <v>215400</v>
      </c>
      <c r="K106" s="355">
        <f t="shared" si="4"/>
        <v>215400</v>
      </c>
      <c r="L106" s="355">
        <f t="shared" si="4"/>
        <v>215400</v>
      </c>
      <c r="M106" s="355">
        <f t="shared" si="4"/>
        <v>256300</v>
      </c>
      <c r="N106" s="355">
        <f t="shared" si="4"/>
        <v>256300</v>
      </c>
      <c r="O106" s="355">
        <f t="shared" si="4"/>
        <v>256300</v>
      </c>
      <c r="P106" s="355">
        <f t="shared" si="4"/>
        <v>257500</v>
      </c>
      <c r="Q106" s="355">
        <f t="shared" si="4"/>
        <v>257500</v>
      </c>
      <c r="R106" s="355">
        <f t="shared" si="4"/>
        <v>257500</v>
      </c>
      <c r="S106" s="357">
        <f t="shared" ref="S106:S169" si="5">+IF(SUM(G106:R106)=F106,1,0)</f>
        <v>1</v>
      </c>
      <c r="U106" s="319" t="s">
        <v>485</v>
      </c>
      <c r="V106" s="320"/>
      <c r="W106" s="321" t="s">
        <v>486</v>
      </c>
      <c r="X106" s="322"/>
      <c r="Y106" s="355">
        <f>+Y105</f>
        <v>2670000</v>
      </c>
      <c r="Z106" s="355">
        <f t="shared" ref="Z106:AK106" si="6">+Z105</f>
        <v>180000</v>
      </c>
      <c r="AA106" s="355">
        <f t="shared" si="6"/>
        <v>180000</v>
      </c>
      <c r="AB106" s="355">
        <f t="shared" si="6"/>
        <v>180000</v>
      </c>
      <c r="AC106" s="355">
        <f t="shared" si="6"/>
        <v>210000</v>
      </c>
      <c r="AD106" s="355">
        <f t="shared" si="6"/>
        <v>210000</v>
      </c>
      <c r="AE106" s="355">
        <f t="shared" si="6"/>
        <v>210000</v>
      </c>
      <c r="AF106" s="355">
        <f t="shared" si="6"/>
        <v>250000</v>
      </c>
      <c r="AG106" s="355">
        <f t="shared" si="6"/>
        <v>250000</v>
      </c>
      <c r="AH106" s="355">
        <f t="shared" si="6"/>
        <v>250000</v>
      </c>
      <c r="AI106" s="355">
        <f t="shared" si="6"/>
        <v>250000</v>
      </c>
      <c r="AJ106" s="355">
        <f t="shared" si="6"/>
        <v>250000</v>
      </c>
      <c r="AK106" s="355">
        <f t="shared" si="6"/>
        <v>250000</v>
      </c>
      <c r="AM106" s="319" t="s">
        <v>485</v>
      </c>
      <c r="AN106" s="320"/>
      <c r="AO106" s="321" t="s">
        <v>486</v>
      </c>
      <c r="AP106" s="322"/>
      <c r="AQ106" s="355">
        <f t="shared" ref="AQ106:BC106" si="7">+AQ105</f>
        <v>69600</v>
      </c>
      <c r="AR106" s="355">
        <f t="shared" si="7"/>
        <v>4000</v>
      </c>
      <c r="AS106" s="355">
        <f t="shared" si="7"/>
        <v>4000</v>
      </c>
      <c r="AT106" s="355">
        <f t="shared" si="7"/>
        <v>4000</v>
      </c>
      <c r="AU106" s="355">
        <f t="shared" si="7"/>
        <v>5400</v>
      </c>
      <c r="AV106" s="355">
        <f t="shared" si="7"/>
        <v>5400</v>
      </c>
      <c r="AW106" s="355">
        <f t="shared" si="7"/>
        <v>5400</v>
      </c>
      <c r="AX106" s="355">
        <f t="shared" si="7"/>
        <v>6300</v>
      </c>
      <c r="AY106" s="355">
        <f t="shared" si="7"/>
        <v>6300</v>
      </c>
      <c r="AZ106" s="355">
        <f t="shared" si="7"/>
        <v>6300</v>
      </c>
      <c r="BA106" s="355">
        <f t="shared" si="7"/>
        <v>7500</v>
      </c>
      <c r="BB106" s="355">
        <f t="shared" si="7"/>
        <v>7500</v>
      </c>
      <c r="BC106" s="355">
        <f t="shared" si="7"/>
        <v>7500</v>
      </c>
      <c r="BE106" s="319" t="s">
        <v>485</v>
      </c>
      <c r="BF106" s="320"/>
      <c r="BG106" s="321" t="s">
        <v>486</v>
      </c>
      <c r="BH106" s="322"/>
      <c r="BI106" s="355">
        <f t="shared" ref="BI106:BU106" si="8">+BI105</f>
        <v>0</v>
      </c>
      <c r="BJ106" s="355">
        <f t="shared" si="8"/>
        <v>0</v>
      </c>
      <c r="BK106" s="355">
        <f t="shared" si="8"/>
        <v>0</v>
      </c>
      <c r="BL106" s="355">
        <f t="shared" si="8"/>
        <v>0</v>
      </c>
      <c r="BM106" s="355">
        <f t="shared" si="8"/>
        <v>0</v>
      </c>
      <c r="BN106" s="355">
        <f t="shared" si="8"/>
        <v>0</v>
      </c>
      <c r="BO106" s="355">
        <f t="shared" si="8"/>
        <v>0</v>
      </c>
      <c r="BP106" s="355">
        <f t="shared" si="8"/>
        <v>0</v>
      </c>
      <c r="BQ106" s="355">
        <f t="shared" si="8"/>
        <v>0</v>
      </c>
      <c r="BR106" s="355">
        <f t="shared" si="8"/>
        <v>0</v>
      </c>
      <c r="BS106" s="355">
        <f t="shared" si="8"/>
        <v>0</v>
      </c>
      <c r="BT106" s="355">
        <f t="shared" si="8"/>
        <v>0</v>
      </c>
      <c r="BU106" s="355">
        <f t="shared" si="8"/>
        <v>0</v>
      </c>
      <c r="BW106" s="319" t="s">
        <v>485</v>
      </c>
      <c r="BX106" s="320"/>
      <c r="BY106" s="321" t="s">
        <v>486</v>
      </c>
      <c r="BZ106" s="322"/>
      <c r="CA106" s="355">
        <f t="shared" ref="CA106:CM106" si="9">+CA105</f>
        <v>0</v>
      </c>
      <c r="CB106" s="355">
        <f t="shared" si="9"/>
        <v>0</v>
      </c>
      <c r="CC106" s="355">
        <f t="shared" si="9"/>
        <v>0</v>
      </c>
      <c r="CD106" s="355">
        <f t="shared" si="9"/>
        <v>0</v>
      </c>
      <c r="CE106" s="355">
        <f t="shared" si="9"/>
        <v>0</v>
      </c>
      <c r="CF106" s="355">
        <f t="shared" si="9"/>
        <v>0</v>
      </c>
      <c r="CG106" s="355">
        <f t="shared" si="9"/>
        <v>0</v>
      </c>
      <c r="CH106" s="355">
        <f t="shared" si="9"/>
        <v>0</v>
      </c>
      <c r="CI106" s="355">
        <f t="shared" si="9"/>
        <v>0</v>
      </c>
      <c r="CJ106" s="355">
        <f t="shared" si="9"/>
        <v>0</v>
      </c>
      <c r="CK106" s="355">
        <f t="shared" si="9"/>
        <v>0</v>
      </c>
      <c r="CL106" s="355">
        <f t="shared" si="9"/>
        <v>0</v>
      </c>
      <c r="CM106" s="355">
        <f t="shared" si="9"/>
        <v>0</v>
      </c>
      <c r="CN106" s="357">
        <f t="shared" ref="CN106:CN169" si="10">+IF(SUM(CA106+BI106+AQ106+Y106)=F106,1,0)</f>
        <v>1</v>
      </c>
    </row>
    <row r="107" spans="2:93">
      <c r="B107" s="319"/>
      <c r="C107" s="320"/>
      <c r="D107" s="320"/>
      <c r="E107" s="317"/>
      <c r="F107" s="318"/>
      <c r="G107" s="318"/>
      <c r="H107" s="318"/>
      <c r="I107" s="318"/>
      <c r="J107" s="318"/>
      <c r="K107" s="318"/>
      <c r="L107" s="318"/>
      <c r="M107" s="318"/>
      <c r="N107" s="318"/>
      <c r="O107" s="318"/>
      <c r="P107" s="318"/>
      <c r="Q107" s="318"/>
      <c r="R107" s="318"/>
      <c r="S107" s="357">
        <f t="shared" si="5"/>
        <v>1</v>
      </c>
      <c r="U107" s="319"/>
      <c r="V107" s="320"/>
      <c r="W107" s="320"/>
      <c r="X107" s="317"/>
      <c r="Y107" s="318"/>
      <c r="Z107" s="318"/>
      <c r="AA107" s="318"/>
      <c r="AB107" s="318"/>
      <c r="AC107" s="318"/>
      <c r="AD107" s="318"/>
      <c r="AE107" s="318"/>
      <c r="AF107" s="318"/>
      <c r="AG107" s="318"/>
      <c r="AH107" s="318"/>
      <c r="AI107" s="318"/>
      <c r="AJ107" s="318"/>
      <c r="AK107" s="318"/>
      <c r="AM107" s="319"/>
      <c r="AN107" s="320"/>
      <c r="AO107" s="320"/>
      <c r="AP107" s="317"/>
      <c r="AQ107" s="318"/>
      <c r="AR107" s="318"/>
      <c r="AS107" s="318"/>
      <c r="AT107" s="318"/>
      <c r="AU107" s="318"/>
      <c r="AV107" s="318"/>
      <c r="AW107" s="318"/>
      <c r="AX107" s="318"/>
      <c r="AY107" s="318"/>
      <c r="AZ107" s="318"/>
      <c r="BA107" s="318"/>
      <c r="BB107" s="318"/>
      <c r="BC107" s="318"/>
      <c r="BE107" s="319"/>
      <c r="BF107" s="320"/>
      <c r="BG107" s="320"/>
      <c r="BH107" s="317"/>
      <c r="BI107" s="318"/>
      <c r="BJ107" s="318"/>
      <c r="BK107" s="318"/>
      <c r="BL107" s="318"/>
      <c r="BM107" s="318"/>
      <c r="BN107" s="318"/>
      <c r="BO107" s="318"/>
      <c r="BP107" s="318"/>
      <c r="BQ107" s="318"/>
      <c r="BR107" s="318"/>
      <c r="BS107" s="318"/>
      <c r="BT107" s="318"/>
      <c r="BU107" s="318"/>
      <c r="BW107" s="319"/>
      <c r="BX107" s="320"/>
      <c r="BY107" s="320"/>
      <c r="BZ107" s="317"/>
      <c r="CA107" s="318"/>
      <c r="CB107" s="318"/>
      <c r="CC107" s="318"/>
      <c r="CD107" s="318"/>
      <c r="CE107" s="318"/>
      <c r="CF107" s="318"/>
      <c r="CG107" s="318"/>
      <c r="CH107" s="318"/>
      <c r="CI107" s="318"/>
      <c r="CJ107" s="318"/>
      <c r="CK107" s="318"/>
      <c r="CL107" s="318"/>
      <c r="CM107" s="318"/>
      <c r="CN107" s="357">
        <f t="shared" si="10"/>
        <v>1</v>
      </c>
    </row>
    <row r="108" spans="2:93">
      <c r="B108" s="319" t="s">
        <v>487</v>
      </c>
      <c r="C108" s="325" t="s">
        <v>139</v>
      </c>
      <c r="D108" s="325" t="s">
        <v>140</v>
      </c>
      <c r="E108" s="317"/>
      <c r="F108" s="326"/>
      <c r="G108" s="326"/>
      <c r="H108" s="326"/>
      <c r="I108" s="326"/>
      <c r="J108" s="326"/>
      <c r="K108" s="326"/>
      <c r="L108" s="326"/>
      <c r="M108" s="326"/>
      <c r="N108" s="326"/>
      <c r="O108" s="326"/>
      <c r="P108" s="326"/>
      <c r="Q108" s="326"/>
      <c r="R108" s="326"/>
      <c r="S108" s="357">
        <f t="shared" si="5"/>
        <v>1</v>
      </c>
      <c r="U108" s="319" t="s">
        <v>487</v>
      </c>
      <c r="V108" s="325" t="s">
        <v>139</v>
      </c>
      <c r="W108" s="325" t="s">
        <v>140</v>
      </c>
      <c r="X108" s="317"/>
      <c r="Y108" s="326"/>
      <c r="Z108" s="326"/>
      <c r="AA108" s="326"/>
      <c r="AB108" s="326"/>
      <c r="AC108" s="326"/>
      <c r="AD108" s="326"/>
      <c r="AE108" s="326"/>
      <c r="AF108" s="326"/>
      <c r="AG108" s="326"/>
      <c r="AH108" s="326"/>
      <c r="AI108" s="326"/>
      <c r="AJ108" s="326"/>
      <c r="AK108" s="326"/>
      <c r="AM108" s="319" t="s">
        <v>487</v>
      </c>
      <c r="AN108" s="325" t="s">
        <v>139</v>
      </c>
      <c r="AO108" s="325" t="s">
        <v>140</v>
      </c>
      <c r="AP108" s="317"/>
      <c r="AQ108" s="326"/>
      <c r="AR108" s="326"/>
      <c r="AS108" s="326"/>
      <c r="AT108" s="326"/>
      <c r="AU108" s="326"/>
      <c r="AV108" s="326"/>
      <c r="AW108" s="326"/>
      <c r="AX108" s="326"/>
      <c r="AY108" s="326"/>
      <c r="AZ108" s="326"/>
      <c r="BA108" s="326"/>
      <c r="BB108" s="326"/>
      <c r="BC108" s="326"/>
      <c r="BE108" s="319" t="s">
        <v>487</v>
      </c>
      <c r="BF108" s="325" t="s">
        <v>139</v>
      </c>
      <c r="BG108" s="325" t="s">
        <v>140</v>
      </c>
      <c r="BH108" s="317"/>
      <c r="BI108" s="326"/>
      <c r="BJ108" s="326"/>
      <c r="BK108" s="326"/>
      <c r="BL108" s="326"/>
      <c r="BM108" s="326"/>
      <c r="BN108" s="326"/>
      <c r="BO108" s="326"/>
      <c r="BP108" s="326"/>
      <c r="BQ108" s="326"/>
      <c r="BR108" s="326"/>
      <c r="BS108" s="326"/>
      <c r="BT108" s="326"/>
      <c r="BU108" s="326"/>
      <c r="BW108" s="319" t="s">
        <v>487</v>
      </c>
      <c r="BX108" s="325" t="s">
        <v>139</v>
      </c>
      <c r="BY108" s="325" t="s">
        <v>140</v>
      </c>
      <c r="BZ108" s="317"/>
      <c r="CA108" s="326"/>
      <c r="CB108" s="326"/>
      <c r="CC108" s="326"/>
      <c r="CD108" s="326"/>
      <c r="CE108" s="326"/>
      <c r="CF108" s="326"/>
      <c r="CG108" s="326"/>
      <c r="CH108" s="326"/>
      <c r="CI108" s="326"/>
      <c r="CJ108" s="326"/>
      <c r="CK108" s="326"/>
      <c r="CL108" s="326"/>
      <c r="CM108" s="326"/>
      <c r="CN108" s="357">
        <f t="shared" si="10"/>
        <v>1</v>
      </c>
    </row>
    <row r="109" spans="2:93" s="310" customFormat="1" outlineLevel="1">
      <c r="B109" s="327"/>
      <c r="C109" s="328" t="s">
        <v>217</v>
      </c>
      <c r="D109" s="328" t="s">
        <v>218</v>
      </c>
      <c r="E109" s="329"/>
      <c r="F109" s="318">
        <f>+SUMIF('Consolidado Costos'!$K$6:$K$158,$C109,'Consolidado Costos'!$AD$6:$AD$158)</f>
        <v>893701.3238601397</v>
      </c>
      <c r="G109" s="318">
        <f>+SUMIF('Consolidado Costos'!$K$6:$K$158,$C109,'Consolidado Costos'!AE$6:AE$158)</f>
        <v>71398.95647552445</v>
      </c>
      <c r="H109" s="318">
        <f>+SUMIF('Consolidado Costos'!$K$6:$K$158,$C109,'Consolidado Costos'!AF$6:AF$158)</f>
        <v>71398.95647552445</v>
      </c>
      <c r="I109" s="318">
        <f>+SUMIF('Consolidado Costos'!$K$6:$K$158,$C109,'Consolidado Costos'!AG$6:AG$158)</f>
        <v>71398.95647552445</v>
      </c>
      <c r="J109" s="318">
        <f>+SUMIF('Consolidado Costos'!$K$6:$K$158,$C109,'Consolidado Costos'!AH$6:AH$158)</f>
        <v>75500.494937062904</v>
      </c>
      <c r="K109" s="318">
        <f>+SUMIF('Consolidado Costos'!$K$6:$K$158,$C109,'Consolidado Costos'!AI$6:AI$158)</f>
        <v>75500.494937062904</v>
      </c>
      <c r="L109" s="318">
        <f>+SUMIF('Consolidado Costos'!$K$6:$K$158,$C109,'Consolidado Costos'!AJ$6:AJ$158)</f>
        <v>75500.494937062904</v>
      </c>
      <c r="M109" s="318">
        <f>+SUMIF('Consolidado Costos'!$K$6:$K$158,$C109,'Consolidado Costos'!AK$6:AK$158)</f>
        <v>75500.494937062904</v>
      </c>
      <c r="N109" s="318">
        <f>+SUMIF('Consolidado Costos'!$K$6:$K$158,$C109,'Consolidado Costos'!AL$6:AL$158)</f>
        <v>75500.494937062904</v>
      </c>
      <c r="O109" s="318">
        <f>+SUMIF('Consolidado Costos'!$K$6:$K$158,$C109,'Consolidado Costos'!AM$6:AM$158)</f>
        <v>75500.494937062904</v>
      </c>
      <c r="P109" s="318">
        <f>+SUMIF('Consolidado Costos'!$K$6:$K$158,$C109,'Consolidado Costos'!AN$6:AN$158)</f>
        <v>75500.494937062904</v>
      </c>
      <c r="Q109" s="318">
        <f>+SUMIF('Consolidado Costos'!$K$6:$K$158,$C109,'Consolidado Costos'!AO$6:AO$158)</f>
        <v>75500.494937062904</v>
      </c>
      <c r="R109" s="318">
        <f>+SUMIF('Consolidado Costos'!$K$6:$K$158,$C109,'Consolidado Costos'!AP$6:AP$158)</f>
        <v>75500.494937062904</v>
      </c>
      <c r="S109" s="357">
        <f t="shared" si="5"/>
        <v>1</v>
      </c>
      <c r="U109" s="327"/>
      <c r="V109" s="328" t="s">
        <v>217</v>
      </c>
      <c r="W109" s="328" t="s">
        <v>218</v>
      </c>
      <c r="X109" s="329"/>
      <c r="Y109" s="354">
        <f t="shared" ref="Y109:Y128" si="11">+SUM(Z109:AK109)</f>
        <v>720336.31619580416</v>
      </c>
      <c r="Z109" s="318" cm="1">
        <f t="array" ref="Z109">+SUMPRODUCT(IF('Consolidado Costos'!$K$6:$K$158=$V109,('Consolidado Costos'!AE$6:AE$158*'Consolidado Costos'!$D$6:$D$158),0))</f>
        <v>56951.872503496488</v>
      </c>
      <c r="AA109" s="318" cm="1">
        <f t="array" ref="AA109">+SUMPRODUCT(IF('Consolidado Costos'!$K$6:$K$158=$V109,('Consolidado Costos'!AF$6:AF$158*'Consolidado Costos'!$D$6:$D$158),0))</f>
        <v>56951.872503496488</v>
      </c>
      <c r="AB109" s="318" cm="1">
        <f t="array" ref="AB109">+SUMPRODUCT(IF('Consolidado Costos'!$K$6:$K$158=$V109,('Consolidado Costos'!AG$6:AG$158*'Consolidado Costos'!$D$6:$D$158),0))</f>
        <v>56951.872503496488</v>
      </c>
      <c r="AC109" s="318" cm="1">
        <f t="array" ref="AC109">+SUMPRODUCT(IF('Consolidado Costos'!$K$6:$K$158=$V109,('Consolidado Costos'!AH$6:AH$158*'Consolidado Costos'!$D$6:$D$158),0))</f>
        <v>61053.410965034942</v>
      </c>
      <c r="AD109" s="318" cm="1">
        <f t="array" ref="AD109">+SUMPRODUCT(IF('Consolidado Costos'!$K$6:$K$158=$V109,('Consolidado Costos'!AI$6:AI$158*'Consolidado Costos'!$D$6:$D$158),0))</f>
        <v>61053.410965034942</v>
      </c>
      <c r="AE109" s="318" cm="1">
        <f t="array" ref="AE109">+SUMPRODUCT(IF('Consolidado Costos'!$K$6:$K$158=$V109,('Consolidado Costos'!AJ$6:AJ$158*'Consolidado Costos'!$D$6:$D$158),0))</f>
        <v>61053.410965034942</v>
      </c>
      <c r="AF109" s="318" cm="1">
        <f t="array" ref="AF109">+SUMPRODUCT(IF('Consolidado Costos'!$K$6:$K$158=$V109,('Consolidado Costos'!AK$6:AK$158*'Consolidado Costos'!$D$6:$D$158),0))</f>
        <v>61053.410965034942</v>
      </c>
      <c r="AG109" s="318" cm="1">
        <f t="array" ref="AG109">+SUMPRODUCT(IF('Consolidado Costos'!$K$6:$K$158=$V109,('Consolidado Costos'!AL$6:AL$158*'Consolidado Costos'!$D$6:$D$158),0))</f>
        <v>61053.410965034942</v>
      </c>
      <c r="AH109" s="318" cm="1">
        <f t="array" ref="AH109">+SUMPRODUCT(IF('Consolidado Costos'!$K$6:$K$158=$V109,('Consolidado Costos'!AM$6:AM$158*'Consolidado Costos'!$D$6:$D$158),0))</f>
        <v>61053.410965034942</v>
      </c>
      <c r="AI109" s="318" cm="1">
        <f t="array" ref="AI109">+SUMPRODUCT(IF('Consolidado Costos'!$K$6:$K$158=$V109,('Consolidado Costos'!AN$6:AN$158*'Consolidado Costos'!$D$6:$D$158),0))</f>
        <v>61053.410965034942</v>
      </c>
      <c r="AJ109" s="318" cm="1">
        <f t="array" ref="AJ109">+SUMPRODUCT(IF('Consolidado Costos'!$K$6:$K$158=$V109,('Consolidado Costos'!AO$6:AO$158*'Consolidado Costos'!$D$6:$D$158),0))</f>
        <v>61053.410965034942</v>
      </c>
      <c r="AK109" s="318" cm="1">
        <f t="array" ref="AK109">+SUMPRODUCT(IF('Consolidado Costos'!$K$6:$K$158=$V109,('Consolidado Costos'!AP$6:AP$158*'Consolidado Costos'!$D$6:$D$158),0))</f>
        <v>61053.410965034942</v>
      </c>
      <c r="AM109" s="327"/>
      <c r="AN109" s="328" t="s">
        <v>217</v>
      </c>
      <c r="AO109" s="328" t="s">
        <v>218</v>
      </c>
      <c r="AP109" s="329"/>
      <c r="AQ109" s="354">
        <f t="shared" ref="AQ109:AQ128" si="12">+SUM(AR109:BC109)</f>
        <v>95423.824447552426</v>
      </c>
      <c r="AR109" s="318" cm="1">
        <f t="array" ref="AR109">+SUMPRODUCT(IF('Consolidado Costos'!$K$6:$K$158=$AN109,('Consolidado Costos'!AE$6:AE$158*'Consolidado Costos'!$E$6:$E$158),0))</f>
        <v>7951.9853706293698</v>
      </c>
      <c r="AS109" s="318" cm="1">
        <f t="array" ref="AS109">+SUMPRODUCT(IF('Consolidado Costos'!$K$6:$K$158=$AN109,('Consolidado Costos'!AF$6:AF$158*'Consolidado Costos'!$E$6:$E$158),0))</f>
        <v>7951.9853706293698</v>
      </c>
      <c r="AT109" s="318" cm="1">
        <f t="array" ref="AT109">+SUMPRODUCT(IF('Consolidado Costos'!$K$6:$K$158=$AN109,('Consolidado Costos'!AG$6:AG$158*'Consolidado Costos'!$E$6:$E$158),0))</f>
        <v>7951.9853706293698</v>
      </c>
      <c r="AU109" s="318" cm="1">
        <f t="array" ref="AU109">+SUMPRODUCT(IF('Consolidado Costos'!$K$6:$K$158=$AN109,('Consolidado Costos'!AH$6:AH$158*'Consolidado Costos'!$E$6:$E$158),0))</f>
        <v>7951.9853706293698</v>
      </c>
      <c r="AV109" s="318" cm="1">
        <f t="array" ref="AV109">+SUMPRODUCT(IF('Consolidado Costos'!$K$6:$K$158=$AN109,('Consolidado Costos'!AI$6:AI$158*'Consolidado Costos'!$E$6:$E$158),0))</f>
        <v>7951.9853706293698</v>
      </c>
      <c r="AW109" s="318" cm="1">
        <f t="array" ref="AW109">+SUMPRODUCT(IF('Consolidado Costos'!$K$6:$K$158=$AN109,('Consolidado Costos'!AJ$6:AJ$158*'Consolidado Costos'!$E$6:$E$158),0))</f>
        <v>7951.9853706293698</v>
      </c>
      <c r="AX109" s="318" cm="1">
        <f t="array" ref="AX109">+SUMPRODUCT(IF('Consolidado Costos'!$K$6:$K$158=$AN109,('Consolidado Costos'!AK$6:AK$158*'Consolidado Costos'!$E$6:$E$158),0))</f>
        <v>7951.9853706293698</v>
      </c>
      <c r="AY109" s="318" cm="1">
        <f t="array" ref="AY109">+SUMPRODUCT(IF('Consolidado Costos'!$K$6:$K$158=$AN109,('Consolidado Costos'!AL$6:AL$158*'Consolidado Costos'!$E$6:$E$158),0))</f>
        <v>7951.9853706293698</v>
      </c>
      <c r="AZ109" s="318" cm="1">
        <f t="array" ref="AZ109">+SUMPRODUCT(IF('Consolidado Costos'!$K$6:$K$158=$AN109,('Consolidado Costos'!AM$6:AM$158*'Consolidado Costos'!$E$6:$E$158),0))</f>
        <v>7951.9853706293698</v>
      </c>
      <c r="BA109" s="318" cm="1">
        <f t="array" ref="BA109">+SUMPRODUCT(IF('Consolidado Costos'!$K$6:$K$158=$AN109,('Consolidado Costos'!AN$6:AN$158*'Consolidado Costos'!$E$6:$E$158),0))</f>
        <v>7951.9853706293698</v>
      </c>
      <c r="BB109" s="318" cm="1">
        <f t="array" ref="BB109">+SUMPRODUCT(IF('Consolidado Costos'!$K$6:$K$158=$AN109,('Consolidado Costos'!AO$6:AO$158*'Consolidado Costos'!$E$6:$E$158),0))</f>
        <v>7951.9853706293698</v>
      </c>
      <c r="BC109" s="318" cm="1">
        <f t="array" ref="BC109">+SUMPRODUCT(IF('Consolidado Costos'!$K$6:$K$158=$AN109,('Consolidado Costos'!AP$6:AP$158*'Consolidado Costos'!$E$6:$E$158),0))</f>
        <v>7951.9853706293698</v>
      </c>
      <c r="BE109" s="327"/>
      <c r="BF109" s="328" t="s">
        <v>217</v>
      </c>
      <c r="BG109" s="328" t="s">
        <v>218</v>
      </c>
      <c r="BH109" s="329"/>
      <c r="BI109" s="354">
        <f t="shared" ref="BI109:BI128" si="13">+SUM(BJ109:BU109)</f>
        <v>49739.583216783205</v>
      </c>
      <c r="BJ109" s="318" cm="1">
        <f t="array" ref="BJ109">+SUMPRODUCT(IF('Consolidado Costos'!$K$6:$K$158=$BF109,('Consolidado Costos'!AE$6:AE$158*'Consolidado Costos'!$F$6:$F$158),0))</f>
        <v>4144.965268065268</v>
      </c>
      <c r="BK109" s="318" cm="1">
        <f t="array" ref="BK109">+SUMPRODUCT(IF('Consolidado Costos'!$K$6:$K$158=$BF109,('Consolidado Costos'!AF$6:AF$158*'Consolidado Costos'!$F$6:$F$158),0))</f>
        <v>4144.965268065268</v>
      </c>
      <c r="BL109" s="318" cm="1">
        <f t="array" ref="BL109">+SUMPRODUCT(IF('Consolidado Costos'!$K$6:$K$158=$BF109,('Consolidado Costos'!AG$6:AG$158*'Consolidado Costos'!$F$6:$F$158),0))</f>
        <v>4144.965268065268</v>
      </c>
      <c r="BM109" s="318" cm="1">
        <f t="array" ref="BM109">+SUMPRODUCT(IF('Consolidado Costos'!$K$6:$K$158=$BF109,('Consolidado Costos'!AH$6:AH$158*'Consolidado Costos'!$F$6:$F$158),0))</f>
        <v>4144.965268065268</v>
      </c>
      <c r="BN109" s="318" cm="1">
        <f t="array" ref="BN109">+SUMPRODUCT(IF('Consolidado Costos'!$K$6:$K$158=$BF109,('Consolidado Costos'!AI$6:AI$158*'Consolidado Costos'!$F$6:$F$158),0))</f>
        <v>4144.965268065268</v>
      </c>
      <c r="BO109" s="318" cm="1">
        <f t="array" ref="BO109">+SUMPRODUCT(IF('Consolidado Costos'!$K$6:$K$158=$BF109,('Consolidado Costos'!AJ$6:AJ$158*'Consolidado Costos'!$F$6:$F$158),0))</f>
        <v>4144.965268065268</v>
      </c>
      <c r="BP109" s="318" cm="1">
        <f t="array" ref="BP109">+SUMPRODUCT(IF('Consolidado Costos'!$K$6:$K$158=$BF109,('Consolidado Costos'!AK$6:AK$158*'Consolidado Costos'!$F$6:$F$158),0))</f>
        <v>4144.965268065268</v>
      </c>
      <c r="BQ109" s="318" cm="1">
        <f t="array" ref="BQ109">+SUMPRODUCT(IF('Consolidado Costos'!$K$6:$K$158=$BF109,('Consolidado Costos'!AL$6:AL$158*'Consolidado Costos'!$F$6:$F$158),0))</f>
        <v>4144.965268065268</v>
      </c>
      <c r="BR109" s="318" cm="1">
        <f t="array" ref="BR109">+SUMPRODUCT(IF('Consolidado Costos'!$K$6:$K$158=$BF109,('Consolidado Costos'!AM$6:AM$158*'Consolidado Costos'!$F$6:$F$158),0))</f>
        <v>4144.965268065268</v>
      </c>
      <c r="BS109" s="318" cm="1">
        <f t="array" ref="BS109">+SUMPRODUCT(IF('Consolidado Costos'!$K$6:$K$158=$BF109,('Consolidado Costos'!AN$6:AN$158*'Consolidado Costos'!$F$6:$F$158),0))</f>
        <v>4144.965268065268</v>
      </c>
      <c r="BT109" s="318" cm="1">
        <f t="array" ref="BT109">+SUMPRODUCT(IF('Consolidado Costos'!$K$6:$K$158=$BF109,('Consolidado Costos'!AO$6:AO$158*'Consolidado Costos'!$F$6:$F$158),0))</f>
        <v>4144.965268065268</v>
      </c>
      <c r="BU109" s="318" cm="1">
        <f t="array" ref="BU109">+SUMPRODUCT(IF('Consolidado Costos'!$K$6:$K$158=$BF109,('Consolidado Costos'!AP$6:AP$158*'Consolidado Costos'!$F$6:$F$158),0))</f>
        <v>4144.965268065268</v>
      </c>
      <c r="BW109" s="327"/>
      <c r="BX109" s="328" t="s">
        <v>217</v>
      </c>
      <c r="BY109" s="328" t="s">
        <v>218</v>
      </c>
      <c r="BZ109" s="329"/>
      <c r="CA109" s="354">
        <f t="shared" ref="CA109:CA128" si="14">+SUM(CB109:CM109)</f>
        <v>28201.599999999991</v>
      </c>
      <c r="CB109" s="318" cm="1">
        <f t="array" ref="CB109">+SUMPRODUCT(IF('Consolidado Costos'!$K$6:$K$158=$BX109,('Consolidado Costos'!AE$6:AE$158*'Consolidado Costos'!$G$6:$G$158),0))</f>
        <v>2350.1333333333332</v>
      </c>
      <c r="CC109" s="318" cm="1">
        <f t="array" ref="CC109">+SUMPRODUCT(IF('Consolidado Costos'!$K$6:$K$158=$BX109,('Consolidado Costos'!AF$6:AF$158*'Consolidado Costos'!$G$6:$G$158),0))</f>
        <v>2350.1333333333332</v>
      </c>
      <c r="CD109" s="318" cm="1">
        <f t="array" ref="CD109">+SUMPRODUCT(IF('Consolidado Costos'!$K$6:$K$158=$BX109,('Consolidado Costos'!AG$6:AG$158*'Consolidado Costos'!$G$6:$G$158),0))</f>
        <v>2350.1333333333332</v>
      </c>
      <c r="CE109" s="318" cm="1">
        <f t="array" ref="CE109">+SUMPRODUCT(IF('Consolidado Costos'!$K$6:$K$158=$BX109,('Consolidado Costos'!AH$6:AH$158*'Consolidado Costos'!$G$6:$G$158),0))</f>
        <v>2350.1333333333332</v>
      </c>
      <c r="CF109" s="318" cm="1">
        <f t="array" ref="CF109">+SUMPRODUCT(IF('Consolidado Costos'!$K$6:$K$158=$BX109,('Consolidado Costos'!AI$6:AI$158*'Consolidado Costos'!$G$6:$G$158),0))</f>
        <v>2350.1333333333332</v>
      </c>
      <c r="CG109" s="318" cm="1">
        <f t="array" ref="CG109">+SUMPRODUCT(IF('Consolidado Costos'!$K$6:$K$158=$BX109,('Consolidado Costos'!AJ$6:AJ$158*'Consolidado Costos'!$G$6:$G$158),0))</f>
        <v>2350.1333333333332</v>
      </c>
      <c r="CH109" s="318" cm="1">
        <f t="array" ref="CH109">+SUMPRODUCT(IF('Consolidado Costos'!$K$6:$K$158=$BX109,('Consolidado Costos'!AK$6:AK$158*'Consolidado Costos'!$G$6:$G$158),0))</f>
        <v>2350.1333333333332</v>
      </c>
      <c r="CI109" s="318" cm="1">
        <f t="array" ref="CI109">+SUMPRODUCT(IF('Consolidado Costos'!$K$6:$K$158=$BX109,('Consolidado Costos'!AL$6:AL$158*'Consolidado Costos'!$G$6:$G$158),0))</f>
        <v>2350.1333333333332</v>
      </c>
      <c r="CJ109" s="318" cm="1">
        <f t="array" ref="CJ109">+SUMPRODUCT(IF('Consolidado Costos'!$K$6:$K$158=$BX109,('Consolidado Costos'!AM$6:AM$158*'Consolidado Costos'!$G$6:$G$158),0))</f>
        <v>2350.1333333333332</v>
      </c>
      <c r="CK109" s="318" cm="1">
        <f t="array" ref="CK109">+SUMPRODUCT(IF('Consolidado Costos'!$K$6:$K$158=$BX109,('Consolidado Costos'!AN$6:AN$158*'Consolidado Costos'!$G$6:$G$158),0))</f>
        <v>2350.1333333333332</v>
      </c>
      <c r="CL109" s="318" cm="1">
        <f t="array" ref="CL109">+SUMPRODUCT(IF('Consolidado Costos'!$K$6:$K$158=$BX109,('Consolidado Costos'!AO$6:AO$158*'Consolidado Costos'!$G$6:$G$158),0))</f>
        <v>2350.1333333333332</v>
      </c>
      <c r="CM109" s="318" cm="1">
        <f t="array" ref="CM109">+SUMPRODUCT(IF('Consolidado Costos'!$K$6:$K$158=$BX109,('Consolidado Costos'!AP$6:AP$158*'Consolidado Costos'!$G$6:$G$158),0))</f>
        <v>2350.1333333333332</v>
      </c>
      <c r="CN109" s="357">
        <f>+IF(SUM(CA109+BI109+AQ109+Y109)=F109,1,0)</f>
        <v>1</v>
      </c>
      <c r="CO109" s="741">
        <f>CA109+BI109+AQ109+Y109</f>
        <v>893701.32386013982</v>
      </c>
    </row>
    <row r="110" spans="2:93" s="310" customFormat="1" outlineLevel="1">
      <c r="B110" s="327"/>
      <c r="C110" s="328" t="s">
        <v>488</v>
      </c>
      <c r="D110" s="328" t="s">
        <v>489</v>
      </c>
      <c r="E110" s="329"/>
      <c r="F110" s="318">
        <f>+SUMIF('Consolidado Costos'!$K$6:$K$158,$C110,'Consolidado Costos'!$AD$6:$AD$158)</f>
        <v>0</v>
      </c>
      <c r="G110" s="318">
        <f>+SUMIF('Consolidado Costos'!$K$6:$K$158,$C110,'Consolidado Costos'!AE$6:AE$158)</f>
        <v>0</v>
      </c>
      <c r="H110" s="318">
        <f>+SUMIF('Consolidado Costos'!$K$6:$K$158,$C110,'Consolidado Costos'!AF$6:AF$158)</f>
        <v>0</v>
      </c>
      <c r="I110" s="318">
        <f>+SUMIF('Consolidado Costos'!$K$6:$K$158,$C110,'Consolidado Costos'!AG$6:AG$158)</f>
        <v>0</v>
      </c>
      <c r="J110" s="318">
        <f>+SUMIF('Consolidado Costos'!$K$6:$K$158,$C110,'Consolidado Costos'!AH$6:AH$158)</f>
        <v>0</v>
      </c>
      <c r="K110" s="318">
        <f>+SUMIF('Consolidado Costos'!$K$6:$K$158,$C110,'Consolidado Costos'!AI$6:AI$158)</f>
        <v>0</v>
      </c>
      <c r="L110" s="318">
        <f>+SUMIF('Consolidado Costos'!$K$6:$K$158,$C110,'Consolidado Costos'!AJ$6:AJ$158)</f>
        <v>0</v>
      </c>
      <c r="M110" s="318">
        <f>+SUMIF('Consolidado Costos'!$K$6:$K$158,$C110,'Consolidado Costos'!AK$6:AK$158)</f>
        <v>0</v>
      </c>
      <c r="N110" s="318">
        <f>+SUMIF('Consolidado Costos'!$K$6:$K$158,$C110,'Consolidado Costos'!AL$6:AL$158)</f>
        <v>0</v>
      </c>
      <c r="O110" s="318">
        <f>+SUMIF('Consolidado Costos'!$K$6:$K$158,$C110,'Consolidado Costos'!AM$6:AM$158)</f>
        <v>0</v>
      </c>
      <c r="P110" s="318">
        <f>+SUMIF('Consolidado Costos'!$K$6:$K$158,$C110,'Consolidado Costos'!AN$6:AN$158)</f>
        <v>0</v>
      </c>
      <c r="Q110" s="318">
        <f>+SUMIF('Consolidado Costos'!$K$6:$K$158,$C110,'Consolidado Costos'!AO$6:AO$158)</f>
        <v>0</v>
      </c>
      <c r="R110" s="318">
        <f>+SUMIF('Consolidado Costos'!$K$6:$K$158,$C110,'Consolidado Costos'!AP$6:AP$158)</f>
        <v>0</v>
      </c>
      <c r="S110" s="357">
        <f t="shared" si="5"/>
        <v>1</v>
      </c>
      <c r="U110" s="327"/>
      <c r="V110" s="328" t="s">
        <v>488</v>
      </c>
      <c r="W110" s="328" t="s">
        <v>489</v>
      </c>
      <c r="X110" s="329"/>
      <c r="Y110" s="354">
        <f t="shared" si="11"/>
        <v>0</v>
      </c>
      <c r="Z110" s="318" cm="1">
        <f t="array" ref="Z110">+SUMPRODUCT(IF('Consolidado Costos'!$K$6:$K$158=$V110,('Consolidado Costos'!AE$6:AE$158*'Consolidado Costos'!$D$6:$D$158),0))</f>
        <v>0</v>
      </c>
      <c r="AA110" s="318" cm="1">
        <f t="array" ref="AA110">+SUMPRODUCT(IF('Consolidado Costos'!$K$6:$K$158=$V110,('Consolidado Costos'!AF$6:AF$158*'Consolidado Costos'!$D$6:$D$158),0))</f>
        <v>0</v>
      </c>
      <c r="AB110" s="318" cm="1">
        <f t="array" ref="AB110">+SUMPRODUCT(IF('Consolidado Costos'!$K$6:$K$158=$V110,('Consolidado Costos'!AG$6:AG$158*'Consolidado Costos'!$D$6:$D$158),0))</f>
        <v>0</v>
      </c>
      <c r="AC110" s="318" cm="1">
        <f t="array" ref="AC110">+SUMPRODUCT(IF('Consolidado Costos'!$K$6:$K$158=$V110,('Consolidado Costos'!AH$6:AH$158*'Consolidado Costos'!$D$6:$D$158),0))</f>
        <v>0</v>
      </c>
      <c r="AD110" s="318" cm="1">
        <f t="array" ref="AD110">+SUMPRODUCT(IF('Consolidado Costos'!$K$6:$K$158=$V110,('Consolidado Costos'!AI$6:AI$158*'Consolidado Costos'!$D$6:$D$158),0))</f>
        <v>0</v>
      </c>
      <c r="AE110" s="318" cm="1">
        <f t="array" ref="AE110">+SUMPRODUCT(IF('Consolidado Costos'!$K$6:$K$158=$V110,('Consolidado Costos'!AJ$6:AJ$158*'Consolidado Costos'!$D$6:$D$158),0))</f>
        <v>0</v>
      </c>
      <c r="AF110" s="318" cm="1">
        <f t="array" ref="AF110">+SUMPRODUCT(IF('Consolidado Costos'!$K$6:$K$158=$V110,('Consolidado Costos'!AK$6:AK$158*'Consolidado Costos'!$D$6:$D$158),0))</f>
        <v>0</v>
      </c>
      <c r="AG110" s="318" cm="1">
        <f t="array" ref="AG110">+SUMPRODUCT(IF('Consolidado Costos'!$K$6:$K$158=$V110,('Consolidado Costos'!AL$6:AL$158*'Consolidado Costos'!$D$6:$D$158),0))</f>
        <v>0</v>
      </c>
      <c r="AH110" s="318" cm="1">
        <f t="array" ref="AH110">+SUMPRODUCT(IF('Consolidado Costos'!$K$6:$K$158=$V110,('Consolidado Costos'!AM$6:AM$158*'Consolidado Costos'!$D$6:$D$158),0))</f>
        <v>0</v>
      </c>
      <c r="AI110" s="318" cm="1">
        <f t="array" ref="AI110">+SUMPRODUCT(IF('Consolidado Costos'!$K$6:$K$158=$V110,('Consolidado Costos'!AN$6:AN$158*'Consolidado Costos'!$D$6:$D$158),0))</f>
        <v>0</v>
      </c>
      <c r="AJ110" s="318" cm="1">
        <f t="array" ref="AJ110">+SUMPRODUCT(IF('Consolidado Costos'!$K$6:$K$158=$V110,('Consolidado Costos'!AO$6:AO$158*'Consolidado Costos'!$D$6:$D$158),0))</f>
        <v>0</v>
      </c>
      <c r="AK110" s="318" cm="1">
        <f t="array" ref="AK110">+SUMPRODUCT(IF('Consolidado Costos'!$K$6:$K$158=$V110,('Consolidado Costos'!AP$6:AP$158*'Consolidado Costos'!$D$6:$D$158),0))</f>
        <v>0</v>
      </c>
      <c r="AM110" s="327"/>
      <c r="AN110" s="328" t="s">
        <v>488</v>
      </c>
      <c r="AO110" s="328" t="s">
        <v>489</v>
      </c>
      <c r="AP110" s="329"/>
      <c r="AQ110" s="354">
        <f t="shared" si="12"/>
        <v>0</v>
      </c>
      <c r="AR110" s="318" cm="1">
        <f t="array" ref="AR110">+SUMPRODUCT(IF('Consolidado Costos'!$K$6:$K$158=$AN110,('Consolidado Costos'!AE$6:AE$158*'Consolidado Costos'!$E$6:$E$158),0))</f>
        <v>0</v>
      </c>
      <c r="AS110" s="318" cm="1">
        <f t="array" ref="AS110">+SUMPRODUCT(IF('Consolidado Costos'!$K$6:$K$158=$AN110,('Consolidado Costos'!AF$6:AF$158*'Consolidado Costos'!$E$6:$E$158),0))</f>
        <v>0</v>
      </c>
      <c r="AT110" s="318" cm="1">
        <f t="array" ref="AT110">+SUMPRODUCT(IF('Consolidado Costos'!$K$6:$K$158=$AN110,('Consolidado Costos'!AG$6:AG$158*'Consolidado Costos'!$E$6:$E$158),0))</f>
        <v>0</v>
      </c>
      <c r="AU110" s="318" cm="1">
        <f t="array" ref="AU110">+SUMPRODUCT(IF('Consolidado Costos'!$K$6:$K$158=$AN110,('Consolidado Costos'!AH$6:AH$158*'Consolidado Costos'!$E$6:$E$158),0))</f>
        <v>0</v>
      </c>
      <c r="AV110" s="318" cm="1">
        <f t="array" ref="AV110">+SUMPRODUCT(IF('Consolidado Costos'!$K$6:$K$158=$AN110,('Consolidado Costos'!AI$6:AI$158*'Consolidado Costos'!$E$6:$E$158),0))</f>
        <v>0</v>
      </c>
      <c r="AW110" s="318" cm="1">
        <f t="array" ref="AW110">+SUMPRODUCT(IF('Consolidado Costos'!$K$6:$K$158=$AN110,('Consolidado Costos'!AJ$6:AJ$158*'Consolidado Costos'!$E$6:$E$158),0))</f>
        <v>0</v>
      </c>
      <c r="AX110" s="318" cm="1">
        <f t="array" ref="AX110">+SUMPRODUCT(IF('Consolidado Costos'!$K$6:$K$158=$AN110,('Consolidado Costos'!AK$6:AK$158*'Consolidado Costos'!$E$6:$E$158),0))</f>
        <v>0</v>
      </c>
      <c r="AY110" s="318" cm="1">
        <f t="array" ref="AY110">+SUMPRODUCT(IF('Consolidado Costos'!$K$6:$K$158=$AN110,('Consolidado Costos'!AL$6:AL$158*'Consolidado Costos'!$E$6:$E$158),0))</f>
        <v>0</v>
      </c>
      <c r="AZ110" s="318" cm="1">
        <f t="array" ref="AZ110">+SUMPRODUCT(IF('Consolidado Costos'!$K$6:$K$158=$AN110,('Consolidado Costos'!AM$6:AM$158*'Consolidado Costos'!$E$6:$E$158),0))</f>
        <v>0</v>
      </c>
      <c r="BA110" s="318" cm="1">
        <f t="array" ref="BA110">+SUMPRODUCT(IF('Consolidado Costos'!$K$6:$K$158=$AN110,('Consolidado Costos'!AN$6:AN$158*'Consolidado Costos'!$E$6:$E$158),0))</f>
        <v>0</v>
      </c>
      <c r="BB110" s="318" cm="1">
        <f t="array" ref="BB110">+SUMPRODUCT(IF('Consolidado Costos'!$K$6:$K$158=$AN110,('Consolidado Costos'!AO$6:AO$158*'Consolidado Costos'!$E$6:$E$158),0))</f>
        <v>0</v>
      </c>
      <c r="BC110" s="318" cm="1">
        <f t="array" ref="BC110">+SUMPRODUCT(IF('Consolidado Costos'!$K$6:$K$158=$AN110,('Consolidado Costos'!AP$6:AP$158*'Consolidado Costos'!$E$6:$E$158),0))</f>
        <v>0</v>
      </c>
      <c r="BE110" s="327"/>
      <c r="BF110" s="328" t="s">
        <v>488</v>
      </c>
      <c r="BG110" s="328" t="s">
        <v>489</v>
      </c>
      <c r="BH110" s="329"/>
      <c r="BI110" s="354">
        <f t="shared" si="13"/>
        <v>0</v>
      </c>
      <c r="BJ110" s="318" cm="1">
        <f t="array" ref="BJ110">+SUMPRODUCT(IF('Consolidado Costos'!$K$6:$K$158=$BF110,('Consolidado Costos'!AE$6:AE$158*'Consolidado Costos'!$F$6:$F$158),0))</f>
        <v>0</v>
      </c>
      <c r="BK110" s="318" cm="1">
        <f t="array" ref="BK110">+SUMPRODUCT(IF('Consolidado Costos'!$K$6:$K$158=$BF110,('Consolidado Costos'!AF$6:AF$158*'Consolidado Costos'!$F$6:$F$158),0))</f>
        <v>0</v>
      </c>
      <c r="BL110" s="318" cm="1">
        <f t="array" ref="BL110">+SUMPRODUCT(IF('Consolidado Costos'!$K$6:$K$158=$BF110,('Consolidado Costos'!AG$6:AG$158*'Consolidado Costos'!$F$6:$F$158),0))</f>
        <v>0</v>
      </c>
      <c r="BM110" s="318" cm="1">
        <f t="array" ref="BM110">+SUMPRODUCT(IF('Consolidado Costos'!$K$6:$K$158=$BF110,('Consolidado Costos'!AH$6:AH$158*'Consolidado Costos'!$F$6:$F$158),0))</f>
        <v>0</v>
      </c>
      <c r="BN110" s="318" cm="1">
        <f t="array" ref="BN110">+SUMPRODUCT(IF('Consolidado Costos'!$K$6:$K$158=$BF110,('Consolidado Costos'!AI$6:AI$158*'Consolidado Costos'!$F$6:$F$158),0))</f>
        <v>0</v>
      </c>
      <c r="BO110" s="318" cm="1">
        <f t="array" ref="BO110">+SUMPRODUCT(IF('Consolidado Costos'!$K$6:$K$158=$BF110,('Consolidado Costos'!AJ$6:AJ$158*'Consolidado Costos'!$F$6:$F$158),0))</f>
        <v>0</v>
      </c>
      <c r="BP110" s="318" cm="1">
        <f t="array" ref="BP110">+SUMPRODUCT(IF('Consolidado Costos'!$K$6:$K$158=$BF110,('Consolidado Costos'!AK$6:AK$158*'Consolidado Costos'!$F$6:$F$158),0))</f>
        <v>0</v>
      </c>
      <c r="BQ110" s="318" cm="1">
        <f t="array" ref="BQ110">+SUMPRODUCT(IF('Consolidado Costos'!$K$6:$K$158=$BF110,('Consolidado Costos'!AL$6:AL$158*'Consolidado Costos'!$F$6:$F$158),0))</f>
        <v>0</v>
      </c>
      <c r="BR110" s="318" cm="1">
        <f t="array" ref="BR110">+SUMPRODUCT(IF('Consolidado Costos'!$K$6:$K$158=$BF110,('Consolidado Costos'!AM$6:AM$158*'Consolidado Costos'!$F$6:$F$158),0))</f>
        <v>0</v>
      </c>
      <c r="BS110" s="318" cm="1">
        <f t="array" ref="BS110">+SUMPRODUCT(IF('Consolidado Costos'!$K$6:$K$158=$BF110,('Consolidado Costos'!AN$6:AN$158*'Consolidado Costos'!$F$6:$F$158),0))</f>
        <v>0</v>
      </c>
      <c r="BT110" s="318" cm="1">
        <f t="array" ref="BT110">+SUMPRODUCT(IF('Consolidado Costos'!$K$6:$K$158=$BF110,('Consolidado Costos'!AO$6:AO$158*'Consolidado Costos'!$F$6:$F$158),0))</f>
        <v>0</v>
      </c>
      <c r="BU110" s="318" cm="1">
        <f t="array" ref="BU110">+SUMPRODUCT(IF('Consolidado Costos'!$K$6:$K$158=$BF110,('Consolidado Costos'!AP$6:AP$158*'Consolidado Costos'!$F$6:$F$158),0))</f>
        <v>0</v>
      </c>
      <c r="BW110" s="327"/>
      <c r="BX110" s="328" t="s">
        <v>488</v>
      </c>
      <c r="BY110" s="328" t="s">
        <v>489</v>
      </c>
      <c r="BZ110" s="329"/>
      <c r="CA110" s="354">
        <f t="shared" si="14"/>
        <v>0</v>
      </c>
      <c r="CB110" s="318" cm="1">
        <f t="array" ref="CB110">+SUMPRODUCT(IF('Consolidado Costos'!$K$6:$K$158=$BX110,('Consolidado Costos'!AE$6:AE$158*'Consolidado Costos'!$G$6:$G$158),0))</f>
        <v>0</v>
      </c>
      <c r="CC110" s="318" cm="1">
        <f t="array" ref="CC110">+SUMPRODUCT(IF('Consolidado Costos'!$K$6:$K$158=$BX110,('Consolidado Costos'!AF$6:AF$158*'Consolidado Costos'!$G$6:$G$158),0))</f>
        <v>0</v>
      </c>
      <c r="CD110" s="318" cm="1">
        <f t="array" ref="CD110">+SUMPRODUCT(IF('Consolidado Costos'!$K$6:$K$158=$BX110,('Consolidado Costos'!AG$6:AG$158*'Consolidado Costos'!$G$6:$G$158),0))</f>
        <v>0</v>
      </c>
      <c r="CE110" s="318" cm="1">
        <f t="array" ref="CE110">+SUMPRODUCT(IF('Consolidado Costos'!$K$6:$K$158=$BX110,('Consolidado Costos'!AH$6:AH$158*'Consolidado Costos'!$G$6:$G$158),0))</f>
        <v>0</v>
      </c>
      <c r="CF110" s="318" cm="1">
        <f t="array" ref="CF110">+SUMPRODUCT(IF('Consolidado Costos'!$K$6:$K$158=$BX110,('Consolidado Costos'!AI$6:AI$158*'Consolidado Costos'!$G$6:$G$158),0))</f>
        <v>0</v>
      </c>
      <c r="CG110" s="318" cm="1">
        <f t="array" ref="CG110">+SUMPRODUCT(IF('Consolidado Costos'!$K$6:$K$158=$BX110,('Consolidado Costos'!AJ$6:AJ$158*'Consolidado Costos'!$G$6:$G$158),0))</f>
        <v>0</v>
      </c>
      <c r="CH110" s="318" cm="1">
        <f t="array" ref="CH110">+SUMPRODUCT(IF('Consolidado Costos'!$K$6:$K$158=$BX110,('Consolidado Costos'!AK$6:AK$158*'Consolidado Costos'!$G$6:$G$158),0))</f>
        <v>0</v>
      </c>
      <c r="CI110" s="318" cm="1">
        <f t="array" ref="CI110">+SUMPRODUCT(IF('Consolidado Costos'!$K$6:$K$158=$BX110,('Consolidado Costos'!AL$6:AL$158*'Consolidado Costos'!$G$6:$G$158),0))</f>
        <v>0</v>
      </c>
      <c r="CJ110" s="318" cm="1">
        <f t="array" ref="CJ110">+SUMPRODUCT(IF('Consolidado Costos'!$K$6:$K$158=$BX110,('Consolidado Costos'!AM$6:AM$158*'Consolidado Costos'!$G$6:$G$158),0))</f>
        <v>0</v>
      </c>
      <c r="CK110" s="318" cm="1">
        <f t="array" ref="CK110">+SUMPRODUCT(IF('Consolidado Costos'!$K$6:$K$158=$BX110,('Consolidado Costos'!AN$6:AN$158*'Consolidado Costos'!$G$6:$G$158),0))</f>
        <v>0</v>
      </c>
      <c r="CL110" s="318" cm="1">
        <f t="array" ref="CL110">+SUMPRODUCT(IF('Consolidado Costos'!$K$6:$K$158=$BX110,('Consolidado Costos'!AO$6:AO$158*'Consolidado Costos'!$G$6:$G$158),0))</f>
        <v>0</v>
      </c>
      <c r="CM110" s="318" cm="1">
        <f t="array" ref="CM110">+SUMPRODUCT(IF('Consolidado Costos'!$K$6:$K$158=$BX110,('Consolidado Costos'!AP$6:AP$158*'Consolidado Costos'!$G$6:$G$158),0))</f>
        <v>0</v>
      </c>
      <c r="CN110" s="357">
        <f t="shared" si="10"/>
        <v>1</v>
      </c>
    </row>
    <row r="111" spans="2:93" s="310" customFormat="1" outlineLevel="1">
      <c r="B111" s="327"/>
      <c r="C111" s="330" t="s">
        <v>490</v>
      </c>
      <c r="D111" s="330" t="s">
        <v>491</v>
      </c>
      <c r="E111" s="329"/>
      <c r="F111" s="318">
        <f>+SUMIF('Consolidado Costos'!$K$6:$K$158,$C111,'Consolidado Costos'!$AD$6:$AD$158)</f>
        <v>0</v>
      </c>
      <c r="G111" s="318">
        <f>+SUMIF('Consolidado Costos'!$K$6:$K$158,$C111,'Consolidado Costos'!AE$6:AE$158)</f>
        <v>0</v>
      </c>
      <c r="H111" s="318">
        <f>+SUMIF('Consolidado Costos'!$K$6:$K$158,$C111,'Consolidado Costos'!AF$6:AF$158)</f>
        <v>0</v>
      </c>
      <c r="I111" s="318">
        <f>+SUMIF('Consolidado Costos'!$K$6:$K$158,$C111,'Consolidado Costos'!AG$6:AG$158)</f>
        <v>0</v>
      </c>
      <c r="J111" s="318">
        <f>+SUMIF('Consolidado Costos'!$K$6:$K$158,$C111,'Consolidado Costos'!AH$6:AH$158)</f>
        <v>0</v>
      </c>
      <c r="K111" s="318">
        <f>+SUMIF('Consolidado Costos'!$K$6:$K$158,$C111,'Consolidado Costos'!AI$6:AI$158)</f>
        <v>0</v>
      </c>
      <c r="L111" s="318">
        <f>+SUMIF('Consolidado Costos'!$K$6:$K$158,$C111,'Consolidado Costos'!AJ$6:AJ$158)</f>
        <v>0</v>
      </c>
      <c r="M111" s="318">
        <f>+SUMIF('Consolidado Costos'!$K$6:$K$158,$C111,'Consolidado Costos'!AK$6:AK$158)</f>
        <v>0</v>
      </c>
      <c r="N111" s="318">
        <f>+SUMIF('Consolidado Costos'!$K$6:$K$158,$C111,'Consolidado Costos'!AL$6:AL$158)</f>
        <v>0</v>
      </c>
      <c r="O111" s="318">
        <f>+SUMIF('Consolidado Costos'!$K$6:$K$158,$C111,'Consolidado Costos'!AM$6:AM$158)</f>
        <v>0</v>
      </c>
      <c r="P111" s="318">
        <f>+SUMIF('Consolidado Costos'!$K$6:$K$158,$C111,'Consolidado Costos'!AN$6:AN$158)</f>
        <v>0</v>
      </c>
      <c r="Q111" s="318">
        <f>+SUMIF('Consolidado Costos'!$K$6:$K$158,$C111,'Consolidado Costos'!AO$6:AO$158)</f>
        <v>0</v>
      </c>
      <c r="R111" s="318">
        <f>+SUMIF('Consolidado Costos'!$K$6:$K$158,$C111,'Consolidado Costos'!AP$6:AP$158)</f>
        <v>0</v>
      </c>
      <c r="S111" s="357">
        <f t="shared" si="5"/>
        <v>1</v>
      </c>
      <c r="U111" s="327"/>
      <c r="V111" s="330" t="s">
        <v>490</v>
      </c>
      <c r="W111" s="330" t="s">
        <v>491</v>
      </c>
      <c r="X111" s="329"/>
      <c r="Y111" s="354">
        <f t="shared" si="11"/>
        <v>0</v>
      </c>
      <c r="Z111" s="318" cm="1">
        <f t="array" ref="Z111">+SUMPRODUCT(IF('Consolidado Costos'!$K$6:$K$158=$V111,('Consolidado Costos'!AE$6:AE$158*'Consolidado Costos'!$D$6:$D$158),0))</f>
        <v>0</v>
      </c>
      <c r="AA111" s="318" cm="1">
        <f t="array" ref="AA111">+SUMPRODUCT(IF('Consolidado Costos'!$K$6:$K$158=$V111,('Consolidado Costos'!AF$6:AF$158*'Consolidado Costos'!$D$6:$D$158),0))</f>
        <v>0</v>
      </c>
      <c r="AB111" s="318" cm="1">
        <f t="array" ref="AB111">+SUMPRODUCT(IF('Consolidado Costos'!$K$6:$K$158=$V111,('Consolidado Costos'!AG$6:AG$158*'Consolidado Costos'!$D$6:$D$158),0))</f>
        <v>0</v>
      </c>
      <c r="AC111" s="318" cm="1">
        <f t="array" ref="AC111">+SUMPRODUCT(IF('Consolidado Costos'!$K$6:$K$158=$V111,('Consolidado Costos'!AH$6:AH$158*'Consolidado Costos'!$D$6:$D$158),0))</f>
        <v>0</v>
      </c>
      <c r="AD111" s="318" cm="1">
        <f t="array" ref="AD111">+SUMPRODUCT(IF('Consolidado Costos'!$K$6:$K$158=$V111,('Consolidado Costos'!AI$6:AI$158*'Consolidado Costos'!$D$6:$D$158),0))</f>
        <v>0</v>
      </c>
      <c r="AE111" s="318" cm="1">
        <f t="array" ref="AE111">+SUMPRODUCT(IF('Consolidado Costos'!$K$6:$K$158=$V111,('Consolidado Costos'!AJ$6:AJ$158*'Consolidado Costos'!$D$6:$D$158),0))</f>
        <v>0</v>
      </c>
      <c r="AF111" s="318" cm="1">
        <f t="array" ref="AF111">+SUMPRODUCT(IF('Consolidado Costos'!$K$6:$K$158=$V111,('Consolidado Costos'!AK$6:AK$158*'Consolidado Costos'!$D$6:$D$158),0))</f>
        <v>0</v>
      </c>
      <c r="AG111" s="318" cm="1">
        <f t="array" ref="AG111">+SUMPRODUCT(IF('Consolidado Costos'!$K$6:$K$158=$V111,('Consolidado Costos'!AL$6:AL$158*'Consolidado Costos'!$D$6:$D$158),0))</f>
        <v>0</v>
      </c>
      <c r="AH111" s="318" cm="1">
        <f t="array" ref="AH111">+SUMPRODUCT(IF('Consolidado Costos'!$K$6:$K$158=$V111,('Consolidado Costos'!AM$6:AM$158*'Consolidado Costos'!$D$6:$D$158),0))</f>
        <v>0</v>
      </c>
      <c r="AI111" s="318" cm="1">
        <f t="array" ref="AI111">+SUMPRODUCT(IF('Consolidado Costos'!$K$6:$K$158=$V111,('Consolidado Costos'!AN$6:AN$158*'Consolidado Costos'!$D$6:$D$158),0))</f>
        <v>0</v>
      </c>
      <c r="AJ111" s="318" cm="1">
        <f t="array" ref="AJ111">+SUMPRODUCT(IF('Consolidado Costos'!$K$6:$K$158=$V111,('Consolidado Costos'!AO$6:AO$158*'Consolidado Costos'!$D$6:$D$158),0))</f>
        <v>0</v>
      </c>
      <c r="AK111" s="318" cm="1">
        <f t="array" ref="AK111">+SUMPRODUCT(IF('Consolidado Costos'!$K$6:$K$158=$V111,('Consolidado Costos'!AP$6:AP$158*'Consolidado Costos'!$D$6:$D$158),0))</f>
        <v>0</v>
      </c>
      <c r="AM111" s="327"/>
      <c r="AN111" s="330" t="s">
        <v>490</v>
      </c>
      <c r="AO111" s="330" t="s">
        <v>491</v>
      </c>
      <c r="AP111" s="329"/>
      <c r="AQ111" s="354">
        <f t="shared" si="12"/>
        <v>0</v>
      </c>
      <c r="AR111" s="318" cm="1">
        <f t="array" ref="AR111">+SUMPRODUCT(IF('Consolidado Costos'!$K$6:$K$158=$AN111,('Consolidado Costos'!AE$6:AE$158*'Consolidado Costos'!$E$6:$E$158),0))</f>
        <v>0</v>
      </c>
      <c r="AS111" s="318" cm="1">
        <f t="array" ref="AS111">+SUMPRODUCT(IF('Consolidado Costos'!$K$6:$K$158=$AN111,('Consolidado Costos'!AF$6:AF$158*'Consolidado Costos'!$E$6:$E$158),0))</f>
        <v>0</v>
      </c>
      <c r="AT111" s="318" cm="1">
        <f t="array" ref="AT111">+SUMPRODUCT(IF('Consolidado Costos'!$K$6:$K$158=$AN111,('Consolidado Costos'!AG$6:AG$158*'Consolidado Costos'!$E$6:$E$158),0))</f>
        <v>0</v>
      </c>
      <c r="AU111" s="318" cm="1">
        <f t="array" ref="AU111">+SUMPRODUCT(IF('Consolidado Costos'!$K$6:$K$158=$AN111,('Consolidado Costos'!AH$6:AH$158*'Consolidado Costos'!$E$6:$E$158),0))</f>
        <v>0</v>
      </c>
      <c r="AV111" s="318" cm="1">
        <f t="array" ref="AV111">+SUMPRODUCT(IF('Consolidado Costos'!$K$6:$K$158=$AN111,('Consolidado Costos'!AI$6:AI$158*'Consolidado Costos'!$E$6:$E$158),0))</f>
        <v>0</v>
      </c>
      <c r="AW111" s="318" cm="1">
        <f t="array" ref="AW111">+SUMPRODUCT(IF('Consolidado Costos'!$K$6:$K$158=$AN111,('Consolidado Costos'!AJ$6:AJ$158*'Consolidado Costos'!$E$6:$E$158),0))</f>
        <v>0</v>
      </c>
      <c r="AX111" s="318" cm="1">
        <f t="array" ref="AX111">+SUMPRODUCT(IF('Consolidado Costos'!$K$6:$K$158=$AN111,('Consolidado Costos'!AK$6:AK$158*'Consolidado Costos'!$E$6:$E$158),0))</f>
        <v>0</v>
      </c>
      <c r="AY111" s="318" cm="1">
        <f t="array" ref="AY111">+SUMPRODUCT(IF('Consolidado Costos'!$K$6:$K$158=$AN111,('Consolidado Costos'!AL$6:AL$158*'Consolidado Costos'!$E$6:$E$158),0))</f>
        <v>0</v>
      </c>
      <c r="AZ111" s="318" cm="1">
        <f t="array" ref="AZ111">+SUMPRODUCT(IF('Consolidado Costos'!$K$6:$K$158=$AN111,('Consolidado Costos'!AM$6:AM$158*'Consolidado Costos'!$E$6:$E$158),0))</f>
        <v>0</v>
      </c>
      <c r="BA111" s="318" cm="1">
        <f t="array" ref="BA111">+SUMPRODUCT(IF('Consolidado Costos'!$K$6:$K$158=$AN111,('Consolidado Costos'!AN$6:AN$158*'Consolidado Costos'!$E$6:$E$158),0))</f>
        <v>0</v>
      </c>
      <c r="BB111" s="318" cm="1">
        <f t="array" ref="BB111">+SUMPRODUCT(IF('Consolidado Costos'!$K$6:$K$158=$AN111,('Consolidado Costos'!AO$6:AO$158*'Consolidado Costos'!$E$6:$E$158),0))</f>
        <v>0</v>
      </c>
      <c r="BC111" s="318" cm="1">
        <f t="array" ref="BC111">+SUMPRODUCT(IF('Consolidado Costos'!$K$6:$K$158=$AN111,('Consolidado Costos'!AP$6:AP$158*'Consolidado Costos'!$E$6:$E$158),0))</f>
        <v>0</v>
      </c>
      <c r="BE111" s="327"/>
      <c r="BF111" s="330" t="s">
        <v>490</v>
      </c>
      <c r="BG111" s="330" t="s">
        <v>491</v>
      </c>
      <c r="BH111" s="329"/>
      <c r="BI111" s="354">
        <f t="shared" si="13"/>
        <v>0</v>
      </c>
      <c r="BJ111" s="318" cm="1">
        <f t="array" ref="BJ111">+SUMPRODUCT(IF('Consolidado Costos'!$K$6:$K$158=$BF111,('Consolidado Costos'!AE$6:AE$158*'Consolidado Costos'!$F$6:$F$158),0))</f>
        <v>0</v>
      </c>
      <c r="BK111" s="318" cm="1">
        <f t="array" ref="BK111">+SUMPRODUCT(IF('Consolidado Costos'!$K$6:$K$158=$BF111,('Consolidado Costos'!AF$6:AF$158*'Consolidado Costos'!$F$6:$F$158),0))</f>
        <v>0</v>
      </c>
      <c r="BL111" s="318" cm="1">
        <f t="array" ref="BL111">+SUMPRODUCT(IF('Consolidado Costos'!$K$6:$K$158=$BF111,('Consolidado Costos'!AG$6:AG$158*'Consolidado Costos'!$F$6:$F$158),0))</f>
        <v>0</v>
      </c>
      <c r="BM111" s="318" cm="1">
        <f t="array" ref="BM111">+SUMPRODUCT(IF('Consolidado Costos'!$K$6:$K$158=$BF111,('Consolidado Costos'!AH$6:AH$158*'Consolidado Costos'!$F$6:$F$158),0))</f>
        <v>0</v>
      </c>
      <c r="BN111" s="318" cm="1">
        <f t="array" ref="BN111">+SUMPRODUCT(IF('Consolidado Costos'!$K$6:$K$158=$BF111,('Consolidado Costos'!AI$6:AI$158*'Consolidado Costos'!$F$6:$F$158),0))</f>
        <v>0</v>
      </c>
      <c r="BO111" s="318" cm="1">
        <f t="array" ref="BO111">+SUMPRODUCT(IF('Consolidado Costos'!$K$6:$K$158=$BF111,('Consolidado Costos'!AJ$6:AJ$158*'Consolidado Costos'!$F$6:$F$158),0))</f>
        <v>0</v>
      </c>
      <c r="BP111" s="318" cm="1">
        <f t="array" ref="BP111">+SUMPRODUCT(IF('Consolidado Costos'!$K$6:$K$158=$BF111,('Consolidado Costos'!AK$6:AK$158*'Consolidado Costos'!$F$6:$F$158),0))</f>
        <v>0</v>
      </c>
      <c r="BQ111" s="318" cm="1">
        <f t="array" ref="BQ111">+SUMPRODUCT(IF('Consolidado Costos'!$K$6:$K$158=$BF111,('Consolidado Costos'!AL$6:AL$158*'Consolidado Costos'!$F$6:$F$158),0))</f>
        <v>0</v>
      </c>
      <c r="BR111" s="318" cm="1">
        <f t="array" ref="BR111">+SUMPRODUCT(IF('Consolidado Costos'!$K$6:$K$158=$BF111,('Consolidado Costos'!AM$6:AM$158*'Consolidado Costos'!$F$6:$F$158),0))</f>
        <v>0</v>
      </c>
      <c r="BS111" s="318" cm="1">
        <f t="array" ref="BS111">+SUMPRODUCT(IF('Consolidado Costos'!$K$6:$K$158=$BF111,('Consolidado Costos'!AN$6:AN$158*'Consolidado Costos'!$F$6:$F$158),0))</f>
        <v>0</v>
      </c>
      <c r="BT111" s="318" cm="1">
        <f t="array" ref="BT111">+SUMPRODUCT(IF('Consolidado Costos'!$K$6:$K$158=$BF111,('Consolidado Costos'!AO$6:AO$158*'Consolidado Costos'!$F$6:$F$158),0))</f>
        <v>0</v>
      </c>
      <c r="BU111" s="318" cm="1">
        <f t="array" ref="BU111">+SUMPRODUCT(IF('Consolidado Costos'!$K$6:$K$158=$BF111,('Consolidado Costos'!AP$6:AP$158*'Consolidado Costos'!$F$6:$F$158),0))</f>
        <v>0</v>
      </c>
      <c r="BW111" s="327"/>
      <c r="BX111" s="330" t="s">
        <v>490</v>
      </c>
      <c r="BY111" s="330" t="s">
        <v>491</v>
      </c>
      <c r="BZ111" s="329"/>
      <c r="CA111" s="354">
        <f t="shared" si="14"/>
        <v>0</v>
      </c>
      <c r="CB111" s="318" cm="1">
        <f t="array" ref="CB111">+SUMPRODUCT(IF('Consolidado Costos'!$K$6:$K$158=$BX111,('Consolidado Costos'!AE$6:AE$158*'Consolidado Costos'!$G$6:$G$158),0))</f>
        <v>0</v>
      </c>
      <c r="CC111" s="318" cm="1">
        <f t="array" ref="CC111">+SUMPRODUCT(IF('Consolidado Costos'!$K$6:$K$158=$BX111,('Consolidado Costos'!AF$6:AF$158*'Consolidado Costos'!$G$6:$G$158),0))</f>
        <v>0</v>
      </c>
      <c r="CD111" s="318" cm="1">
        <f t="array" ref="CD111">+SUMPRODUCT(IF('Consolidado Costos'!$K$6:$K$158=$BX111,('Consolidado Costos'!AG$6:AG$158*'Consolidado Costos'!$G$6:$G$158),0))</f>
        <v>0</v>
      </c>
      <c r="CE111" s="318" cm="1">
        <f t="array" ref="CE111">+SUMPRODUCT(IF('Consolidado Costos'!$K$6:$K$158=$BX111,('Consolidado Costos'!AH$6:AH$158*'Consolidado Costos'!$G$6:$G$158),0))</f>
        <v>0</v>
      </c>
      <c r="CF111" s="318" cm="1">
        <f t="array" ref="CF111">+SUMPRODUCT(IF('Consolidado Costos'!$K$6:$K$158=$BX111,('Consolidado Costos'!AI$6:AI$158*'Consolidado Costos'!$G$6:$G$158),0))</f>
        <v>0</v>
      </c>
      <c r="CG111" s="318" cm="1">
        <f t="array" ref="CG111">+SUMPRODUCT(IF('Consolidado Costos'!$K$6:$K$158=$BX111,('Consolidado Costos'!AJ$6:AJ$158*'Consolidado Costos'!$G$6:$G$158),0))</f>
        <v>0</v>
      </c>
      <c r="CH111" s="318" cm="1">
        <f t="array" ref="CH111">+SUMPRODUCT(IF('Consolidado Costos'!$K$6:$K$158=$BX111,('Consolidado Costos'!AK$6:AK$158*'Consolidado Costos'!$G$6:$G$158),0))</f>
        <v>0</v>
      </c>
      <c r="CI111" s="318" cm="1">
        <f t="array" ref="CI111">+SUMPRODUCT(IF('Consolidado Costos'!$K$6:$K$158=$BX111,('Consolidado Costos'!AL$6:AL$158*'Consolidado Costos'!$G$6:$G$158),0))</f>
        <v>0</v>
      </c>
      <c r="CJ111" s="318" cm="1">
        <f t="array" ref="CJ111">+SUMPRODUCT(IF('Consolidado Costos'!$K$6:$K$158=$BX111,('Consolidado Costos'!AM$6:AM$158*'Consolidado Costos'!$G$6:$G$158),0))</f>
        <v>0</v>
      </c>
      <c r="CK111" s="318" cm="1">
        <f t="array" ref="CK111">+SUMPRODUCT(IF('Consolidado Costos'!$K$6:$K$158=$BX111,('Consolidado Costos'!AN$6:AN$158*'Consolidado Costos'!$G$6:$G$158),0))</f>
        <v>0</v>
      </c>
      <c r="CL111" s="318" cm="1">
        <f t="array" ref="CL111">+SUMPRODUCT(IF('Consolidado Costos'!$K$6:$K$158=$BX111,('Consolidado Costos'!AO$6:AO$158*'Consolidado Costos'!$G$6:$G$158),0))</f>
        <v>0</v>
      </c>
      <c r="CM111" s="318" cm="1">
        <f t="array" ref="CM111">+SUMPRODUCT(IF('Consolidado Costos'!$K$6:$K$158=$BX111,('Consolidado Costos'!AP$6:AP$158*'Consolidado Costos'!$G$6:$G$158),0))</f>
        <v>0</v>
      </c>
      <c r="CN111" s="357">
        <f t="shared" si="10"/>
        <v>1</v>
      </c>
    </row>
    <row r="112" spans="2:93" s="310" customFormat="1" outlineLevel="1">
      <c r="B112" s="327"/>
      <c r="C112" s="328" t="s">
        <v>313</v>
      </c>
      <c r="D112" s="328" t="s">
        <v>314</v>
      </c>
      <c r="E112" s="329"/>
      <c r="F112" s="318">
        <f>+SUMIF('Consolidado Costos'!$K$6:$K$158,$C112,'Consolidado Costos'!$AD$6:$AD$158)</f>
        <v>9744.4307692307666</v>
      </c>
      <c r="G112" s="318">
        <f>+SUMIF('Consolidado Costos'!$K$6:$K$158,$C112,'Consolidado Costos'!AE$6:AE$158)</f>
        <v>452.99209401709379</v>
      </c>
      <c r="H112" s="318">
        <f>+SUMIF('Consolidado Costos'!$K$6:$K$158,$C112,'Consolidado Costos'!AF$6:AF$158)</f>
        <v>452.99209401709379</v>
      </c>
      <c r="I112" s="318">
        <f>+SUMIF('Consolidado Costos'!$K$6:$K$158,$C112,'Consolidado Costos'!AG$6:AG$158)</f>
        <v>452.99209401709379</v>
      </c>
      <c r="J112" s="318">
        <f>+SUMIF('Consolidado Costos'!$K$6:$K$158,$C112,'Consolidado Costos'!AH$6:AH$158)</f>
        <v>521.90235042735026</v>
      </c>
      <c r="K112" s="318">
        <f>+SUMIF('Consolidado Costos'!$K$6:$K$158,$C112,'Consolidado Costos'!AI$6:AI$158)</f>
        <v>521.90235042735026</v>
      </c>
      <c r="L112" s="318">
        <f>+SUMIF('Consolidado Costos'!$K$6:$K$158,$C112,'Consolidado Costos'!AJ$6:AJ$158)</f>
        <v>521.90235042735026</v>
      </c>
      <c r="M112" s="318">
        <f>+SUMIF('Consolidado Costos'!$K$6:$K$158,$C112,'Consolidado Costos'!AK$6:AK$158)</f>
        <v>521.90235042735026</v>
      </c>
      <c r="N112" s="318">
        <f>+SUMIF('Consolidado Costos'!$K$6:$K$158,$C112,'Consolidado Costos'!AL$6:AL$158)</f>
        <v>521.90235042735026</v>
      </c>
      <c r="O112" s="318">
        <f>+SUMIF('Consolidado Costos'!$K$6:$K$158,$C112,'Consolidado Costos'!AM$6:AM$158)</f>
        <v>521.90235042735026</v>
      </c>
      <c r="P112" s="318">
        <f>+SUMIF('Consolidado Costos'!$K$6:$K$158,$C112,'Consolidado Costos'!AN$6:AN$158)</f>
        <v>521.90235042735026</v>
      </c>
      <c r="Q112" s="318">
        <f>+SUMIF('Consolidado Costos'!$K$6:$K$158,$C112,'Consolidado Costos'!AO$6:AO$158)</f>
        <v>521.90235042735026</v>
      </c>
      <c r="R112" s="318">
        <f>+SUMIF('Consolidado Costos'!$K$6:$K$158,$C112,'Consolidado Costos'!AP$6:AP$158)</f>
        <v>4210.235683760684</v>
      </c>
      <c r="S112" s="357">
        <f t="shared" si="5"/>
        <v>1</v>
      </c>
      <c r="U112" s="327"/>
      <c r="V112" s="328" t="s">
        <v>313</v>
      </c>
      <c r="W112" s="328" t="s">
        <v>314</v>
      </c>
      <c r="X112" s="329"/>
      <c r="Y112" s="354">
        <f t="shared" si="11"/>
        <v>9149.7788461538439</v>
      </c>
      <c r="Z112" s="318" cm="1">
        <f t="array" ref="Z112">+SUMPRODUCT(IF('Consolidado Costos'!$K$6:$K$158=$V112,('Consolidado Costos'!AE$6:AE$158*'Consolidado Costos'!$D$6:$D$158),0))</f>
        <v>440.32110042735025</v>
      </c>
      <c r="AA112" s="318" cm="1">
        <f t="array" ref="AA112">+SUMPRODUCT(IF('Consolidado Costos'!$K$6:$K$158=$V112,('Consolidado Costos'!AF$6:AF$158*'Consolidado Costos'!$D$6:$D$158),0))</f>
        <v>440.32110042735025</v>
      </c>
      <c r="AB112" s="318" cm="1">
        <f t="array" ref="AB112">+SUMPRODUCT(IF('Consolidado Costos'!$K$6:$K$158=$V112,('Consolidado Costos'!AG$6:AG$158*'Consolidado Costos'!$D$6:$D$158),0))</f>
        <v>440.32110042735025</v>
      </c>
      <c r="AC112" s="318" cm="1">
        <f t="array" ref="AC112">+SUMPRODUCT(IF('Consolidado Costos'!$K$6:$K$158=$V112,('Consolidado Costos'!AH$6:AH$158*'Consolidado Costos'!$D$6:$D$158),0))</f>
        <v>509.23135683760665</v>
      </c>
      <c r="AD112" s="318" cm="1">
        <f t="array" ref="AD112">+SUMPRODUCT(IF('Consolidado Costos'!$K$6:$K$158=$V112,('Consolidado Costos'!AI$6:AI$158*'Consolidado Costos'!$D$6:$D$158),0))</f>
        <v>509.23135683760665</v>
      </c>
      <c r="AE112" s="318" cm="1">
        <f t="array" ref="AE112">+SUMPRODUCT(IF('Consolidado Costos'!$K$6:$K$158=$V112,('Consolidado Costos'!AJ$6:AJ$158*'Consolidado Costos'!$D$6:$D$158),0))</f>
        <v>509.23135683760665</v>
      </c>
      <c r="AF112" s="318" cm="1">
        <f t="array" ref="AF112">+SUMPRODUCT(IF('Consolidado Costos'!$K$6:$K$158=$V112,('Consolidado Costos'!AK$6:AK$158*'Consolidado Costos'!$D$6:$D$158),0))</f>
        <v>509.23135683760665</v>
      </c>
      <c r="AG112" s="318" cm="1">
        <f t="array" ref="AG112">+SUMPRODUCT(IF('Consolidado Costos'!$K$6:$K$158=$V112,('Consolidado Costos'!AL$6:AL$158*'Consolidado Costos'!$D$6:$D$158),0))</f>
        <v>509.23135683760665</v>
      </c>
      <c r="AH112" s="318" cm="1">
        <f t="array" ref="AH112">+SUMPRODUCT(IF('Consolidado Costos'!$K$6:$K$158=$V112,('Consolidado Costos'!AM$6:AM$158*'Consolidado Costos'!$D$6:$D$158),0))</f>
        <v>509.23135683760665</v>
      </c>
      <c r="AI112" s="318" cm="1">
        <f t="array" ref="AI112">+SUMPRODUCT(IF('Consolidado Costos'!$K$6:$K$158=$V112,('Consolidado Costos'!AN$6:AN$158*'Consolidado Costos'!$D$6:$D$158),0))</f>
        <v>509.23135683760665</v>
      </c>
      <c r="AJ112" s="318" cm="1">
        <f t="array" ref="AJ112">+SUMPRODUCT(IF('Consolidado Costos'!$K$6:$K$158=$V112,('Consolidado Costos'!AO$6:AO$158*'Consolidado Costos'!$D$6:$D$158),0))</f>
        <v>509.23135683760665</v>
      </c>
      <c r="AK112" s="318" cm="1">
        <f t="array" ref="AK112">+SUMPRODUCT(IF('Consolidado Costos'!$K$6:$K$158=$V112,('Consolidado Costos'!AP$6:AP$158*'Consolidado Costos'!$D$6:$D$158),0))</f>
        <v>3754.9646901709407</v>
      </c>
      <c r="AL112"/>
      <c r="AM112" s="327"/>
      <c r="AN112" s="328" t="s">
        <v>313</v>
      </c>
      <c r="AO112" s="328" t="s">
        <v>314</v>
      </c>
      <c r="AP112" s="329"/>
      <c r="AQ112" s="354">
        <f t="shared" si="12"/>
        <v>520.88525641025626</v>
      </c>
      <c r="AR112" s="318" cm="1">
        <f t="array" ref="AR112">+SUMPRODUCT(IF('Consolidado Costos'!$K$6:$K$158=$AN112,('Consolidado Costos'!AE$6:AE$158*'Consolidado Costos'!$E$6:$E$158),0))</f>
        <v>12.670993589743571</v>
      </c>
      <c r="AS112" s="318" cm="1">
        <f t="array" ref="AS112">+SUMPRODUCT(IF('Consolidado Costos'!$K$6:$K$158=$AN112,('Consolidado Costos'!AF$6:AF$158*'Consolidado Costos'!$E$6:$E$158),0))</f>
        <v>12.670993589743571</v>
      </c>
      <c r="AT112" s="318" cm="1">
        <f t="array" ref="AT112">+SUMPRODUCT(IF('Consolidado Costos'!$K$6:$K$158=$AN112,('Consolidado Costos'!AG$6:AG$158*'Consolidado Costos'!$E$6:$E$158),0))</f>
        <v>12.670993589743571</v>
      </c>
      <c r="AU112" s="318" cm="1">
        <f t="array" ref="AU112">+SUMPRODUCT(IF('Consolidado Costos'!$K$6:$K$158=$AN112,('Consolidado Costos'!AH$6:AH$158*'Consolidado Costos'!$E$6:$E$158),0))</f>
        <v>12.670993589743571</v>
      </c>
      <c r="AV112" s="318" cm="1">
        <f t="array" ref="AV112">+SUMPRODUCT(IF('Consolidado Costos'!$K$6:$K$158=$AN112,('Consolidado Costos'!AI$6:AI$158*'Consolidado Costos'!$E$6:$E$158),0))</f>
        <v>12.670993589743571</v>
      </c>
      <c r="AW112" s="318" cm="1">
        <f t="array" ref="AW112">+SUMPRODUCT(IF('Consolidado Costos'!$K$6:$K$158=$AN112,('Consolidado Costos'!AJ$6:AJ$158*'Consolidado Costos'!$E$6:$E$158),0))</f>
        <v>12.670993589743571</v>
      </c>
      <c r="AX112" s="318" cm="1">
        <f t="array" ref="AX112">+SUMPRODUCT(IF('Consolidado Costos'!$K$6:$K$158=$AN112,('Consolidado Costos'!AK$6:AK$158*'Consolidado Costos'!$E$6:$E$158),0))</f>
        <v>12.670993589743571</v>
      </c>
      <c r="AY112" s="318" cm="1">
        <f t="array" ref="AY112">+SUMPRODUCT(IF('Consolidado Costos'!$K$6:$K$158=$AN112,('Consolidado Costos'!AL$6:AL$158*'Consolidado Costos'!$E$6:$E$158),0))</f>
        <v>12.670993589743571</v>
      </c>
      <c r="AZ112" s="318" cm="1">
        <f t="array" ref="AZ112">+SUMPRODUCT(IF('Consolidado Costos'!$K$6:$K$158=$AN112,('Consolidado Costos'!AM$6:AM$158*'Consolidado Costos'!$E$6:$E$158),0))</f>
        <v>12.670993589743571</v>
      </c>
      <c r="BA112" s="318" cm="1">
        <f t="array" ref="BA112">+SUMPRODUCT(IF('Consolidado Costos'!$K$6:$K$158=$AN112,('Consolidado Costos'!AN$6:AN$158*'Consolidado Costos'!$E$6:$E$158),0))</f>
        <v>12.670993589743571</v>
      </c>
      <c r="BB112" s="318" cm="1">
        <f t="array" ref="BB112">+SUMPRODUCT(IF('Consolidado Costos'!$K$6:$K$158=$AN112,('Consolidado Costos'!AO$6:AO$158*'Consolidado Costos'!$E$6:$E$158),0))</f>
        <v>12.670993589743571</v>
      </c>
      <c r="BC112" s="318" cm="1">
        <f t="array" ref="BC112">+SUMPRODUCT(IF('Consolidado Costos'!$K$6:$K$158=$AN112,('Consolidado Costos'!AP$6:AP$158*'Consolidado Costos'!$E$6:$E$158),0))</f>
        <v>381.50432692307692</v>
      </c>
      <c r="BE112" s="327"/>
      <c r="BF112" s="328" t="s">
        <v>313</v>
      </c>
      <c r="BG112" s="328" t="s">
        <v>314</v>
      </c>
      <c r="BH112" s="329"/>
      <c r="BI112" s="354">
        <f t="shared" si="13"/>
        <v>73.766666666666666</v>
      </c>
      <c r="BJ112" s="318" cm="1">
        <f t="array" ref="BJ112">+SUMPRODUCT(IF('Consolidado Costos'!$K$6:$K$158=$BF112,('Consolidado Costos'!AE$6:AE$158*'Consolidado Costos'!$F$6:$F$158),0))</f>
        <v>0</v>
      </c>
      <c r="BK112" s="318" cm="1">
        <f t="array" ref="BK112">+SUMPRODUCT(IF('Consolidado Costos'!$K$6:$K$158=$BF112,('Consolidado Costos'!AF$6:AF$158*'Consolidado Costos'!$F$6:$F$158),0))</f>
        <v>0</v>
      </c>
      <c r="BL112" s="318" cm="1">
        <f t="array" ref="BL112">+SUMPRODUCT(IF('Consolidado Costos'!$K$6:$K$158=$BF112,('Consolidado Costos'!AG$6:AG$158*'Consolidado Costos'!$F$6:$F$158),0))</f>
        <v>0</v>
      </c>
      <c r="BM112" s="318" cm="1">
        <f t="array" ref="BM112">+SUMPRODUCT(IF('Consolidado Costos'!$K$6:$K$158=$BF112,('Consolidado Costos'!AH$6:AH$158*'Consolidado Costos'!$F$6:$F$158),0))</f>
        <v>0</v>
      </c>
      <c r="BN112" s="318" cm="1">
        <f t="array" ref="BN112">+SUMPRODUCT(IF('Consolidado Costos'!$K$6:$K$158=$BF112,('Consolidado Costos'!AI$6:AI$158*'Consolidado Costos'!$F$6:$F$158),0))</f>
        <v>0</v>
      </c>
      <c r="BO112" s="318" cm="1">
        <f t="array" ref="BO112">+SUMPRODUCT(IF('Consolidado Costos'!$K$6:$K$158=$BF112,('Consolidado Costos'!AJ$6:AJ$158*'Consolidado Costos'!$F$6:$F$158),0))</f>
        <v>0</v>
      </c>
      <c r="BP112" s="318" cm="1">
        <f t="array" ref="BP112">+SUMPRODUCT(IF('Consolidado Costos'!$K$6:$K$158=$BF112,('Consolidado Costos'!AK$6:AK$158*'Consolidado Costos'!$F$6:$F$158),0))</f>
        <v>0</v>
      </c>
      <c r="BQ112" s="318" cm="1">
        <f t="array" ref="BQ112">+SUMPRODUCT(IF('Consolidado Costos'!$K$6:$K$158=$BF112,('Consolidado Costos'!AL$6:AL$158*'Consolidado Costos'!$F$6:$F$158),0))</f>
        <v>0</v>
      </c>
      <c r="BR112" s="318" cm="1">
        <f t="array" ref="BR112">+SUMPRODUCT(IF('Consolidado Costos'!$K$6:$K$158=$BF112,('Consolidado Costos'!AM$6:AM$158*'Consolidado Costos'!$F$6:$F$158),0))</f>
        <v>0</v>
      </c>
      <c r="BS112" s="318" cm="1">
        <f t="array" ref="BS112">+SUMPRODUCT(IF('Consolidado Costos'!$K$6:$K$158=$BF112,('Consolidado Costos'!AN$6:AN$158*'Consolidado Costos'!$F$6:$F$158),0))</f>
        <v>0</v>
      </c>
      <c r="BT112" s="318" cm="1">
        <f t="array" ref="BT112">+SUMPRODUCT(IF('Consolidado Costos'!$K$6:$K$158=$BF112,('Consolidado Costos'!AO$6:AO$158*'Consolidado Costos'!$F$6:$F$158),0))</f>
        <v>0</v>
      </c>
      <c r="BU112" s="318" cm="1">
        <f t="array" ref="BU112">+SUMPRODUCT(IF('Consolidado Costos'!$K$6:$K$158=$BF112,('Consolidado Costos'!AP$6:AP$158*'Consolidado Costos'!$F$6:$F$158),0))</f>
        <v>73.766666666666666</v>
      </c>
      <c r="BW112" s="327"/>
      <c r="BX112" s="328" t="s">
        <v>313</v>
      </c>
      <c r="BY112" s="328" t="s">
        <v>314</v>
      </c>
      <c r="BZ112" s="329"/>
      <c r="CA112" s="354">
        <f t="shared" si="14"/>
        <v>0</v>
      </c>
      <c r="CB112" s="318" cm="1">
        <f t="array" ref="CB112">+SUMPRODUCT(IF('Consolidado Costos'!$K$6:$K$158=$BX112,('Consolidado Costos'!AE$6:AE$158*'Consolidado Costos'!$G$6:$G$158),0))</f>
        <v>0</v>
      </c>
      <c r="CC112" s="318" cm="1">
        <f t="array" ref="CC112">+SUMPRODUCT(IF('Consolidado Costos'!$K$6:$K$158=$BX112,('Consolidado Costos'!AF$6:AF$158*'Consolidado Costos'!$G$6:$G$158),0))</f>
        <v>0</v>
      </c>
      <c r="CD112" s="318" cm="1">
        <f t="array" ref="CD112">+SUMPRODUCT(IF('Consolidado Costos'!$K$6:$K$158=$BX112,('Consolidado Costos'!AG$6:AG$158*'Consolidado Costos'!$G$6:$G$158),0))</f>
        <v>0</v>
      </c>
      <c r="CE112" s="318" cm="1">
        <f t="array" ref="CE112">+SUMPRODUCT(IF('Consolidado Costos'!$K$6:$K$158=$BX112,('Consolidado Costos'!AH$6:AH$158*'Consolidado Costos'!$G$6:$G$158),0))</f>
        <v>0</v>
      </c>
      <c r="CF112" s="318" cm="1">
        <f t="array" ref="CF112">+SUMPRODUCT(IF('Consolidado Costos'!$K$6:$K$158=$BX112,('Consolidado Costos'!AI$6:AI$158*'Consolidado Costos'!$G$6:$G$158),0))</f>
        <v>0</v>
      </c>
      <c r="CG112" s="318" cm="1">
        <f t="array" ref="CG112">+SUMPRODUCT(IF('Consolidado Costos'!$K$6:$K$158=$BX112,('Consolidado Costos'!AJ$6:AJ$158*'Consolidado Costos'!$G$6:$G$158),0))</f>
        <v>0</v>
      </c>
      <c r="CH112" s="318" cm="1">
        <f t="array" ref="CH112">+SUMPRODUCT(IF('Consolidado Costos'!$K$6:$K$158=$BX112,('Consolidado Costos'!AK$6:AK$158*'Consolidado Costos'!$G$6:$G$158),0))</f>
        <v>0</v>
      </c>
      <c r="CI112" s="318" cm="1">
        <f t="array" ref="CI112">+SUMPRODUCT(IF('Consolidado Costos'!$K$6:$K$158=$BX112,('Consolidado Costos'!AL$6:AL$158*'Consolidado Costos'!$G$6:$G$158),0))</f>
        <v>0</v>
      </c>
      <c r="CJ112" s="318" cm="1">
        <f t="array" ref="CJ112">+SUMPRODUCT(IF('Consolidado Costos'!$K$6:$K$158=$BX112,('Consolidado Costos'!AM$6:AM$158*'Consolidado Costos'!$G$6:$G$158),0))</f>
        <v>0</v>
      </c>
      <c r="CK112" s="318" cm="1">
        <f t="array" ref="CK112">+SUMPRODUCT(IF('Consolidado Costos'!$K$6:$K$158=$BX112,('Consolidado Costos'!AN$6:AN$158*'Consolidado Costos'!$G$6:$G$158),0))</f>
        <v>0</v>
      </c>
      <c r="CL112" s="318" cm="1">
        <f t="array" ref="CL112">+SUMPRODUCT(IF('Consolidado Costos'!$K$6:$K$158=$BX112,('Consolidado Costos'!AO$6:AO$158*'Consolidado Costos'!$G$6:$G$158),0))</f>
        <v>0</v>
      </c>
      <c r="CM112" s="318" cm="1">
        <f t="array" ref="CM112">+SUMPRODUCT(IF('Consolidado Costos'!$K$6:$K$158=$BX112,('Consolidado Costos'!AP$6:AP$158*'Consolidado Costos'!$G$6:$G$158),0))</f>
        <v>0</v>
      </c>
      <c r="CN112" s="357">
        <f t="shared" si="10"/>
        <v>1</v>
      </c>
    </row>
    <row r="113" spans="2:92" s="310" customFormat="1" outlineLevel="1">
      <c r="B113" s="327"/>
      <c r="C113" s="328" t="s">
        <v>492</v>
      </c>
      <c r="D113" s="328" t="s">
        <v>493</v>
      </c>
      <c r="E113" s="329"/>
      <c r="F113" s="318">
        <f>+SUMIF('Consolidado Costos'!$K$6:$K$158,$C113,'Consolidado Costos'!$AD$6:$AD$158)</f>
        <v>0</v>
      </c>
      <c r="G113" s="318">
        <f>+SUMIF('Consolidado Costos'!$K$6:$K$158,$C113,'Consolidado Costos'!AE$6:AE$158)</f>
        <v>0</v>
      </c>
      <c r="H113" s="318">
        <f>+SUMIF('Consolidado Costos'!$K$6:$K$158,$C113,'Consolidado Costos'!AF$6:AF$158)</f>
        <v>0</v>
      </c>
      <c r="I113" s="318">
        <f>+SUMIF('Consolidado Costos'!$K$6:$K$158,$C113,'Consolidado Costos'!AG$6:AG$158)</f>
        <v>0</v>
      </c>
      <c r="J113" s="318">
        <f>+SUMIF('Consolidado Costos'!$K$6:$K$158,$C113,'Consolidado Costos'!AH$6:AH$158)</f>
        <v>0</v>
      </c>
      <c r="K113" s="318">
        <f>+SUMIF('Consolidado Costos'!$K$6:$K$158,$C113,'Consolidado Costos'!AI$6:AI$158)</f>
        <v>0</v>
      </c>
      <c r="L113" s="318">
        <f>+SUMIF('Consolidado Costos'!$K$6:$K$158,$C113,'Consolidado Costos'!AJ$6:AJ$158)</f>
        <v>0</v>
      </c>
      <c r="M113" s="318">
        <f>+SUMIF('Consolidado Costos'!$K$6:$K$158,$C113,'Consolidado Costos'!AK$6:AK$158)</f>
        <v>0</v>
      </c>
      <c r="N113" s="318">
        <f>+SUMIF('Consolidado Costos'!$K$6:$K$158,$C113,'Consolidado Costos'!AL$6:AL$158)</f>
        <v>0</v>
      </c>
      <c r="O113" s="318">
        <f>+SUMIF('Consolidado Costos'!$K$6:$K$158,$C113,'Consolidado Costos'!AM$6:AM$158)</f>
        <v>0</v>
      </c>
      <c r="P113" s="318">
        <f>+SUMIF('Consolidado Costos'!$K$6:$K$158,$C113,'Consolidado Costos'!AN$6:AN$158)</f>
        <v>0</v>
      </c>
      <c r="Q113" s="318">
        <f>+SUMIF('Consolidado Costos'!$K$6:$K$158,$C113,'Consolidado Costos'!AO$6:AO$158)</f>
        <v>0</v>
      </c>
      <c r="R113" s="318">
        <f>+SUMIF('Consolidado Costos'!$K$6:$K$158,$C113,'Consolidado Costos'!AP$6:AP$158)</f>
        <v>0</v>
      </c>
      <c r="S113" s="357">
        <f t="shared" si="5"/>
        <v>1</v>
      </c>
      <c r="U113" s="327"/>
      <c r="V113" s="328" t="s">
        <v>492</v>
      </c>
      <c r="W113" s="328" t="s">
        <v>493</v>
      </c>
      <c r="X113" s="329"/>
      <c r="Y113" s="354">
        <f t="shared" si="11"/>
        <v>0</v>
      </c>
      <c r="Z113" s="318" cm="1">
        <f t="array" ref="Z113">+SUMPRODUCT(IF('Consolidado Costos'!$K$6:$K$158=$V113,('Consolidado Costos'!AE$6:AE$158*'Consolidado Costos'!$D$6:$D$158),0))</f>
        <v>0</v>
      </c>
      <c r="AA113" s="318" cm="1">
        <f t="array" ref="AA113">+SUMPRODUCT(IF('Consolidado Costos'!$K$6:$K$158=$V113,('Consolidado Costos'!AF$6:AF$158*'Consolidado Costos'!$D$6:$D$158),0))</f>
        <v>0</v>
      </c>
      <c r="AB113" s="318" cm="1">
        <f t="array" ref="AB113">+SUMPRODUCT(IF('Consolidado Costos'!$K$6:$K$158=$V113,('Consolidado Costos'!AG$6:AG$158*'Consolidado Costos'!$D$6:$D$158),0))</f>
        <v>0</v>
      </c>
      <c r="AC113" s="318" cm="1">
        <f t="array" ref="AC113">+SUMPRODUCT(IF('Consolidado Costos'!$K$6:$K$158=$V113,('Consolidado Costos'!AH$6:AH$158*'Consolidado Costos'!$D$6:$D$158),0))</f>
        <v>0</v>
      </c>
      <c r="AD113" s="318" cm="1">
        <f t="array" ref="AD113">+SUMPRODUCT(IF('Consolidado Costos'!$K$6:$K$158=$V113,('Consolidado Costos'!AI$6:AI$158*'Consolidado Costos'!$D$6:$D$158),0))</f>
        <v>0</v>
      </c>
      <c r="AE113" s="318" cm="1">
        <f t="array" ref="AE113">+SUMPRODUCT(IF('Consolidado Costos'!$K$6:$K$158=$V113,('Consolidado Costos'!AJ$6:AJ$158*'Consolidado Costos'!$D$6:$D$158),0))</f>
        <v>0</v>
      </c>
      <c r="AF113" s="318" cm="1">
        <f t="array" ref="AF113">+SUMPRODUCT(IF('Consolidado Costos'!$K$6:$K$158=$V113,('Consolidado Costos'!AK$6:AK$158*'Consolidado Costos'!$D$6:$D$158),0))</f>
        <v>0</v>
      </c>
      <c r="AG113" s="318" cm="1">
        <f t="array" ref="AG113">+SUMPRODUCT(IF('Consolidado Costos'!$K$6:$K$158=$V113,('Consolidado Costos'!AL$6:AL$158*'Consolidado Costos'!$D$6:$D$158),0))</f>
        <v>0</v>
      </c>
      <c r="AH113" s="318" cm="1">
        <f t="array" ref="AH113">+SUMPRODUCT(IF('Consolidado Costos'!$K$6:$K$158=$V113,('Consolidado Costos'!AM$6:AM$158*'Consolidado Costos'!$D$6:$D$158),0))</f>
        <v>0</v>
      </c>
      <c r="AI113" s="318" cm="1">
        <f t="array" ref="AI113">+SUMPRODUCT(IF('Consolidado Costos'!$K$6:$K$158=$V113,('Consolidado Costos'!AN$6:AN$158*'Consolidado Costos'!$D$6:$D$158),0))</f>
        <v>0</v>
      </c>
      <c r="AJ113" s="318" cm="1">
        <f t="array" ref="AJ113">+SUMPRODUCT(IF('Consolidado Costos'!$K$6:$K$158=$V113,('Consolidado Costos'!AO$6:AO$158*'Consolidado Costos'!$D$6:$D$158),0))</f>
        <v>0</v>
      </c>
      <c r="AK113" s="318" cm="1">
        <f t="array" ref="AK113">+SUMPRODUCT(IF('Consolidado Costos'!$K$6:$K$158=$V113,('Consolidado Costos'!AP$6:AP$158*'Consolidado Costos'!$D$6:$D$158),0))</f>
        <v>0</v>
      </c>
      <c r="AM113" s="327"/>
      <c r="AN113" s="328" t="s">
        <v>492</v>
      </c>
      <c r="AO113" s="328" t="s">
        <v>493</v>
      </c>
      <c r="AP113" s="329"/>
      <c r="AQ113" s="354">
        <f t="shared" si="12"/>
        <v>0</v>
      </c>
      <c r="AR113" s="318" cm="1">
        <f t="array" ref="AR113">+SUMPRODUCT(IF('Consolidado Costos'!$K$6:$K$158=$AN113,('Consolidado Costos'!AE$6:AE$158*'Consolidado Costos'!$E$6:$E$158),0))</f>
        <v>0</v>
      </c>
      <c r="AS113" s="318" cm="1">
        <f t="array" ref="AS113">+SUMPRODUCT(IF('Consolidado Costos'!$K$6:$K$158=$AN113,('Consolidado Costos'!AF$6:AF$158*'Consolidado Costos'!$E$6:$E$158),0))</f>
        <v>0</v>
      </c>
      <c r="AT113" s="318" cm="1">
        <f t="array" ref="AT113">+SUMPRODUCT(IF('Consolidado Costos'!$K$6:$K$158=$AN113,('Consolidado Costos'!AG$6:AG$158*'Consolidado Costos'!$E$6:$E$158),0))</f>
        <v>0</v>
      </c>
      <c r="AU113" s="318" cm="1">
        <f t="array" ref="AU113">+SUMPRODUCT(IF('Consolidado Costos'!$K$6:$K$158=$AN113,('Consolidado Costos'!AH$6:AH$158*'Consolidado Costos'!$E$6:$E$158),0))</f>
        <v>0</v>
      </c>
      <c r="AV113" s="318" cm="1">
        <f t="array" ref="AV113">+SUMPRODUCT(IF('Consolidado Costos'!$K$6:$K$158=$AN113,('Consolidado Costos'!AI$6:AI$158*'Consolidado Costos'!$E$6:$E$158),0))</f>
        <v>0</v>
      </c>
      <c r="AW113" s="318" cm="1">
        <f t="array" ref="AW113">+SUMPRODUCT(IF('Consolidado Costos'!$K$6:$K$158=$AN113,('Consolidado Costos'!AJ$6:AJ$158*'Consolidado Costos'!$E$6:$E$158),0))</f>
        <v>0</v>
      </c>
      <c r="AX113" s="318" cm="1">
        <f t="array" ref="AX113">+SUMPRODUCT(IF('Consolidado Costos'!$K$6:$K$158=$AN113,('Consolidado Costos'!AK$6:AK$158*'Consolidado Costos'!$E$6:$E$158),0))</f>
        <v>0</v>
      </c>
      <c r="AY113" s="318" cm="1">
        <f t="array" ref="AY113">+SUMPRODUCT(IF('Consolidado Costos'!$K$6:$K$158=$AN113,('Consolidado Costos'!AL$6:AL$158*'Consolidado Costos'!$E$6:$E$158),0))</f>
        <v>0</v>
      </c>
      <c r="AZ113" s="318" cm="1">
        <f t="array" ref="AZ113">+SUMPRODUCT(IF('Consolidado Costos'!$K$6:$K$158=$AN113,('Consolidado Costos'!AM$6:AM$158*'Consolidado Costos'!$E$6:$E$158),0))</f>
        <v>0</v>
      </c>
      <c r="BA113" s="318" cm="1">
        <f t="array" ref="BA113">+SUMPRODUCT(IF('Consolidado Costos'!$K$6:$K$158=$AN113,('Consolidado Costos'!AN$6:AN$158*'Consolidado Costos'!$E$6:$E$158),0))</f>
        <v>0</v>
      </c>
      <c r="BB113" s="318" cm="1">
        <f t="array" ref="BB113">+SUMPRODUCT(IF('Consolidado Costos'!$K$6:$K$158=$AN113,('Consolidado Costos'!AO$6:AO$158*'Consolidado Costos'!$E$6:$E$158),0))</f>
        <v>0</v>
      </c>
      <c r="BC113" s="318" cm="1">
        <f t="array" ref="BC113">+SUMPRODUCT(IF('Consolidado Costos'!$K$6:$K$158=$AN113,('Consolidado Costos'!AP$6:AP$158*'Consolidado Costos'!$E$6:$E$158),0))</f>
        <v>0</v>
      </c>
      <c r="BE113" s="327"/>
      <c r="BF113" s="328" t="s">
        <v>492</v>
      </c>
      <c r="BG113" s="328" t="s">
        <v>493</v>
      </c>
      <c r="BH113" s="329"/>
      <c r="BI113" s="354">
        <f t="shared" si="13"/>
        <v>0</v>
      </c>
      <c r="BJ113" s="318" cm="1">
        <f t="array" ref="BJ113">+SUMPRODUCT(IF('Consolidado Costos'!$K$6:$K$158=$BF113,('Consolidado Costos'!AE$6:AE$158*'Consolidado Costos'!$F$6:$F$158),0))</f>
        <v>0</v>
      </c>
      <c r="BK113" s="318" cm="1">
        <f t="array" ref="BK113">+SUMPRODUCT(IF('Consolidado Costos'!$K$6:$K$158=$BF113,('Consolidado Costos'!AF$6:AF$158*'Consolidado Costos'!$F$6:$F$158),0))</f>
        <v>0</v>
      </c>
      <c r="BL113" s="318" cm="1">
        <f t="array" ref="BL113">+SUMPRODUCT(IF('Consolidado Costos'!$K$6:$K$158=$BF113,('Consolidado Costos'!AG$6:AG$158*'Consolidado Costos'!$F$6:$F$158),0))</f>
        <v>0</v>
      </c>
      <c r="BM113" s="318" cm="1">
        <f t="array" ref="BM113">+SUMPRODUCT(IF('Consolidado Costos'!$K$6:$K$158=$BF113,('Consolidado Costos'!AH$6:AH$158*'Consolidado Costos'!$F$6:$F$158),0))</f>
        <v>0</v>
      </c>
      <c r="BN113" s="318" cm="1">
        <f t="array" ref="BN113">+SUMPRODUCT(IF('Consolidado Costos'!$K$6:$K$158=$BF113,('Consolidado Costos'!AI$6:AI$158*'Consolidado Costos'!$F$6:$F$158),0))</f>
        <v>0</v>
      </c>
      <c r="BO113" s="318" cm="1">
        <f t="array" ref="BO113">+SUMPRODUCT(IF('Consolidado Costos'!$K$6:$K$158=$BF113,('Consolidado Costos'!AJ$6:AJ$158*'Consolidado Costos'!$F$6:$F$158),0))</f>
        <v>0</v>
      </c>
      <c r="BP113" s="318" cm="1">
        <f t="array" ref="BP113">+SUMPRODUCT(IF('Consolidado Costos'!$K$6:$K$158=$BF113,('Consolidado Costos'!AK$6:AK$158*'Consolidado Costos'!$F$6:$F$158),0))</f>
        <v>0</v>
      </c>
      <c r="BQ113" s="318" cm="1">
        <f t="array" ref="BQ113">+SUMPRODUCT(IF('Consolidado Costos'!$K$6:$K$158=$BF113,('Consolidado Costos'!AL$6:AL$158*'Consolidado Costos'!$F$6:$F$158),0))</f>
        <v>0</v>
      </c>
      <c r="BR113" s="318" cm="1">
        <f t="array" ref="BR113">+SUMPRODUCT(IF('Consolidado Costos'!$K$6:$K$158=$BF113,('Consolidado Costos'!AM$6:AM$158*'Consolidado Costos'!$F$6:$F$158),0))</f>
        <v>0</v>
      </c>
      <c r="BS113" s="318" cm="1">
        <f t="array" ref="BS113">+SUMPRODUCT(IF('Consolidado Costos'!$K$6:$K$158=$BF113,('Consolidado Costos'!AN$6:AN$158*'Consolidado Costos'!$F$6:$F$158),0))</f>
        <v>0</v>
      </c>
      <c r="BT113" s="318" cm="1">
        <f t="array" ref="BT113">+SUMPRODUCT(IF('Consolidado Costos'!$K$6:$K$158=$BF113,('Consolidado Costos'!AO$6:AO$158*'Consolidado Costos'!$F$6:$F$158),0))</f>
        <v>0</v>
      </c>
      <c r="BU113" s="318" cm="1">
        <f t="array" ref="BU113">+SUMPRODUCT(IF('Consolidado Costos'!$K$6:$K$158=$BF113,('Consolidado Costos'!AP$6:AP$158*'Consolidado Costos'!$F$6:$F$158),0))</f>
        <v>0</v>
      </c>
      <c r="BW113" s="327"/>
      <c r="BX113" s="328" t="s">
        <v>492</v>
      </c>
      <c r="BY113" s="328" t="s">
        <v>493</v>
      </c>
      <c r="BZ113" s="329"/>
      <c r="CA113" s="354">
        <f t="shared" si="14"/>
        <v>0</v>
      </c>
      <c r="CB113" s="318" cm="1">
        <f t="array" ref="CB113">+SUMPRODUCT(IF('Consolidado Costos'!$K$6:$K$158=$BX113,('Consolidado Costos'!AE$6:AE$158*'Consolidado Costos'!$G$6:$G$158),0))</f>
        <v>0</v>
      </c>
      <c r="CC113" s="318" cm="1">
        <f t="array" ref="CC113">+SUMPRODUCT(IF('Consolidado Costos'!$K$6:$K$158=$BX113,('Consolidado Costos'!AF$6:AF$158*'Consolidado Costos'!$G$6:$G$158),0))</f>
        <v>0</v>
      </c>
      <c r="CD113" s="318" cm="1">
        <f t="array" ref="CD113">+SUMPRODUCT(IF('Consolidado Costos'!$K$6:$K$158=$BX113,('Consolidado Costos'!AG$6:AG$158*'Consolidado Costos'!$G$6:$G$158),0))</f>
        <v>0</v>
      </c>
      <c r="CE113" s="318" cm="1">
        <f t="array" ref="CE113">+SUMPRODUCT(IF('Consolidado Costos'!$K$6:$K$158=$BX113,('Consolidado Costos'!AH$6:AH$158*'Consolidado Costos'!$G$6:$G$158),0))</f>
        <v>0</v>
      </c>
      <c r="CF113" s="318" cm="1">
        <f t="array" ref="CF113">+SUMPRODUCT(IF('Consolidado Costos'!$K$6:$K$158=$BX113,('Consolidado Costos'!AI$6:AI$158*'Consolidado Costos'!$G$6:$G$158),0))</f>
        <v>0</v>
      </c>
      <c r="CG113" s="318" cm="1">
        <f t="array" ref="CG113">+SUMPRODUCT(IF('Consolidado Costos'!$K$6:$K$158=$BX113,('Consolidado Costos'!AJ$6:AJ$158*'Consolidado Costos'!$G$6:$G$158),0))</f>
        <v>0</v>
      </c>
      <c r="CH113" s="318" cm="1">
        <f t="array" ref="CH113">+SUMPRODUCT(IF('Consolidado Costos'!$K$6:$K$158=$BX113,('Consolidado Costos'!AK$6:AK$158*'Consolidado Costos'!$G$6:$G$158),0))</f>
        <v>0</v>
      </c>
      <c r="CI113" s="318" cm="1">
        <f t="array" ref="CI113">+SUMPRODUCT(IF('Consolidado Costos'!$K$6:$K$158=$BX113,('Consolidado Costos'!AL$6:AL$158*'Consolidado Costos'!$G$6:$G$158),0))</f>
        <v>0</v>
      </c>
      <c r="CJ113" s="318" cm="1">
        <f t="array" ref="CJ113">+SUMPRODUCT(IF('Consolidado Costos'!$K$6:$K$158=$BX113,('Consolidado Costos'!AM$6:AM$158*'Consolidado Costos'!$G$6:$G$158),0))</f>
        <v>0</v>
      </c>
      <c r="CK113" s="318" cm="1">
        <f t="array" ref="CK113">+SUMPRODUCT(IF('Consolidado Costos'!$K$6:$K$158=$BX113,('Consolidado Costos'!AN$6:AN$158*'Consolidado Costos'!$G$6:$G$158),0))</f>
        <v>0</v>
      </c>
      <c r="CL113" s="318" cm="1">
        <f t="array" ref="CL113">+SUMPRODUCT(IF('Consolidado Costos'!$K$6:$K$158=$BX113,('Consolidado Costos'!AO$6:AO$158*'Consolidado Costos'!$G$6:$G$158),0))</f>
        <v>0</v>
      </c>
      <c r="CM113" s="318" cm="1">
        <f t="array" ref="CM113">+SUMPRODUCT(IF('Consolidado Costos'!$K$6:$K$158=$BX113,('Consolidado Costos'!AP$6:AP$158*'Consolidado Costos'!$G$6:$G$158),0))</f>
        <v>0</v>
      </c>
      <c r="CN113" s="357">
        <f t="shared" si="10"/>
        <v>1</v>
      </c>
    </row>
    <row r="114" spans="2:92" s="310" customFormat="1" outlineLevel="1">
      <c r="B114" s="331"/>
      <c r="C114" s="330" t="s">
        <v>494</v>
      </c>
      <c r="D114" s="330" t="s">
        <v>495</v>
      </c>
      <c r="E114" s="329"/>
      <c r="F114" s="318">
        <f>+SUMIF('Consolidado Costos'!$K$6:$K$158,$C114,'Consolidado Costos'!$AD$6:$AD$158)</f>
        <v>0</v>
      </c>
      <c r="G114" s="318">
        <f>+SUMIF('Consolidado Costos'!$K$6:$K$158,$C114,'Consolidado Costos'!AE$6:AE$158)</f>
        <v>0</v>
      </c>
      <c r="H114" s="318">
        <f>+SUMIF('Consolidado Costos'!$K$6:$K$158,$C114,'Consolidado Costos'!AF$6:AF$158)</f>
        <v>0</v>
      </c>
      <c r="I114" s="318">
        <f>+SUMIF('Consolidado Costos'!$K$6:$K$158,$C114,'Consolidado Costos'!AG$6:AG$158)</f>
        <v>0</v>
      </c>
      <c r="J114" s="318">
        <f>+SUMIF('Consolidado Costos'!$K$6:$K$158,$C114,'Consolidado Costos'!AH$6:AH$158)</f>
        <v>0</v>
      </c>
      <c r="K114" s="318">
        <f>+SUMIF('Consolidado Costos'!$K$6:$K$158,$C114,'Consolidado Costos'!AI$6:AI$158)</f>
        <v>0</v>
      </c>
      <c r="L114" s="318">
        <f>+SUMIF('Consolidado Costos'!$K$6:$K$158,$C114,'Consolidado Costos'!AJ$6:AJ$158)</f>
        <v>0</v>
      </c>
      <c r="M114" s="318">
        <f>+SUMIF('Consolidado Costos'!$K$6:$K$158,$C114,'Consolidado Costos'!AK$6:AK$158)</f>
        <v>0</v>
      </c>
      <c r="N114" s="318">
        <f>+SUMIF('Consolidado Costos'!$K$6:$K$158,$C114,'Consolidado Costos'!AL$6:AL$158)</f>
        <v>0</v>
      </c>
      <c r="O114" s="318">
        <f>+SUMIF('Consolidado Costos'!$K$6:$K$158,$C114,'Consolidado Costos'!AM$6:AM$158)</f>
        <v>0</v>
      </c>
      <c r="P114" s="318">
        <f>+SUMIF('Consolidado Costos'!$K$6:$K$158,$C114,'Consolidado Costos'!AN$6:AN$158)</f>
        <v>0</v>
      </c>
      <c r="Q114" s="318">
        <f>+SUMIF('Consolidado Costos'!$K$6:$K$158,$C114,'Consolidado Costos'!AO$6:AO$158)</f>
        <v>0</v>
      </c>
      <c r="R114" s="318">
        <f>+SUMIF('Consolidado Costos'!$K$6:$K$158,$C114,'Consolidado Costos'!AP$6:AP$158)</f>
        <v>0</v>
      </c>
      <c r="S114" s="357">
        <f t="shared" si="5"/>
        <v>1</v>
      </c>
      <c r="U114" s="331"/>
      <c r="V114" s="330" t="s">
        <v>494</v>
      </c>
      <c r="W114" s="330" t="s">
        <v>495</v>
      </c>
      <c r="X114" s="329"/>
      <c r="Y114" s="354">
        <f t="shared" si="11"/>
        <v>0</v>
      </c>
      <c r="Z114" s="318" cm="1">
        <f t="array" ref="Z114">+SUMPRODUCT(IF('Consolidado Costos'!$K$6:$K$158=$V114,('Consolidado Costos'!AE$6:AE$158*'Consolidado Costos'!$D$6:$D$158),0))</f>
        <v>0</v>
      </c>
      <c r="AA114" s="318" cm="1">
        <f t="array" ref="AA114">+SUMPRODUCT(IF('Consolidado Costos'!$K$6:$K$158=$V114,('Consolidado Costos'!AF$6:AF$158*'Consolidado Costos'!$D$6:$D$158),0))</f>
        <v>0</v>
      </c>
      <c r="AB114" s="318" cm="1">
        <f t="array" ref="AB114">+SUMPRODUCT(IF('Consolidado Costos'!$K$6:$K$158=$V114,('Consolidado Costos'!AG$6:AG$158*'Consolidado Costos'!$D$6:$D$158),0))</f>
        <v>0</v>
      </c>
      <c r="AC114" s="318" cm="1">
        <f t="array" ref="AC114">+SUMPRODUCT(IF('Consolidado Costos'!$K$6:$K$158=$V114,('Consolidado Costos'!AH$6:AH$158*'Consolidado Costos'!$D$6:$D$158),0))</f>
        <v>0</v>
      </c>
      <c r="AD114" s="318" cm="1">
        <f t="array" ref="AD114">+SUMPRODUCT(IF('Consolidado Costos'!$K$6:$K$158=$V114,('Consolidado Costos'!AI$6:AI$158*'Consolidado Costos'!$D$6:$D$158),0))</f>
        <v>0</v>
      </c>
      <c r="AE114" s="318" cm="1">
        <f t="array" ref="AE114">+SUMPRODUCT(IF('Consolidado Costos'!$K$6:$K$158=$V114,('Consolidado Costos'!AJ$6:AJ$158*'Consolidado Costos'!$D$6:$D$158),0))</f>
        <v>0</v>
      </c>
      <c r="AF114" s="318" cm="1">
        <f t="array" ref="AF114">+SUMPRODUCT(IF('Consolidado Costos'!$K$6:$K$158=$V114,('Consolidado Costos'!AK$6:AK$158*'Consolidado Costos'!$D$6:$D$158),0))</f>
        <v>0</v>
      </c>
      <c r="AG114" s="318" cm="1">
        <f t="array" ref="AG114">+SUMPRODUCT(IF('Consolidado Costos'!$K$6:$K$158=$V114,('Consolidado Costos'!AL$6:AL$158*'Consolidado Costos'!$D$6:$D$158),0))</f>
        <v>0</v>
      </c>
      <c r="AH114" s="318" cm="1">
        <f t="array" ref="AH114">+SUMPRODUCT(IF('Consolidado Costos'!$K$6:$K$158=$V114,('Consolidado Costos'!AM$6:AM$158*'Consolidado Costos'!$D$6:$D$158),0))</f>
        <v>0</v>
      </c>
      <c r="AI114" s="318" cm="1">
        <f t="array" ref="AI114">+SUMPRODUCT(IF('Consolidado Costos'!$K$6:$K$158=$V114,('Consolidado Costos'!AN$6:AN$158*'Consolidado Costos'!$D$6:$D$158),0))</f>
        <v>0</v>
      </c>
      <c r="AJ114" s="318" cm="1">
        <f t="array" ref="AJ114">+SUMPRODUCT(IF('Consolidado Costos'!$K$6:$K$158=$V114,('Consolidado Costos'!AO$6:AO$158*'Consolidado Costos'!$D$6:$D$158),0))</f>
        <v>0</v>
      </c>
      <c r="AK114" s="318" cm="1">
        <f t="array" ref="AK114">+SUMPRODUCT(IF('Consolidado Costos'!$K$6:$K$158=$V114,('Consolidado Costos'!AP$6:AP$158*'Consolidado Costos'!$D$6:$D$158),0))</f>
        <v>0</v>
      </c>
      <c r="AM114" s="331"/>
      <c r="AN114" s="330" t="s">
        <v>494</v>
      </c>
      <c r="AO114" s="330" t="s">
        <v>495</v>
      </c>
      <c r="AP114" s="329"/>
      <c r="AQ114" s="354">
        <f t="shared" si="12"/>
        <v>0</v>
      </c>
      <c r="AR114" s="318" cm="1">
        <f t="array" ref="AR114">+SUMPRODUCT(IF('Consolidado Costos'!$K$6:$K$158=$AN114,('Consolidado Costos'!AE$6:AE$158*'Consolidado Costos'!$E$6:$E$158),0))</f>
        <v>0</v>
      </c>
      <c r="AS114" s="318" cm="1">
        <f t="array" ref="AS114">+SUMPRODUCT(IF('Consolidado Costos'!$K$6:$K$158=$AN114,('Consolidado Costos'!AF$6:AF$158*'Consolidado Costos'!$E$6:$E$158),0))</f>
        <v>0</v>
      </c>
      <c r="AT114" s="318" cm="1">
        <f t="array" ref="AT114">+SUMPRODUCT(IF('Consolidado Costos'!$K$6:$K$158=$AN114,('Consolidado Costos'!AG$6:AG$158*'Consolidado Costos'!$E$6:$E$158),0))</f>
        <v>0</v>
      </c>
      <c r="AU114" s="318" cm="1">
        <f t="array" ref="AU114">+SUMPRODUCT(IF('Consolidado Costos'!$K$6:$K$158=$AN114,('Consolidado Costos'!AH$6:AH$158*'Consolidado Costos'!$E$6:$E$158),0))</f>
        <v>0</v>
      </c>
      <c r="AV114" s="318" cm="1">
        <f t="array" ref="AV114">+SUMPRODUCT(IF('Consolidado Costos'!$K$6:$K$158=$AN114,('Consolidado Costos'!AI$6:AI$158*'Consolidado Costos'!$E$6:$E$158),0))</f>
        <v>0</v>
      </c>
      <c r="AW114" s="318" cm="1">
        <f t="array" ref="AW114">+SUMPRODUCT(IF('Consolidado Costos'!$K$6:$K$158=$AN114,('Consolidado Costos'!AJ$6:AJ$158*'Consolidado Costos'!$E$6:$E$158),0))</f>
        <v>0</v>
      </c>
      <c r="AX114" s="318" cm="1">
        <f t="array" ref="AX114">+SUMPRODUCT(IF('Consolidado Costos'!$K$6:$K$158=$AN114,('Consolidado Costos'!AK$6:AK$158*'Consolidado Costos'!$E$6:$E$158),0))</f>
        <v>0</v>
      </c>
      <c r="AY114" s="318" cm="1">
        <f t="array" ref="AY114">+SUMPRODUCT(IF('Consolidado Costos'!$K$6:$K$158=$AN114,('Consolidado Costos'!AL$6:AL$158*'Consolidado Costos'!$E$6:$E$158),0))</f>
        <v>0</v>
      </c>
      <c r="AZ114" s="318" cm="1">
        <f t="array" ref="AZ114">+SUMPRODUCT(IF('Consolidado Costos'!$K$6:$K$158=$AN114,('Consolidado Costos'!AM$6:AM$158*'Consolidado Costos'!$E$6:$E$158),0))</f>
        <v>0</v>
      </c>
      <c r="BA114" s="318" cm="1">
        <f t="array" ref="BA114">+SUMPRODUCT(IF('Consolidado Costos'!$K$6:$K$158=$AN114,('Consolidado Costos'!AN$6:AN$158*'Consolidado Costos'!$E$6:$E$158),0))</f>
        <v>0</v>
      </c>
      <c r="BB114" s="318" cm="1">
        <f t="array" ref="BB114">+SUMPRODUCT(IF('Consolidado Costos'!$K$6:$K$158=$AN114,('Consolidado Costos'!AO$6:AO$158*'Consolidado Costos'!$E$6:$E$158),0))</f>
        <v>0</v>
      </c>
      <c r="BC114" s="318" cm="1">
        <f t="array" ref="BC114">+SUMPRODUCT(IF('Consolidado Costos'!$K$6:$K$158=$AN114,('Consolidado Costos'!AP$6:AP$158*'Consolidado Costos'!$E$6:$E$158),0))</f>
        <v>0</v>
      </c>
      <c r="BE114" s="331"/>
      <c r="BF114" s="330" t="s">
        <v>494</v>
      </c>
      <c r="BG114" s="330" t="s">
        <v>495</v>
      </c>
      <c r="BH114" s="329"/>
      <c r="BI114" s="354">
        <f t="shared" si="13"/>
        <v>0</v>
      </c>
      <c r="BJ114" s="318" cm="1">
        <f t="array" ref="BJ114">+SUMPRODUCT(IF('Consolidado Costos'!$K$6:$K$158=$BF114,('Consolidado Costos'!AE$6:AE$158*'Consolidado Costos'!$F$6:$F$158),0))</f>
        <v>0</v>
      </c>
      <c r="BK114" s="318" cm="1">
        <f t="array" ref="BK114">+SUMPRODUCT(IF('Consolidado Costos'!$K$6:$K$158=$BF114,('Consolidado Costos'!AF$6:AF$158*'Consolidado Costos'!$F$6:$F$158),0))</f>
        <v>0</v>
      </c>
      <c r="BL114" s="318" cm="1">
        <f t="array" ref="BL114">+SUMPRODUCT(IF('Consolidado Costos'!$K$6:$K$158=$BF114,('Consolidado Costos'!AG$6:AG$158*'Consolidado Costos'!$F$6:$F$158),0))</f>
        <v>0</v>
      </c>
      <c r="BM114" s="318" cm="1">
        <f t="array" ref="BM114">+SUMPRODUCT(IF('Consolidado Costos'!$K$6:$K$158=$BF114,('Consolidado Costos'!AH$6:AH$158*'Consolidado Costos'!$F$6:$F$158),0))</f>
        <v>0</v>
      </c>
      <c r="BN114" s="318" cm="1">
        <f t="array" ref="BN114">+SUMPRODUCT(IF('Consolidado Costos'!$K$6:$K$158=$BF114,('Consolidado Costos'!AI$6:AI$158*'Consolidado Costos'!$F$6:$F$158),0))</f>
        <v>0</v>
      </c>
      <c r="BO114" s="318" cm="1">
        <f t="array" ref="BO114">+SUMPRODUCT(IF('Consolidado Costos'!$K$6:$K$158=$BF114,('Consolidado Costos'!AJ$6:AJ$158*'Consolidado Costos'!$F$6:$F$158),0))</f>
        <v>0</v>
      </c>
      <c r="BP114" s="318" cm="1">
        <f t="array" ref="BP114">+SUMPRODUCT(IF('Consolidado Costos'!$K$6:$K$158=$BF114,('Consolidado Costos'!AK$6:AK$158*'Consolidado Costos'!$F$6:$F$158),0))</f>
        <v>0</v>
      </c>
      <c r="BQ114" s="318" cm="1">
        <f t="array" ref="BQ114">+SUMPRODUCT(IF('Consolidado Costos'!$K$6:$K$158=$BF114,('Consolidado Costos'!AL$6:AL$158*'Consolidado Costos'!$F$6:$F$158),0))</f>
        <v>0</v>
      </c>
      <c r="BR114" s="318" cm="1">
        <f t="array" ref="BR114">+SUMPRODUCT(IF('Consolidado Costos'!$K$6:$K$158=$BF114,('Consolidado Costos'!AM$6:AM$158*'Consolidado Costos'!$F$6:$F$158),0))</f>
        <v>0</v>
      </c>
      <c r="BS114" s="318" cm="1">
        <f t="array" ref="BS114">+SUMPRODUCT(IF('Consolidado Costos'!$K$6:$K$158=$BF114,('Consolidado Costos'!AN$6:AN$158*'Consolidado Costos'!$F$6:$F$158),0))</f>
        <v>0</v>
      </c>
      <c r="BT114" s="318" cm="1">
        <f t="array" ref="BT114">+SUMPRODUCT(IF('Consolidado Costos'!$K$6:$K$158=$BF114,('Consolidado Costos'!AO$6:AO$158*'Consolidado Costos'!$F$6:$F$158),0))</f>
        <v>0</v>
      </c>
      <c r="BU114" s="318" cm="1">
        <f t="array" ref="BU114">+SUMPRODUCT(IF('Consolidado Costos'!$K$6:$K$158=$BF114,('Consolidado Costos'!AP$6:AP$158*'Consolidado Costos'!$F$6:$F$158),0))</f>
        <v>0</v>
      </c>
      <c r="BW114" s="331"/>
      <c r="BX114" s="330" t="s">
        <v>494</v>
      </c>
      <c r="BY114" s="330" t="s">
        <v>495</v>
      </c>
      <c r="BZ114" s="329"/>
      <c r="CA114" s="354">
        <f t="shared" si="14"/>
        <v>0</v>
      </c>
      <c r="CB114" s="318" cm="1">
        <f t="array" ref="CB114">+SUMPRODUCT(IF('Consolidado Costos'!$K$6:$K$158=$BX114,('Consolidado Costos'!AE$6:AE$158*'Consolidado Costos'!$G$6:$G$158),0))</f>
        <v>0</v>
      </c>
      <c r="CC114" s="318" cm="1">
        <f t="array" ref="CC114">+SUMPRODUCT(IF('Consolidado Costos'!$K$6:$K$158=$BX114,('Consolidado Costos'!AF$6:AF$158*'Consolidado Costos'!$G$6:$G$158),0))</f>
        <v>0</v>
      </c>
      <c r="CD114" s="318" cm="1">
        <f t="array" ref="CD114">+SUMPRODUCT(IF('Consolidado Costos'!$K$6:$K$158=$BX114,('Consolidado Costos'!AG$6:AG$158*'Consolidado Costos'!$G$6:$G$158),0))</f>
        <v>0</v>
      </c>
      <c r="CE114" s="318" cm="1">
        <f t="array" ref="CE114">+SUMPRODUCT(IF('Consolidado Costos'!$K$6:$K$158=$BX114,('Consolidado Costos'!AH$6:AH$158*'Consolidado Costos'!$G$6:$G$158),0))</f>
        <v>0</v>
      </c>
      <c r="CF114" s="318" cm="1">
        <f t="array" ref="CF114">+SUMPRODUCT(IF('Consolidado Costos'!$K$6:$K$158=$BX114,('Consolidado Costos'!AI$6:AI$158*'Consolidado Costos'!$G$6:$G$158),0))</f>
        <v>0</v>
      </c>
      <c r="CG114" s="318" cm="1">
        <f t="array" ref="CG114">+SUMPRODUCT(IF('Consolidado Costos'!$K$6:$K$158=$BX114,('Consolidado Costos'!AJ$6:AJ$158*'Consolidado Costos'!$G$6:$G$158),0))</f>
        <v>0</v>
      </c>
      <c r="CH114" s="318" cm="1">
        <f t="array" ref="CH114">+SUMPRODUCT(IF('Consolidado Costos'!$K$6:$K$158=$BX114,('Consolidado Costos'!AK$6:AK$158*'Consolidado Costos'!$G$6:$G$158),0))</f>
        <v>0</v>
      </c>
      <c r="CI114" s="318" cm="1">
        <f t="array" ref="CI114">+SUMPRODUCT(IF('Consolidado Costos'!$K$6:$K$158=$BX114,('Consolidado Costos'!AL$6:AL$158*'Consolidado Costos'!$G$6:$G$158),0))</f>
        <v>0</v>
      </c>
      <c r="CJ114" s="318" cm="1">
        <f t="array" ref="CJ114">+SUMPRODUCT(IF('Consolidado Costos'!$K$6:$K$158=$BX114,('Consolidado Costos'!AM$6:AM$158*'Consolidado Costos'!$G$6:$G$158),0))</f>
        <v>0</v>
      </c>
      <c r="CK114" s="318" cm="1">
        <f t="array" ref="CK114">+SUMPRODUCT(IF('Consolidado Costos'!$K$6:$K$158=$BX114,('Consolidado Costos'!AN$6:AN$158*'Consolidado Costos'!$G$6:$G$158),0))</f>
        <v>0</v>
      </c>
      <c r="CL114" s="318" cm="1">
        <f t="array" ref="CL114">+SUMPRODUCT(IF('Consolidado Costos'!$K$6:$K$158=$BX114,('Consolidado Costos'!AO$6:AO$158*'Consolidado Costos'!$G$6:$G$158),0))</f>
        <v>0</v>
      </c>
      <c r="CM114" s="318" cm="1">
        <f t="array" ref="CM114">+SUMPRODUCT(IF('Consolidado Costos'!$K$6:$K$158=$BX114,('Consolidado Costos'!AP$6:AP$158*'Consolidado Costos'!$G$6:$G$158),0))</f>
        <v>0</v>
      </c>
      <c r="CN114" s="357">
        <f t="shared" si="10"/>
        <v>1</v>
      </c>
    </row>
    <row r="115" spans="2:92" s="310" customFormat="1" outlineLevel="1">
      <c r="B115" s="327"/>
      <c r="C115" s="330" t="s">
        <v>231</v>
      </c>
      <c r="D115" s="330" t="s">
        <v>229</v>
      </c>
      <c r="E115" s="329"/>
      <c r="F115" s="318">
        <f>+SUMIF('Consolidado Costos'!$K$6:$K$158,$C115,'Consolidado Costos'!$AD$6:$AD$158)</f>
        <v>63156.579487179479</v>
      </c>
      <c r="G115" s="318">
        <f>+SUMIF('Consolidado Costos'!$K$6:$K$158,$C115,'Consolidado Costos'!AE$6:AE$158)</f>
        <v>107.61217948717949</v>
      </c>
      <c r="H115" s="318">
        <f>+SUMIF('Consolidado Costos'!$K$6:$K$158,$C115,'Consolidado Costos'!AF$6:AF$158)</f>
        <v>107.61217948717949</v>
      </c>
      <c r="I115" s="318">
        <f>+SUMIF('Consolidado Costos'!$K$6:$K$158,$C115,'Consolidado Costos'!AG$6:AG$158)</f>
        <v>107.61217948717949</v>
      </c>
      <c r="J115" s="318">
        <f>+SUMIF('Consolidado Costos'!$K$6:$K$158,$C115,'Consolidado Costos'!AH$6:AH$158)</f>
        <v>107.61217948717949</v>
      </c>
      <c r="K115" s="318">
        <f>+SUMIF('Consolidado Costos'!$K$6:$K$158,$C115,'Consolidado Costos'!AI$6:AI$158)</f>
        <v>107.61217948717949</v>
      </c>
      <c r="L115" s="318">
        <f>+SUMIF('Consolidado Costos'!$K$6:$K$158,$C115,'Consolidado Costos'!AJ$6:AJ$158)</f>
        <v>107.61217948717949</v>
      </c>
      <c r="M115" s="318">
        <f>+SUMIF('Consolidado Costos'!$K$6:$K$158,$C115,'Consolidado Costos'!AK$6:AK$158)</f>
        <v>107.61217948717949</v>
      </c>
      <c r="N115" s="318">
        <f>+SUMIF('Consolidado Costos'!$K$6:$K$158,$C115,'Consolidado Costos'!AL$6:AL$158)</f>
        <v>107.61217948717949</v>
      </c>
      <c r="O115" s="318">
        <f>+SUMIF('Consolidado Costos'!$K$6:$K$158,$C115,'Consolidado Costos'!AM$6:AM$158)</f>
        <v>107.61217948717949</v>
      </c>
      <c r="P115" s="318">
        <f>+SUMIF('Consolidado Costos'!$K$6:$K$158,$C115,'Consolidado Costos'!AN$6:AN$158)</f>
        <v>107.61217948717949</v>
      </c>
      <c r="Q115" s="318">
        <f>+SUMIF('Consolidado Costos'!$K$6:$K$158,$C115,'Consolidado Costos'!AO$6:AO$158)</f>
        <v>107.61217948717949</v>
      </c>
      <c r="R115" s="318">
        <f>+SUMIF('Consolidado Costos'!$K$6:$K$158,$C115,'Consolidado Costos'!AP$6:AP$158)</f>
        <v>61972.84551282051</v>
      </c>
      <c r="S115" s="357">
        <f t="shared" si="5"/>
        <v>1</v>
      </c>
      <c r="U115" s="327"/>
      <c r="V115" s="330" t="s">
        <v>231</v>
      </c>
      <c r="W115" s="330" t="s">
        <v>229</v>
      </c>
      <c r="X115" s="329"/>
      <c r="Y115" s="354">
        <f t="shared" si="11"/>
        <v>51058.00211538461</v>
      </c>
      <c r="Z115" s="318" cm="1">
        <f t="array" ref="Z115">+SUMPRODUCT(IF('Consolidado Costos'!$K$6:$K$158=$V115,('Consolidado Costos'!AE$6:AE$158*'Consolidado Costos'!$D$6:$D$158),0))</f>
        <v>94.160657051282058</v>
      </c>
      <c r="AA115" s="318" cm="1">
        <f t="array" ref="AA115">+SUMPRODUCT(IF('Consolidado Costos'!$K$6:$K$158=$V115,('Consolidado Costos'!AF$6:AF$158*'Consolidado Costos'!$D$6:$D$158),0))</f>
        <v>94.160657051282058</v>
      </c>
      <c r="AB115" s="318" cm="1">
        <f t="array" ref="AB115">+SUMPRODUCT(IF('Consolidado Costos'!$K$6:$K$158=$V115,('Consolidado Costos'!AG$6:AG$158*'Consolidado Costos'!$D$6:$D$158),0))</f>
        <v>94.160657051282058</v>
      </c>
      <c r="AC115" s="318" cm="1">
        <f t="array" ref="AC115">+SUMPRODUCT(IF('Consolidado Costos'!$K$6:$K$158=$V115,('Consolidado Costos'!AH$6:AH$158*'Consolidado Costos'!$D$6:$D$158),0))</f>
        <v>94.160657051282058</v>
      </c>
      <c r="AD115" s="318" cm="1">
        <f t="array" ref="AD115">+SUMPRODUCT(IF('Consolidado Costos'!$K$6:$K$158=$V115,('Consolidado Costos'!AI$6:AI$158*'Consolidado Costos'!$D$6:$D$158),0))</f>
        <v>94.160657051282058</v>
      </c>
      <c r="AE115" s="318" cm="1">
        <f t="array" ref="AE115">+SUMPRODUCT(IF('Consolidado Costos'!$K$6:$K$158=$V115,('Consolidado Costos'!AJ$6:AJ$158*'Consolidado Costos'!$D$6:$D$158),0))</f>
        <v>94.160657051282058</v>
      </c>
      <c r="AF115" s="318" cm="1">
        <f t="array" ref="AF115">+SUMPRODUCT(IF('Consolidado Costos'!$K$6:$K$158=$V115,('Consolidado Costos'!AK$6:AK$158*'Consolidado Costos'!$D$6:$D$158),0))</f>
        <v>94.160657051282058</v>
      </c>
      <c r="AG115" s="318" cm="1">
        <f t="array" ref="AG115">+SUMPRODUCT(IF('Consolidado Costos'!$K$6:$K$158=$V115,('Consolidado Costos'!AL$6:AL$158*'Consolidado Costos'!$D$6:$D$158),0))</f>
        <v>94.160657051282058</v>
      </c>
      <c r="AH115" s="318" cm="1">
        <f t="array" ref="AH115">+SUMPRODUCT(IF('Consolidado Costos'!$K$6:$K$158=$V115,('Consolidado Costos'!AM$6:AM$158*'Consolidado Costos'!$D$6:$D$158),0))</f>
        <v>94.160657051282058</v>
      </c>
      <c r="AI115" s="318" cm="1">
        <f t="array" ref="AI115">+SUMPRODUCT(IF('Consolidado Costos'!$K$6:$K$158=$V115,('Consolidado Costos'!AN$6:AN$158*'Consolidado Costos'!$D$6:$D$158),0))</f>
        <v>94.160657051282058</v>
      </c>
      <c r="AJ115" s="318" cm="1">
        <f t="array" ref="AJ115">+SUMPRODUCT(IF('Consolidado Costos'!$K$6:$K$158=$V115,('Consolidado Costos'!AO$6:AO$158*'Consolidado Costos'!$D$6:$D$158),0))</f>
        <v>94.160657051282058</v>
      </c>
      <c r="AK115" s="318" cm="1">
        <f t="array" ref="AK115">+SUMPRODUCT(IF('Consolidado Costos'!$K$6:$K$158=$V115,('Consolidado Costos'!AP$6:AP$158*'Consolidado Costos'!$D$6:$D$158),0))</f>
        <v>50022.234887820508</v>
      </c>
      <c r="AM115" s="327"/>
      <c r="AN115" s="330" t="s">
        <v>231</v>
      </c>
      <c r="AO115" s="330" t="s">
        <v>229</v>
      </c>
      <c r="AP115" s="329"/>
      <c r="AQ115" s="354">
        <f t="shared" si="12"/>
        <v>8263.5652564102566</v>
      </c>
      <c r="AR115" s="318" cm="1">
        <f t="array" ref="AR115">+SUMPRODUCT(IF('Consolidado Costos'!$K$6:$K$158=$AN115,('Consolidado Costos'!AE$6:AE$158*'Consolidado Costos'!$E$6:$E$158),0))</f>
        <v>10.761217948717949</v>
      </c>
      <c r="AS115" s="318" cm="1">
        <f t="array" ref="AS115">+SUMPRODUCT(IF('Consolidado Costos'!$K$6:$K$158=$AN115,('Consolidado Costos'!AF$6:AF$158*'Consolidado Costos'!$E$6:$E$158),0))</f>
        <v>10.761217948717949</v>
      </c>
      <c r="AT115" s="318" cm="1">
        <f t="array" ref="AT115">+SUMPRODUCT(IF('Consolidado Costos'!$K$6:$K$158=$AN115,('Consolidado Costos'!AG$6:AG$158*'Consolidado Costos'!$E$6:$E$158),0))</f>
        <v>10.761217948717949</v>
      </c>
      <c r="AU115" s="318" cm="1">
        <f t="array" ref="AU115">+SUMPRODUCT(IF('Consolidado Costos'!$K$6:$K$158=$AN115,('Consolidado Costos'!AH$6:AH$158*'Consolidado Costos'!$E$6:$E$158),0))</f>
        <v>10.761217948717949</v>
      </c>
      <c r="AV115" s="318" cm="1">
        <f t="array" ref="AV115">+SUMPRODUCT(IF('Consolidado Costos'!$K$6:$K$158=$AN115,('Consolidado Costos'!AI$6:AI$158*'Consolidado Costos'!$E$6:$E$158),0))</f>
        <v>10.761217948717949</v>
      </c>
      <c r="AW115" s="318" cm="1">
        <f t="array" ref="AW115">+SUMPRODUCT(IF('Consolidado Costos'!$K$6:$K$158=$AN115,('Consolidado Costos'!AJ$6:AJ$158*'Consolidado Costos'!$E$6:$E$158),0))</f>
        <v>10.761217948717949</v>
      </c>
      <c r="AX115" s="318" cm="1">
        <f t="array" ref="AX115">+SUMPRODUCT(IF('Consolidado Costos'!$K$6:$K$158=$AN115,('Consolidado Costos'!AK$6:AK$158*'Consolidado Costos'!$E$6:$E$158),0))</f>
        <v>10.761217948717949</v>
      </c>
      <c r="AY115" s="318" cm="1">
        <f t="array" ref="AY115">+SUMPRODUCT(IF('Consolidado Costos'!$K$6:$K$158=$AN115,('Consolidado Costos'!AL$6:AL$158*'Consolidado Costos'!$E$6:$E$158),0))</f>
        <v>10.761217948717949</v>
      </c>
      <c r="AZ115" s="318" cm="1">
        <f t="array" ref="AZ115">+SUMPRODUCT(IF('Consolidado Costos'!$K$6:$K$158=$AN115,('Consolidado Costos'!AM$6:AM$158*'Consolidado Costos'!$E$6:$E$158),0))</f>
        <v>10.761217948717949</v>
      </c>
      <c r="BA115" s="318" cm="1">
        <f t="array" ref="BA115">+SUMPRODUCT(IF('Consolidado Costos'!$K$6:$K$158=$AN115,('Consolidado Costos'!AN$6:AN$158*'Consolidado Costos'!$E$6:$E$158),0))</f>
        <v>10.761217948717949</v>
      </c>
      <c r="BB115" s="318" cm="1">
        <f t="array" ref="BB115">+SUMPRODUCT(IF('Consolidado Costos'!$K$6:$K$158=$AN115,('Consolidado Costos'!AO$6:AO$158*'Consolidado Costos'!$E$6:$E$158),0))</f>
        <v>10.761217948717949</v>
      </c>
      <c r="BC115" s="318" cm="1">
        <f t="array" ref="BC115">+SUMPRODUCT(IF('Consolidado Costos'!$K$6:$K$158=$AN115,('Consolidado Costos'!AP$6:AP$158*'Consolidado Costos'!$E$6:$E$158),0))</f>
        <v>8145.1918589743582</v>
      </c>
      <c r="BE115" s="327"/>
      <c r="BF115" s="330" t="s">
        <v>231</v>
      </c>
      <c r="BG115" s="330" t="s">
        <v>229</v>
      </c>
      <c r="BH115" s="329"/>
      <c r="BI115" s="354">
        <f t="shared" si="13"/>
        <v>2004.0687820512819</v>
      </c>
      <c r="BJ115" s="318" cm="1">
        <f t="array" ref="BJ115">+SUMPRODUCT(IF('Consolidado Costos'!$K$6:$K$158=$BF115,('Consolidado Costos'!AE$6:AE$158*'Consolidado Costos'!$F$6:$F$158),0))</f>
        <v>2.6903044871794872</v>
      </c>
      <c r="BK115" s="318" cm="1">
        <f t="array" ref="BK115">+SUMPRODUCT(IF('Consolidado Costos'!$K$6:$K$158=$BF115,('Consolidado Costos'!AF$6:AF$158*'Consolidado Costos'!$F$6:$F$158),0))</f>
        <v>2.6903044871794872</v>
      </c>
      <c r="BL115" s="318" cm="1">
        <f t="array" ref="BL115">+SUMPRODUCT(IF('Consolidado Costos'!$K$6:$K$158=$BF115,('Consolidado Costos'!AG$6:AG$158*'Consolidado Costos'!$F$6:$F$158),0))</f>
        <v>2.6903044871794872</v>
      </c>
      <c r="BM115" s="318" cm="1">
        <f t="array" ref="BM115">+SUMPRODUCT(IF('Consolidado Costos'!$K$6:$K$158=$BF115,('Consolidado Costos'!AH$6:AH$158*'Consolidado Costos'!$F$6:$F$158),0))</f>
        <v>2.6903044871794872</v>
      </c>
      <c r="BN115" s="318" cm="1">
        <f t="array" ref="BN115">+SUMPRODUCT(IF('Consolidado Costos'!$K$6:$K$158=$BF115,('Consolidado Costos'!AI$6:AI$158*'Consolidado Costos'!$F$6:$F$158),0))</f>
        <v>2.6903044871794872</v>
      </c>
      <c r="BO115" s="318" cm="1">
        <f t="array" ref="BO115">+SUMPRODUCT(IF('Consolidado Costos'!$K$6:$K$158=$BF115,('Consolidado Costos'!AJ$6:AJ$158*'Consolidado Costos'!$F$6:$F$158),0))</f>
        <v>2.6903044871794872</v>
      </c>
      <c r="BP115" s="318" cm="1">
        <f t="array" ref="BP115">+SUMPRODUCT(IF('Consolidado Costos'!$K$6:$K$158=$BF115,('Consolidado Costos'!AK$6:AK$158*'Consolidado Costos'!$F$6:$F$158),0))</f>
        <v>2.6903044871794872</v>
      </c>
      <c r="BQ115" s="318" cm="1">
        <f t="array" ref="BQ115">+SUMPRODUCT(IF('Consolidado Costos'!$K$6:$K$158=$BF115,('Consolidado Costos'!AL$6:AL$158*'Consolidado Costos'!$F$6:$F$158),0))</f>
        <v>2.6903044871794872</v>
      </c>
      <c r="BR115" s="318" cm="1">
        <f t="array" ref="BR115">+SUMPRODUCT(IF('Consolidado Costos'!$K$6:$K$158=$BF115,('Consolidado Costos'!AM$6:AM$158*'Consolidado Costos'!$F$6:$F$158),0))</f>
        <v>2.6903044871794872</v>
      </c>
      <c r="BS115" s="318" cm="1">
        <f t="array" ref="BS115">+SUMPRODUCT(IF('Consolidado Costos'!$K$6:$K$158=$BF115,('Consolidado Costos'!AN$6:AN$158*'Consolidado Costos'!$F$6:$F$158),0))</f>
        <v>2.6903044871794872</v>
      </c>
      <c r="BT115" s="318" cm="1">
        <f t="array" ref="BT115">+SUMPRODUCT(IF('Consolidado Costos'!$K$6:$K$158=$BF115,('Consolidado Costos'!AO$6:AO$158*'Consolidado Costos'!$F$6:$F$158),0))</f>
        <v>2.6903044871794872</v>
      </c>
      <c r="BU115" s="318" cm="1">
        <f t="array" ref="BU115">+SUMPRODUCT(IF('Consolidado Costos'!$K$6:$K$158=$BF115,('Consolidado Costos'!AP$6:AP$158*'Consolidado Costos'!$F$6:$F$158),0))</f>
        <v>1974.4754326923075</v>
      </c>
      <c r="BW115" s="327"/>
      <c r="BX115" s="330" t="s">
        <v>231</v>
      </c>
      <c r="BY115" s="330" t="s">
        <v>229</v>
      </c>
      <c r="BZ115" s="329"/>
      <c r="CA115" s="354">
        <f t="shared" si="14"/>
        <v>1830.9433333333332</v>
      </c>
      <c r="CB115" s="318" cm="1">
        <f t="array" ref="CB115">+SUMPRODUCT(IF('Consolidado Costos'!$K$6:$K$158=$BX115,('Consolidado Costos'!AE$6:AE$158*'Consolidado Costos'!$G$6:$G$158),0))</f>
        <v>0</v>
      </c>
      <c r="CC115" s="318" cm="1">
        <f t="array" ref="CC115">+SUMPRODUCT(IF('Consolidado Costos'!$K$6:$K$158=$BX115,('Consolidado Costos'!AF$6:AF$158*'Consolidado Costos'!$G$6:$G$158),0))</f>
        <v>0</v>
      </c>
      <c r="CD115" s="318" cm="1">
        <f t="array" ref="CD115">+SUMPRODUCT(IF('Consolidado Costos'!$K$6:$K$158=$BX115,('Consolidado Costos'!AG$6:AG$158*'Consolidado Costos'!$G$6:$G$158),0))</f>
        <v>0</v>
      </c>
      <c r="CE115" s="318" cm="1">
        <f t="array" ref="CE115">+SUMPRODUCT(IF('Consolidado Costos'!$K$6:$K$158=$BX115,('Consolidado Costos'!AH$6:AH$158*'Consolidado Costos'!$G$6:$G$158),0))</f>
        <v>0</v>
      </c>
      <c r="CF115" s="318" cm="1">
        <f t="array" ref="CF115">+SUMPRODUCT(IF('Consolidado Costos'!$K$6:$K$158=$BX115,('Consolidado Costos'!AI$6:AI$158*'Consolidado Costos'!$G$6:$G$158),0))</f>
        <v>0</v>
      </c>
      <c r="CG115" s="318" cm="1">
        <f t="array" ref="CG115">+SUMPRODUCT(IF('Consolidado Costos'!$K$6:$K$158=$BX115,('Consolidado Costos'!AJ$6:AJ$158*'Consolidado Costos'!$G$6:$G$158),0))</f>
        <v>0</v>
      </c>
      <c r="CH115" s="318" cm="1">
        <f t="array" ref="CH115">+SUMPRODUCT(IF('Consolidado Costos'!$K$6:$K$158=$BX115,('Consolidado Costos'!AK$6:AK$158*'Consolidado Costos'!$G$6:$G$158),0))</f>
        <v>0</v>
      </c>
      <c r="CI115" s="318" cm="1">
        <f t="array" ref="CI115">+SUMPRODUCT(IF('Consolidado Costos'!$K$6:$K$158=$BX115,('Consolidado Costos'!AL$6:AL$158*'Consolidado Costos'!$G$6:$G$158),0))</f>
        <v>0</v>
      </c>
      <c r="CJ115" s="318" cm="1">
        <f t="array" ref="CJ115">+SUMPRODUCT(IF('Consolidado Costos'!$K$6:$K$158=$BX115,('Consolidado Costos'!AM$6:AM$158*'Consolidado Costos'!$G$6:$G$158),0))</f>
        <v>0</v>
      </c>
      <c r="CK115" s="318" cm="1">
        <f t="array" ref="CK115">+SUMPRODUCT(IF('Consolidado Costos'!$K$6:$K$158=$BX115,('Consolidado Costos'!AN$6:AN$158*'Consolidado Costos'!$G$6:$G$158),0))</f>
        <v>0</v>
      </c>
      <c r="CL115" s="318" cm="1">
        <f t="array" ref="CL115">+SUMPRODUCT(IF('Consolidado Costos'!$K$6:$K$158=$BX115,('Consolidado Costos'!AO$6:AO$158*'Consolidado Costos'!$G$6:$G$158),0))</f>
        <v>0</v>
      </c>
      <c r="CM115" s="318" cm="1">
        <f t="array" ref="CM115">+SUMPRODUCT(IF('Consolidado Costos'!$K$6:$K$158=$BX115,('Consolidado Costos'!AP$6:AP$158*'Consolidado Costos'!$G$6:$G$158),0))</f>
        <v>1830.9433333333332</v>
      </c>
      <c r="CN115" s="357">
        <f t="shared" si="10"/>
        <v>1</v>
      </c>
    </row>
    <row r="116" spans="2:92" s="310" customFormat="1" outlineLevel="1">
      <c r="B116" s="327"/>
      <c r="C116" s="330" t="s">
        <v>496</v>
      </c>
      <c r="D116" s="330" t="s">
        <v>497</v>
      </c>
      <c r="E116" s="329"/>
      <c r="F116" s="318">
        <f>+SUMIF('Consolidado Costos'!$K$6:$K$158,$C116,'Consolidado Costos'!$AD$6:$AD$158)</f>
        <v>0</v>
      </c>
      <c r="G116" s="318">
        <f>+SUMIF('Consolidado Costos'!$K$6:$K$158,$C116,'Consolidado Costos'!AE$6:AE$158)</f>
        <v>0</v>
      </c>
      <c r="H116" s="318">
        <f>+SUMIF('Consolidado Costos'!$K$6:$K$158,$C116,'Consolidado Costos'!AF$6:AF$158)</f>
        <v>0</v>
      </c>
      <c r="I116" s="318">
        <f>+SUMIF('Consolidado Costos'!$K$6:$K$158,$C116,'Consolidado Costos'!AG$6:AG$158)</f>
        <v>0</v>
      </c>
      <c r="J116" s="318">
        <f>+SUMIF('Consolidado Costos'!$K$6:$K$158,$C116,'Consolidado Costos'!AH$6:AH$158)</f>
        <v>0</v>
      </c>
      <c r="K116" s="318">
        <f>+SUMIF('Consolidado Costos'!$K$6:$K$158,$C116,'Consolidado Costos'!AI$6:AI$158)</f>
        <v>0</v>
      </c>
      <c r="L116" s="318">
        <f>+SUMIF('Consolidado Costos'!$K$6:$K$158,$C116,'Consolidado Costos'!AJ$6:AJ$158)</f>
        <v>0</v>
      </c>
      <c r="M116" s="318">
        <f>+SUMIF('Consolidado Costos'!$K$6:$K$158,$C116,'Consolidado Costos'!AK$6:AK$158)</f>
        <v>0</v>
      </c>
      <c r="N116" s="318">
        <f>+SUMIF('Consolidado Costos'!$K$6:$K$158,$C116,'Consolidado Costos'!AL$6:AL$158)</f>
        <v>0</v>
      </c>
      <c r="O116" s="318">
        <f>+SUMIF('Consolidado Costos'!$K$6:$K$158,$C116,'Consolidado Costos'!AM$6:AM$158)</f>
        <v>0</v>
      </c>
      <c r="P116" s="318">
        <f>+SUMIF('Consolidado Costos'!$K$6:$K$158,$C116,'Consolidado Costos'!AN$6:AN$158)</f>
        <v>0</v>
      </c>
      <c r="Q116" s="318">
        <f>+SUMIF('Consolidado Costos'!$K$6:$K$158,$C116,'Consolidado Costos'!AO$6:AO$158)</f>
        <v>0</v>
      </c>
      <c r="R116" s="318">
        <f>+SUMIF('Consolidado Costos'!$K$6:$K$158,$C116,'Consolidado Costos'!AP$6:AP$158)</f>
        <v>0</v>
      </c>
      <c r="S116" s="357">
        <f t="shared" si="5"/>
        <v>1</v>
      </c>
      <c r="U116" s="327"/>
      <c r="V116" s="330" t="s">
        <v>496</v>
      </c>
      <c r="W116" s="330" t="s">
        <v>497</v>
      </c>
      <c r="X116" s="329"/>
      <c r="Y116" s="354">
        <f t="shared" si="11"/>
        <v>0</v>
      </c>
      <c r="Z116" s="318" cm="1">
        <f t="array" ref="Z116">+SUMPRODUCT(IF('Consolidado Costos'!$K$6:$K$158=$V116,('Consolidado Costos'!AE$6:AE$158*'Consolidado Costos'!$D$6:$D$158),0))</f>
        <v>0</v>
      </c>
      <c r="AA116" s="318" cm="1">
        <f t="array" ref="AA116">+SUMPRODUCT(IF('Consolidado Costos'!$K$6:$K$158=$V116,('Consolidado Costos'!AF$6:AF$158*'Consolidado Costos'!$D$6:$D$158),0))</f>
        <v>0</v>
      </c>
      <c r="AB116" s="318" cm="1">
        <f t="array" ref="AB116">+SUMPRODUCT(IF('Consolidado Costos'!$K$6:$K$158=$V116,('Consolidado Costos'!AG$6:AG$158*'Consolidado Costos'!$D$6:$D$158),0))</f>
        <v>0</v>
      </c>
      <c r="AC116" s="318" cm="1">
        <f t="array" ref="AC116">+SUMPRODUCT(IF('Consolidado Costos'!$K$6:$K$158=$V116,('Consolidado Costos'!AH$6:AH$158*'Consolidado Costos'!$D$6:$D$158),0))</f>
        <v>0</v>
      </c>
      <c r="AD116" s="318" cm="1">
        <f t="array" ref="AD116">+SUMPRODUCT(IF('Consolidado Costos'!$K$6:$K$158=$V116,('Consolidado Costos'!AI$6:AI$158*'Consolidado Costos'!$D$6:$D$158),0))</f>
        <v>0</v>
      </c>
      <c r="AE116" s="318" cm="1">
        <f t="array" ref="AE116">+SUMPRODUCT(IF('Consolidado Costos'!$K$6:$K$158=$V116,('Consolidado Costos'!AJ$6:AJ$158*'Consolidado Costos'!$D$6:$D$158),0))</f>
        <v>0</v>
      </c>
      <c r="AF116" s="318" cm="1">
        <f t="array" ref="AF116">+SUMPRODUCT(IF('Consolidado Costos'!$K$6:$K$158=$V116,('Consolidado Costos'!AK$6:AK$158*'Consolidado Costos'!$D$6:$D$158),0))</f>
        <v>0</v>
      </c>
      <c r="AG116" s="318" cm="1">
        <f t="array" ref="AG116">+SUMPRODUCT(IF('Consolidado Costos'!$K$6:$K$158=$V116,('Consolidado Costos'!AL$6:AL$158*'Consolidado Costos'!$D$6:$D$158),0))</f>
        <v>0</v>
      </c>
      <c r="AH116" s="318" cm="1">
        <f t="array" ref="AH116">+SUMPRODUCT(IF('Consolidado Costos'!$K$6:$K$158=$V116,('Consolidado Costos'!AM$6:AM$158*'Consolidado Costos'!$D$6:$D$158),0))</f>
        <v>0</v>
      </c>
      <c r="AI116" s="318" cm="1">
        <f t="array" ref="AI116">+SUMPRODUCT(IF('Consolidado Costos'!$K$6:$K$158=$V116,('Consolidado Costos'!AN$6:AN$158*'Consolidado Costos'!$D$6:$D$158),0))</f>
        <v>0</v>
      </c>
      <c r="AJ116" s="318" cm="1">
        <f t="array" ref="AJ116">+SUMPRODUCT(IF('Consolidado Costos'!$K$6:$K$158=$V116,('Consolidado Costos'!AO$6:AO$158*'Consolidado Costos'!$D$6:$D$158),0))</f>
        <v>0</v>
      </c>
      <c r="AK116" s="318" cm="1">
        <f t="array" ref="AK116">+SUMPRODUCT(IF('Consolidado Costos'!$K$6:$K$158=$V116,('Consolidado Costos'!AP$6:AP$158*'Consolidado Costos'!$D$6:$D$158),0))</f>
        <v>0</v>
      </c>
      <c r="AM116" s="327"/>
      <c r="AN116" s="330" t="s">
        <v>496</v>
      </c>
      <c r="AO116" s="330" t="s">
        <v>497</v>
      </c>
      <c r="AP116" s="329"/>
      <c r="AQ116" s="354">
        <f t="shared" si="12"/>
        <v>0</v>
      </c>
      <c r="AR116" s="318" cm="1">
        <f t="array" ref="AR116">+SUMPRODUCT(IF('Consolidado Costos'!$K$6:$K$158=$AN116,('Consolidado Costos'!AE$6:AE$158*'Consolidado Costos'!$E$6:$E$158),0))</f>
        <v>0</v>
      </c>
      <c r="AS116" s="318" cm="1">
        <f t="array" ref="AS116">+SUMPRODUCT(IF('Consolidado Costos'!$K$6:$K$158=$AN116,('Consolidado Costos'!AF$6:AF$158*'Consolidado Costos'!$E$6:$E$158),0))</f>
        <v>0</v>
      </c>
      <c r="AT116" s="318" cm="1">
        <f t="array" ref="AT116">+SUMPRODUCT(IF('Consolidado Costos'!$K$6:$K$158=$AN116,('Consolidado Costos'!AG$6:AG$158*'Consolidado Costos'!$E$6:$E$158),0))</f>
        <v>0</v>
      </c>
      <c r="AU116" s="318" cm="1">
        <f t="array" ref="AU116">+SUMPRODUCT(IF('Consolidado Costos'!$K$6:$K$158=$AN116,('Consolidado Costos'!AH$6:AH$158*'Consolidado Costos'!$E$6:$E$158),0))</f>
        <v>0</v>
      </c>
      <c r="AV116" s="318" cm="1">
        <f t="array" ref="AV116">+SUMPRODUCT(IF('Consolidado Costos'!$K$6:$K$158=$AN116,('Consolidado Costos'!AI$6:AI$158*'Consolidado Costos'!$E$6:$E$158),0))</f>
        <v>0</v>
      </c>
      <c r="AW116" s="318" cm="1">
        <f t="array" ref="AW116">+SUMPRODUCT(IF('Consolidado Costos'!$K$6:$K$158=$AN116,('Consolidado Costos'!AJ$6:AJ$158*'Consolidado Costos'!$E$6:$E$158),0))</f>
        <v>0</v>
      </c>
      <c r="AX116" s="318" cm="1">
        <f t="array" ref="AX116">+SUMPRODUCT(IF('Consolidado Costos'!$K$6:$K$158=$AN116,('Consolidado Costos'!AK$6:AK$158*'Consolidado Costos'!$E$6:$E$158),0))</f>
        <v>0</v>
      </c>
      <c r="AY116" s="318" cm="1">
        <f t="array" ref="AY116">+SUMPRODUCT(IF('Consolidado Costos'!$K$6:$K$158=$AN116,('Consolidado Costos'!AL$6:AL$158*'Consolidado Costos'!$E$6:$E$158),0))</f>
        <v>0</v>
      </c>
      <c r="AZ116" s="318" cm="1">
        <f t="array" ref="AZ116">+SUMPRODUCT(IF('Consolidado Costos'!$K$6:$K$158=$AN116,('Consolidado Costos'!AM$6:AM$158*'Consolidado Costos'!$E$6:$E$158),0))</f>
        <v>0</v>
      </c>
      <c r="BA116" s="318" cm="1">
        <f t="array" ref="BA116">+SUMPRODUCT(IF('Consolidado Costos'!$K$6:$K$158=$AN116,('Consolidado Costos'!AN$6:AN$158*'Consolidado Costos'!$E$6:$E$158),0))</f>
        <v>0</v>
      </c>
      <c r="BB116" s="318" cm="1">
        <f t="array" ref="BB116">+SUMPRODUCT(IF('Consolidado Costos'!$K$6:$K$158=$AN116,('Consolidado Costos'!AO$6:AO$158*'Consolidado Costos'!$E$6:$E$158),0))</f>
        <v>0</v>
      </c>
      <c r="BC116" s="318" cm="1">
        <f t="array" ref="BC116">+SUMPRODUCT(IF('Consolidado Costos'!$K$6:$K$158=$AN116,('Consolidado Costos'!AP$6:AP$158*'Consolidado Costos'!$E$6:$E$158),0))</f>
        <v>0</v>
      </c>
      <c r="BE116" s="327"/>
      <c r="BF116" s="330" t="s">
        <v>496</v>
      </c>
      <c r="BG116" s="330" t="s">
        <v>497</v>
      </c>
      <c r="BH116" s="329"/>
      <c r="BI116" s="354">
        <f t="shared" si="13"/>
        <v>0</v>
      </c>
      <c r="BJ116" s="318" cm="1">
        <f t="array" ref="BJ116">+SUMPRODUCT(IF('Consolidado Costos'!$K$6:$K$158=$BF116,('Consolidado Costos'!AE$6:AE$158*'Consolidado Costos'!$F$6:$F$158),0))</f>
        <v>0</v>
      </c>
      <c r="BK116" s="318" cm="1">
        <f t="array" ref="BK116">+SUMPRODUCT(IF('Consolidado Costos'!$K$6:$K$158=$BF116,('Consolidado Costos'!AF$6:AF$158*'Consolidado Costos'!$F$6:$F$158),0))</f>
        <v>0</v>
      </c>
      <c r="BL116" s="318" cm="1">
        <f t="array" ref="BL116">+SUMPRODUCT(IF('Consolidado Costos'!$K$6:$K$158=$BF116,('Consolidado Costos'!AG$6:AG$158*'Consolidado Costos'!$F$6:$F$158),0))</f>
        <v>0</v>
      </c>
      <c r="BM116" s="318" cm="1">
        <f t="array" ref="BM116">+SUMPRODUCT(IF('Consolidado Costos'!$K$6:$K$158=$BF116,('Consolidado Costos'!AH$6:AH$158*'Consolidado Costos'!$F$6:$F$158),0))</f>
        <v>0</v>
      </c>
      <c r="BN116" s="318" cm="1">
        <f t="array" ref="BN116">+SUMPRODUCT(IF('Consolidado Costos'!$K$6:$K$158=$BF116,('Consolidado Costos'!AI$6:AI$158*'Consolidado Costos'!$F$6:$F$158),0))</f>
        <v>0</v>
      </c>
      <c r="BO116" s="318" cm="1">
        <f t="array" ref="BO116">+SUMPRODUCT(IF('Consolidado Costos'!$K$6:$K$158=$BF116,('Consolidado Costos'!AJ$6:AJ$158*'Consolidado Costos'!$F$6:$F$158),0))</f>
        <v>0</v>
      </c>
      <c r="BP116" s="318" cm="1">
        <f t="array" ref="BP116">+SUMPRODUCT(IF('Consolidado Costos'!$K$6:$K$158=$BF116,('Consolidado Costos'!AK$6:AK$158*'Consolidado Costos'!$F$6:$F$158),0))</f>
        <v>0</v>
      </c>
      <c r="BQ116" s="318" cm="1">
        <f t="array" ref="BQ116">+SUMPRODUCT(IF('Consolidado Costos'!$K$6:$K$158=$BF116,('Consolidado Costos'!AL$6:AL$158*'Consolidado Costos'!$F$6:$F$158),0))</f>
        <v>0</v>
      </c>
      <c r="BR116" s="318" cm="1">
        <f t="array" ref="BR116">+SUMPRODUCT(IF('Consolidado Costos'!$K$6:$K$158=$BF116,('Consolidado Costos'!AM$6:AM$158*'Consolidado Costos'!$F$6:$F$158),0))</f>
        <v>0</v>
      </c>
      <c r="BS116" s="318" cm="1">
        <f t="array" ref="BS116">+SUMPRODUCT(IF('Consolidado Costos'!$K$6:$K$158=$BF116,('Consolidado Costos'!AN$6:AN$158*'Consolidado Costos'!$F$6:$F$158),0))</f>
        <v>0</v>
      </c>
      <c r="BT116" s="318" cm="1">
        <f t="array" ref="BT116">+SUMPRODUCT(IF('Consolidado Costos'!$K$6:$K$158=$BF116,('Consolidado Costos'!AO$6:AO$158*'Consolidado Costos'!$F$6:$F$158),0))</f>
        <v>0</v>
      </c>
      <c r="BU116" s="318" cm="1">
        <f t="array" ref="BU116">+SUMPRODUCT(IF('Consolidado Costos'!$K$6:$K$158=$BF116,('Consolidado Costos'!AP$6:AP$158*'Consolidado Costos'!$F$6:$F$158),0))</f>
        <v>0</v>
      </c>
      <c r="BW116" s="327"/>
      <c r="BX116" s="330" t="s">
        <v>496</v>
      </c>
      <c r="BY116" s="330" t="s">
        <v>497</v>
      </c>
      <c r="BZ116" s="329"/>
      <c r="CA116" s="354">
        <f t="shared" si="14"/>
        <v>0</v>
      </c>
      <c r="CB116" s="318" cm="1">
        <f t="array" ref="CB116">+SUMPRODUCT(IF('Consolidado Costos'!$K$6:$K$158=$BX116,('Consolidado Costos'!AE$6:AE$158*'Consolidado Costos'!$G$6:$G$158),0))</f>
        <v>0</v>
      </c>
      <c r="CC116" s="318" cm="1">
        <f t="array" ref="CC116">+SUMPRODUCT(IF('Consolidado Costos'!$K$6:$K$158=$BX116,('Consolidado Costos'!AF$6:AF$158*'Consolidado Costos'!$G$6:$G$158),0))</f>
        <v>0</v>
      </c>
      <c r="CD116" s="318" cm="1">
        <f t="array" ref="CD116">+SUMPRODUCT(IF('Consolidado Costos'!$K$6:$K$158=$BX116,('Consolidado Costos'!AG$6:AG$158*'Consolidado Costos'!$G$6:$G$158),0))</f>
        <v>0</v>
      </c>
      <c r="CE116" s="318" cm="1">
        <f t="array" ref="CE116">+SUMPRODUCT(IF('Consolidado Costos'!$K$6:$K$158=$BX116,('Consolidado Costos'!AH$6:AH$158*'Consolidado Costos'!$G$6:$G$158),0))</f>
        <v>0</v>
      </c>
      <c r="CF116" s="318" cm="1">
        <f t="array" ref="CF116">+SUMPRODUCT(IF('Consolidado Costos'!$K$6:$K$158=$BX116,('Consolidado Costos'!AI$6:AI$158*'Consolidado Costos'!$G$6:$G$158),0))</f>
        <v>0</v>
      </c>
      <c r="CG116" s="318" cm="1">
        <f t="array" ref="CG116">+SUMPRODUCT(IF('Consolidado Costos'!$K$6:$K$158=$BX116,('Consolidado Costos'!AJ$6:AJ$158*'Consolidado Costos'!$G$6:$G$158),0))</f>
        <v>0</v>
      </c>
      <c r="CH116" s="318" cm="1">
        <f t="array" ref="CH116">+SUMPRODUCT(IF('Consolidado Costos'!$K$6:$K$158=$BX116,('Consolidado Costos'!AK$6:AK$158*'Consolidado Costos'!$G$6:$G$158),0))</f>
        <v>0</v>
      </c>
      <c r="CI116" s="318" cm="1">
        <f t="array" ref="CI116">+SUMPRODUCT(IF('Consolidado Costos'!$K$6:$K$158=$BX116,('Consolidado Costos'!AL$6:AL$158*'Consolidado Costos'!$G$6:$G$158),0))</f>
        <v>0</v>
      </c>
      <c r="CJ116" s="318" cm="1">
        <f t="array" ref="CJ116">+SUMPRODUCT(IF('Consolidado Costos'!$K$6:$K$158=$BX116,('Consolidado Costos'!AM$6:AM$158*'Consolidado Costos'!$G$6:$G$158),0))</f>
        <v>0</v>
      </c>
      <c r="CK116" s="318" cm="1">
        <f t="array" ref="CK116">+SUMPRODUCT(IF('Consolidado Costos'!$K$6:$K$158=$BX116,('Consolidado Costos'!AN$6:AN$158*'Consolidado Costos'!$G$6:$G$158),0))</f>
        <v>0</v>
      </c>
      <c r="CL116" s="318" cm="1">
        <f t="array" ref="CL116">+SUMPRODUCT(IF('Consolidado Costos'!$K$6:$K$158=$BX116,('Consolidado Costos'!AO$6:AO$158*'Consolidado Costos'!$G$6:$G$158),0))</f>
        <v>0</v>
      </c>
      <c r="CM116" s="318" cm="1">
        <f t="array" ref="CM116">+SUMPRODUCT(IF('Consolidado Costos'!$K$6:$K$158=$BX116,('Consolidado Costos'!AP$6:AP$158*'Consolidado Costos'!$G$6:$G$158),0))</f>
        <v>0</v>
      </c>
      <c r="CN116" s="357">
        <f t="shared" si="10"/>
        <v>1</v>
      </c>
    </row>
    <row r="117" spans="2:92" s="310" customFormat="1" outlineLevel="1">
      <c r="B117" s="327"/>
      <c r="C117" s="328" t="s">
        <v>498</v>
      </c>
      <c r="D117" s="328" t="s">
        <v>499</v>
      </c>
      <c r="E117" s="329"/>
      <c r="F117" s="318">
        <f>+SUMIF('Consolidado Costos'!$K$6:$K$158,$C117,'Consolidado Costos'!$AD$6:$AD$158)</f>
        <v>0</v>
      </c>
      <c r="G117" s="318">
        <f>+SUMIF('Consolidado Costos'!$K$6:$K$158,$C117,'Consolidado Costos'!AE$6:AE$158)</f>
        <v>0</v>
      </c>
      <c r="H117" s="318">
        <f>+SUMIF('Consolidado Costos'!$K$6:$K$158,$C117,'Consolidado Costos'!AF$6:AF$158)</f>
        <v>0</v>
      </c>
      <c r="I117" s="318">
        <f>+SUMIF('Consolidado Costos'!$K$6:$K$158,$C117,'Consolidado Costos'!AG$6:AG$158)</f>
        <v>0</v>
      </c>
      <c r="J117" s="318">
        <f>+SUMIF('Consolidado Costos'!$K$6:$K$158,$C117,'Consolidado Costos'!AH$6:AH$158)</f>
        <v>0</v>
      </c>
      <c r="K117" s="318">
        <f>+SUMIF('Consolidado Costos'!$K$6:$K$158,$C117,'Consolidado Costos'!AI$6:AI$158)</f>
        <v>0</v>
      </c>
      <c r="L117" s="318">
        <f>+SUMIF('Consolidado Costos'!$K$6:$K$158,$C117,'Consolidado Costos'!AJ$6:AJ$158)</f>
        <v>0</v>
      </c>
      <c r="M117" s="318">
        <f>+SUMIF('Consolidado Costos'!$K$6:$K$158,$C117,'Consolidado Costos'!AK$6:AK$158)</f>
        <v>0</v>
      </c>
      <c r="N117" s="318">
        <f>+SUMIF('Consolidado Costos'!$K$6:$K$158,$C117,'Consolidado Costos'!AL$6:AL$158)</f>
        <v>0</v>
      </c>
      <c r="O117" s="318">
        <f>+SUMIF('Consolidado Costos'!$K$6:$K$158,$C117,'Consolidado Costos'!AM$6:AM$158)</f>
        <v>0</v>
      </c>
      <c r="P117" s="318">
        <f>+SUMIF('Consolidado Costos'!$K$6:$K$158,$C117,'Consolidado Costos'!AN$6:AN$158)</f>
        <v>0</v>
      </c>
      <c r="Q117" s="318">
        <f>+SUMIF('Consolidado Costos'!$K$6:$K$158,$C117,'Consolidado Costos'!AO$6:AO$158)</f>
        <v>0</v>
      </c>
      <c r="R117" s="318">
        <f>+SUMIF('Consolidado Costos'!$K$6:$K$158,$C117,'Consolidado Costos'!AP$6:AP$158)</f>
        <v>0</v>
      </c>
      <c r="S117" s="357">
        <f t="shared" si="5"/>
        <v>1</v>
      </c>
      <c r="U117" s="327"/>
      <c r="V117" s="328" t="s">
        <v>498</v>
      </c>
      <c r="W117" s="328" t="s">
        <v>499</v>
      </c>
      <c r="X117" s="329"/>
      <c r="Y117" s="354">
        <f t="shared" si="11"/>
        <v>0</v>
      </c>
      <c r="Z117" s="318" cm="1">
        <f t="array" ref="Z117">+SUMPRODUCT(IF('Consolidado Costos'!$K$6:$K$158=$V117,('Consolidado Costos'!AE$6:AE$158*'Consolidado Costos'!$D$6:$D$158),0))</f>
        <v>0</v>
      </c>
      <c r="AA117" s="318" cm="1">
        <f t="array" ref="AA117">+SUMPRODUCT(IF('Consolidado Costos'!$K$6:$K$158=$V117,('Consolidado Costos'!AF$6:AF$158*'Consolidado Costos'!$D$6:$D$158),0))</f>
        <v>0</v>
      </c>
      <c r="AB117" s="318" cm="1">
        <f t="array" ref="AB117">+SUMPRODUCT(IF('Consolidado Costos'!$K$6:$K$158=$V117,('Consolidado Costos'!AG$6:AG$158*'Consolidado Costos'!$D$6:$D$158),0))</f>
        <v>0</v>
      </c>
      <c r="AC117" s="318" cm="1">
        <f t="array" ref="AC117">+SUMPRODUCT(IF('Consolidado Costos'!$K$6:$K$158=$V117,('Consolidado Costos'!AH$6:AH$158*'Consolidado Costos'!$D$6:$D$158),0))</f>
        <v>0</v>
      </c>
      <c r="AD117" s="318" cm="1">
        <f t="array" ref="AD117">+SUMPRODUCT(IF('Consolidado Costos'!$K$6:$K$158=$V117,('Consolidado Costos'!AI$6:AI$158*'Consolidado Costos'!$D$6:$D$158),0))</f>
        <v>0</v>
      </c>
      <c r="AE117" s="318" cm="1">
        <f t="array" ref="AE117">+SUMPRODUCT(IF('Consolidado Costos'!$K$6:$K$158=$V117,('Consolidado Costos'!AJ$6:AJ$158*'Consolidado Costos'!$D$6:$D$158),0))</f>
        <v>0</v>
      </c>
      <c r="AF117" s="318" cm="1">
        <f t="array" ref="AF117">+SUMPRODUCT(IF('Consolidado Costos'!$K$6:$K$158=$V117,('Consolidado Costos'!AK$6:AK$158*'Consolidado Costos'!$D$6:$D$158),0))</f>
        <v>0</v>
      </c>
      <c r="AG117" s="318" cm="1">
        <f t="array" ref="AG117">+SUMPRODUCT(IF('Consolidado Costos'!$K$6:$K$158=$V117,('Consolidado Costos'!AL$6:AL$158*'Consolidado Costos'!$D$6:$D$158),0))</f>
        <v>0</v>
      </c>
      <c r="AH117" s="318" cm="1">
        <f t="array" ref="AH117">+SUMPRODUCT(IF('Consolidado Costos'!$K$6:$K$158=$V117,('Consolidado Costos'!AM$6:AM$158*'Consolidado Costos'!$D$6:$D$158),0))</f>
        <v>0</v>
      </c>
      <c r="AI117" s="318" cm="1">
        <f t="array" ref="AI117">+SUMPRODUCT(IF('Consolidado Costos'!$K$6:$K$158=$V117,('Consolidado Costos'!AN$6:AN$158*'Consolidado Costos'!$D$6:$D$158),0))</f>
        <v>0</v>
      </c>
      <c r="AJ117" s="318" cm="1">
        <f t="array" ref="AJ117">+SUMPRODUCT(IF('Consolidado Costos'!$K$6:$K$158=$V117,('Consolidado Costos'!AO$6:AO$158*'Consolidado Costos'!$D$6:$D$158),0))</f>
        <v>0</v>
      </c>
      <c r="AK117" s="318" cm="1">
        <f t="array" ref="AK117">+SUMPRODUCT(IF('Consolidado Costos'!$K$6:$K$158=$V117,('Consolidado Costos'!AP$6:AP$158*'Consolidado Costos'!$D$6:$D$158),0))</f>
        <v>0</v>
      </c>
      <c r="AM117" s="327"/>
      <c r="AN117" s="328" t="s">
        <v>498</v>
      </c>
      <c r="AO117" s="328" t="s">
        <v>499</v>
      </c>
      <c r="AP117" s="329"/>
      <c r="AQ117" s="354">
        <f t="shared" si="12"/>
        <v>0</v>
      </c>
      <c r="AR117" s="318" cm="1">
        <f t="array" ref="AR117">+SUMPRODUCT(IF('Consolidado Costos'!$K$6:$K$158=$AN117,('Consolidado Costos'!AE$6:AE$158*'Consolidado Costos'!$E$6:$E$158),0))</f>
        <v>0</v>
      </c>
      <c r="AS117" s="318" cm="1">
        <f t="array" ref="AS117">+SUMPRODUCT(IF('Consolidado Costos'!$K$6:$K$158=$AN117,('Consolidado Costos'!AF$6:AF$158*'Consolidado Costos'!$E$6:$E$158),0))</f>
        <v>0</v>
      </c>
      <c r="AT117" s="318" cm="1">
        <f t="array" ref="AT117">+SUMPRODUCT(IF('Consolidado Costos'!$K$6:$K$158=$AN117,('Consolidado Costos'!AG$6:AG$158*'Consolidado Costos'!$E$6:$E$158),0))</f>
        <v>0</v>
      </c>
      <c r="AU117" s="318" cm="1">
        <f t="array" ref="AU117">+SUMPRODUCT(IF('Consolidado Costos'!$K$6:$K$158=$AN117,('Consolidado Costos'!AH$6:AH$158*'Consolidado Costos'!$E$6:$E$158),0))</f>
        <v>0</v>
      </c>
      <c r="AV117" s="318" cm="1">
        <f t="array" ref="AV117">+SUMPRODUCT(IF('Consolidado Costos'!$K$6:$K$158=$AN117,('Consolidado Costos'!AI$6:AI$158*'Consolidado Costos'!$E$6:$E$158),0))</f>
        <v>0</v>
      </c>
      <c r="AW117" s="318" cm="1">
        <f t="array" ref="AW117">+SUMPRODUCT(IF('Consolidado Costos'!$K$6:$K$158=$AN117,('Consolidado Costos'!AJ$6:AJ$158*'Consolidado Costos'!$E$6:$E$158),0))</f>
        <v>0</v>
      </c>
      <c r="AX117" s="318" cm="1">
        <f t="array" ref="AX117">+SUMPRODUCT(IF('Consolidado Costos'!$K$6:$K$158=$AN117,('Consolidado Costos'!AK$6:AK$158*'Consolidado Costos'!$E$6:$E$158),0))</f>
        <v>0</v>
      </c>
      <c r="AY117" s="318" cm="1">
        <f t="array" ref="AY117">+SUMPRODUCT(IF('Consolidado Costos'!$K$6:$K$158=$AN117,('Consolidado Costos'!AL$6:AL$158*'Consolidado Costos'!$E$6:$E$158),0))</f>
        <v>0</v>
      </c>
      <c r="AZ117" s="318" cm="1">
        <f t="array" ref="AZ117">+SUMPRODUCT(IF('Consolidado Costos'!$K$6:$K$158=$AN117,('Consolidado Costos'!AM$6:AM$158*'Consolidado Costos'!$E$6:$E$158),0))</f>
        <v>0</v>
      </c>
      <c r="BA117" s="318" cm="1">
        <f t="array" ref="BA117">+SUMPRODUCT(IF('Consolidado Costos'!$K$6:$K$158=$AN117,('Consolidado Costos'!AN$6:AN$158*'Consolidado Costos'!$E$6:$E$158),0))</f>
        <v>0</v>
      </c>
      <c r="BB117" s="318" cm="1">
        <f t="array" ref="BB117">+SUMPRODUCT(IF('Consolidado Costos'!$K$6:$K$158=$AN117,('Consolidado Costos'!AO$6:AO$158*'Consolidado Costos'!$E$6:$E$158),0))</f>
        <v>0</v>
      </c>
      <c r="BC117" s="318" cm="1">
        <f t="array" ref="BC117">+SUMPRODUCT(IF('Consolidado Costos'!$K$6:$K$158=$AN117,('Consolidado Costos'!AP$6:AP$158*'Consolidado Costos'!$E$6:$E$158),0))</f>
        <v>0</v>
      </c>
      <c r="BE117" s="327"/>
      <c r="BF117" s="328" t="s">
        <v>498</v>
      </c>
      <c r="BG117" s="328" t="s">
        <v>499</v>
      </c>
      <c r="BH117" s="329"/>
      <c r="BI117" s="354">
        <f t="shared" si="13"/>
        <v>0</v>
      </c>
      <c r="BJ117" s="318" cm="1">
        <f t="array" ref="BJ117">+SUMPRODUCT(IF('Consolidado Costos'!$K$6:$K$158=$BF117,('Consolidado Costos'!AE$6:AE$158*'Consolidado Costos'!$F$6:$F$158),0))</f>
        <v>0</v>
      </c>
      <c r="BK117" s="318" cm="1">
        <f t="array" ref="BK117">+SUMPRODUCT(IF('Consolidado Costos'!$K$6:$K$158=$BF117,('Consolidado Costos'!AF$6:AF$158*'Consolidado Costos'!$F$6:$F$158),0))</f>
        <v>0</v>
      </c>
      <c r="BL117" s="318" cm="1">
        <f t="array" ref="BL117">+SUMPRODUCT(IF('Consolidado Costos'!$K$6:$K$158=$BF117,('Consolidado Costos'!AG$6:AG$158*'Consolidado Costos'!$F$6:$F$158),0))</f>
        <v>0</v>
      </c>
      <c r="BM117" s="318" cm="1">
        <f t="array" ref="BM117">+SUMPRODUCT(IF('Consolidado Costos'!$K$6:$K$158=$BF117,('Consolidado Costos'!AH$6:AH$158*'Consolidado Costos'!$F$6:$F$158),0))</f>
        <v>0</v>
      </c>
      <c r="BN117" s="318" cm="1">
        <f t="array" ref="BN117">+SUMPRODUCT(IF('Consolidado Costos'!$K$6:$K$158=$BF117,('Consolidado Costos'!AI$6:AI$158*'Consolidado Costos'!$F$6:$F$158),0))</f>
        <v>0</v>
      </c>
      <c r="BO117" s="318" cm="1">
        <f t="array" ref="BO117">+SUMPRODUCT(IF('Consolidado Costos'!$K$6:$K$158=$BF117,('Consolidado Costos'!AJ$6:AJ$158*'Consolidado Costos'!$F$6:$F$158),0))</f>
        <v>0</v>
      </c>
      <c r="BP117" s="318" cm="1">
        <f t="array" ref="BP117">+SUMPRODUCT(IF('Consolidado Costos'!$K$6:$K$158=$BF117,('Consolidado Costos'!AK$6:AK$158*'Consolidado Costos'!$F$6:$F$158),0))</f>
        <v>0</v>
      </c>
      <c r="BQ117" s="318" cm="1">
        <f t="array" ref="BQ117">+SUMPRODUCT(IF('Consolidado Costos'!$K$6:$K$158=$BF117,('Consolidado Costos'!AL$6:AL$158*'Consolidado Costos'!$F$6:$F$158),0))</f>
        <v>0</v>
      </c>
      <c r="BR117" s="318" cm="1">
        <f t="array" ref="BR117">+SUMPRODUCT(IF('Consolidado Costos'!$K$6:$K$158=$BF117,('Consolidado Costos'!AM$6:AM$158*'Consolidado Costos'!$F$6:$F$158),0))</f>
        <v>0</v>
      </c>
      <c r="BS117" s="318" cm="1">
        <f t="array" ref="BS117">+SUMPRODUCT(IF('Consolidado Costos'!$K$6:$K$158=$BF117,('Consolidado Costos'!AN$6:AN$158*'Consolidado Costos'!$F$6:$F$158),0))</f>
        <v>0</v>
      </c>
      <c r="BT117" s="318" cm="1">
        <f t="array" ref="BT117">+SUMPRODUCT(IF('Consolidado Costos'!$K$6:$K$158=$BF117,('Consolidado Costos'!AO$6:AO$158*'Consolidado Costos'!$F$6:$F$158),0))</f>
        <v>0</v>
      </c>
      <c r="BU117" s="318" cm="1">
        <f t="array" ref="BU117">+SUMPRODUCT(IF('Consolidado Costos'!$K$6:$K$158=$BF117,('Consolidado Costos'!AP$6:AP$158*'Consolidado Costos'!$F$6:$F$158),0))</f>
        <v>0</v>
      </c>
      <c r="BW117" s="327"/>
      <c r="BX117" s="328" t="s">
        <v>498</v>
      </c>
      <c r="BY117" s="328" t="s">
        <v>499</v>
      </c>
      <c r="BZ117" s="329"/>
      <c r="CA117" s="354">
        <f t="shared" si="14"/>
        <v>0</v>
      </c>
      <c r="CB117" s="318" cm="1">
        <f t="array" ref="CB117">+SUMPRODUCT(IF('Consolidado Costos'!$K$6:$K$158=$BX117,('Consolidado Costos'!AE$6:AE$158*'Consolidado Costos'!$G$6:$G$158),0))</f>
        <v>0</v>
      </c>
      <c r="CC117" s="318" cm="1">
        <f t="array" ref="CC117">+SUMPRODUCT(IF('Consolidado Costos'!$K$6:$K$158=$BX117,('Consolidado Costos'!AF$6:AF$158*'Consolidado Costos'!$G$6:$G$158),0))</f>
        <v>0</v>
      </c>
      <c r="CD117" s="318" cm="1">
        <f t="array" ref="CD117">+SUMPRODUCT(IF('Consolidado Costos'!$K$6:$K$158=$BX117,('Consolidado Costos'!AG$6:AG$158*'Consolidado Costos'!$G$6:$G$158),0))</f>
        <v>0</v>
      </c>
      <c r="CE117" s="318" cm="1">
        <f t="array" ref="CE117">+SUMPRODUCT(IF('Consolidado Costos'!$K$6:$K$158=$BX117,('Consolidado Costos'!AH$6:AH$158*'Consolidado Costos'!$G$6:$G$158),0))</f>
        <v>0</v>
      </c>
      <c r="CF117" s="318" cm="1">
        <f t="array" ref="CF117">+SUMPRODUCT(IF('Consolidado Costos'!$K$6:$K$158=$BX117,('Consolidado Costos'!AI$6:AI$158*'Consolidado Costos'!$G$6:$G$158),0))</f>
        <v>0</v>
      </c>
      <c r="CG117" s="318" cm="1">
        <f t="array" ref="CG117">+SUMPRODUCT(IF('Consolidado Costos'!$K$6:$K$158=$BX117,('Consolidado Costos'!AJ$6:AJ$158*'Consolidado Costos'!$G$6:$G$158),0))</f>
        <v>0</v>
      </c>
      <c r="CH117" s="318" cm="1">
        <f t="array" ref="CH117">+SUMPRODUCT(IF('Consolidado Costos'!$K$6:$K$158=$BX117,('Consolidado Costos'!AK$6:AK$158*'Consolidado Costos'!$G$6:$G$158),0))</f>
        <v>0</v>
      </c>
      <c r="CI117" s="318" cm="1">
        <f t="array" ref="CI117">+SUMPRODUCT(IF('Consolidado Costos'!$K$6:$K$158=$BX117,('Consolidado Costos'!AL$6:AL$158*'Consolidado Costos'!$G$6:$G$158),0))</f>
        <v>0</v>
      </c>
      <c r="CJ117" s="318" cm="1">
        <f t="array" ref="CJ117">+SUMPRODUCT(IF('Consolidado Costos'!$K$6:$K$158=$BX117,('Consolidado Costos'!AM$6:AM$158*'Consolidado Costos'!$G$6:$G$158),0))</f>
        <v>0</v>
      </c>
      <c r="CK117" s="318" cm="1">
        <f t="array" ref="CK117">+SUMPRODUCT(IF('Consolidado Costos'!$K$6:$K$158=$BX117,('Consolidado Costos'!AN$6:AN$158*'Consolidado Costos'!$G$6:$G$158),0))</f>
        <v>0</v>
      </c>
      <c r="CL117" s="318" cm="1">
        <f t="array" ref="CL117">+SUMPRODUCT(IF('Consolidado Costos'!$K$6:$K$158=$BX117,('Consolidado Costos'!AO$6:AO$158*'Consolidado Costos'!$G$6:$G$158),0))</f>
        <v>0</v>
      </c>
      <c r="CM117" s="318" cm="1">
        <f t="array" ref="CM117">+SUMPRODUCT(IF('Consolidado Costos'!$K$6:$K$158=$BX117,('Consolidado Costos'!AP$6:AP$158*'Consolidado Costos'!$G$6:$G$158),0))</f>
        <v>0</v>
      </c>
      <c r="CN117" s="357">
        <f t="shared" si="10"/>
        <v>1</v>
      </c>
    </row>
    <row r="118" spans="2:92" s="310" customFormat="1" outlineLevel="1">
      <c r="B118" s="331"/>
      <c r="C118" s="328" t="s">
        <v>227</v>
      </c>
      <c r="D118" s="328" t="s">
        <v>228</v>
      </c>
      <c r="E118" s="329"/>
      <c r="F118" s="318">
        <f>+SUMIF('Consolidado Costos'!$K$6:$K$158,$C118,'Consolidado Costos'!$AD$6:$AD$158)</f>
        <v>11269.538461538461</v>
      </c>
      <c r="G118" s="318">
        <f>+SUMIF('Consolidado Costos'!$K$6:$K$158,$C118,'Consolidado Costos'!AE$6:AE$158)</f>
        <v>939.12820512820508</v>
      </c>
      <c r="H118" s="318">
        <f>+SUMIF('Consolidado Costos'!$K$6:$K$158,$C118,'Consolidado Costos'!AF$6:AF$158)</f>
        <v>939.12820512820508</v>
      </c>
      <c r="I118" s="318">
        <f>+SUMIF('Consolidado Costos'!$K$6:$K$158,$C118,'Consolidado Costos'!AG$6:AG$158)</f>
        <v>939.12820512820508</v>
      </c>
      <c r="J118" s="318">
        <f>+SUMIF('Consolidado Costos'!$K$6:$K$158,$C118,'Consolidado Costos'!AH$6:AH$158)</f>
        <v>939.12820512820508</v>
      </c>
      <c r="K118" s="318">
        <f>+SUMIF('Consolidado Costos'!$K$6:$K$158,$C118,'Consolidado Costos'!AI$6:AI$158)</f>
        <v>939.12820512820508</v>
      </c>
      <c r="L118" s="318">
        <f>+SUMIF('Consolidado Costos'!$K$6:$K$158,$C118,'Consolidado Costos'!AJ$6:AJ$158)</f>
        <v>939.12820512820508</v>
      </c>
      <c r="M118" s="318">
        <f>+SUMIF('Consolidado Costos'!$K$6:$K$158,$C118,'Consolidado Costos'!AK$6:AK$158)</f>
        <v>939.12820512820508</v>
      </c>
      <c r="N118" s="318">
        <f>+SUMIF('Consolidado Costos'!$K$6:$K$158,$C118,'Consolidado Costos'!AL$6:AL$158)</f>
        <v>939.12820512820508</v>
      </c>
      <c r="O118" s="318">
        <f>+SUMIF('Consolidado Costos'!$K$6:$K$158,$C118,'Consolidado Costos'!AM$6:AM$158)</f>
        <v>939.12820512820508</v>
      </c>
      <c r="P118" s="318">
        <f>+SUMIF('Consolidado Costos'!$K$6:$K$158,$C118,'Consolidado Costos'!AN$6:AN$158)</f>
        <v>939.12820512820508</v>
      </c>
      <c r="Q118" s="318">
        <f>+SUMIF('Consolidado Costos'!$K$6:$K$158,$C118,'Consolidado Costos'!AO$6:AO$158)</f>
        <v>939.12820512820508</v>
      </c>
      <c r="R118" s="318">
        <f>+SUMIF('Consolidado Costos'!$K$6:$K$158,$C118,'Consolidado Costos'!AP$6:AP$158)</f>
        <v>939.12820512820508</v>
      </c>
      <c r="S118" s="357">
        <f t="shared" si="5"/>
        <v>1</v>
      </c>
      <c r="U118" s="331"/>
      <c r="V118" s="328" t="s">
        <v>227</v>
      </c>
      <c r="W118" s="328" t="s">
        <v>228</v>
      </c>
      <c r="X118" s="329"/>
      <c r="Y118" s="354">
        <f t="shared" si="11"/>
        <v>10095.507692307692</v>
      </c>
      <c r="Z118" s="318" cm="1">
        <f t="array" ref="Z118">+SUMPRODUCT(IF('Consolidado Costos'!$K$6:$K$158=$V118,('Consolidado Costos'!AE$6:AE$158*'Consolidado Costos'!$D$6:$D$158),0))</f>
        <v>841.29230769230776</v>
      </c>
      <c r="AA118" s="318" cm="1">
        <f t="array" ref="AA118">+SUMPRODUCT(IF('Consolidado Costos'!$K$6:$K$158=$V118,('Consolidado Costos'!AF$6:AF$158*'Consolidado Costos'!$D$6:$D$158),0))</f>
        <v>841.29230769230776</v>
      </c>
      <c r="AB118" s="318" cm="1">
        <f t="array" ref="AB118">+SUMPRODUCT(IF('Consolidado Costos'!$K$6:$K$158=$V118,('Consolidado Costos'!AG$6:AG$158*'Consolidado Costos'!$D$6:$D$158),0))</f>
        <v>841.29230769230776</v>
      </c>
      <c r="AC118" s="318" cm="1">
        <f t="array" ref="AC118">+SUMPRODUCT(IF('Consolidado Costos'!$K$6:$K$158=$V118,('Consolidado Costos'!AH$6:AH$158*'Consolidado Costos'!$D$6:$D$158),0))</f>
        <v>841.29230769230776</v>
      </c>
      <c r="AD118" s="318" cm="1">
        <f t="array" ref="AD118">+SUMPRODUCT(IF('Consolidado Costos'!$K$6:$K$158=$V118,('Consolidado Costos'!AI$6:AI$158*'Consolidado Costos'!$D$6:$D$158),0))</f>
        <v>841.29230769230776</v>
      </c>
      <c r="AE118" s="318" cm="1">
        <f t="array" ref="AE118">+SUMPRODUCT(IF('Consolidado Costos'!$K$6:$K$158=$V118,('Consolidado Costos'!AJ$6:AJ$158*'Consolidado Costos'!$D$6:$D$158),0))</f>
        <v>841.29230769230776</v>
      </c>
      <c r="AF118" s="318" cm="1">
        <f t="array" ref="AF118">+SUMPRODUCT(IF('Consolidado Costos'!$K$6:$K$158=$V118,('Consolidado Costos'!AK$6:AK$158*'Consolidado Costos'!$D$6:$D$158),0))</f>
        <v>841.29230769230776</v>
      </c>
      <c r="AG118" s="318" cm="1">
        <f t="array" ref="AG118">+SUMPRODUCT(IF('Consolidado Costos'!$K$6:$K$158=$V118,('Consolidado Costos'!AL$6:AL$158*'Consolidado Costos'!$D$6:$D$158),0))</f>
        <v>841.29230769230776</v>
      </c>
      <c r="AH118" s="318" cm="1">
        <f t="array" ref="AH118">+SUMPRODUCT(IF('Consolidado Costos'!$K$6:$K$158=$V118,('Consolidado Costos'!AM$6:AM$158*'Consolidado Costos'!$D$6:$D$158),0))</f>
        <v>841.29230769230776</v>
      </c>
      <c r="AI118" s="318" cm="1">
        <f t="array" ref="AI118">+SUMPRODUCT(IF('Consolidado Costos'!$K$6:$K$158=$V118,('Consolidado Costos'!AN$6:AN$158*'Consolidado Costos'!$D$6:$D$158),0))</f>
        <v>841.29230769230776</v>
      </c>
      <c r="AJ118" s="318" cm="1">
        <f t="array" ref="AJ118">+SUMPRODUCT(IF('Consolidado Costos'!$K$6:$K$158=$V118,('Consolidado Costos'!AO$6:AO$158*'Consolidado Costos'!$D$6:$D$158),0))</f>
        <v>841.29230769230776</v>
      </c>
      <c r="AK118" s="318" cm="1">
        <f t="array" ref="AK118">+SUMPRODUCT(IF('Consolidado Costos'!$K$6:$K$158=$V118,('Consolidado Costos'!AP$6:AP$158*'Consolidado Costos'!$D$6:$D$158),0))</f>
        <v>841.29230769230776</v>
      </c>
      <c r="AM118" s="331"/>
      <c r="AN118" s="328" t="s">
        <v>227</v>
      </c>
      <c r="AO118" s="328" t="s">
        <v>228</v>
      </c>
      <c r="AP118" s="329"/>
      <c r="AQ118" s="354">
        <f t="shared" si="12"/>
        <v>913.96923076923076</v>
      </c>
      <c r="AR118" s="318" cm="1">
        <f t="array" ref="AR118">+SUMPRODUCT(IF('Consolidado Costos'!$K$6:$K$158=$AN118,('Consolidado Costos'!AE$6:AE$158*'Consolidado Costos'!$E$6:$E$158),0))</f>
        <v>76.164102564102564</v>
      </c>
      <c r="AS118" s="318" cm="1">
        <f t="array" ref="AS118">+SUMPRODUCT(IF('Consolidado Costos'!$K$6:$K$158=$AN118,('Consolidado Costos'!AF$6:AF$158*'Consolidado Costos'!$E$6:$E$158),0))</f>
        <v>76.164102564102564</v>
      </c>
      <c r="AT118" s="318" cm="1">
        <f t="array" ref="AT118">+SUMPRODUCT(IF('Consolidado Costos'!$K$6:$K$158=$AN118,('Consolidado Costos'!AG$6:AG$158*'Consolidado Costos'!$E$6:$E$158),0))</f>
        <v>76.164102564102564</v>
      </c>
      <c r="AU118" s="318" cm="1">
        <f t="array" ref="AU118">+SUMPRODUCT(IF('Consolidado Costos'!$K$6:$K$158=$AN118,('Consolidado Costos'!AH$6:AH$158*'Consolidado Costos'!$E$6:$E$158),0))</f>
        <v>76.164102564102564</v>
      </c>
      <c r="AV118" s="318" cm="1">
        <f t="array" ref="AV118">+SUMPRODUCT(IF('Consolidado Costos'!$K$6:$K$158=$AN118,('Consolidado Costos'!AI$6:AI$158*'Consolidado Costos'!$E$6:$E$158),0))</f>
        <v>76.164102564102564</v>
      </c>
      <c r="AW118" s="318" cm="1">
        <f t="array" ref="AW118">+SUMPRODUCT(IF('Consolidado Costos'!$K$6:$K$158=$AN118,('Consolidado Costos'!AJ$6:AJ$158*'Consolidado Costos'!$E$6:$E$158),0))</f>
        <v>76.164102564102564</v>
      </c>
      <c r="AX118" s="318" cm="1">
        <f t="array" ref="AX118">+SUMPRODUCT(IF('Consolidado Costos'!$K$6:$K$158=$AN118,('Consolidado Costos'!AK$6:AK$158*'Consolidado Costos'!$E$6:$E$158),0))</f>
        <v>76.164102564102564</v>
      </c>
      <c r="AY118" s="318" cm="1">
        <f t="array" ref="AY118">+SUMPRODUCT(IF('Consolidado Costos'!$K$6:$K$158=$AN118,('Consolidado Costos'!AL$6:AL$158*'Consolidado Costos'!$E$6:$E$158),0))</f>
        <v>76.164102564102564</v>
      </c>
      <c r="AZ118" s="318" cm="1">
        <f t="array" ref="AZ118">+SUMPRODUCT(IF('Consolidado Costos'!$K$6:$K$158=$AN118,('Consolidado Costos'!AM$6:AM$158*'Consolidado Costos'!$E$6:$E$158),0))</f>
        <v>76.164102564102564</v>
      </c>
      <c r="BA118" s="318" cm="1">
        <f t="array" ref="BA118">+SUMPRODUCT(IF('Consolidado Costos'!$K$6:$K$158=$AN118,('Consolidado Costos'!AN$6:AN$158*'Consolidado Costos'!$E$6:$E$158),0))</f>
        <v>76.164102564102564</v>
      </c>
      <c r="BB118" s="318" cm="1">
        <f t="array" ref="BB118">+SUMPRODUCT(IF('Consolidado Costos'!$K$6:$K$158=$AN118,('Consolidado Costos'!AO$6:AO$158*'Consolidado Costos'!$E$6:$E$158),0))</f>
        <v>76.164102564102564</v>
      </c>
      <c r="BC118" s="318" cm="1">
        <f t="array" ref="BC118">+SUMPRODUCT(IF('Consolidado Costos'!$K$6:$K$158=$AN118,('Consolidado Costos'!AP$6:AP$158*'Consolidado Costos'!$E$6:$E$158),0))</f>
        <v>76.164102564102564</v>
      </c>
      <c r="BE118" s="331"/>
      <c r="BF118" s="328" t="s">
        <v>227</v>
      </c>
      <c r="BG118" s="328" t="s">
        <v>228</v>
      </c>
      <c r="BH118" s="329"/>
      <c r="BI118" s="354">
        <f t="shared" si="13"/>
        <v>260.06153846153848</v>
      </c>
      <c r="BJ118" s="318" cm="1">
        <f t="array" ref="BJ118">+SUMPRODUCT(IF('Consolidado Costos'!$K$6:$K$158=$BF118,('Consolidado Costos'!AE$6:AE$158*'Consolidado Costos'!$F$6:$F$158),0))</f>
        <v>21.671794871794873</v>
      </c>
      <c r="BK118" s="318" cm="1">
        <f t="array" ref="BK118">+SUMPRODUCT(IF('Consolidado Costos'!$K$6:$K$158=$BF118,('Consolidado Costos'!AF$6:AF$158*'Consolidado Costos'!$F$6:$F$158),0))</f>
        <v>21.671794871794873</v>
      </c>
      <c r="BL118" s="318" cm="1">
        <f t="array" ref="BL118">+SUMPRODUCT(IF('Consolidado Costos'!$K$6:$K$158=$BF118,('Consolidado Costos'!AG$6:AG$158*'Consolidado Costos'!$F$6:$F$158),0))</f>
        <v>21.671794871794873</v>
      </c>
      <c r="BM118" s="318" cm="1">
        <f t="array" ref="BM118">+SUMPRODUCT(IF('Consolidado Costos'!$K$6:$K$158=$BF118,('Consolidado Costos'!AH$6:AH$158*'Consolidado Costos'!$F$6:$F$158),0))</f>
        <v>21.671794871794873</v>
      </c>
      <c r="BN118" s="318" cm="1">
        <f t="array" ref="BN118">+SUMPRODUCT(IF('Consolidado Costos'!$K$6:$K$158=$BF118,('Consolidado Costos'!AI$6:AI$158*'Consolidado Costos'!$F$6:$F$158),0))</f>
        <v>21.671794871794873</v>
      </c>
      <c r="BO118" s="318" cm="1">
        <f t="array" ref="BO118">+SUMPRODUCT(IF('Consolidado Costos'!$K$6:$K$158=$BF118,('Consolidado Costos'!AJ$6:AJ$158*'Consolidado Costos'!$F$6:$F$158),0))</f>
        <v>21.671794871794873</v>
      </c>
      <c r="BP118" s="318" cm="1">
        <f t="array" ref="BP118">+SUMPRODUCT(IF('Consolidado Costos'!$K$6:$K$158=$BF118,('Consolidado Costos'!AK$6:AK$158*'Consolidado Costos'!$F$6:$F$158),0))</f>
        <v>21.671794871794873</v>
      </c>
      <c r="BQ118" s="318" cm="1">
        <f t="array" ref="BQ118">+SUMPRODUCT(IF('Consolidado Costos'!$K$6:$K$158=$BF118,('Consolidado Costos'!AL$6:AL$158*'Consolidado Costos'!$F$6:$F$158),0))</f>
        <v>21.671794871794873</v>
      </c>
      <c r="BR118" s="318" cm="1">
        <f t="array" ref="BR118">+SUMPRODUCT(IF('Consolidado Costos'!$K$6:$K$158=$BF118,('Consolidado Costos'!AM$6:AM$158*'Consolidado Costos'!$F$6:$F$158),0))</f>
        <v>21.671794871794873</v>
      </c>
      <c r="BS118" s="318" cm="1">
        <f t="array" ref="BS118">+SUMPRODUCT(IF('Consolidado Costos'!$K$6:$K$158=$BF118,('Consolidado Costos'!AN$6:AN$158*'Consolidado Costos'!$F$6:$F$158),0))</f>
        <v>21.671794871794873</v>
      </c>
      <c r="BT118" s="318" cm="1">
        <f t="array" ref="BT118">+SUMPRODUCT(IF('Consolidado Costos'!$K$6:$K$158=$BF118,('Consolidado Costos'!AO$6:AO$158*'Consolidado Costos'!$F$6:$F$158),0))</f>
        <v>21.671794871794873</v>
      </c>
      <c r="BU118" s="318" cm="1">
        <f t="array" ref="BU118">+SUMPRODUCT(IF('Consolidado Costos'!$K$6:$K$158=$BF118,('Consolidado Costos'!AP$6:AP$158*'Consolidado Costos'!$F$6:$F$158),0))</f>
        <v>21.671794871794873</v>
      </c>
      <c r="BW118" s="331"/>
      <c r="BX118" s="328" t="s">
        <v>227</v>
      </c>
      <c r="BY118" s="328" t="s">
        <v>228</v>
      </c>
      <c r="BZ118" s="329"/>
      <c r="CA118" s="354">
        <f t="shared" si="14"/>
        <v>0</v>
      </c>
      <c r="CB118" s="318" cm="1">
        <f t="array" ref="CB118">+SUMPRODUCT(IF('Consolidado Costos'!$K$6:$K$158=$BX118,('Consolidado Costos'!AE$6:AE$158*'Consolidado Costos'!$G$6:$G$158),0))</f>
        <v>0</v>
      </c>
      <c r="CC118" s="318" cm="1">
        <f t="array" ref="CC118">+SUMPRODUCT(IF('Consolidado Costos'!$K$6:$K$158=$BX118,('Consolidado Costos'!AF$6:AF$158*'Consolidado Costos'!$G$6:$G$158),0))</f>
        <v>0</v>
      </c>
      <c r="CD118" s="318" cm="1">
        <f t="array" ref="CD118">+SUMPRODUCT(IF('Consolidado Costos'!$K$6:$K$158=$BX118,('Consolidado Costos'!AG$6:AG$158*'Consolidado Costos'!$G$6:$G$158),0))</f>
        <v>0</v>
      </c>
      <c r="CE118" s="318" cm="1">
        <f t="array" ref="CE118">+SUMPRODUCT(IF('Consolidado Costos'!$K$6:$K$158=$BX118,('Consolidado Costos'!AH$6:AH$158*'Consolidado Costos'!$G$6:$G$158),0))</f>
        <v>0</v>
      </c>
      <c r="CF118" s="318" cm="1">
        <f t="array" ref="CF118">+SUMPRODUCT(IF('Consolidado Costos'!$K$6:$K$158=$BX118,('Consolidado Costos'!AI$6:AI$158*'Consolidado Costos'!$G$6:$G$158),0))</f>
        <v>0</v>
      </c>
      <c r="CG118" s="318" cm="1">
        <f t="array" ref="CG118">+SUMPRODUCT(IF('Consolidado Costos'!$K$6:$K$158=$BX118,('Consolidado Costos'!AJ$6:AJ$158*'Consolidado Costos'!$G$6:$G$158),0))</f>
        <v>0</v>
      </c>
      <c r="CH118" s="318" cm="1">
        <f t="array" ref="CH118">+SUMPRODUCT(IF('Consolidado Costos'!$K$6:$K$158=$BX118,('Consolidado Costos'!AK$6:AK$158*'Consolidado Costos'!$G$6:$G$158),0))</f>
        <v>0</v>
      </c>
      <c r="CI118" s="318" cm="1">
        <f t="array" ref="CI118">+SUMPRODUCT(IF('Consolidado Costos'!$K$6:$K$158=$BX118,('Consolidado Costos'!AL$6:AL$158*'Consolidado Costos'!$G$6:$G$158),0))</f>
        <v>0</v>
      </c>
      <c r="CJ118" s="318" cm="1">
        <f t="array" ref="CJ118">+SUMPRODUCT(IF('Consolidado Costos'!$K$6:$K$158=$BX118,('Consolidado Costos'!AM$6:AM$158*'Consolidado Costos'!$G$6:$G$158),0))</f>
        <v>0</v>
      </c>
      <c r="CK118" s="318" cm="1">
        <f t="array" ref="CK118">+SUMPRODUCT(IF('Consolidado Costos'!$K$6:$K$158=$BX118,('Consolidado Costos'!AN$6:AN$158*'Consolidado Costos'!$G$6:$G$158),0))</f>
        <v>0</v>
      </c>
      <c r="CL118" s="318" cm="1">
        <f t="array" ref="CL118">+SUMPRODUCT(IF('Consolidado Costos'!$K$6:$K$158=$BX118,('Consolidado Costos'!AO$6:AO$158*'Consolidado Costos'!$G$6:$G$158),0))</f>
        <v>0</v>
      </c>
      <c r="CM118" s="318" cm="1">
        <f t="array" ref="CM118">+SUMPRODUCT(IF('Consolidado Costos'!$K$6:$K$158=$BX118,('Consolidado Costos'!AP$6:AP$158*'Consolidado Costos'!$G$6:$G$158),0))</f>
        <v>0</v>
      </c>
      <c r="CN118" s="357">
        <f>+IF(SUM(CA118+BI118+AQ118+Y118)=F118,1,0)</f>
        <v>1</v>
      </c>
    </row>
    <row r="119" spans="2:92" s="310" customFormat="1" outlineLevel="1">
      <c r="B119" s="331"/>
      <c r="C119" s="328" t="s">
        <v>500</v>
      </c>
      <c r="D119" s="328" t="s">
        <v>501</v>
      </c>
      <c r="E119" s="329"/>
      <c r="F119" s="318">
        <f>+SUMIF('Consolidado Costos'!$K$6:$K$158,$C119,'Consolidado Costos'!$AD$6:$AD$158)</f>
        <v>0</v>
      </c>
      <c r="G119" s="318">
        <f>+SUMIF('Consolidado Costos'!$K$6:$K$158,$C119,'Consolidado Costos'!AE$6:AE$158)</f>
        <v>0</v>
      </c>
      <c r="H119" s="318">
        <f>+SUMIF('Consolidado Costos'!$K$6:$K$158,$C119,'Consolidado Costos'!AF$6:AF$158)</f>
        <v>0</v>
      </c>
      <c r="I119" s="318">
        <f>+SUMIF('Consolidado Costos'!$K$6:$K$158,$C119,'Consolidado Costos'!AG$6:AG$158)</f>
        <v>0</v>
      </c>
      <c r="J119" s="318">
        <f>+SUMIF('Consolidado Costos'!$K$6:$K$158,$C119,'Consolidado Costos'!AH$6:AH$158)</f>
        <v>0</v>
      </c>
      <c r="K119" s="318">
        <f>+SUMIF('Consolidado Costos'!$K$6:$K$158,$C119,'Consolidado Costos'!AI$6:AI$158)</f>
        <v>0</v>
      </c>
      <c r="L119" s="318">
        <f>+SUMIF('Consolidado Costos'!$K$6:$K$158,$C119,'Consolidado Costos'!AJ$6:AJ$158)</f>
        <v>0</v>
      </c>
      <c r="M119" s="318">
        <f>+SUMIF('Consolidado Costos'!$K$6:$K$158,$C119,'Consolidado Costos'!AK$6:AK$158)</f>
        <v>0</v>
      </c>
      <c r="N119" s="318">
        <f>+SUMIF('Consolidado Costos'!$K$6:$K$158,$C119,'Consolidado Costos'!AL$6:AL$158)</f>
        <v>0</v>
      </c>
      <c r="O119" s="318">
        <f>+SUMIF('Consolidado Costos'!$K$6:$K$158,$C119,'Consolidado Costos'!AM$6:AM$158)</f>
        <v>0</v>
      </c>
      <c r="P119" s="318">
        <f>+SUMIF('Consolidado Costos'!$K$6:$K$158,$C119,'Consolidado Costos'!AN$6:AN$158)</f>
        <v>0</v>
      </c>
      <c r="Q119" s="318">
        <f>+SUMIF('Consolidado Costos'!$K$6:$K$158,$C119,'Consolidado Costos'!AO$6:AO$158)</f>
        <v>0</v>
      </c>
      <c r="R119" s="318">
        <f>+SUMIF('Consolidado Costos'!$K$6:$K$158,$C119,'Consolidado Costos'!AP$6:AP$158)</f>
        <v>0</v>
      </c>
      <c r="S119" s="357">
        <f t="shared" si="5"/>
        <v>1</v>
      </c>
      <c r="U119" s="331"/>
      <c r="V119" s="328" t="s">
        <v>500</v>
      </c>
      <c r="W119" s="328" t="s">
        <v>501</v>
      </c>
      <c r="X119" s="329"/>
      <c r="Y119" s="354">
        <f t="shared" si="11"/>
        <v>0</v>
      </c>
      <c r="Z119" s="318" cm="1">
        <f t="array" ref="Z119">+SUMPRODUCT(IF('Consolidado Costos'!$K$6:$K$158=$V119,('Consolidado Costos'!AE$6:AE$158*'Consolidado Costos'!$D$6:$D$158),0))</f>
        <v>0</v>
      </c>
      <c r="AA119" s="318" cm="1">
        <f t="array" ref="AA119">+SUMPRODUCT(IF('Consolidado Costos'!$K$6:$K$158=$V119,('Consolidado Costos'!AF$6:AF$158*'Consolidado Costos'!$D$6:$D$158),0))</f>
        <v>0</v>
      </c>
      <c r="AB119" s="318" cm="1">
        <f t="array" ref="AB119">+SUMPRODUCT(IF('Consolidado Costos'!$K$6:$K$158=$V119,('Consolidado Costos'!AG$6:AG$158*'Consolidado Costos'!$D$6:$D$158),0))</f>
        <v>0</v>
      </c>
      <c r="AC119" s="318" cm="1">
        <f t="array" ref="AC119">+SUMPRODUCT(IF('Consolidado Costos'!$K$6:$K$158=$V119,('Consolidado Costos'!AH$6:AH$158*'Consolidado Costos'!$D$6:$D$158),0))</f>
        <v>0</v>
      </c>
      <c r="AD119" s="318" cm="1">
        <f t="array" ref="AD119">+SUMPRODUCT(IF('Consolidado Costos'!$K$6:$K$158=$V119,('Consolidado Costos'!AI$6:AI$158*'Consolidado Costos'!$D$6:$D$158),0))</f>
        <v>0</v>
      </c>
      <c r="AE119" s="318" cm="1">
        <f t="array" ref="AE119">+SUMPRODUCT(IF('Consolidado Costos'!$K$6:$K$158=$V119,('Consolidado Costos'!AJ$6:AJ$158*'Consolidado Costos'!$D$6:$D$158),0))</f>
        <v>0</v>
      </c>
      <c r="AF119" s="318" cm="1">
        <f t="array" ref="AF119">+SUMPRODUCT(IF('Consolidado Costos'!$K$6:$K$158=$V119,('Consolidado Costos'!AK$6:AK$158*'Consolidado Costos'!$D$6:$D$158),0))</f>
        <v>0</v>
      </c>
      <c r="AG119" s="318" cm="1">
        <f t="array" ref="AG119">+SUMPRODUCT(IF('Consolidado Costos'!$K$6:$K$158=$V119,('Consolidado Costos'!AL$6:AL$158*'Consolidado Costos'!$D$6:$D$158),0))</f>
        <v>0</v>
      </c>
      <c r="AH119" s="318" cm="1">
        <f t="array" ref="AH119">+SUMPRODUCT(IF('Consolidado Costos'!$K$6:$K$158=$V119,('Consolidado Costos'!AM$6:AM$158*'Consolidado Costos'!$D$6:$D$158),0))</f>
        <v>0</v>
      </c>
      <c r="AI119" s="318" cm="1">
        <f t="array" ref="AI119">+SUMPRODUCT(IF('Consolidado Costos'!$K$6:$K$158=$V119,('Consolidado Costos'!AN$6:AN$158*'Consolidado Costos'!$D$6:$D$158),0))</f>
        <v>0</v>
      </c>
      <c r="AJ119" s="318" cm="1">
        <f t="array" ref="AJ119">+SUMPRODUCT(IF('Consolidado Costos'!$K$6:$K$158=$V119,('Consolidado Costos'!AO$6:AO$158*'Consolidado Costos'!$D$6:$D$158),0))</f>
        <v>0</v>
      </c>
      <c r="AK119" s="318" cm="1">
        <f t="array" ref="AK119">+SUMPRODUCT(IF('Consolidado Costos'!$K$6:$K$158=$V119,('Consolidado Costos'!AP$6:AP$158*'Consolidado Costos'!$D$6:$D$158),0))</f>
        <v>0</v>
      </c>
      <c r="AM119" s="331"/>
      <c r="AN119" s="328" t="s">
        <v>500</v>
      </c>
      <c r="AO119" s="328" t="s">
        <v>501</v>
      </c>
      <c r="AP119" s="329"/>
      <c r="AQ119" s="354">
        <f t="shared" si="12"/>
        <v>0</v>
      </c>
      <c r="AR119" s="318" cm="1">
        <f t="array" ref="AR119">+SUMPRODUCT(IF('Consolidado Costos'!$K$6:$K$158=$AN119,('Consolidado Costos'!AE$6:AE$158*'Consolidado Costos'!$E$6:$E$158),0))</f>
        <v>0</v>
      </c>
      <c r="AS119" s="318" cm="1">
        <f t="array" ref="AS119">+SUMPRODUCT(IF('Consolidado Costos'!$K$6:$K$158=$AN119,('Consolidado Costos'!AF$6:AF$158*'Consolidado Costos'!$E$6:$E$158),0))</f>
        <v>0</v>
      </c>
      <c r="AT119" s="318" cm="1">
        <f t="array" ref="AT119">+SUMPRODUCT(IF('Consolidado Costos'!$K$6:$K$158=$AN119,('Consolidado Costos'!AG$6:AG$158*'Consolidado Costos'!$E$6:$E$158),0))</f>
        <v>0</v>
      </c>
      <c r="AU119" s="318" cm="1">
        <f t="array" ref="AU119">+SUMPRODUCT(IF('Consolidado Costos'!$K$6:$K$158=$AN119,('Consolidado Costos'!AH$6:AH$158*'Consolidado Costos'!$E$6:$E$158),0))</f>
        <v>0</v>
      </c>
      <c r="AV119" s="318" cm="1">
        <f t="array" ref="AV119">+SUMPRODUCT(IF('Consolidado Costos'!$K$6:$K$158=$AN119,('Consolidado Costos'!AI$6:AI$158*'Consolidado Costos'!$E$6:$E$158),0))</f>
        <v>0</v>
      </c>
      <c r="AW119" s="318" cm="1">
        <f t="array" ref="AW119">+SUMPRODUCT(IF('Consolidado Costos'!$K$6:$K$158=$AN119,('Consolidado Costos'!AJ$6:AJ$158*'Consolidado Costos'!$E$6:$E$158),0))</f>
        <v>0</v>
      </c>
      <c r="AX119" s="318" cm="1">
        <f t="array" ref="AX119">+SUMPRODUCT(IF('Consolidado Costos'!$K$6:$K$158=$AN119,('Consolidado Costos'!AK$6:AK$158*'Consolidado Costos'!$E$6:$E$158),0))</f>
        <v>0</v>
      </c>
      <c r="AY119" s="318" cm="1">
        <f t="array" ref="AY119">+SUMPRODUCT(IF('Consolidado Costos'!$K$6:$K$158=$AN119,('Consolidado Costos'!AL$6:AL$158*'Consolidado Costos'!$E$6:$E$158),0))</f>
        <v>0</v>
      </c>
      <c r="AZ119" s="318" cm="1">
        <f t="array" ref="AZ119">+SUMPRODUCT(IF('Consolidado Costos'!$K$6:$K$158=$AN119,('Consolidado Costos'!AM$6:AM$158*'Consolidado Costos'!$E$6:$E$158),0))</f>
        <v>0</v>
      </c>
      <c r="BA119" s="318" cm="1">
        <f t="array" ref="BA119">+SUMPRODUCT(IF('Consolidado Costos'!$K$6:$K$158=$AN119,('Consolidado Costos'!AN$6:AN$158*'Consolidado Costos'!$E$6:$E$158),0))</f>
        <v>0</v>
      </c>
      <c r="BB119" s="318" cm="1">
        <f t="array" ref="BB119">+SUMPRODUCT(IF('Consolidado Costos'!$K$6:$K$158=$AN119,('Consolidado Costos'!AO$6:AO$158*'Consolidado Costos'!$E$6:$E$158),0))</f>
        <v>0</v>
      </c>
      <c r="BC119" s="318" cm="1">
        <f t="array" ref="BC119">+SUMPRODUCT(IF('Consolidado Costos'!$K$6:$K$158=$AN119,('Consolidado Costos'!AP$6:AP$158*'Consolidado Costos'!$E$6:$E$158),0))</f>
        <v>0</v>
      </c>
      <c r="BE119" s="331"/>
      <c r="BF119" s="328" t="s">
        <v>500</v>
      </c>
      <c r="BG119" s="328" t="s">
        <v>501</v>
      </c>
      <c r="BH119" s="329"/>
      <c r="BI119" s="354">
        <f t="shared" si="13"/>
        <v>0</v>
      </c>
      <c r="BJ119" s="318" cm="1">
        <f t="array" ref="BJ119">+SUMPRODUCT(IF('Consolidado Costos'!$K$6:$K$158=$BF119,('Consolidado Costos'!AE$6:AE$158*'Consolidado Costos'!$F$6:$F$158),0))</f>
        <v>0</v>
      </c>
      <c r="BK119" s="318" cm="1">
        <f t="array" ref="BK119">+SUMPRODUCT(IF('Consolidado Costos'!$K$6:$K$158=$BF119,('Consolidado Costos'!AF$6:AF$158*'Consolidado Costos'!$F$6:$F$158),0))</f>
        <v>0</v>
      </c>
      <c r="BL119" s="318" cm="1">
        <f t="array" ref="BL119">+SUMPRODUCT(IF('Consolidado Costos'!$K$6:$K$158=$BF119,('Consolidado Costos'!AG$6:AG$158*'Consolidado Costos'!$F$6:$F$158),0))</f>
        <v>0</v>
      </c>
      <c r="BM119" s="318" cm="1">
        <f t="array" ref="BM119">+SUMPRODUCT(IF('Consolidado Costos'!$K$6:$K$158=$BF119,('Consolidado Costos'!AH$6:AH$158*'Consolidado Costos'!$F$6:$F$158),0))</f>
        <v>0</v>
      </c>
      <c r="BN119" s="318" cm="1">
        <f t="array" ref="BN119">+SUMPRODUCT(IF('Consolidado Costos'!$K$6:$K$158=$BF119,('Consolidado Costos'!AI$6:AI$158*'Consolidado Costos'!$F$6:$F$158),0))</f>
        <v>0</v>
      </c>
      <c r="BO119" s="318" cm="1">
        <f t="array" ref="BO119">+SUMPRODUCT(IF('Consolidado Costos'!$K$6:$K$158=$BF119,('Consolidado Costos'!AJ$6:AJ$158*'Consolidado Costos'!$F$6:$F$158),0))</f>
        <v>0</v>
      </c>
      <c r="BP119" s="318" cm="1">
        <f t="array" ref="BP119">+SUMPRODUCT(IF('Consolidado Costos'!$K$6:$K$158=$BF119,('Consolidado Costos'!AK$6:AK$158*'Consolidado Costos'!$F$6:$F$158),0))</f>
        <v>0</v>
      </c>
      <c r="BQ119" s="318" cm="1">
        <f t="array" ref="BQ119">+SUMPRODUCT(IF('Consolidado Costos'!$K$6:$K$158=$BF119,('Consolidado Costos'!AL$6:AL$158*'Consolidado Costos'!$F$6:$F$158),0))</f>
        <v>0</v>
      </c>
      <c r="BR119" s="318" cm="1">
        <f t="array" ref="BR119">+SUMPRODUCT(IF('Consolidado Costos'!$K$6:$K$158=$BF119,('Consolidado Costos'!AM$6:AM$158*'Consolidado Costos'!$F$6:$F$158),0))</f>
        <v>0</v>
      </c>
      <c r="BS119" s="318" cm="1">
        <f t="array" ref="BS119">+SUMPRODUCT(IF('Consolidado Costos'!$K$6:$K$158=$BF119,('Consolidado Costos'!AN$6:AN$158*'Consolidado Costos'!$F$6:$F$158),0))</f>
        <v>0</v>
      </c>
      <c r="BT119" s="318" cm="1">
        <f t="array" ref="BT119">+SUMPRODUCT(IF('Consolidado Costos'!$K$6:$K$158=$BF119,('Consolidado Costos'!AO$6:AO$158*'Consolidado Costos'!$F$6:$F$158),0))</f>
        <v>0</v>
      </c>
      <c r="BU119" s="318" cm="1">
        <f t="array" ref="BU119">+SUMPRODUCT(IF('Consolidado Costos'!$K$6:$K$158=$BF119,('Consolidado Costos'!AP$6:AP$158*'Consolidado Costos'!$F$6:$F$158),0))</f>
        <v>0</v>
      </c>
      <c r="BW119" s="331"/>
      <c r="BX119" s="328" t="s">
        <v>500</v>
      </c>
      <c r="BY119" s="328" t="s">
        <v>501</v>
      </c>
      <c r="BZ119" s="329"/>
      <c r="CA119" s="354">
        <f t="shared" si="14"/>
        <v>0</v>
      </c>
      <c r="CB119" s="318" cm="1">
        <f t="array" ref="CB119">+SUMPRODUCT(IF('Consolidado Costos'!$K$6:$K$158=$BX119,('Consolidado Costos'!AE$6:AE$158*'Consolidado Costos'!$G$6:$G$158),0))</f>
        <v>0</v>
      </c>
      <c r="CC119" s="318" cm="1">
        <f t="array" ref="CC119">+SUMPRODUCT(IF('Consolidado Costos'!$K$6:$K$158=$BX119,('Consolidado Costos'!AF$6:AF$158*'Consolidado Costos'!$G$6:$G$158),0))</f>
        <v>0</v>
      </c>
      <c r="CD119" s="318" cm="1">
        <f t="array" ref="CD119">+SUMPRODUCT(IF('Consolidado Costos'!$K$6:$K$158=$BX119,('Consolidado Costos'!AG$6:AG$158*'Consolidado Costos'!$G$6:$G$158),0))</f>
        <v>0</v>
      </c>
      <c r="CE119" s="318" cm="1">
        <f t="array" ref="CE119">+SUMPRODUCT(IF('Consolidado Costos'!$K$6:$K$158=$BX119,('Consolidado Costos'!AH$6:AH$158*'Consolidado Costos'!$G$6:$G$158),0))</f>
        <v>0</v>
      </c>
      <c r="CF119" s="318" cm="1">
        <f t="array" ref="CF119">+SUMPRODUCT(IF('Consolidado Costos'!$K$6:$K$158=$BX119,('Consolidado Costos'!AI$6:AI$158*'Consolidado Costos'!$G$6:$G$158),0))</f>
        <v>0</v>
      </c>
      <c r="CG119" s="318" cm="1">
        <f t="array" ref="CG119">+SUMPRODUCT(IF('Consolidado Costos'!$K$6:$K$158=$BX119,('Consolidado Costos'!AJ$6:AJ$158*'Consolidado Costos'!$G$6:$G$158),0))</f>
        <v>0</v>
      </c>
      <c r="CH119" s="318" cm="1">
        <f t="array" ref="CH119">+SUMPRODUCT(IF('Consolidado Costos'!$K$6:$K$158=$BX119,('Consolidado Costos'!AK$6:AK$158*'Consolidado Costos'!$G$6:$G$158),0))</f>
        <v>0</v>
      </c>
      <c r="CI119" s="318" cm="1">
        <f t="array" ref="CI119">+SUMPRODUCT(IF('Consolidado Costos'!$K$6:$K$158=$BX119,('Consolidado Costos'!AL$6:AL$158*'Consolidado Costos'!$G$6:$G$158),0))</f>
        <v>0</v>
      </c>
      <c r="CJ119" s="318" cm="1">
        <f t="array" ref="CJ119">+SUMPRODUCT(IF('Consolidado Costos'!$K$6:$K$158=$BX119,('Consolidado Costos'!AM$6:AM$158*'Consolidado Costos'!$G$6:$G$158),0))</f>
        <v>0</v>
      </c>
      <c r="CK119" s="318" cm="1">
        <f t="array" ref="CK119">+SUMPRODUCT(IF('Consolidado Costos'!$K$6:$K$158=$BX119,('Consolidado Costos'!AN$6:AN$158*'Consolidado Costos'!$G$6:$G$158),0))</f>
        <v>0</v>
      </c>
      <c r="CL119" s="318" cm="1">
        <f t="array" ref="CL119">+SUMPRODUCT(IF('Consolidado Costos'!$K$6:$K$158=$BX119,('Consolidado Costos'!AO$6:AO$158*'Consolidado Costos'!$G$6:$G$158),0))</f>
        <v>0</v>
      </c>
      <c r="CM119" s="318" cm="1">
        <f t="array" ref="CM119">+SUMPRODUCT(IF('Consolidado Costos'!$K$6:$K$158=$BX119,('Consolidado Costos'!AP$6:AP$158*'Consolidado Costos'!$G$6:$G$158),0))</f>
        <v>0</v>
      </c>
      <c r="CN119" s="357">
        <f t="shared" si="10"/>
        <v>1</v>
      </c>
    </row>
    <row r="120" spans="2:92" s="310" customFormat="1" outlineLevel="1">
      <c r="B120" s="331"/>
      <c r="C120" s="330" t="s">
        <v>233</v>
      </c>
      <c r="D120" s="330" t="s">
        <v>232</v>
      </c>
      <c r="E120" s="329"/>
      <c r="F120" s="318">
        <f>+SUMIF('Consolidado Costos'!$K$6:$K$158,$C120,'Consolidado Costos'!$AD$6:$AD$158)</f>
        <v>0</v>
      </c>
      <c r="G120" s="318">
        <f>+SUMIF('Consolidado Costos'!$K$6:$K$158,$C120,'Consolidado Costos'!AE$6:AE$158)</f>
        <v>0</v>
      </c>
      <c r="H120" s="318">
        <f>+SUMIF('Consolidado Costos'!$K$6:$K$158,$C120,'Consolidado Costos'!AF$6:AF$158)</f>
        <v>0</v>
      </c>
      <c r="I120" s="318">
        <f>+SUMIF('Consolidado Costos'!$K$6:$K$158,$C120,'Consolidado Costos'!AG$6:AG$158)</f>
        <v>0</v>
      </c>
      <c r="J120" s="318">
        <f>+SUMIF('Consolidado Costos'!$K$6:$K$158,$C120,'Consolidado Costos'!AH$6:AH$158)</f>
        <v>0</v>
      </c>
      <c r="K120" s="318">
        <f>+SUMIF('Consolidado Costos'!$K$6:$K$158,$C120,'Consolidado Costos'!AI$6:AI$158)</f>
        <v>0</v>
      </c>
      <c r="L120" s="318">
        <f>+SUMIF('Consolidado Costos'!$K$6:$K$158,$C120,'Consolidado Costos'!AJ$6:AJ$158)</f>
        <v>0</v>
      </c>
      <c r="M120" s="318">
        <f>+SUMIF('Consolidado Costos'!$K$6:$K$158,$C120,'Consolidado Costos'!AK$6:AK$158)</f>
        <v>0</v>
      </c>
      <c r="N120" s="318">
        <f>+SUMIF('Consolidado Costos'!$K$6:$K$158,$C120,'Consolidado Costos'!AL$6:AL$158)</f>
        <v>0</v>
      </c>
      <c r="O120" s="318">
        <f>+SUMIF('Consolidado Costos'!$K$6:$K$158,$C120,'Consolidado Costos'!AM$6:AM$158)</f>
        <v>0</v>
      </c>
      <c r="P120" s="318">
        <f>+SUMIF('Consolidado Costos'!$K$6:$K$158,$C120,'Consolidado Costos'!AN$6:AN$158)</f>
        <v>0</v>
      </c>
      <c r="Q120" s="318">
        <f>+SUMIF('Consolidado Costos'!$K$6:$K$158,$C120,'Consolidado Costos'!AO$6:AO$158)</f>
        <v>0</v>
      </c>
      <c r="R120" s="318">
        <f>+SUMIF('Consolidado Costos'!$K$6:$K$158,$C120,'Consolidado Costos'!AP$6:AP$158)</f>
        <v>0</v>
      </c>
      <c r="S120" s="357">
        <f t="shared" si="5"/>
        <v>1</v>
      </c>
      <c r="U120" s="331"/>
      <c r="V120" s="330" t="s">
        <v>233</v>
      </c>
      <c r="W120" s="330" t="s">
        <v>232</v>
      </c>
      <c r="X120" s="329"/>
      <c r="Y120" s="354">
        <f t="shared" si="11"/>
        <v>0</v>
      </c>
      <c r="Z120" s="318" cm="1">
        <f t="array" ref="Z120">+SUMPRODUCT(IF('Consolidado Costos'!$K$6:$K$158=$V120,('Consolidado Costos'!AE$6:AE$158*'Consolidado Costos'!$D$6:$D$158),0))</f>
        <v>0</v>
      </c>
      <c r="AA120" s="318" cm="1">
        <f t="array" ref="AA120">+SUMPRODUCT(IF('Consolidado Costos'!$K$6:$K$158=$V120,('Consolidado Costos'!AF$6:AF$158*'Consolidado Costos'!$D$6:$D$158),0))</f>
        <v>0</v>
      </c>
      <c r="AB120" s="318" cm="1">
        <f t="array" ref="AB120">+SUMPRODUCT(IF('Consolidado Costos'!$K$6:$K$158=$V120,('Consolidado Costos'!AG$6:AG$158*'Consolidado Costos'!$D$6:$D$158),0))</f>
        <v>0</v>
      </c>
      <c r="AC120" s="318" cm="1">
        <f t="array" ref="AC120">+SUMPRODUCT(IF('Consolidado Costos'!$K$6:$K$158=$V120,('Consolidado Costos'!AH$6:AH$158*'Consolidado Costos'!$D$6:$D$158),0))</f>
        <v>0</v>
      </c>
      <c r="AD120" s="318" cm="1">
        <f t="array" ref="AD120">+SUMPRODUCT(IF('Consolidado Costos'!$K$6:$K$158=$V120,('Consolidado Costos'!AI$6:AI$158*'Consolidado Costos'!$D$6:$D$158),0))</f>
        <v>0</v>
      </c>
      <c r="AE120" s="318" cm="1">
        <f t="array" ref="AE120">+SUMPRODUCT(IF('Consolidado Costos'!$K$6:$K$158=$V120,('Consolidado Costos'!AJ$6:AJ$158*'Consolidado Costos'!$D$6:$D$158),0))</f>
        <v>0</v>
      </c>
      <c r="AF120" s="318" cm="1">
        <f t="array" ref="AF120">+SUMPRODUCT(IF('Consolidado Costos'!$K$6:$K$158=$V120,('Consolidado Costos'!AK$6:AK$158*'Consolidado Costos'!$D$6:$D$158),0))</f>
        <v>0</v>
      </c>
      <c r="AG120" s="318" cm="1">
        <f t="array" ref="AG120">+SUMPRODUCT(IF('Consolidado Costos'!$K$6:$K$158=$V120,('Consolidado Costos'!AL$6:AL$158*'Consolidado Costos'!$D$6:$D$158),0))</f>
        <v>0</v>
      </c>
      <c r="AH120" s="318" cm="1">
        <f t="array" ref="AH120">+SUMPRODUCT(IF('Consolidado Costos'!$K$6:$K$158=$V120,('Consolidado Costos'!AM$6:AM$158*'Consolidado Costos'!$D$6:$D$158),0))</f>
        <v>0</v>
      </c>
      <c r="AI120" s="318" cm="1">
        <f t="array" ref="AI120">+SUMPRODUCT(IF('Consolidado Costos'!$K$6:$K$158=$V120,('Consolidado Costos'!AN$6:AN$158*'Consolidado Costos'!$D$6:$D$158),0))</f>
        <v>0</v>
      </c>
      <c r="AJ120" s="318" cm="1">
        <f t="array" ref="AJ120">+SUMPRODUCT(IF('Consolidado Costos'!$K$6:$K$158=$V120,('Consolidado Costos'!AO$6:AO$158*'Consolidado Costos'!$D$6:$D$158),0))</f>
        <v>0</v>
      </c>
      <c r="AK120" s="318" cm="1">
        <f t="array" ref="AK120">+SUMPRODUCT(IF('Consolidado Costos'!$K$6:$K$158=$V120,('Consolidado Costos'!AP$6:AP$158*'Consolidado Costos'!$D$6:$D$158),0))</f>
        <v>0</v>
      </c>
      <c r="AM120" s="331"/>
      <c r="AN120" s="330" t="s">
        <v>233</v>
      </c>
      <c r="AO120" s="330" t="s">
        <v>232</v>
      </c>
      <c r="AP120" s="329"/>
      <c r="AQ120" s="354">
        <f t="shared" si="12"/>
        <v>0</v>
      </c>
      <c r="AR120" s="318" cm="1">
        <f t="array" ref="AR120">+SUMPRODUCT(IF('Consolidado Costos'!$K$6:$K$158=$AN120,('Consolidado Costos'!AE$6:AE$158*'Consolidado Costos'!$E$6:$E$158),0))</f>
        <v>0</v>
      </c>
      <c r="AS120" s="318" cm="1">
        <f t="array" ref="AS120">+SUMPRODUCT(IF('Consolidado Costos'!$K$6:$K$158=$AN120,('Consolidado Costos'!AF$6:AF$158*'Consolidado Costos'!$E$6:$E$158),0))</f>
        <v>0</v>
      </c>
      <c r="AT120" s="318" cm="1">
        <f t="array" ref="AT120">+SUMPRODUCT(IF('Consolidado Costos'!$K$6:$K$158=$AN120,('Consolidado Costos'!AG$6:AG$158*'Consolidado Costos'!$E$6:$E$158),0))</f>
        <v>0</v>
      </c>
      <c r="AU120" s="318" cm="1">
        <f t="array" ref="AU120">+SUMPRODUCT(IF('Consolidado Costos'!$K$6:$K$158=$AN120,('Consolidado Costos'!AH$6:AH$158*'Consolidado Costos'!$E$6:$E$158),0))</f>
        <v>0</v>
      </c>
      <c r="AV120" s="318" cm="1">
        <f t="array" ref="AV120">+SUMPRODUCT(IF('Consolidado Costos'!$K$6:$K$158=$AN120,('Consolidado Costos'!AI$6:AI$158*'Consolidado Costos'!$E$6:$E$158),0))</f>
        <v>0</v>
      </c>
      <c r="AW120" s="318" cm="1">
        <f t="array" ref="AW120">+SUMPRODUCT(IF('Consolidado Costos'!$K$6:$K$158=$AN120,('Consolidado Costos'!AJ$6:AJ$158*'Consolidado Costos'!$E$6:$E$158),0))</f>
        <v>0</v>
      </c>
      <c r="AX120" s="318" cm="1">
        <f t="array" ref="AX120">+SUMPRODUCT(IF('Consolidado Costos'!$K$6:$K$158=$AN120,('Consolidado Costos'!AK$6:AK$158*'Consolidado Costos'!$E$6:$E$158),0))</f>
        <v>0</v>
      </c>
      <c r="AY120" s="318" cm="1">
        <f t="array" ref="AY120">+SUMPRODUCT(IF('Consolidado Costos'!$K$6:$K$158=$AN120,('Consolidado Costos'!AL$6:AL$158*'Consolidado Costos'!$E$6:$E$158),0))</f>
        <v>0</v>
      </c>
      <c r="AZ120" s="318" cm="1">
        <f t="array" ref="AZ120">+SUMPRODUCT(IF('Consolidado Costos'!$K$6:$K$158=$AN120,('Consolidado Costos'!AM$6:AM$158*'Consolidado Costos'!$E$6:$E$158),0))</f>
        <v>0</v>
      </c>
      <c r="BA120" s="318" cm="1">
        <f t="array" ref="BA120">+SUMPRODUCT(IF('Consolidado Costos'!$K$6:$K$158=$AN120,('Consolidado Costos'!AN$6:AN$158*'Consolidado Costos'!$E$6:$E$158),0))</f>
        <v>0</v>
      </c>
      <c r="BB120" s="318" cm="1">
        <f t="array" ref="BB120">+SUMPRODUCT(IF('Consolidado Costos'!$K$6:$K$158=$AN120,('Consolidado Costos'!AO$6:AO$158*'Consolidado Costos'!$E$6:$E$158),0))</f>
        <v>0</v>
      </c>
      <c r="BC120" s="318" cm="1">
        <f t="array" ref="BC120">+SUMPRODUCT(IF('Consolidado Costos'!$K$6:$K$158=$AN120,('Consolidado Costos'!AP$6:AP$158*'Consolidado Costos'!$E$6:$E$158),0))</f>
        <v>0</v>
      </c>
      <c r="BE120" s="331"/>
      <c r="BF120" s="330" t="s">
        <v>233</v>
      </c>
      <c r="BG120" s="330" t="s">
        <v>232</v>
      </c>
      <c r="BH120" s="329"/>
      <c r="BI120" s="354">
        <f t="shared" si="13"/>
        <v>0</v>
      </c>
      <c r="BJ120" s="318" cm="1">
        <f t="array" ref="BJ120">+SUMPRODUCT(IF('Consolidado Costos'!$K$6:$K$158=$BF120,('Consolidado Costos'!AE$6:AE$158*'Consolidado Costos'!$F$6:$F$158),0))</f>
        <v>0</v>
      </c>
      <c r="BK120" s="318" cm="1">
        <f t="array" ref="BK120">+SUMPRODUCT(IF('Consolidado Costos'!$K$6:$K$158=$BF120,('Consolidado Costos'!AF$6:AF$158*'Consolidado Costos'!$F$6:$F$158),0))</f>
        <v>0</v>
      </c>
      <c r="BL120" s="318" cm="1">
        <f t="array" ref="BL120">+SUMPRODUCT(IF('Consolidado Costos'!$K$6:$K$158=$BF120,('Consolidado Costos'!AG$6:AG$158*'Consolidado Costos'!$F$6:$F$158),0))</f>
        <v>0</v>
      </c>
      <c r="BM120" s="318" cm="1">
        <f t="array" ref="BM120">+SUMPRODUCT(IF('Consolidado Costos'!$K$6:$K$158=$BF120,('Consolidado Costos'!AH$6:AH$158*'Consolidado Costos'!$F$6:$F$158),0))</f>
        <v>0</v>
      </c>
      <c r="BN120" s="318" cm="1">
        <f t="array" ref="BN120">+SUMPRODUCT(IF('Consolidado Costos'!$K$6:$K$158=$BF120,('Consolidado Costos'!AI$6:AI$158*'Consolidado Costos'!$F$6:$F$158),0))</f>
        <v>0</v>
      </c>
      <c r="BO120" s="318" cm="1">
        <f t="array" ref="BO120">+SUMPRODUCT(IF('Consolidado Costos'!$K$6:$K$158=$BF120,('Consolidado Costos'!AJ$6:AJ$158*'Consolidado Costos'!$F$6:$F$158),0))</f>
        <v>0</v>
      </c>
      <c r="BP120" s="318" cm="1">
        <f t="array" ref="BP120">+SUMPRODUCT(IF('Consolidado Costos'!$K$6:$K$158=$BF120,('Consolidado Costos'!AK$6:AK$158*'Consolidado Costos'!$F$6:$F$158),0))</f>
        <v>0</v>
      </c>
      <c r="BQ120" s="318" cm="1">
        <f t="array" ref="BQ120">+SUMPRODUCT(IF('Consolidado Costos'!$K$6:$K$158=$BF120,('Consolidado Costos'!AL$6:AL$158*'Consolidado Costos'!$F$6:$F$158),0))</f>
        <v>0</v>
      </c>
      <c r="BR120" s="318" cm="1">
        <f t="array" ref="BR120">+SUMPRODUCT(IF('Consolidado Costos'!$K$6:$K$158=$BF120,('Consolidado Costos'!AM$6:AM$158*'Consolidado Costos'!$F$6:$F$158),0))</f>
        <v>0</v>
      </c>
      <c r="BS120" s="318" cm="1">
        <f t="array" ref="BS120">+SUMPRODUCT(IF('Consolidado Costos'!$K$6:$K$158=$BF120,('Consolidado Costos'!AN$6:AN$158*'Consolidado Costos'!$F$6:$F$158),0))</f>
        <v>0</v>
      </c>
      <c r="BT120" s="318" cm="1">
        <f t="array" ref="BT120">+SUMPRODUCT(IF('Consolidado Costos'!$K$6:$K$158=$BF120,('Consolidado Costos'!AO$6:AO$158*'Consolidado Costos'!$F$6:$F$158),0))</f>
        <v>0</v>
      </c>
      <c r="BU120" s="318" cm="1">
        <f t="array" ref="BU120">+SUMPRODUCT(IF('Consolidado Costos'!$K$6:$K$158=$BF120,('Consolidado Costos'!AP$6:AP$158*'Consolidado Costos'!$F$6:$F$158),0))</f>
        <v>0</v>
      </c>
      <c r="BW120" s="331"/>
      <c r="BX120" s="330" t="s">
        <v>233</v>
      </c>
      <c r="BY120" s="330" t="s">
        <v>232</v>
      </c>
      <c r="BZ120" s="329"/>
      <c r="CA120" s="354">
        <f t="shared" si="14"/>
        <v>0</v>
      </c>
      <c r="CB120" s="318" cm="1">
        <f t="array" ref="CB120">+SUMPRODUCT(IF('Consolidado Costos'!$K$6:$K$158=$BX120,('Consolidado Costos'!AE$6:AE$158*'Consolidado Costos'!$G$6:$G$158),0))</f>
        <v>0</v>
      </c>
      <c r="CC120" s="318" cm="1">
        <f t="array" ref="CC120">+SUMPRODUCT(IF('Consolidado Costos'!$K$6:$K$158=$BX120,('Consolidado Costos'!AF$6:AF$158*'Consolidado Costos'!$G$6:$G$158),0))</f>
        <v>0</v>
      </c>
      <c r="CD120" s="318" cm="1">
        <f t="array" ref="CD120">+SUMPRODUCT(IF('Consolidado Costos'!$K$6:$K$158=$BX120,('Consolidado Costos'!AG$6:AG$158*'Consolidado Costos'!$G$6:$G$158),0))</f>
        <v>0</v>
      </c>
      <c r="CE120" s="318" cm="1">
        <f t="array" ref="CE120">+SUMPRODUCT(IF('Consolidado Costos'!$K$6:$K$158=$BX120,('Consolidado Costos'!AH$6:AH$158*'Consolidado Costos'!$G$6:$G$158),0))</f>
        <v>0</v>
      </c>
      <c r="CF120" s="318" cm="1">
        <f t="array" ref="CF120">+SUMPRODUCT(IF('Consolidado Costos'!$K$6:$K$158=$BX120,('Consolidado Costos'!AI$6:AI$158*'Consolidado Costos'!$G$6:$G$158),0))</f>
        <v>0</v>
      </c>
      <c r="CG120" s="318" cm="1">
        <f t="array" ref="CG120">+SUMPRODUCT(IF('Consolidado Costos'!$K$6:$K$158=$BX120,('Consolidado Costos'!AJ$6:AJ$158*'Consolidado Costos'!$G$6:$G$158),0))</f>
        <v>0</v>
      </c>
      <c r="CH120" s="318" cm="1">
        <f t="array" ref="CH120">+SUMPRODUCT(IF('Consolidado Costos'!$K$6:$K$158=$BX120,('Consolidado Costos'!AK$6:AK$158*'Consolidado Costos'!$G$6:$G$158),0))</f>
        <v>0</v>
      </c>
      <c r="CI120" s="318" cm="1">
        <f t="array" ref="CI120">+SUMPRODUCT(IF('Consolidado Costos'!$K$6:$K$158=$BX120,('Consolidado Costos'!AL$6:AL$158*'Consolidado Costos'!$G$6:$G$158),0))</f>
        <v>0</v>
      </c>
      <c r="CJ120" s="318" cm="1">
        <f t="array" ref="CJ120">+SUMPRODUCT(IF('Consolidado Costos'!$K$6:$K$158=$BX120,('Consolidado Costos'!AM$6:AM$158*'Consolidado Costos'!$G$6:$G$158),0))</f>
        <v>0</v>
      </c>
      <c r="CK120" s="318" cm="1">
        <f t="array" ref="CK120">+SUMPRODUCT(IF('Consolidado Costos'!$K$6:$K$158=$BX120,('Consolidado Costos'!AN$6:AN$158*'Consolidado Costos'!$G$6:$G$158),0))</f>
        <v>0</v>
      </c>
      <c r="CL120" s="318" cm="1">
        <f t="array" ref="CL120">+SUMPRODUCT(IF('Consolidado Costos'!$K$6:$K$158=$BX120,('Consolidado Costos'!AO$6:AO$158*'Consolidado Costos'!$G$6:$G$158),0))</f>
        <v>0</v>
      </c>
      <c r="CM120" s="318" cm="1">
        <f t="array" ref="CM120">+SUMPRODUCT(IF('Consolidado Costos'!$K$6:$K$158=$BX120,('Consolidado Costos'!AP$6:AP$158*'Consolidado Costos'!$G$6:$G$158),0))</f>
        <v>0</v>
      </c>
      <c r="CN120" s="357">
        <f t="shared" si="10"/>
        <v>1</v>
      </c>
    </row>
    <row r="121" spans="2:92" s="310" customFormat="1" outlineLevel="1">
      <c r="B121" s="327"/>
      <c r="C121" s="328" t="s">
        <v>502</v>
      </c>
      <c r="D121" s="328" t="s">
        <v>503</v>
      </c>
      <c r="E121" s="329"/>
      <c r="F121" s="318">
        <f>+SUMIF('Consolidado Costos'!$K$6:$K$158,$C121,'Consolidado Costos'!$AD$6:$AD$158)</f>
        <v>0</v>
      </c>
      <c r="G121" s="318">
        <f>+SUMIF('Consolidado Costos'!$K$6:$K$158,$C121,'Consolidado Costos'!AE$6:AE$158)</f>
        <v>0</v>
      </c>
      <c r="H121" s="318">
        <f>+SUMIF('Consolidado Costos'!$K$6:$K$158,$C121,'Consolidado Costos'!AF$6:AF$158)</f>
        <v>0</v>
      </c>
      <c r="I121" s="318">
        <f>+SUMIF('Consolidado Costos'!$K$6:$K$158,$C121,'Consolidado Costos'!AG$6:AG$158)</f>
        <v>0</v>
      </c>
      <c r="J121" s="318">
        <f>+SUMIF('Consolidado Costos'!$K$6:$K$158,$C121,'Consolidado Costos'!AH$6:AH$158)</f>
        <v>0</v>
      </c>
      <c r="K121" s="318">
        <f>+SUMIF('Consolidado Costos'!$K$6:$K$158,$C121,'Consolidado Costos'!AI$6:AI$158)</f>
        <v>0</v>
      </c>
      <c r="L121" s="318">
        <f>+SUMIF('Consolidado Costos'!$K$6:$K$158,$C121,'Consolidado Costos'!AJ$6:AJ$158)</f>
        <v>0</v>
      </c>
      <c r="M121" s="318">
        <f>+SUMIF('Consolidado Costos'!$K$6:$K$158,$C121,'Consolidado Costos'!AK$6:AK$158)</f>
        <v>0</v>
      </c>
      <c r="N121" s="318">
        <f>+SUMIF('Consolidado Costos'!$K$6:$K$158,$C121,'Consolidado Costos'!AL$6:AL$158)</f>
        <v>0</v>
      </c>
      <c r="O121" s="318">
        <f>+SUMIF('Consolidado Costos'!$K$6:$K$158,$C121,'Consolidado Costos'!AM$6:AM$158)</f>
        <v>0</v>
      </c>
      <c r="P121" s="318">
        <f>+SUMIF('Consolidado Costos'!$K$6:$K$158,$C121,'Consolidado Costos'!AN$6:AN$158)</f>
        <v>0</v>
      </c>
      <c r="Q121" s="318">
        <f>+SUMIF('Consolidado Costos'!$K$6:$K$158,$C121,'Consolidado Costos'!AO$6:AO$158)</f>
        <v>0</v>
      </c>
      <c r="R121" s="318">
        <f>+SUMIF('Consolidado Costos'!$K$6:$K$158,$C121,'Consolidado Costos'!AP$6:AP$158)</f>
        <v>0</v>
      </c>
      <c r="S121" s="357">
        <f t="shared" si="5"/>
        <v>1</v>
      </c>
      <c r="U121" s="327"/>
      <c r="V121" s="328" t="s">
        <v>502</v>
      </c>
      <c r="W121" s="328" t="s">
        <v>503</v>
      </c>
      <c r="X121" s="329"/>
      <c r="Y121" s="354">
        <f t="shared" si="11"/>
        <v>0</v>
      </c>
      <c r="Z121" s="318" cm="1">
        <f t="array" ref="Z121">+SUMPRODUCT(IF('Consolidado Costos'!$K$6:$K$158=$V121,('Consolidado Costos'!AE$6:AE$158*'Consolidado Costos'!$D$6:$D$158),0))</f>
        <v>0</v>
      </c>
      <c r="AA121" s="318" cm="1">
        <f t="array" ref="AA121">+SUMPRODUCT(IF('Consolidado Costos'!$K$6:$K$158=$V121,('Consolidado Costos'!AF$6:AF$158*'Consolidado Costos'!$D$6:$D$158),0))</f>
        <v>0</v>
      </c>
      <c r="AB121" s="318" cm="1">
        <f t="array" ref="AB121">+SUMPRODUCT(IF('Consolidado Costos'!$K$6:$K$158=$V121,('Consolidado Costos'!AG$6:AG$158*'Consolidado Costos'!$D$6:$D$158),0))</f>
        <v>0</v>
      </c>
      <c r="AC121" s="318" cm="1">
        <f t="array" ref="AC121">+SUMPRODUCT(IF('Consolidado Costos'!$K$6:$K$158=$V121,('Consolidado Costos'!AH$6:AH$158*'Consolidado Costos'!$D$6:$D$158),0))</f>
        <v>0</v>
      </c>
      <c r="AD121" s="318" cm="1">
        <f t="array" ref="AD121">+SUMPRODUCT(IF('Consolidado Costos'!$K$6:$K$158=$V121,('Consolidado Costos'!AI$6:AI$158*'Consolidado Costos'!$D$6:$D$158),0))</f>
        <v>0</v>
      </c>
      <c r="AE121" s="318" cm="1">
        <f t="array" ref="AE121">+SUMPRODUCT(IF('Consolidado Costos'!$K$6:$K$158=$V121,('Consolidado Costos'!AJ$6:AJ$158*'Consolidado Costos'!$D$6:$D$158),0))</f>
        <v>0</v>
      </c>
      <c r="AF121" s="318" cm="1">
        <f t="array" ref="AF121">+SUMPRODUCT(IF('Consolidado Costos'!$K$6:$K$158=$V121,('Consolidado Costos'!AK$6:AK$158*'Consolidado Costos'!$D$6:$D$158),0))</f>
        <v>0</v>
      </c>
      <c r="AG121" s="318" cm="1">
        <f t="array" ref="AG121">+SUMPRODUCT(IF('Consolidado Costos'!$K$6:$K$158=$V121,('Consolidado Costos'!AL$6:AL$158*'Consolidado Costos'!$D$6:$D$158),0))</f>
        <v>0</v>
      </c>
      <c r="AH121" s="318" cm="1">
        <f t="array" ref="AH121">+SUMPRODUCT(IF('Consolidado Costos'!$K$6:$K$158=$V121,('Consolidado Costos'!AM$6:AM$158*'Consolidado Costos'!$D$6:$D$158),0))</f>
        <v>0</v>
      </c>
      <c r="AI121" s="318" cm="1">
        <f t="array" ref="AI121">+SUMPRODUCT(IF('Consolidado Costos'!$K$6:$K$158=$V121,('Consolidado Costos'!AN$6:AN$158*'Consolidado Costos'!$D$6:$D$158),0))</f>
        <v>0</v>
      </c>
      <c r="AJ121" s="318" cm="1">
        <f t="array" ref="AJ121">+SUMPRODUCT(IF('Consolidado Costos'!$K$6:$K$158=$V121,('Consolidado Costos'!AO$6:AO$158*'Consolidado Costos'!$D$6:$D$158),0))</f>
        <v>0</v>
      </c>
      <c r="AK121" s="318" cm="1">
        <f t="array" ref="AK121">+SUMPRODUCT(IF('Consolidado Costos'!$K$6:$K$158=$V121,('Consolidado Costos'!AP$6:AP$158*'Consolidado Costos'!$D$6:$D$158),0))</f>
        <v>0</v>
      </c>
      <c r="AM121" s="327"/>
      <c r="AN121" s="328" t="s">
        <v>502</v>
      </c>
      <c r="AO121" s="328" t="s">
        <v>503</v>
      </c>
      <c r="AP121" s="329"/>
      <c r="AQ121" s="354">
        <f t="shared" si="12"/>
        <v>0</v>
      </c>
      <c r="AR121" s="318" cm="1">
        <f t="array" ref="AR121">+SUMPRODUCT(IF('Consolidado Costos'!$K$6:$K$158=$AN121,('Consolidado Costos'!AE$6:AE$158*'Consolidado Costos'!$E$6:$E$158),0))</f>
        <v>0</v>
      </c>
      <c r="AS121" s="318" cm="1">
        <f t="array" ref="AS121">+SUMPRODUCT(IF('Consolidado Costos'!$K$6:$K$158=$AN121,('Consolidado Costos'!AF$6:AF$158*'Consolidado Costos'!$E$6:$E$158),0))</f>
        <v>0</v>
      </c>
      <c r="AT121" s="318" cm="1">
        <f t="array" ref="AT121">+SUMPRODUCT(IF('Consolidado Costos'!$K$6:$K$158=$AN121,('Consolidado Costos'!AG$6:AG$158*'Consolidado Costos'!$E$6:$E$158),0))</f>
        <v>0</v>
      </c>
      <c r="AU121" s="318" cm="1">
        <f t="array" ref="AU121">+SUMPRODUCT(IF('Consolidado Costos'!$K$6:$K$158=$AN121,('Consolidado Costos'!AH$6:AH$158*'Consolidado Costos'!$E$6:$E$158),0))</f>
        <v>0</v>
      </c>
      <c r="AV121" s="318" cm="1">
        <f t="array" ref="AV121">+SUMPRODUCT(IF('Consolidado Costos'!$K$6:$K$158=$AN121,('Consolidado Costos'!AI$6:AI$158*'Consolidado Costos'!$E$6:$E$158),0))</f>
        <v>0</v>
      </c>
      <c r="AW121" s="318" cm="1">
        <f t="array" ref="AW121">+SUMPRODUCT(IF('Consolidado Costos'!$K$6:$K$158=$AN121,('Consolidado Costos'!AJ$6:AJ$158*'Consolidado Costos'!$E$6:$E$158),0))</f>
        <v>0</v>
      </c>
      <c r="AX121" s="318" cm="1">
        <f t="array" ref="AX121">+SUMPRODUCT(IF('Consolidado Costos'!$K$6:$K$158=$AN121,('Consolidado Costos'!AK$6:AK$158*'Consolidado Costos'!$E$6:$E$158),0))</f>
        <v>0</v>
      </c>
      <c r="AY121" s="318" cm="1">
        <f t="array" ref="AY121">+SUMPRODUCT(IF('Consolidado Costos'!$K$6:$K$158=$AN121,('Consolidado Costos'!AL$6:AL$158*'Consolidado Costos'!$E$6:$E$158),0))</f>
        <v>0</v>
      </c>
      <c r="AZ121" s="318" cm="1">
        <f t="array" ref="AZ121">+SUMPRODUCT(IF('Consolidado Costos'!$K$6:$K$158=$AN121,('Consolidado Costos'!AM$6:AM$158*'Consolidado Costos'!$E$6:$E$158),0))</f>
        <v>0</v>
      </c>
      <c r="BA121" s="318" cm="1">
        <f t="array" ref="BA121">+SUMPRODUCT(IF('Consolidado Costos'!$K$6:$K$158=$AN121,('Consolidado Costos'!AN$6:AN$158*'Consolidado Costos'!$E$6:$E$158),0))</f>
        <v>0</v>
      </c>
      <c r="BB121" s="318" cm="1">
        <f t="array" ref="BB121">+SUMPRODUCT(IF('Consolidado Costos'!$K$6:$K$158=$AN121,('Consolidado Costos'!AO$6:AO$158*'Consolidado Costos'!$E$6:$E$158),0))</f>
        <v>0</v>
      </c>
      <c r="BC121" s="318" cm="1">
        <f t="array" ref="BC121">+SUMPRODUCT(IF('Consolidado Costos'!$K$6:$K$158=$AN121,('Consolidado Costos'!AP$6:AP$158*'Consolidado Costos'!$E$6:$E$158),0))</f>
        <v>0</v>
      </c>
      <c r="BE121" s="327"/>
      <c r="BF121" s="328" t="s">
        <v>502</v>
      </c>
      <c r="BG121" s="328" t="s">
        <v>503</v>
      </c>
      <c r="BH121" s="329"/>
      <c r="BI121" s="354">
        <f t="shared" si="13"/>
        <v>0</v>
      </c>
      <c r="BJ121" s="318" cm="1">
        <f t="array" ref="BJ121">+SUMPRODUCT(IF('Consolidado Costos'!$K$6:$K$158=$BF121,('Consolidado Costos'!AE$6:AE$158*'Consolidado Costos'!$F$6:$F$158),0))</f>
        <v>0</v>
      </c>
      <c r="BK121" s="318" cm="1">
        <f t="array" ref="BK121">+SUMPRODUCT(IF('Consolidado Costos'!$K$6:$K$158=$BF121,('Consolidado Costos'!AF$6:AF$158*'Consolidado Costos'!$F$6:$F$158),0))</f>
        <v>0</v>
      </c>
      <c r="BL121" s="318" cm="1">
        <f t="array" ref="BL121">+SUMPRODUCT(IF('Consolidado Costos'!$K$6:$K$158=$BF121,('Consolidado Costos'!AG$6:AG$158*'Consolidado Costos'!$F$6:$F$158),0))</f>
        <v>0</v>
      </c>
      <c r="BM121" s="318" cm="1">
        <f t="array" ref="BM121">+SUMPRODUCT(IF('Consolidado Costos'!$K$6:$K$158=$BF121,('Consolidado Costos'!AH$6:AH$158*'Consolidado Costos'!$F$6:$F$158),0))</f>
        <v>0</v>
      </c>
      <c r="BN121" s="318" cm="1">
        <f t="array" ref="BN121">+SUMPRODUCT(IF('Consolidado Costos'!$K$6:$K$158=$BF121,('Consolidado Costos'!AI$6:AI$158*'Consolidado Costos'!$F$6:$F$158),0))</f>
        <v>0</v>
      </c>
      <c r="BO121" s="318" cm="1">
        <f t="array" ref="BO121">+SUMPRODUCT(IF('Consolidado Costos'!$K$6:$K$158=$BF121,('Consolidado Costos'!AJ$6:AJ$158*'Consolidado Costos'!$F$6:$F$158),0))</f>
        <v>0</v>
      </c>
      <c r="BP121" s="318" cm="1">
        <f t="array" ref="BP121">+SUMPRODUCT(IF('Consolidado Costos'!$K$6:$K$158=$BF121,('Consolidado Costos'!AK$6:AK$158*'Consolidado Costos'!$F$6:$F$158),0))</f>
        <v>0</v>
      </c>
      <c r="BQ121" s="318" cm="1">
        <f t="array" ref="BQ121">+SUMPRODUCT(IF('Consolidado Costos'!$K$6:$K$158=$BF121,('Consolidado Costos'!AL$6:AL$158*'Consolidado Costos'!$F$6:$F$158),0))</f>
        <v>0</v>
      </c>
      <c r="BR121" s="318" cm="1">
        <f t="array" ref="BR121">+SUMPRODUCT(IF('Consolidado Costos'!$K$6:$K$158=$BF121,('Consolidado Costos'!AM$6:AM$158*'Consolidado Costos'!$F$6:$F$158),0))</f>
        <v>0</v>
      </c>
      <c r="BS121" s="318" cm="1">
        <f t="array" ref="BS121">+SUMPRODUCT(IF('Consolidado Costos'!$K$6:$K$158=$BF121,('Consolidado Costos'!AN$6:AN$158*'Consolidado Costos'!$F$6:$F$158),0))</f>
        <v>0</v>
      </c>
      <c r="BT121" s="318" cm="1">
        <f t="array" ref="BT121">+SUMPRODUCT(IF('Consolidado Costos'!$K$6:$K$158=$BF121,('Consolidado Costos'!AO$6:AO$158*'Consolidado Costos'!$F$6:$F$158),0))</f>
        <v>0</v>
      </c>
      <c r="BU121" s="318" cm="1">
        <f t="array" ref="BU121">+SUMPRODUCT(IF('Consolidado Costos'!$K$6:$K$158=$BF121,('Consolidado Costos'!AP$6:AP$158*'Consolidado Costos'!$F$6:$F$158),0))</f>
        <v>0</v>
      </c>
      <c r="BW121" s="327"/>
      <c r="BX121" s="328" t="s">
        <v>502</v>
      </c>
      <c r="BY121" s="328" t="s">
        <v>503</v>
      </c>
      <c r="BZ121" s="329"/>
      <c r="CA121" s="354">
        <f t="shared" si="14"/>
        <v>0</v>
      </c>
      <c r="CB121" s="318" cm="1">
        <f t="array" ref="CB121">+SUMPRODUCT(IF('Consolidado Costos'!$K$6:$K$158=$BX121,('Consolidado Costos'!AE$6:AE$158*'Consolidado Costos'!$G$6:$G$158),0))</f>
        <v>0</v>
      </c>
      <c r="CC121" s="318" cm="1">
        <f t="array" ref="CC121">+SUMPRODUCT(IF('Consolidado Costos'!$K$6:$K$158=$BX121,('Consolidado Costos'!AF$6:AF$158*'Consolidado Costos'!$G$6:$G$158),0))</f>
        <v>0</v>
      </c>
      <c r="CD121" s="318" cm="1">
        <f t="array" ref="CD121">+SUMPRODUCT(IF('Consolidado Costos'!$K$6:$K$158=$BX121,('Consolidado Costos'!AG$6:AG$158*'Consolidado Costos'!$G$6:$G$158),0))</f>
        <v>0</v>
      </c>
      <c r="CE121" s="318" cm="1">
        <f t="array" ref="CE121">+SUMPRODUCT(IF('Consolidado Costos'!$K$6:$K$158=$BX121,('Consolidado Costos'!AH$6:AH$158*'Consolidado Costos'!$G$6:$G$158),0))</f>
        <v>0</v>
      </c>
      <c r="CF121" s="318" cm="1">
        <f t="array" ref="CF121">+SUMPRODUCT(IF('Consolidado Costos'!$K$6:$K$158=$BX121,('Consolidado Costos'!AI$6:AI$158*'Consolidado Costos'!$G$6:$G$158),0))</f>
        <v>0</v>
      </c>
      <c r="CG121" s="318" cm="1">
        <f t="array" ref="CG121">+SUMPRODUCT(IF('Consolidado Costos'!$K$6:$K$158=$BX121,('Consolidado Costos'!AJ$6:AJ$158*'Consolidado Costos'!$G$6:$G$158),0))</f>
        <v>0</v>
      </c>
      <c r="CH121" s="318" cm="1">
        <f t="array" ref="CH121">+SUMPRODUCT(IF('Consolidado Costos'!$K$6:$K$158=$BX121,('Consolidado Costos'!AK$6:AK$158*'Consolidado Costos'!$G$6:$G$158),0))</f>
        <v>0</v>
      </c>
      <c r="CI121" s="318" cm="1">
        <f t="array" ref="CI121">+SUMPRODUCT(IF('Consolidado Costos'!$K$6:$K$158=$BX121,('Consolidado Costos'!AL$6:AL$158*'Consolidado Costos'!$G$6:$G$158),0))</f>
        <v>0</v>
      </c>
      <c r="CJ121" s="318" cm="1">
        <f t="array" ref="CJ121">+SUMPRODUCT(IF('Consolidado Costos'!$K$6:$K$158=$BX121,('Consolidado Costos'!AM$6:AM$158*'Consolidado Costos'!$G$6:$G$158),0))</f>
        <v>0</v>
      </c>
      <c r="CK121" s="318" cm="1">
        <f t="array" ref="CK121">+SUMPRODUCT(IF('Consolidado Costos'!$K$6:$K$158=$BX121,('Consolidado Costos'!AN$6:AN$158*'Consolidado Costos'!$G$6:$G$158),0))</f>
        <v>0</v>
      </c>
      <c r="CL121" s="318" cm="1">
        <f t="array" ref="CL121">+SUMPRODUCT(IF('Consolidado Costos'!$K$6:$K$158=$BX121,('Consolidado Costos'!AO$6:AO$158*'Consolidado Costos'!$G$6:$G$158),0))</f>
        <v>0</v>
      </c>
      <c r="CM121" s="318" cm="1">
        <f t="array" ref="CM121">+SUMPRODUCT(IF('Consolidado Costos'!$K$6:$K$158=$BX121,('Consolidado Costos'!AP$6:AP$158*'Consolidado Costos'!$G$6:$G$158),0))</f>
        <v>0</v>
      </c>
      <c r="CN121" s="357">
        <f t="shared" si="10"/>
        <v>1</v>
      </c>
    </row>
    <row r="122" spans="2:92" s="310" customFormat="1" outlineLevel="1">
      <c r="B122" s="327"/>
      <c r="C122" s="330" t="s">
        <v>504</v>
      </c>
      <c r="D122" s="330" t="s">
        <v>505</v>
      </c>
      <c r="E122" s="329"/>
      <c r="F122" s="318">
        <f>+SUMIF('Consolidado Costos'!$K$6:$K$158,$C122,'Consolidado Costos'!$AD$6:$AD$158)</f>
        <v>0</v>
      </c>
      <c r="G122" s="318">
        <f>+SUMIF('Consolidado Costos'!$K$6:$K$158,$C122,'Consolidado Costos'!AE$6:AE$158)</f>
        <v>0</v>
      </c>
      <c r="H122" s="318">
        <f>+SUMIF('Consolidado Costos'!$K$6:$K$158,$C122,'Consolidado Costos'!AF$6:AF$158)</f>
        <v>0</v>
      </c>
      <c r="I122" s="318">
        <f>+SUMIF('Consolidado Costos'!$K$6:$K$158,$C122,'Consolidado Costos'!AG$6:AG$158)</f>
        <v>0</v>
      </c>
      <c r="J122" s="318">
        <f>+SUMIF('Consolidado Costos'!$K$6:$K$158,$C122,'Consolidado Costos'!AH$6:AH$158)</f>
        <v>0</v>
      </c>
      <c r="K122" s="318">
        <f>+SUMIF('Consolidado Costos'!$K$6:$K$158,$C122,'Consolidado Costos'!AI$6:AI$158)</f>
        <v>0</v>
      </c>
      <c r="L122" s="318">
        <f>+SUMIF('Consolidado Costos'!$K$6:$K$158,$C122,'Consolidado Costos'!AJ$6:AJ$158)</f>
        <v>0</v>
      </c>
      <c r="M122" s="318">
        <f>+SUMIF('Consolidado Costos'!$K$6:$K$158,$C122,'Consolidado Costos'!AK$6:AK$158)</f>
        <v>0</v>
      </c>
      <c r="N122" s="318">
        <f>+SUMIF('Consolidado Costos'!$K$6:$K$158,$C122,'Consolidado Costos'!AL$6:AL$158)</f>
        <v>0</v>
      </c>
      <c r="O122" s="318">
        <f>+SUMIF('Consolidado Costos'!$K$6:$K$158,$C122,'Consolidado Costos'!AM$6:AM$158)</f>
        <v>0</v>
      </c>
      <c r="P122" s="318">
        <f>+SUMIF('Consolidado Costos'!$K$6:$K$158,$C122,'Consolidado Costos'!AN$6:AN$158)</f>
        <v>0</v>
      </c>
      <c r="Q122" s="318">
        <f>+SUMIF('Consolidado Costos'!$K$6:$K$158,$C122,'Consolidado Costos'!AO$6:AO$158)</f>
        <v>0</v>
      </c>
      <c r="R122" s="318">
        <f>+SUMIF('Consolidado Costos'!$K$6:$K$158,$C122,'Consolidado Costos'!AP$6:AP$158)</f>
        <v>0</v>
      </c>
      <c r="S122" s="357">
        <f t="shared" si="5"/>
        <v>1</v>
      </c>
      <c r="U122" s="327"/>
      <c r="V122" s="330" t="s">
        <v>504</v>
      </c>
      <c r="W122" s="330" t="s">
        <v>505</v>
      </c>
      <c r="X122" s="329"/>
      <c r="Y122" s="354">
        <f t="shared" si="11"/>
        <v>0</v>
      </c>
      <c r="Z122" s="318" cm="1">
        <f t="array" ref="Z122">+SUMPRODUCT(IF('Consolidado Costos'!$K$6:$K$158=$V122,('Consolidado Costos'!AE$6:AE$158*'Consolidado Costos'!$D$6:$D$158),0))</f>
        <v>0</v>
      </c>
      <c r="AA122" s="318" cm="1">
        <f t="array" ref="AA122">+SUMPRODUCT(IF('Consolidado Costos'!$K$6:$K$158=$V122,('Consolidado Costos'!AF$6:AF$158*'Consolidado Costos'!$D$6:$D$158),0))</f>
        <v>0</v>
      </c>
      <c r="AB122" s="318" cm="1">
        <f t="array" ref="AB122">+SUMPRODUCT(IF('Consolidado Costos'!$K$6:$K$158=$V122,('Consolidado Costos'!AG$6:AG$158*'Consolidado Costos'!$D$6:$D$158),0))</f>
        <v>0</v>
      </c>
      <c r="AC122" s="318" cm="1">
        <f t="array" ref="AC122">+SUMPRODUCT(IF('Consolidado Costos'!$K$6:$K$158=$V122,('Consolidado Costos'!AH$6:AH$158*'Consolidado Costos'!$D$6:$D$158),0))</f>
        <v>0</v>
      </c>
      <c r="AD122" s="318" cm="1">
        <f t="array" ref="AD122">+SUMPRODUCT(IF('Consolidado Costos'!$K$6:$K$158=$V122,('Consolidado Costos'!AI$6:AI$158*'Consolidado Costos'!$D$6:$D$158),0))</f>
        <v>0</v>
      </c>
      <c r="AE122" s="318" cm="1">
        <f t="array" ref="AE122">+SUMPRODUCT(IF('Consolidado Costos'!$K$6:$K$158=$V122,('Consolidado Costos'!AJ$6:AJ$158*'Consolidado Costos'!$D$6:$D$158),0))</f>
        <v>0</v>
      </c>
      <c r="AF122" s="318" cm="1">
        <f t="array" ref="AF122">+SUMPRODUCT(IF('Consolidado Costos'!$K$6:$K$158=$V122,('Consolidado Costos'!AK$6:AK$158*'Consolidado Costos'!$D$6:$D$158),0))</f>
        <v>0</v>
      </c>
      <c r="AG122" s="318" cm="1">
        <f t="array" ref="AG122">+SUMPRODUCT(IF('Consolidado Costos'!$K$6:$K$158=$V122,('Consolidado Costos'!AL$6:AL$158*'Consolidado Costos'!$D$6:$D$158),0))</f>
        <v>0</v>
      </c>
      <c r="AH122" s="318" cm="1">
        <f t="array" ref="AH122">+SUMPRODUCT(IF('Consolidado Costos'!$K$6:$K$158=$V122,('Consolidado Costos'!AM$6:AM$158*'Consolidado Costos'!$D$6:$D$158),0))</f>
        <v>0</v>
      </c>
      <c r="AI122" s="318" cm="1">
        <f t="array" ref="AI122">+SUMPRODUCT(IF('Consolidado Costos'!$K$6:$K$158=$V122,('Consolidado Costos'!AN$6:AN$158*'Consolidado Costos'!$D$6:$D$158),0))</f>
        <v>0</v>
      </c>
      <c r="AJ122" s="318" cm="1">
        <f t="array" ref="AJ122">+SUMPRODUCT(IF('Consolidado Costos'!$K$6:$K$158=$V122,('Consolidado Costos'!AO$6:AO$158*'Consolidado Costos'!$D$6:$D$158),0))</f>
        <v>0</v>
      </c>
      <c r="AK122" s="318" cm="1">
        <f t="array" ref="AK122">+SUMPRODUCT(IF('Consolidado Costos'!$K$6:$K$158=$V122,('Consolidado Costos'!AP$6:AP$158*'Consolidado Costos'!$D$6:$D$158),0))</f>
        <v>0</v>
      </c>
      <c r="AM122" s="327"/>
      <c r="AN122" s="330" t="s">
        <v>504</v>
      </c>
      <c r="AO122" s="330" t="s">
        <v>505</v>
      </c>
      <c r="AP122" s="329"/>
      <c r="AQ122" s="354">
        <f t="shared" si="12"/>
        <v>0</v>
      </c>
      <c r="AR122" s="318" cm="1">
        <f t="array" ref="AR122">+SUMPRODUCT(IF('Consolidado Costos'!$K$6:$K$158=$AN122,('Consolidado Costos'!AE$6:AE$158*'Consolidado Costos'!$E$6:$E$158),0))</f>
        <v>0</v>
      </c>
      <c r="AS122" s="318" cm="1">
        <f t="array" ref="AS122">+SUMPRODUCT(IF('Consolidado Costos'!$K$6:$K$158=$AN122,('Consolidado Costos'!AF$6:AF$158*'Consolidado Costos'!$E$6:$E$158),0))</f>
        <v>0</v>
      </c>
      <c r="AT122" s="318" cm="1">
        <f t="array" ref="AT122">+SUMPRODUCT(IF('Consolidado Costos'!$K$6:$K$158=$AN122,('Consolidado Costos'!AG$6:AG$158*'Consolidado Costos'!$E$6:$E$158),0))</f>
        <v>0</v>
      </c>
      <c r="AU122" s="318" cm="1">
        <f t="array" ref="AU122">+SUMPRODUCT(IF('Consolidado Costos'!$K$6:$K$158=$AN122,('Consolidado Costos'!AH$6:AH$158*'Consolidado Costos'!$E$6:$E$158),0))</f>
        <v>0</v>
      </c>
      <c r="AV122" s="318" cm="1">
        <f t="array" ref="AV122">+SUMPRODUCT(IF('Consolidado Costos'!$K$6:$K$158=$AN122,('Consolidado Costos'!AI$6:AI$158*'Consolidado Costos'!$E$6:$E$158),0))</f>
        <v>0</v>
      </c>
      <c r="AW122" s="318" cm="1">
        <f t="array" ref="AW122">+SUMPRODUCT(IF('Consolidado Costos'!$K$6:$K$158=$AN122,('Consolidado Costos'!AJ$6:AJ$158*'Consolidado Costos'!$E$6:$E$158),0))</f>
        <v>0</v>
      </c>
      <c r="AX122" s="318" cm="1">
        <f t="array" ref="AX122">+SUMPRODUCT(IF('Consolidado Costos'!$K$6:$K$158=$AN122,('Consolidado Costos'!AK$6:AK$158*'Consolidado Costos'!$E$6:$E$158),0))</f>
        <v>0</v>
      </c>
      <c r="AY122" s="318" cm="1">
        <f t="array" ref="AY122">+SUMPRODUCT(IF('Consolidado Costos'!$K$6:$K$158=$AN122,('Consolidado Costos'!AL$6:AL$158*'Consolidado Costos'!$E$6:$E$158),0))</f>
        <v>0</v>
      </c>
      <c r="AZ122" s="318" cm="1">
        <f t="array" ref="AZ122">+SUMPRODUCT(IF('Consolidado Costos'!$K$6:$K$158=$AN122,('Consolidado Costos'!AM$6:AM$158*'Consolidado Costos'!$E$6:$E$158),0))</f>
        <v>0</v>
      </c>
      <c r="BA122" s="318" cm="1">
        <f t="array" ref="BA122">+SUMPRODUCT(IF('Consolidado Costos'!$K$6:$K$158=$AN122,('Consolidado Costos'!AN$6:AN$158*'Consolidado Costos'!$E$6:$E$158),0))</f>
        <v>0</v>
      </c>
      <c r="BB122" s="318" cm="1">
        <f t="array" ref="BB122">+SUMPRODUCT(IF('Consolidado Costos'!$K$6:$K$158=$AN122,('Consolidado Costos'!AO$6:AO$158*'Consolidado Costos'!$E$6:$E$158),0))</f>
        <v>0</v>
      </c>
      <c r="BC122" s="318" cm="1">
        <f t="array" ref="BC122">+SUMPRODUCT(IF('Consolidado Costos'!$K$6:$K$158=$AN122,('Consolidado Costos'!AP$6:AP$158*'Consolidado Costos'!$E$6:$E$158),0))</f>
        <v>0</v>
      </c>
      <c r="BE122" s="327"/>
      <c r="BF122" s="330" t="s">
        <v>504</v>
      </c>
      <c r="BG122" s="330" t="s">
        <v>505</v>
      </c>
      <c r="BH122" s="329"/>
      <c r="BI122" s="354">
        <f t="shared" si="13"/>
        <v>0</v>
      </c>
      <c r="BJ122" s="318" cm="1">
        <f t="array" ref="BJ122">+SUMPRODUCT(IF('Consolidado Costos'!$K$6:$K$158=$BF122,('Consolidado Costos'!AE$6:AE$158*'Consolidado Costos'!$F$6:$F$158),0))</f>
        <v>0</v>
      </c>
      <c r="BK122" s="318" cm="1">
        <f t="array" ref="BK122">+SUMPRODUCT(IF('Consolidado Costos'!$K$6:$K$158=$BF122,('Consolidado Costos'!AF$6:AF$158*'Consolidado Costos'!$F$6:$F$158),0))</f>
        <v>0</v>
      </c>
      <c r="BL122" s="318" cm="1">
        <f t="array" ref="BL122">+SUMPRODUCT(IF('Consolidado Costos'!$K$6:$K$158=$BF122,('Consolidado Costos'!AG$6:AG$158*'Consolidado Costos'!$F$6:$F$158),0))</f>
        <v>0</v>
      </c>
      <c r="BM122" s="318" cm="1">
        <f t="array" ref="BM122">+SUMPRODUCT(IF('Consolidado Costos'!$K$6:$K$158=$BF122,('Consolidado Costos'!AH$6:AH$158*'Consolidado Costos'!$F$6:$F$158),0))</f>
        <v>0</v>
      </c>
      <c r="BN122" s="318" cm="1">
        <f t="array" ref="BN122">+SUMPRODUCT(IF('Consolidado Costos'!$K$6:$K$158=$BF122,('Consolidado Costos'!AI$6:AI$158*'Consolidado Costos'!$F$6:$F$158),0))</f>
        <v>0</v>
      </c>
      <c r="BO122" s="318" cm="1">
        <f t="array" ref="BO122">+SUMPRODUCT(IF('Consolidado Costos'!$K$6:$K$158=$BF122,('Consolidado Costos'!AJ$6:AJ$158*'Consolidado Costos'!$F$6:$F$158),0))</f>
        <v>0</v>
      </c>
      <c r="BP122" s="318" cm="1">
        <f t="array" ref="BP122">+SUMPRODUCT(IF('Consolidado Costos'!$K$6:$K$158=$BF122,('Consolidado Costos'!AK$6:AK$158*'Consolidado Costos'!$F$6:$F$158),0))</f>
        <v>0</v>
      </c>
      <c r="BQ122" s="318" cm="1">
        <f t="array" ref="BQ122">+SUMPRODUCT(IF('Consolidado Costos'!$K$6:$K$158=$BF122,('Consolidado Costos'!AL$6:AL$158*'Consolidado Costos'!$F$6:$F$158),0))</f>
        <v>0</v>
      </c>
      <c r="BR122" s="318" cm="1">
        <f t="array" ref="BR122">+SUMPRODUCT(IF('Consolidado Costos'!$K$6:$K$158=$BF122,('Consolidado Costos'!AM$6:AM$158*'Consolidado Costos'!$F$6:$F$158),0))</f>
        <v>0</v>
      </c>
      <c r="BS122" s="318" cm="1">
        <f t="array" ref="BS122">+SUMPRODUCT(IF('Consolidado Costos'!$K$6:$K$158=$BF122,('Consolidado Costos'!AN$6:AN$158*'Consolidado Costos'!$F$6:$F$158),0))</f>
        <v>0</v>
      </c>
      <c r="BT122" s="318" cm="1">
        <f t="array" ref="BT122">+SUMPRODUCT(IF('Consolidado Costos'!$K$6:$K$158=$BF122,('Consolidado Costos'!AO$6:AO$158*'Consolidado Costos'!$F$6:$F$158),0))</f>
        <v>0</v>
      </c>
      <c r="BU122" s="318" cm="1">
        <f t="array" ref="BU122">+SUMPRODUCT(IF('Consolidado Costos'!$K$6:$K$158=$BF122,('Consolidado Costos'!AP$6:AP$158*'Consolidado Costos'!$F$6:$F$158),0))</f>
        <v>0</v>
      </c>
      <c r="BW122" s="327"/>
      <c r="BX122" s="330" t="s">
        <v>504</v>
      </c>
      <c r="BY122" s="330" t="s">
        <v>505</v>
      </c>
      <c r="BZ122" s="329"/>
      <c r="CA122" s="354">
        <f t="shared" si="14"/>
        <v>0</v>
      </c>
      <c r="CB122" s="318" cm="1">
        <f t="array" ref="CB122">+SUMPRODUCT(IF('Consolidado Costos'!$K$6:$K$158=$BX122,('Consolidado Costos'!AE$6:AE$158*'Consolidado Costos'!$G$6:$G$158),0))</f>
        <v>0</v>
      </c>
      <c r="CC122" s="318" cm="1">
        <f t="array" ref="CC122">+SUMPRODUCT(IF('Consolidado Costos'!$K$6:$K$158=$BX122,('Consolidado Costos'!AF$6:AF$158*'Consolidado Costos'!$G$6:$G$158),0))</f>
        <v>0</v>
      </c>
      <c r="CD122" s="318" cm="1">
        <f t="array" ref="CD122">+SUMPRODUCT(IF('Consolidado Costos'!$K$6:$K$158=$BX122,('Consolidado Costos'!AG$6:AG$158*'Consolidado Costos'!$G$6:$G$158),0))</f>
        <v>0</v>
      </c>
      <c r="CE122" s="318" cm="1">
        <f t="array" ref="CE122">+SUMPRODUCT(IF('Consolidado Costos'!$K$6:$K$158=$BX122,('Consolidado Costos'!AH$6:AH$158*'Consolidado Costos'!$G$6:$G$158),0))</f>
        <v>0</v>
      </c>
      <c r="CF122" s="318" cm="1">
        <f t="array" ref="CF122">+SUMPRODUCT(IF('Consolidado Costos'!$K$6:$K$158=$BX122,('Consolidado Costos'!AI$6:AI$158*'Consolidado Costos'!$G$6:$G$158),0))</f>
        <v>0</v>
      </c>
      <c r="CG122" s="318" cm="1">
        <f t="array" ref="CG122">+SUMPRODUCT(IF('Consolidado Costos'!$K$6:$K$158=$BX122,('Consolidado Costos'!AJ$6:AJ$158*'Consolidado Costos'!$G$6:$G$158),0))</f>
        <v>0</v>
      </c>
      <c r="CH122" s="318" cm="1">
        <f t="array" ref="CH122">+SUMPRODUCT(IF('Consolidado Costos'!$K$6:$K$158=$BX122,('Consolidado Costos'!AK$6:AK$158*'Consolidado Costos'!$G$6:$G$158),0))</f>
        <v>0</v>
      </c>
      <c r="CI122" s="318" cm="1">
        <f t="array" ref="CI122">+SUMPRODUCT(IF('Consolidado Costos'!$K$6:$K$158=$BX122,('Consolidado Costos'!AL$6:AL$158*'Consolidado Costos'!$G$6:$G$158),0))</f>
        <v>0</v>
      </c>
      <c r="CJ122" s="318" cm="1">
        <f t="array" ref="CJ122">+SUMPRODUCT(IF('Consolidado Costos'!$K$6:$K$158=$BX122,('Consolidado Costos'!AM$6:AM$158*'Consolidado Costos'!$G$6:$G$158),0))</f>
        <v>0</v>
      </c>
      <c r="CK122" s="318" cm="1">
        <f t="array" ref="CK122">+SUMPRODUCT(IF('Consolidado Costos'!$K$6:$K$158=$BX122,('Consolidado Costos'!AN$6:AN$158*'Consolidado Costos'!$G$6:$G$158),0))</f>
        <v>0</v>
      </c>
      <c r="CL122" s="318" cm="1">
        <f t="array" ref="CL122">+SUMPRODUCT(IF('Consolidado Costos'!$K$6:$K$158=$BX122,('Consolidado Costos'!AO$6:AO$158*'Consolidado Costos'!$G$6:$G$158),0))</f>
        <v>0</v>
      </c>
      <c r="CM122" s="318" cm="1">
        <f t="array" ref="CM122">+SUMPRODUCT(IF('Consolidado Costos'!$K$6:$K$158=$BX122,('Consolidado Costos'!AP$6:AP$158*'Consolidado Costos'!$G$6:$G$158),0))</f>
        <v>0</v>
      </c>
      <c r="CN122" s="357">
        <f t="shared" si="10"/>
        <v>1</v>
      </c>
    </row>
    <row r="123" spans="2:92" s="310" customFormat="1" outlineLevel="1">
      <c r="B123" s="327"/>
      <c r="C123" s="328" t="s">
        <v>506</v>
      </c>
      <c r="D123" s="328" t="s">
        <v>507</v>
      </c>
      <c r="E123" s="329"/>
      <c r="F123" s="318">
        <f>+SUMIF('Consolidado Costos'!$K$6:$K$158,$C123,'Consolidado Costos'!$AD$6:$AD$158)</f>
        <v>0</v>
      </c>
      <c r="G123" s="318">
        <f>+SUMIF('Consolidado Costos'!$K$6:$K$158,$C123,'Consolidado Costos'!AE$6:AE$158)</f>
        <v>0</v>
      </c>
      <c r="H123" s="318">
        <f>+SUMIF('Consolidado Costos'!$K$6:$K$158,$C123,'Consolidado Costos'!AF$6:AF$158)</f>
        <v>0</v>
      </c>
      <c r="I123" s="318">
        <f>+SUMIF('Consolidado Costos'!$K$6:$K$158,$C123,'Consolidado Costos'!AG$6:AG$158)</f>
        <v>0</v>
      </c>
      <c r="J123" s="318">
        <f>+SUMIF('Consolidado Costos'!$K$6:$K$158,$C123,'Consolidado Costos'!AH$6:AH$158)</f>
        <v>0</v>
      </c>
      <c r="K123" s="318">
        <f>+SUMIF('Consolidado Costos'!$K$6:$K$158,$C123,'Consolidado Costos'!AI$6:AI$158)</f>
        <v>0</v>
      </c>
      <c r="L123" s="318">
        <f>+SUMIF('Consolidado Costos'!$K$6:$K$158,$C123,'Consolidado Costos'!AJ$6:AJ$158)</f>
        <v>0</v>
      </c>
      <c r="M123" s="318">
        <f>+SUMIF('Consolidado Costos'!$K$6:$K$158,$C123,'Consolidado Costos'!AK$6:AK$158)</f>
        <v>0</v>
      </c>
      <c r="N123" s="318">
        <f>+SUMIF('Consolidado Costos'!$K$6:$K$158,$C123,'Consolidado Costos'!AL$6:AL$158)</f>
        <v>0</v>
      </c>
      <c r="O123" s="318">
        <f>+SUMIF('Consolidado Costos'!$K$6:$K$158,$C123,'Consolidado Costos'!AM$6:AM$158)</f>
        <v>0</v>
      </c>
      <c r="P123" s="318">
        <f>+SUMIF('Consolidado Costos'!$K$6:$K$158,$C123,'Consolidado Costos'!AN$6:AN$158)</f>
        <v>0</v>
      </c>
      <c r="Q123" s="318">
        <f>+SUMIF('Consolidado Costos'!$K$6:$K$158,$C123,'Consolidado Costos'!AO$6:AO$158)</f>
        <v>0</v>
      </c>
      <c r="R123" s="318">
        <f>+SUMIF('Consolidado Costos'!$K$6:$K$158,$C123,'Consolidado Costos'!AP$6:AP$158)</f>
        <v>0</v>
      </c>
      <c r="S123" s="357">
        <f t="shared" si="5"/>
        <v>1</v>
      </c>
      <c r="U123" s="327"/>
      <c r="V123" s="328" t="s">
        <v>506</v>
      </c>
      <c r="W123" s="328" t="s">
        <v>507</v>
      </c>
      <c r="X123" s="329"/>
      <c r="Y123" s="354">
        <f t="shared" si="11"/>
        <v>0</v>
      </c>
      <c r="Z123" s="318" cm="1">
        <f t="array" ref="Z123">+SUMPRODUCT(IF('Consolidado Costos'!$K$6:$K$158=$V123,('Consolidado Costos'!AE$6:AE$158*'Consolidado Costos'!$D$6:$D$158),0))</f>
        <v>0</v>
      </c>
      <c r="AA123" s="318" cm="1">
        <f t="array" ref="AA123">+SUMPRODUCT(IF('Consolidado Costos'!$K$6:$K$158=$V123,('Consolidado Costos'!AF$6:AF$158*'Consolidado Costos'!$D$6:$D$158),0))</f>
        <v>0</v>
      </c>
      <c r="AB123" s="318" cm="1">
        <f t="array" ref="AB123">+SUMPRODUCT(IF('Consolidado Costos'!$K$6:$K$158=$V123,('Consolidado Costos'!AG$6:AG$158*'Consolidado Costos'!$D$6:$D$158),0))</f>
        <v>0</v>
      </c>
      <c r="AC123" s="318" cm="1">
        <f t="array" ref="AC123">+SUMPRODUCT(IF('Consolidado Costos'!$K$6:$K$158=$V123,('Consolidado Costos'!AH$6:AH$158*'Consolidado Costos'!$D$6:$D$158),0))</f>
        <v>0</v>
      </c>
      <c r="AD123" s="318" cm="1">
        <f t="array" ref="AD123">+SUMPRODUCT(IF('Consolidado Costos'!$K$6:$K$158=$V123,('Consolidado Costos'!AI$6:AI$158*'Consolidado Costos'!$D$6:$D$158),0))</f>
        <v>0</v>
      </c>
      <c r="AE123" s="318" cm="1">
        <f t="array" ref="AE123">+SUMPRODUCT(IF('Consolidado Costos'!$K$6:$K$158=$V123,('Consolidado Costos'!AJ$6:AJ$158*'Consolidado Costos'!$D$6:$D$158),0))</f>
        <v>0</v>
      </c>
      <c r="AF123" s="318" cm="1">
        <f t="array" ref="AF123">+SUMPRODUCT(IF('Consolidado Costos'!$K$6:$K$158=$V123,('Consolidado Costos'!AK$6:AK$158*'Consolidado Costos'!$D$6:$D$158),0))</f>
        <v>0</v>
      </c>
      <c r="AG123" s="318" cm="1">
        <f t="array" ref="AG123">+SUMPRODUCT(IF('Consolidado Costos'!$K$6:$K$158=$V123,('Consolidado Costos'!AL$6:AL$158*'Consolidado Costos'!$D$6:$D$158),0))</f>
        <v>0</v>
      </c>
      <c r="AH123" s="318" cm="1">
        <f t="array" ref="AH123">+SUMPRODUCT(IF('Consolidado Costos'!$K$6:$K$158=$V123,('Consolidado Costos'!AM$6:AM$158*'Consolidado Costos'!$D$6:$D$158),0))</f>
        <v>0</v>
      </c>
      <c r="AI123" s="318" cm="1">
        <f t="array" ref="AI123">+SUMPRODUCT(IF('Consolidado Costos'!$K$6:$K$158=$V123,('Consolidado Costos'!AN$6:AN$158*'Consolidado Costos'!$D$6:$D$158),0))</f>
        <v>0</v>
      </c>
      <c r="AJ123" s="318" cm="1">
        <f t="array" ref="AJ123">+SUMPRODUCT(IF('Consolidado Costos'!$K$6:$K$158=$V123,('Consolidado Costos'!AO$6:AO$158*'Consolidado Costos'!$D$6:$D$158),0))</f>
        <v>0</v>
      </c>
      <c r="AK123" s="318" cm="1">
        <f t="array" ref="AK123">+SUMPRODUCT(IF('Consolidado Costos'!$K$6:$K$158=$V123,('Consolidado Costos'!AP$6:AP$158*'Consolidado Costos'!$D$6:$D$158),0))</f>
        <v>0</v>
      </c>
      <c r="AM123" s="327"/>
      <c r="AN123" s="328" t="s">
        <v>506</v>
      </c>
      <c r="AO123" s="328" t="s">
        <v>507</v>
      </c>
      <c r="AP123" s="329"/>
      <c r="AQ123" s="354">
        <f t="shared" si="12"/>
        <v>0</v>
      </c>
      <c r="AR123" s="318" cm="1">
        <f t="array" ref="AR123">+SUMPRODUCT(IF('Consolidado Costos'!$K$6:$K$158=$AN123,('Consolidado Costos'!AE$6:AE$158*'Consolidado Costos'!$E$6:$E$158),0))</f>
        <v>0</v>
      </c>
      <c r="AS123" s="318" cm="1">
        <f t="array" ref="AS123">+SUMPRODUCT(IF('Consolidado Costos'!$K$6:$K$158=$AN123,('Consolidado Costos'!AF$6:AF$158*'Consolidado Costos'!$E$6:$E$158),0))</f>
        <v>0</v>
      </c>
      <c r="AT123" s="318" cm="1">
        <f t="array" ref="AT123">+SUMPRODUCT(IF('Consolidado Costos'!$K$6:$K$158=$AN123,('Consolidado Costos'!AG$6:AG$158*'Consolidado Costos'!$E$6:$E$158),0))</f>
        <v>0</v>
      </c>
      <c r="AU123" s="318" cm="1">
        <f t="array" ref="AU123">+SUMPRODUCT(IF('Consolidado Costos'!$K$6:$K$158=$AN123,('Consolidado Costos'!AH$6:AH$158*'Consolidado Costos'!$E$6:$E$158),0))</f>
        <v>0</v>
      </c>
      <c r="AV123" s="318" cm="1">
        <f t="array" ref="AV123">+SUMPRODUCT(IF('Consolidado Costos'!$K$6:$K$158=$AN123,('Consolidado Costos'!AI$6:AI$158*'Consolidado Costos'!$E$6:$E$158),0))</f>
        <v>0</v>
      </c>
      <c r="AW123" s="318" cm="1">
        <f t="array" ref="AW123">+SUMPRODUCT(IF('Consolidado Costos'!$K$6:$K$158=$AN123,('Consolidado Costos'!AJ$6:AJ$158*'Consolidado Costos'!$E$6:$E$158),0))</f>
        <v>0</v>
      </c>
      <c r="AX123" s="318" cm="1">
        <f t="array" ref="AX123">+SUMPRODUCT(IF('Consolidado Costos'!$K$6:$K$158=$AN123,('Consolidado Costos'!AK$6:AK$158*'Consolidado Costos'!$E$6:$E$158),0))</f>
        <v>0</v>
      </c>
      <c r="AY123" s="318" cm="1">
        <f t="array" ref="AY123">+SUMPRODUCT(IF('Consolidado Costos'!$K$6:$K$158=$AN123,('Consolidado Costos'!AL$6:AL$158*'Consolidado Costos'!$E$6:$E$158),0))</f>
        <v>0</v>
      </c>
      <c r="AZ123" s="318" cm="1">
        <f t="array" ref="AZ123">+SUMPRODUCT(IF('Consolidado Costos'!$K$6:$K$158=$AN123,('Consolidado Costos'!AM$6:AM$158*'Consolidado Costos'!$E$6:$E$158),0))</f>
        <v>0</v>
      </c>
      <c r="BA123" s="318" cm="1">
        <f t="array" ref="BA123">+SUMPRODUCT(IF('Consolidado Costos'!$K$6:$K$158=$AN123,('Consolidado Costos'!AN$6:AN$158*'Consolidado Costos'!$E$6:$E$158),0))</f>
        <v>0</v>
      </c>
      <c r="BB123" s="318" cm="1">
        <f t="array" ref="BB123">+SUMPRODUCT(IF('Consolidado Costos'!$K$6:$K$158=$AN123,('Consolidado Costos'!AO$6:AO$158*'Consolidado Costos'!$E$6:$E$158),0))</f>
        <v>0</v>
      </c>
      <c r="BC123" s="318" cm="1">
        <f t="array" ref="BC123">+SUMPRODUCT(IF('Consolidado Costos'!$K$6:$K$158=$AN123,('Consolidado Costos'!AP$6:AP$158*'Consolidado Costos'!$E$6:$E$158),0))</f>
        <v>0</v>
      </c>
      <c r="BE123" s="327"/>
      <c r="BF123" s="328" t="s">
        <v>506</v>
      </c>
      <c r="BG123" s="328" t="s">
        <v>507</v>
      </c>
      <c r="BH123" s="329"/>
      <c r="BI123" s="354">
        <f t="shared" si="13"/>
        <v>0</v>
      </c>
      <c r="BJ123" s="318" cm="1">
        <f t="array" ref="BJ123">+SUMPRODUCT(IF('Consolidado Costos'!$K$6:$K$158=$BF123,('Consolidado Costos'!AE$6:AE$158*'Consolidado Costos'!$F$6:$F$158),0))</f>
        <v>0</v>
      </c>
      <c r="BK123" s="318" cm="1">
        <f t="array" ref="BK123">+SUMPRODUCT(IF('Consolidado Costos'!$K$6:$K$158=$BF123,('Consolidado Costos'!AF$6:AF$158*'Consolidado Costos'!$F$6:$F$158),0))</f>
        <v>0</v>
      </c>
      <c r="BL123" s="318" cm="1">
        <f t="array" ref="BL123">+SUMPRODUCT(IF('Consolidado Costos'!$K$6:$K$158=$BF123,('Consolidado Costos'!AG$6:AG$158*'Consolidado Costos'!$F$6:$F$158),0))</f>
        <v>0</v>
      </c>
      <c r="BM123" s="318" cm="1">
        <f t="array" ref="BM123">+SUMPRODUCT(IF('Consolidado Costos'!$K$6:$K$158=$BF123,('Consolidado Costos'!AH$6:AH$158*'Consolidado Costos'!$F$6:$F$158),0))</f>
        <v>0</v>
      </c>
      <c r="BN123" s="318" cm="1">
        <f t="array" ref="BN123">+SUMPRODUCT(IF('Consolidado Costos'!$K$6:$K$158=$BF123,('Consolidado Costos'!AI$6:AI$158*'Consolidado Costos'!$F$6:$F$158),0))</f>
        <v>0</v>
      </c>
      <c r="BO123" s="318" cm="1">
        <f t="array" ref="BO123">+SUMPRODUCT(IF('Consolidado Costos'!$K$6:$K$158=$BF123,('Consolidado Costos'!AJ$6:AJ$158*'Consolidado Costos'!$F$6:$F$158),0))</f>
        <v>0</v>
      </c>
      <c r="BP123" s="318" cm="1">
        <f t="array" ref="BP123">+SUMPRODUCT(IF('Consolidado Costos'!$K$6:$K$158=$BF123,('Consolidado Costos'!AK$6:AK$158*'Consolidado Costos'!$F$6:$F$158),0))</f>
        <v>0</v>
      </c>
      <c r="BQ123" s="318" cm="1">
        <f t="array" ref="BQ123">+SUMPRODUCT(IF('Consolidado Costos'!$K$6:$K$158=$BF123,('Consolidado Costos'!AL$6:AL$158*'Consolidado Costos'!$F$6:$F$158),0))</f>
        <v>0</v>
      </c>
      <c r="BR123" s="318" cm="1">
        <f t="array" ref="BR123">+SUMPRODUCT(IF('Consolidado Costos'!$K$6:$K$158=$BF123,('Consolidado Costos'!AM$6:AM$158*'Consolidado Costos'!$F$6:$F$158),0))</f>
        <v>0</v>
      </c>
      <c r="BS123" s="318" cm="1">
        <f t="array" ref="BS123">+SUMPRODUCT(IF('Consolidado Costos'!$K$6:$K$158=$BF123,('Consolidado Costos'!AN$6:AN$158*'Consolidado Costos'!$F$6:$F$158),0))</f>
        <v>0</v>
      </c>
      <c r="BT123" s="318" cm="1">
        <f t="array" ref="BT123">+SUMPRODUCT(IF('Consolidado Costos'!$K$6:$K$158=$BF123,('Consolidado Costos'!AO$6:AO$158*'Consolidado Costos'!$F$6:$F$158),0))</f>
        <v>0</v>
      </c>
      <c r="BU123" s="318" cm="1">
        <f t="array" ref="BU123">+SUMPRODUCT(IF('Consolidado Costos'!$K$6:$K$158=$BF123,('Consolidado Costos'!AP$6:AP$158*'Consolidado Costos'!$F$6:$F$158),0))</f>
        <v>0</v>
      </c>
      <c r="BW123" s="327"/>
      <c r="BX123" s="328" t="s">
        <v>506</v>
      </c>
      <c r="BY123" s="328" t="s">
        <v>507</v>
      </c>
      <c r="BZ123" s="329"/>
      <c r="CA123" s="354">
        <f t="shared" si="14"/>
        <v>0</v>
      </c>
      <c r="CB123" s="318" cm="1">
        <f t="array" ref="CB123">+SUMPRODUCT(IF('Consolidado Costos'!$K$6:$K$158=$BX123,('Consolidado Costos'!AE$6:AE$158*'Consolidado Costos'!$G$6:$G$158),0))</f>
        <v>0</v>
      </c>
      <c r="CC123" s="318" cm="1">
        <f t="array" ref="CC123">+SUMPRODUCT(IF('Consolidado Costos'!$K$6:$K$158=$BX123,('Consolidado Costos'!AF$6:AF$158*'Consolidado Costos'!$G$6:$G$158),0))</f>
        <v>0</v>
      </c>
      <c r="CD123" s="318" cm="1">
        <f t="array" ref="CD123">+SUMPRODUCT(IF('Consolidado Costos'!$K$6:$K$158=$BX123,('Consolidado Costos'!AG$6:AG$158*'Consolidado Costos'!$G$6:$G$158),0))</f>
        <v>0</v>
      </c>
      <c r="CE123" s="318" cm="1">
        <f t="array" ref="CE123">+SUMPRODUCT(IF('Consolidado Costos'!$K$6:$K$158=$BX123,('Consolidado Costos'!AH$6:AH$158*'Consolidado Costos'!$G$6:$G$158),0))</f>
        <v>0</v>
      </c>
      <c r="CF123" s="318" cm="1">
        <f t="array" ref="CF123">+SUMPRODUCT(IF('Consolidado Costos'!$K$6:$K$158=$BX123,('Consolidado Costos'!AI$6:AI$158*'Consolidado Costos'!$G$6:$G$158),0))</f>
        <v>0</v>
      </c>
      <c r="CG123" s="318" cm="1">
        <f t="array" ref="CG123">+SUMPRODUCT(IF('Consolidado Costos'!$K$6:$K$158=$BX123,('Consolidado Costos'!AJ$6:AJ$158*'Consolidado Costos'!$G$6:$G$158),0))</f>
        <v>0</v>
      </c>
      <c r="CH123" s="318" cm="1">
        <f t="array" ref="CH123">+SUMPRODUCT(IF('Consolidado Costos'!$K$6:$K$158=$BX123,('Consolidado Costos'!AK$6:AK$158*'Consolidado Costos'!$G$6:$G$158),0))</f>
        <v>0</v>
      </c>
      <c r="CI123" s="318" cm="1">
        <f t="array" ref="CI123">+SUMPRODUCT(IF('Consolidado Costos'!$K$6:$K$158=$BX123,('Consolidado Costos'!AL$6:AL$158*'Consolidado Costos'!$G$6:$G$158),0))</f>
        <v>0</v>
      </c>
      <c r="CJ123" s="318" cm="1">
        <f t="array" ref="CJ123">+SUMPRODUCT(IF('Consolidado Costos'!$K$6:$K$158=$BX123,('Consolidado Costos'!AM$6:AM$158*'Consolidado Costos'!$G$6:$G$158),0))</f>
        <v>0</v>
      </c>
      <c r="CK123" s="318" cm="1">
        <f t="array" ref="CK123">+SUMPRODUCT(IF('Consolidado Costos'!$K$6:$K$158=$BX123,('Consolidado Costos'!AN$6:AN$158*'Consolidado Costos'!$G$6:$G$158),0))</f>
        <v>0</v>
      </c>
      <c r="CL123" s="318" cm="1">
        <f t="array" ref="CL123">+SUMPRODUCT(IF('Consolidado Costos'!$K$6:$K$158=$BX123,('Consolidado Costos'!AO$6:AO$158*'Consolidado Costos'!$G$6:$G$158),0))</f>
        <v>0</v>
      </c>
      <c r="CM123" s="318" cm="1">
        <f t="array" ref="CM123">+SUMPRODUCT(IF('Consolidado Costos'!$K$6:$K$158=$BX123,('Consolidado Costos'!AP$6:AP$158*'Consolidado Costos'!$G$6:$G$158),0))</f>
        <v>0</v>
      </c>
      <c r="CN123" s="357">
        <f t="shared" si="10"/>
        <v>1</v>
      </c>
    </row>
    <row r="124" spans="2:92" s="310" customFormat="1" outlineLevel="1">
      <c r="B124" s="331"/>
      <c r="C124" s="328" t="s">
        <v>508</v>
      </c>
      <c r="D124" s="328" t="s">
        <v>509</v>
      </c>
      <c r="E124" s="329"/>
      <c r="F124" s="318">
        <f>+SUMIF('Consolidado Costos'!$K$6:$K$158,$C124,'Consolidado Costos'!$AD$6:$AD$158)</f>
        <v>0</v>
      </c>
      <c r="G124" s="318">
        <f>+SUMIF('Consolidado Costos'!$K$6:$K$158,$C124,'Consolidado Costos'!AE$6:AE$158)</f>
        <v>0</v>
      </c>
      <c r="H124" s="318">
        <f>+SUMIF('Consolidado Costos'!$K$6:$K$158,$C124,'Consolidado Costos'!AF$6:AF$158)</f>
        <v>0</v>
      </c>
      <c r="I124" s="318">
        <f>+SUMIF('Consolidado Costos'!$K$6:$K$158,$C124,'Consolidado Costos'!AG$6:AG$158)</f>
        <v>0</v>
      </c>
      <c r="J124" s="318">
        <f>+SUMIF('Consolidado Costos'!$K$6:$K$158,$C124,'Consolidado Costos'!AH$6:AH$158)</f>
        <v>0</v>
      </c>
      <c r="K124" s="318">
        <f>+SUMIF('Consolidado Costos'!$K$6:$K$158,$C124,'Consolidado Costos'!AI$6:AI$158)</f>
        <v>0</v>
      </c>
      <c r="L124" s="318">
        <f>+SUMIF('Consolidado Costos'!$K$6:$K$158,$C124,'Consolidado Costos'!AJ$6:AJ$158)</f>
        <v>0</v>
      </c>
      <c r="M124" s="318">
        <f>+SUMIF('Consolidado Costos'!$K$6:$K$158,$C124,'Consolidado Costos'!AK$6:AK$158)</f>
        <v>0</v>
      </c>
      <c r="N124" s="318">
        <f>+SUMIF('Consolidado Costos'!$K$6:$K$158,$C124,'Consolidado Costos'!AL$6:AL$158)</f>
        <v>0</v>
      </c>
      <c r="O124" s="318">
        <f>+SUMIF('Consolidado Costos'!$K$6:$K$158,$C124,'Consolidado Costos'!AM$6:AM$158)</f>
        <v>0</v>
      </c>
      <c r="P124" s="318">
        <f>+SUMIF('Consolidado Costos'!$K$6:$K$158,$C124,'Consolidado Costos'!AN$6:AN$158)</f>
        <v>0</v>
      </c>
      <c r="Q124" s="318">
        <f>+SUMIF('Consolidado Costos'!$K$6:$K$158,$C124,'Consolidado Costos'!AO$6:AO$158)</f>
        <v>0</v>
      </c>
      <c r="R124" s="318">
        <f>+SUMIF('Consolidado Costos'!$K$6:$K$158,$C124,'Consolidado Costos'!AP$6:AP$158)</f>
        <v>0</v>
      </c>
      <c r="S124" s="357">
        <f t="shared" si="5"/>
        <v>1</v>
      </c>
      <c r="U124" s="331"/>
      <c r="V124" s="328" t="s">
        <v>508</v>
      </c>
      <c r="W124" s="328" t="s">
        <v>509</v>
      </c>
      <c r="X124" s="329"/>
      <c r="Y124" s="354">
        <f t="shared" si="11"/>
        <v>0</v>
      </c>
      <c r="Z124" s="318" cm="1">
        <f t="array" ref="Z124">+SUMPRODUCT(IF('Consolidado Costos'!$K$6:$K$158=$V124,('Consolidado Costos'!AE$6:AE$158*'Consolidado Costos'!$D$6:$D$158),0))</f>
        <v>0</v>
      </c>
      <c r="AA124" s="318" cm="1">
        <f t="array" ref="AA124">+SUMPRODUCT(IF('Consolidado Costos'!$K$6:$K$158=$V124,('Consolidado Costos'!AF$6:AF$158*'Consolidado Costos'!$D$6:$D$158),0))</f>
        <v>0</v>
      </c>
      <c r="AB124" s="318" cm="1">
        <f t="array" ref="AB124">+SUMPRODUCT(IF('Consolidado Costos'!$K$6:$K$158=$V124,('Consolidado Costos'!AG$6:AG$158*'Consolidado Costos'!$D$6:$D$158),0))</f>
        <v>0</v>
      </c>
      <c r="AC124" s="318" cm="1">
        <f t="array" ref="AC124">+SUMPRODUCT(IF('Consolidado Costos'!$K$6:$K$158=$V124,('Consolidado Costos'!AH$6:AH$158*'Consolidado Costos'!$D$6:$D$158),0))</f>
        <v>0</v>
      </c>
      <c r="AD124" s="318" cm="1">
        <f t="array" ref="AD124">+SUMPRODUCT(IF('Consolidado Costos'!$K$6:$K$158=$V124,('Consolidado Costos'!AI$6:AI$158*'Consolidado Costos'!$D$6:$D$158),0))</f>
        <v>0</v>
      </c>
      <c r="AE124" s="318" cm="1">
        <f t="array" ref="AE124">+SUMPRODUCT(IF('Consolidado Costos'!$K$6:$K$158=$V124,('Consolidado Costos'!AJ$6:AJ$158*'Consolidado Costos'!$D$6:$D$158),0))</f>
        <v>0</v>
      </c>
      <c r="AF124" s="318" cm="1">
        <f t="array" ref="AF124">+SUMPRODUCT(IF('Consolidado Costos'!$K$6:$K$158=$V124,('Consolidado Costos'!AK$6:AK$158*'Consolidado Costos'!$D$6:$D$158),0))</f>
        <v>0</v>
      </c>
      <c r="AG124" s="318" cm="1">
        <f t="array" ref="AG124">+SUMPRODUCT(IF('Consolidado Costos'!$K$6:$K$158=$V124,('Consolidado Costos'!AL$6:AL$158*'Consolidado Costos'!$D$6:$D$158),0))</f>
        <v>0</v>
      </c>
      <c r="AH124" s="318" cm="1">
        <f t="array" ref="AH124">+SUMPRODUCT(IF('Consolidado Costos'!$K$6:$K$158=$V124,('Consolidado Costos'!AM$6:AM$158*'Consolidado Costos'!$D$6:$D$158),0))</f>
        <v>0</v>
      </c>
      <c r="AI124" s="318" cm="1">
        <f t="array" ref="AI124">+SUMPRODUCT(IF('Consolidado Costos'!$K$6:$K$158=$V124,('Consolidado Costos'!AN$6:AN$158*'Consolidado Costos'!$D$6:$D$158),0))</f>
        <v>0</v>
      </c>
      <c r="AJ124" s="318" cm="1">
        <f t="array" ref="AJ124">+SUMPRODUCT(IF('Consolidado Costos'!$K$6:$K$158=$V124,('Consolidado Costos'!AO$6:AO$158*'Consolidado Costos'!$D$6:$D$158),0))</f>
        <v>0</v>
      </c>
      <c r="AK124" s="318" cm="1">
        <f t="array" ref="AK124">+SUMPRODUCT(IF('Consolidado Costos'!$K$6:$K$158=$V124,('Consolidado Costos'!AP$6:AP$158*'Consolidado Costos'!$D$6:$D$158),0))</f>
        <v>0</v>
      </c>
      <c r="AM124" s="331"/>
      <c r="AN124" s="328" t="s">
        <v>508</v>
      </c>
      <c r="AO124" s="328" t="s">
        <v>509</v>
      </c>
      <c r="AP124" s="329"/>
      <c r="AQ124" s="354">
        <f t="shared" si="12"/>
        <v>0</v>
      </c>
      <c r="AR124" s="318" cm="1">
        <f t="array" ref="AR124">+SUMPRODUCT(IF('Consolidado Costos'!$K$6:$K$158=$AN124,('Consolidado Costos'!AE$6:AE$158*'Consolidado Costos'!$E$6:$E$158),0))</f>
        <v>0</v>
      </c>
      <c r="AS124" s="318" cm="1">
        <f t="array" ref="AS124">+SUMPRODUCT(IF('Consolidado Costos'!$K$6:$K$158=$AN124,('Consolidado Costos'!AF$6:AF$158*'Consolidado Costos'!$E$6:$E$158),0))</f>
        <v>0</v>
      </c>
      <c r="AT124" s="318" cm="1">
        <f t="array" ref="AT124">+SUMPRODUCT(IF('Consolidado Costos'!$K$6:$K$158=$AN124,('Consolidado Costos'!AG$6:AG$158*'Consolidado Costos'!$E$6:$E$158),0))</f>
        <v>0</v>
      </c>
      <c r="AU124" s="318" cm="1">
        <f t="array" ref="AU124">+SUMPRODUCT(IF('Consolidado Costos'!$K$6:$K$158=$AN124,('Consolidado Costos'!AH$6:AH$158*'Consolidado Costos'!$E$6:$E$158),0))</f>
        <v>0</v>
      </c>
      <c r="AV124" s="318" cm="1">
        <f t="array" ref="AV124">+SUMPRODUCT(IF('Consolidado Costos'!$K$6:$K$158=$AN124,('Consolidado Costos'!AI$6:AI$158*'Consolidado Costos'!$E$6:$E$158),0))</f>
        <v>0</v>
      </c>
      <c r="AW124" s="318" cm="1">
        <f t="array" ref="AW124">+SUMPRODUCT(IF('Consolidado Costos'!$K$6:$K$158=$AN124,('Consolidado Costos'!AJ$6:AJ$158*'Consolidado Costos'!$E$6:$E$158),0))</f>
        <v>0</v>
      </c>
      <c r="AX124" s="318" cm="1">
        <f t="array" ref="AX124">+SUMPRODUCT(IF('Consolidado Costos'!$K$6:$K$158=$AN124,('Consolidado Costos'!AK$6:AK$158*'Consolidado Costos'!$E$6:$E$158),0))</f>
        <v>0</v>
      </c>
      <c r="AY124" s="318" cm="1">
        <f t="array" ref="AY124">+SUMPRODUCT(IF('Consolidado Costos'!$K$6:$K$158=$AN124,('Consolidado Costos'!AL$6:AL$158*'Consolidado Costos'!$E$6:$E$158),0))</f>
        <v>0</v>
      </c>
      <c r="AZ124" s="318" cm="1">
        <f t="array" ref="AZ124">+SUMPRODUCT(IF('Consolidado Costos'!$K$6:$K$158=$AN124,('Consolidado Costos'!AM$6:AM$158*'Consolidado Costos'!$E$6:$E$158),0))</f>
        <v>0</v>
      </c>
      <c r="BA124" s="318" cm="1">
        <f t="array" ref="BA124">+SUMPRODUCT(IF('Consolidado Costos'!$K$6:$K$158=$AN124,('Consolidado Costos'!AN$6:AN$158*'Consolidado Costos'!$E$6:$E$158),0))</f>
        <v>0</v>
      </c>
      <c r="BB124" s="318" cm="1">
        <f t="array" ref="BB124">+SUMPRODUCT(IF('Consolidado Costos'!$K$6:$K$158=$AN124,('Consolidado Costos'!AO$6:AO$158*'Consolidado Costos'!$E$6:$E$158),0))</f>
        <v>0</v>
      </c>
      <c r="BC124" s="318" cm="1">
        <f t="array" ref="BC124">+SUMPRODUCT(IF('Consolidado Costos'!$K$6:$K$158=$AN124,('Consolidado Costos'!AP$6:AP$158*'Consolidado Costos'!$E$6:$E$158),0))</f>
        <v>0</v>
      </c>
      <c r="BE124" s="331"/>
      <c r="BF124" s="328" t="s">
        <v>508</v>
      </c>
      <c r="BG124" s="328" t="s">
        <v>509</v>
      </c>
      <c r="BH124" s="329"/>
      <c r="BI124" s="354">
        <f t="shared" si="13"/>
        <v>0</v>
      </c>
      <c r="BJ124" s="318" cm="1">
        <f t="array" ref="BJ124">+SUMPRODUCT(IF('Consolidado Costos'!$K$6:$K$158=$BF124,('Consolidado Costos'!AE$6:AE$158*'Consolidado Costos'!$F$6:$F$158),0))</f>
        <v>0</v>
      </c>
      <c r="BK124" s="318" cm="1">
        <f t="array" ref="BK124">+SUMPRODUCT(IF('Consolidado Costos'!$K$6:$K$158=$BF124,('Consolidado Costos'!AF$6:AF$158*'Consolidado Costos'!$F$6:$F$158),0))</f>
        <v>0</v>
      </c>
      <c r="BL124" s="318" cm="1">
        <f t="array" ref="BL124">+SUMPRODUCT(IF('Consolidado Costos'!$K$6:$K$158=$BF124,('Consolidado Costos'!AG$6:AG$158*'Consolidado Costos'!$F$6:$F$158),0))</f>
        <v>0</v>
      </c>
      <c r="BM124" s="318" cm="1">
        <f t="array" ref="BM124">+SUMPRODUCT(IF('Consolidado Costos'!$K$6:$K$158=$BF124,('Consolidado Costos'!AH$6:AH$158*'Consolidado Costos'!$F$6:$F$158),0))</f>
        <v>0</v>
      </c>
      <c r="BN124" s="318" cm="1">
        <f t="array" ref="BN124">+SUMPRODUCT(IF('Consolidado Costos'!$K$6:$K$158=$BF124,('Consolidado Costos'!AI$6:AI$158*'Consolidado Costos'!$F$6:$F$158),0))</f>
        <v>0</v>
      </c>
      <c r="BO124" s="318" cm="1">
        <f t="array" ref="BO124">+SUMPRODUCT(IF('Consolidado Costos'!$K$6:$K$158=$BF124,('Consolidado Costos'!AJ$6:AJ$158*'Consolidado Costos'!$F$6:$F$158),0))</f>
        <v>0</v>
      </c>
      <c r="BP124" s="318" cm="1">
        <f t="array" ref="BP124">+SUMPRODUCT(IF('Consolidado Costos'!$K$6:$K$158=$BF124,('Consolidado Costos'!AK$6:AK$158*'Consolidado Costos'!$F$6:$F$158),0))</f>
        <v>0</v>
      </c>
      <c r="BQ124" s="318" cm="1">
        <f t="array" ref="BQ124">+SUMPRODUCT(IF('Consolidado Costos'!$K$6:$K$158=$BF124,('Consolidado Costos'!AL$6:AL$158*'Consolidado Costos'!$F$6:$F$158),0))</f>
        <v>0</v>
      </c>
      <c r="BR124" s="318" cm="1">
        <f t="array" ref="BR124">+SUMPRODUCT(IF('Consolidado Costos'!$K$6:$K$158=$BF124,('Consolidado Costos'!AM$6:AM$158*'Consolidado Costos'!$F$6:$F$158),0))</f>
        <v>0</v>
      </c>
      <c r="BS124" s="318" cm="1">
        <f t="array" ref="BS124">+SUMPRODUCT(IF('Consolidado Costos'!$K$6:$K$158=$BF124,('Consolidado Costos'!AN$6:AN$158*'Consolidado Costos'!$F$6:$F$158),0))</f>
        <v>0</v>
      </c>
      <c r="BT124" s="318" cm="1">
        <f t="array" ref="BT124">+SUMPRODUCT(IF('Consolidado Costos'!$K$6:$K$158=$BF124,('Consolidado Costos'!AO$6:AO$158*'Consolidado Costos'!$F$6:$F$158),0))</f>
        <v>0</v>
      </c>
      <c r="BU124" s="318" cm="1">
        <f t="array" ref="BU124">+SUMPRODUCT(IF('Consolidado Costos'!$K$6:$K$158=$BF124,('Consolidado Costos'!AP$6:AP$158*'Consolidado Costos'!$F$6:$F$158),0))</f>
        <v>0</v>
      </c>
      <c r="BW124" s="331"/>
      <c r="BX124" s="328" t="s">
        <v>508</v>
      </c>
      <c r="BY124" s="328" t="s">
        <v>509</v>
      </c>
      <c r="BZ124" s="329"/>
      <c r="CA124" s="354">
        <f t="shared" si="14"/>
        <v>0</v>
      </c>
      <c r="CB124" s="318" cm="1">
        <f t="array" ref="CB124">+SUMPRODUCT(IF('Consolidado Costos'!$K$6:$K$158=$BX124,('Consolidado Costos'!AE$6:AE$158*'Consolidado Costos'!$G$6:$G$158),0))</f>
        <v>0</v>
      </c>
      <c r="CC124" s="318" cm="1">
        <f t="array" ref="CC124">+SUMPRODUCT(IF('Consolidado Costos'!$K$6:$K$158=$BX124,('Consolidado Costos'!AF$6:AF$158*'Consolidado Costos'!$G$6:$G$158),0))</f>
        <v>0</v>
      </c>
      <c r="CD124" s="318" cm="1">
        <f t="array" ref="CD124">+SUMPRODUCT(IF('Consolidado Costos'!$K$6:$K$158=$BX124,('Consolidado Costos'!AG$6:AG$158*'Consolidado Costos'!$G$6:$G$158),0))</f>
        <v>0</v>
      </c>
      <c r="CE124" s="318" cm="1">
        <f t="array" ref="CE124">+SUMPRODUCT(IF('Consolidado Costos'!$K$6:$K$158=$BX124,('Consolidado Costos'!AH$6:AH$158*'Consolidado Costos'!$G$6:$G$158),0))</f>
        <v>0</v>
      </c>
      <c r="CF124" s="318" cm="1">
        <f t="array" ref="CF124">+SUMPRODUCT(IF('Consolidado Costos'!$K$6:$K$158=$BX124,('Consolidado Costos'!AI$6:AI$158*'Consolidado Costos'!$G$6:$G$158),0))</f>
        <v>0</v>
      </c>
      <c r="CG124" s="318" cm="1">
        <f t="array" ref="CG124">+SUMPRODUCT(IF('Consolidado Costos'!$K$6:$K$158=$BX124,('Consolidado Costos'!AJ$6:AJ$158*'Consolidado Costos'!$G$6:$G$158),0))</f>
        <v>0</v>
      </c>
      <c r="CH124" s="318" cm="1">
        <f t="array" ref="CH124">+SUMPRODUCT(IF('Consolidado Costos'!$K$6:$K$158=$BX124,('Consolidado Costos'!AK$6:AK$158*'Consolidado Costos'!$G$6:$G$158),0))</f>
        <v>0</v>
      </c>
      <c r="CI124" s="318" cm="1">
        <f t="array" ref="CI124">+SUMPRODUCT(IF('Consolidado Costos'!$K$6:$K$158=$BX124,('Consolidado Costos'!AL$6:AL$158*'Consolidado Costos'!$G$6:$G$158),0))</f>
        <v>0</v>
      </c>
      <c r="CJ124" s="318" cm="1">
        <f t="array" ref="CJ124">+SUMPRODUCT(IF('Consolidado Costos'!$K$6:$K$158=$BX124,('Consolidado Costos'!AM$6:AM$158*'Consolidado Costos'!$G$6:$G$158),0))</f>
        <v>0</v>
      </c>
      <c r="CK124" s="318" cm="1">
        <f t="array" ref="CK124">+SUMPRODUCT(IF('Consolidado Costos'!$K$6:$K$158=$BX124,('Consolidado Costos'!AN$6:AN$158*'Consolidado Costos'!$G$6:$G$158),0))</f>
        <v>0</v>
      </c>
      <c r="CL124" s="318" cm="1">
        <f t="array" ref="CL124">+SUMPRODUCT(IF('Consolidado Costos'!$K$6:$K$158=$BX124,('Consolidado Costos'!AO$6:AO$158*'Consolidado Costos'!$G$6:$G$158),0))</f>
        <v>0</v>
      </c>
      <c r="CM124" s="318" cm="1">
        <f t="array" ref="CM124">+SUMPRODUCT(IF('Consolidado Costos'!$K$6:$K$158=$BX124,('Consolidado Costos'!AP$6:AP$158*'Consolidado Costos'!$G$6:$G$158),0))</f>
        <v>0</v>
      </c>
      <c r="CN124" s="357">
        <f t="shared" si="10"/>
        <v>1</v>
      </c>
    </row>
    <row r="125" spans="2:92" s="310" customFormat="1" outlineLevel="1">
      <c r="B125" s="327"/>
      <c r="C125" s="328" t="s">
        <v>510</v>
      </c>
      <c r="D125" s="328" t="s">
        <v>511</v>
      </c>
      <c r="E125" s="329"/>
      <c r="F125" s="318">
        <f>+SUMIF('Consolidado Costos'!$K$6:$K$158,$C125,'Consolidado Costos'!$AD$6:$AD$158)</f>
        <v>0</v>
      </c>
      <c r="G125" s="318">
        <f>+SUMIF('Consolidado Costos'!$K$6:$K$158,$C125,'Consolidado Costos'!AE$6:AE$158)</f>
        <v>0</v>
      </c>
      <c r="H125" s="318">
        <f>+SUMIF('Consolidado Costos'!$K$6:$K$158,$C125,'Consolidado Costos'!AF$6:AF$158)</f>
        <v>0</v>
      </c>
      <c r="I125" s="318">
        <f>+SUMIF('Consolidado Costos'!$K$6:$K$158,$C125,'Consolidado Costos'!AG$6:AG$158)</f>
        <v>0</v>
      </c>
      <c r="J125" s="318">
        <f>+SUMIF('Consolidado Costos'!$K$6:$K$158,$C125,'Consolidado Costos'!AH$6:AH$158)</f>
        <v>0</v>
      </c>
      <c r="K125" s="318">
        <f>+SUMIF('Consolidado Costos'!$K$6:$K$158,$C125,'Consolidado Costos'!AI$6:AI$158)</f>
        <v>0</v>
      </c>
      <c r="L125" s="318">
        <f>+SUMIF('Consolidado Costos'!$K$6:$K$158,$C125,'Consolidado Costos'!AJ$6:AJ$158)</f>
        <v>0</v>
      </c>
      <c r="M125" s="318">
        <f>+SUMIF('Consolidado Costos'!$K$6:$K$158,$C125,'Consolidado Costos'!AK$6:AK$158)</f>
        <v>0</v>
      </c>
      <c r="N125" s="318">
        <f>+SUMIF('Consolidado Costos'!$K$6:$K$158,$C125,'Consolidado Costos'!AL$6:AL$158)</f>
        <v>0</v>
      </c>
      <c r="O125" s="318">
        <f>+SUMIF('Consolidado Costos'!$K$6:$K$158,$C125,'Consolidado Costos'!AM$6:AM$158)</f>
        <v>0</v>
      </c>
      <c r="P125" s="318">
        <f>+SUMIF('Consolidado Costos'!$K$6:$K$158,$C125,'Consolidado Costos'!AN$6:AN$158)</f>
        <v>0</v>
      </c>
      <c r="Q125" s="318">
        <f>+SUMIF('Consolidado Costos'!$K$6:$K$158,$C125,'Consolidado Costos'!AO$6:AO$158)</f>
        <v>0</v>
      </c>
      <c r="R125" s="318">
        <f>+SUMIF('Consolidado Costos'!$K$6:$K$158,$C125,'Consolidado Costos'!AP$6:AP$158)</f>
        <v>0</v>
      </c>
      <c r="S125" s="357">
        <f t="shared" si="5"/>
        <v>1</v>
      </c>
      <c r="U125" s="327"/>
      <c r="V125" s="328" t="s">
        <v>510</v>
      </c>
      <c r="W125" s="328" t="s">
        <v>511</v>
      </c>
      <c r="X125" s="329"/>
      <c r="Y125" s="354">
        <f t="shared" si="11"/>
        <v>0</v>
      </c>
      <c r="Z125" s="318" cm="1">
        <f t="array" ref="Z125">+SUMPRODUCT(IF('Consolidado Costos'!$K$6:$K$158=$V125,('Consolidado Costos'!AE$6:AE$158*'Consolidado Costos'!$D$6:$D$158),0))</f>
        <v>0</v>
      </c>
      <c r="AA125" s="318" cm="1">
        <f t="array" ref="AA125">+SUMPRODUCT(IF('Consolidado Costos'!$K$6:$K$158=$V125,('Consolidado Costos'!AF$6:AF$158*'Consolidado Costos'!$D$6:$D$158),0))</f>
        <v>0</v>
      </c>
      <c r="AB125" s="318" cm="1">
        <f t="array" ref="AB125">+SUMPRODUCT(IF('Consolidado Costos'!$K$6:$K$158=$V125,('Consolidado Costos'!AG$6:AG$158*'Consolidado Costos'!$D$6:$D$158),0))</f>
        <v>0</v>
      </c>
      <c r="AC125" s="318" cm="1">
        <f t="array" ref="AC125">+SUMPRODUCT(IF('Consolidado Costos'!$K$6:$K$158=$V125,('Consolidado Costos'!AH$6:AH$158*'Consolidado Costos'!$D$6:$D$158),0))</f>
        <v>0</v>
      </c>
      <c r="AD125" s="318" cm="1">
        <f t="array" ref="AD125">+SUMPRODUCT(IF('Consolidado Costos'!$K$6:$K$158=$V125,('Consolidado Costos'!AI$6:AI$158*'Consolidado Costos'!$D$6:$D$158),0))</f>
        <v>0</v>
      </c>
      <c r="AE125" s="318" cm="1">
        <f t="array" ref="AE125">+SUMPRODUCT(IF('Consolidado Costos'!$K$6:$K$158=$V125,('Consolidado Costos'!AJ$6:AJ$158*'Consolidado Costos'!$D$6:$D$158),0))</f>
        <v>0</v>
      </c>
      <c r="AF125" s="318" cm="1">
        <f t="array" ref="AF125">+SUMPRODUCT(IF('Consolidado Costos'!$K$6:$K$158=$V125,('Consolidado Costos'!AK$6:AK$158*'Consolidado Costos'!$D$6:$D$158),0))</f>
        <v>0</v>
      </c>
      <c r="AG125" s="318" cm="1">
        <f t="array" ref="AG125">+SUMPRODUCT(IF('Consolidado Costos'!$K$6:$K$158=$V125,('Consolidado Costos'!AL$6:AL$158*'Consolidado Costos'!$D$6:$D$158),0))</f>
        <v>0</v>
      </c>
      <c r="AH125" s="318" cm="1">
        <f t="array" ref="AH125">+SUMPRODUCT(IF('Consolidado Costos'!$K$6:$K$158=$V125,('Consolidado Costos'!AM$6:AM$158*'Consolidado Costos'!$D$6:$D$158),0))</f>
        <v>0</v>
      </c>
      <c r="AI125" s="318" cm="1">
        <f t="array" ref="AI125">+SUMPRODUCT(IF('Consolidado Costos'!$K$6:$K$158=$V125,('Consolidado Costos'!AN$6:AN$158*'Consolidado Costos'!$D$6:$D$158),0))</f>
        <v>0</v>
      </c>
      <c r="AJ125" s="318" cm="1">
        <f t="array" ref="AJ125">+SUMPRODUCT(IF('Consolidado Costos'!$K$6:$K$158=$V125,('Consolidado Costos'!AO$6:AO$158*'Consolidado Costos'!$D$6:$D$158),0))</f>
        <v>0</v>
      </c>
      <c r="AK125" s="318" cm="1">
        <f t="array" ref="AK125">+SUMPRODUCT(IF('Consolidado Costos'!$K$6:$K$158=$V125,('Consolidado Costos'!AP$6:AP$158*'Consolidado Costos'!$D$6:$D$158),0))</f>
        <v>0</v>
      </c>
      <c r="AM125" s="327"/>
      <c r="AN125" s="328" t="s">
        <v>510</v>
      </c>
      <c r="AO125" s="328" t="s">
        <v>511</v>
      </c>
      <c r="AP125" s="329"/>
      <c r="AQ125" s="354">
        <f t="shared" si="12"/>
        <v>0</v>
      </c>
      <c r="AR125" s="318" cm="1">
        <f t="array" ref="AR125">+SUMPRODUCT(IF('Consolidado Costos'!$K$6:$K$158=$AN125,('Consolidado Costos'!AE$6:AE$158*'Consolidado Costos'!$E$6:$E$158),0))</f>
        <v>0</v>
      </c>
      <c r="AS125" s="318" cm="1">
        <f t="array" ref="AS125">+SUMPRODUCT(IF('Consolidado Costos'!$K$6:$K$158=$AN125,('Consolidado Costos'!AF$6:AF$158*'Consolidado Costos'!$E$6:$E$158),0))</f>
        <v>0</v>
      </c>
      <c r="AT125" s="318" cm="1">
        <f t="array" ref="AT125">+SUMPRODUCT(IF('Consolidado Costos'!$K$6:$K$158=$AN125,('Consolidado Costos'!AG$6:AG$158*'Consolidado Costos'!$E$6:$E$158),0))</f>
        <v>0</v>
      </c>
      <c r="AU125" s="318" cm="1">
        <f t="array" ref="AU125">+SUMPRODUCT(IF('Consolidado Costos'!$K$6:$K$158=$AN125,('Consolidado Costos'!AH$6:AH$158*'Consolidado Costos'!$E$6:$E$158),0))</f>
        <v>0</v>
      </c>
      <c r="AV125" s="318" cm="1">
        <f t="array" ref="AV125">+SUMPRODUCT(IF('Consolidado Costos'!$K$6:$K$158=$AN125,('Consolidado Costos'!AI$6:AI$158*'Consolidado Costos'!$E$6:$E$158),0))</f>
        <v>0</v>
      </c>
      <c r="AW125" s="318" cm="1">
        <f t="array" ref="AW125">+SUMPRODUCT(IF('Consolidado Costos'!$K$6:$K$158=$AN125,('Consolidado Costos'!AJ$6:AJ$158*'Consolidado Costos'!$E$6:$E$158),0))</f>
        <v>0</v>
      </c>
      <c r="AX125" s="318" cm="1">
        <f t="array" ref="AX125">+SUMPRODUCT(IF('Consolidado Costos'!$K$6:$K$158=$AN125,('Consolidado Costos'!AK$6:AK$158*'Consolidado Costos'!$E$6:$E$158),0))</f>
        <v>0</v>
      </c>
      <c r="AY125" s="318" cm="1">
        <f t="array" ref="AY125">+SUMPRODUCT(IF('Consolidado Costos'!$K$6:$K$158=$AN125,('Consolidado Costos'!AL$6:AL$158*'Consolidado Costos'!$E$6:$E$158),0))</f>
        <v>0</v>
      </c>
      <c r="AZ125" s="318" cm="1">
        <f t="array" ref="AZ125">+SUMPRODUCT(IF('Consolidado Costos'!$K$6:$K$158=$AN125,('Consolidado Costos'!AM$6:AM$158*'Consolidado Costos'!$E$6:$E$158),0))</f>
        <v>0</v>
      </c>
      <c r="BA125" s="318" cm="1">
        <f t="array" ref="BA125">+SUMPRODUCT(IF('Consolidado Costos'!$K$6:$K$158=$AN125,('Consolidado Costos'!AN$6:AN$158*'Consolidado Costos'!$E$6:$E$158),0))</f>
        <v>0</v>
      </c>
      <c r="BB125" s="318" cm="1">
        <f t="array" ref="BB125">+SUMPRODUCT(IF('Consolidado Costos'!$K$6:$K$158=$AN125,('Consolidado Costos'!AO$6:AO$158*'Consolidado Costos'!$E$6:$E$158),0))</f>
        <v>0</v>
      </c>
      <c r="BC125" s="318" cm="1">
        <f t="array" ref="BC125">+SUMPRODUCT(IF('Consolidado Costos'!$K$6:$K$158=$AN125,('Consolidado Costos'!AP$6:AP$158*'Consolidado Costos'!$E$6:$E$158),0))</f>
        <v>0</v>
      </c>
      <c r="BE125" s="327"/>
      <c r="BF125" s="328" t="s">
        <v>510</v>
      </c>
      <c r="BG125" s="328" t="s">
        <v>511</v>
      </c>
      <c r="BH125" s="329"/>
      <c r="BI125" s="354">
        <f t="shared" si="13"/>
        <v>0</v>
      </c>
      <c r="BJ125" s="318" cm="1">
        <f t="array" ref="BJ125">+SUMPRODUCT(IF('Consolidado Costos'!$K$6:$K$158=$BF125,('Consolidado Costos'!AE$6:AE$158*'Consolidado Costos'!$F$6:$F$158),0))</f>
        <v>0</v>
      </c>
      <c r="BK125" s="318" cm="1">
        <f t="array" ref="BK125">+SUMPRODUCT(IF('Consolidado Costos'!$K$6:$K$158=$BF125,('Consolidado Costos'!AF$6:AF$158*'Consolidado Costos'!$F$6:$F$158),0))</f>
        <v>0</v>
      </c>
      <c r="BL125" s="318" cm="1">
        <f t="array" ref="BL125">+SUMPRODUCT(IF('Consolidado Costos'!$K$6:$K$158=$BF125,('Consolidado Costos'!AG$6:AG$158*'Consolidado Costos'!$F$6:$F$158),0))</f>
        <v>0</v>
      </c>
      <c r="BM125" s="318" cm="1">
        <f t="array" ref="BM125">+SUMPRODUCT(IF('Consolidado Costos'!$K$6:$K$158=$BF125,('Consolidado Costos'!AH$6:AH$158*'Consolidado Costos'!$F$6:$F$158),0))</f>
        <v>0</v>
      </c>
      <c r="BN125" s="318" cm="1">
        <f t="array" ref="BN125">+SUMPRODUCT(IF('Consolidado Costos'!$K$6:$K$158=$BF125,('Consolidado Costos'!AI$6:AI$158*'Consolidado Costos'!$F$6:$F$158),0))</f>
        <v>0</v>
      </c>
      <c r="BO125" s="318" cm="1">
        <f t="array" ref="BO125">+SUMPRODUCT(IF('Consolidado Costos'!$K$6:$K$158=$BF125,('Consolidado Costos'!AJ$6:AJ$158*'Consolidado Costos'!$F$6:$F$158),0))</f>
        <v>0</v>
      </c>
      <c r="BP125" s="318" cm="1">
        <f t="array" ref="BP125">+SUMPRODUCT(IF('Consolidado Costos'!$K$6:$K$158=$BF125,('Consolidado Costos'!AK$6:AK$158*'Consolidado Costos'!$F$6:$F$158),0))</f>
        <v>0</v>
      </c>
      <c r="BQ125" s="318" cm="1">
        <f t="array" ref="BQ125">+SUMPRODUCT(IF('Consolidado Costos'!$K$6:$K$158=$BF125,('Consolidado Costos'!AL$6:AL$158*'Consolidado Costos'!$F$6:$F$158),0))</f>
        <v>0</v>
      </c>
      <c r="BR125" s="318" cm="1">
        <f t="array" ref="BR125">+SUMPRODUCT(IF('Consolidado Costos'!$K$6:$K$158=$BF125,('Consolidado Costos'!AM$6:AM$158*'Consolidado Costos'!$F$6:$F$158),0))</f>
        <v>0</v>
      </c>
      <c r="BS125" s="318" cm="1">
        <f t="array" ref="BS125">+SUMPRODUCT(IF('Consolidado Costos'!$K$6:$K$158=$BF125,('Consolidado Costos'!AN$6:AN$158*'Consolidado Costos'!$F$6:$F$158),0))</f>
        <v>0</v>
      </c>
      <c r="BT125" s="318" cm="1">
        <f t="array" ref="BT125">+SUMPRODUCT(IF('Consolidado Costos'!$K$6:$K$158=$BF125,('Consolidado Costos'!AO$6:AO$158*'Consolidado Costos'!$F$6:$F$158),0))</f>
        <v>0</v>
      </c>
      <c r="BU125" s="318" cm="1">
        <f t="array" ref="BU125">+SUMPRODUCT(IF('Consolidado Costos'!$K$6:$K$158=$BF125,('Consolidado Costos'!AP$6:AP$158*'Consolidado Costos'!$F$6:$F$158),0))</f>
        <v>0</v>
      </c>
      <c r="BW125" s="327"/>
      <c r="BX125" s="328" t="s">
        <v>510</v>
      </c>
      <c r="BY125" s="328" t="s">
        <v>511</v>
      </c>
      <c r="BZ125" s="329"/>
      <c r="CA125" s="354">
        <f t="shared" si="14"/>
        <v>0</v>
      </c>
      <c r="CB125" s="318" cm="1">
        <f t="array" ref="CB125">+SUMPRODUCT(IF('Consolidado Costos'!$K$6:$K$158=$BX125,('Consolidado Costos'!AE$6:AE$158*'Consolidado Costos'!$G$6:$G$158),0))</f>
        <v>0</v>
      </c>
      <c r="CC125" s="318" cm="1">
        <f t="array" ref="CC125">+SUMPRODUCT(IF('Consolidado Costos'!$K$6:$K$158=$BX125,('Consolidado Costos'!AF$6:AF$158*'Consolidado Costos'!$G$6:$G$158),0))</f>
        <v>0</v>
      </c>
      <c r="CD125" s="318" cm="1">
        <f t="array" ref="CD125">+SUMPRODUCT(IF('Consolidado Costos'!$K$6:$K$158=$BX125,('Consolidado Costos'!AG$6:AG$158*'Consolidado Costos'!$G$6:$G$158),0))</f>
        <v>0</v>
      </c>
      <c r="CE125" s="318" cm="1">
        <f t="array" ref="CE125">+SUMPRODUCT(IF('Consolidado Costos'!$K$6:$K$158=$BX125,('Consolidado Costos'!AH$6:AH$158*'Consolidado Costos'!$G$6:$G$158),0))</f>
        <v>0</v>
      </c>
      <c r="CF125" s="318" cm="1">
        <f t="array" ref="CF125">+SUMPRODUCT(IF('Consolidado Costos'!$K$6:$K$158=$BX125,('Consolidado Costos'!AI$6:AI$158*'Consolidado Costos'!$G$6:$G$158),0))</f>
        <v>0</v>
      </c>
      <c r="CG125" s="318" cm="1">
        <f t="array" ref="CG125">+SUMPRODUCT(IF('Consolidado Costos'!$K$6:$K$158=$BX125,('Consolidado Costos'!AJ$6:AJ$158*'Consolidado Costos'!$G$6:$G$158),0))</f>
        <v>0</v>
      </c>
      <c r="CH125" s="318" cm="1">
        <f t="array" ref="CH125">+SUMPRODUCT(IF('Consolidado Costos'!$K$6:$K$158=$BX125,('Consolidado Costos'!AK$6:AK$158*'Consolidado Costos'!$G$6:$G$158),0))</f>
        <v>0</v>
      </c>
      <c r="CI125" s="318" cm="1">
        <f t="array" ref="CI125">+SUMPRODUCT(IF('Consolidado Costos'!$K$6:$K$158=$BX125,('Consolidado Costos'!AL$6:AL$158*'Consolidado Costos'!$G$6:$G$158),0))</f>
        <v>0</v>
      </c>
      <c r="CJ125" s="318" cm="1">
        <f t="array" ref="CJ125">+SUMPRODUCT(IF('Consolidado Costos'!$K$6:$K$158=$BX125,('Consolidado Costos'!AM$6:AM$158*'Consolidado Costos'!$G$6:$G$158),0))</f>
        <v>0</v>
      </c>
      <c r="CK125" s="318" cm="1">
        <f t="array" ref="CK125">+SUMPRODUCT(IF('Consolidado Costos'!$K$6:$K$158=$BX125,('Consolidado Costos'!AN$6:AN$158*'Consolidado Costos'!$G$6:$G$158),0))</f>
        <v>0</v>
      </c>
      <c r="CL125" s="318" cm="1">
        <f t="array" ref="CL125">+SUMPRODUCT(IF('Consolidado Costos'!$K$6:$K$158=$BX125,('Consolidado Costos'!AO$6:AO$158*'Consolidado Costos'!$G$6:$G$158),0))</f>
        <v>0</v>
      </c>
      <c r="CM125" s="318" cm="1">
        <f t="array" ref="CM125">+SUMPRODUCT(IF('Consolidado Costos'!$K$6:$K$158=$BX125,('Consolidado Costos'!AP$6:AP$158*'Consolidado Costos'!$G$6:$G$158),0))</f>
        <v>0</v>
      </c>
      <c r="CN125" s="357">
        <f t="shared" si="10"/>
        <v>1</v>
      </c>
    </row>
    <row r="126" spans="2:92" s="310" customFormat="1" outlineLevel="1">
      <c r="B126" s="327"/>
      <c r="C126" s="330" t="s">
        <v>512</v>
      </c>
      <c r="D126" s="330" t="s">
        <v>513</v>
      </c>
      <c r="E126" s="329"/>
      <c r="F126" s="318">
        <f>+SUMIF('Consolidado Costos'!$K$6:$K$158,$C126,'Consolidado Costos'!$AD$6:$AD$158)</f>
        <v>0</v>
      </c>
      <c r="G126" s="318">
        <f>+SUMIF('Consolidado Costos'!$K$6:$K$158,$C126,'Consolidado Costos'!AE$6:AE$158)</f>
        <v>0</v>
      </c>
      <c r="H126" s="318">
        <f>+SUMIF('Consolidado Costos'!$K$6:$K$158,$C126,'Consolidado Costos'!AF$6:AF$158)</f>
        <v>0</v>
      </c>
      <c r="I126" s="318">
        <f>+SUMIF('Consolidado Costos'!$K$6:$K$158,$C126,'Consolidado Costos'!AG$6:AG$158)</f>
        <v>0</v>
      </c>
      <c r="J126" s="318">
        <f>+SUMIF('Consolidado Costos'!$K$6:$K$158,$C126,'Consolidado Costos'!AH$6:AH$158)</f>
        <v>0</v>
      </c>
      <c r="K126" s="318">
        <f>+SUMIF('Consolidado Costos'!$K$6:$K$158,$C126,'Consolidado Costos'!AI$6:AI$158)</f>
        <v>0</v>
      </c>
      <c r="L126" s="318">
        <f>+SUMIF('Consolidado Costos'!$K$6:$K$158,$C126,'Consolidado Costos'!AJ$6:AJ$158)</f>
        <v>0</v>
      </c>
      <c r="M126" s="318">
        <f>+SUMIF('Consolidado Costos'!$K$6:$K$158,$C126,'Consolidado Costos'!AK$6:AK$158)</f>
        <v>0</v>
      </c>
      <c r="N126" s="318">
        <f>+SUMIF('Consolidado Costos'!$K$6:$K$158,$C126,'Consolidado Costos'!AL$6:AL$158)</f>
        <v>0</v>
      </c>
      <c r="O126" s="318">
        <f>+SUMIF('Consolidado Costos'!$K$6:$K$158,$C126,'Consolidado Costos'!AM$6:AM$158)</f>
        <v>0</v>
      </c>
      <c r="P126" s="318">
        <f>+SUMIF('Consolidado Costos'!$K$6:$K$158,$C126,'Consolidado Costos'!AN$6:AN$158)</f>
        <v>0</v>
      </c>
      <c r="Q126" s="318">
        <f>+SUMIF('Consolidado Costos'!$K$6:$K$158,$C126,'Consolidado Costos'!AO$6:AO$158)</f>
        <v>0</v>
      </c>
      <c r="R126" s="318">
        <f>+SUMIF('Consolidado Costos'!$K$6:$K$158,$C126,'Consolidado Costos'!AP$6:AP$158)</f>
        <v>0</v>
      </c>
      <c r="S126" s="357">
        <f t="shared" si="5"/>
        <v>1</v>
      </c>
      <c r="U126" s="327"/>
      <c r="V126" s="330" t="s">
        <v>512</v>
      </c>
      <c r="W126" s="330" t="s">
        <v>513</v>
      </c>
      <c r="X126" s="329"/>
      <c r="Y126" s="354">
        <f t="shared" si="11"/>
        <v>0</v>
      </c>
      <c r="Z126" s="318" cm="1">
        <f t="array" ref="Z126">+SUMPRODUCT(IF('Consolidado Costos'!$K$6:$K$158=$V126,('Consolidado Costos'!AE$6:AE$158*'Consolidado Costos'!$D$6:$D$158),0))</f>
        <v>0</v>
      </c>
      <c r="AA126" s="318" cm="1">
        <f t="array" ref="AA126">+SUMPRODUCT(IF('Consolidado Costos'!$K$6:$K$158=$V126,('Consolidado Costos'!AF$6:AF$158*'Consolidado Costos'!$D$6:$D$158),0))</f>
        <v>0</v>
      </c>
      <c r="AB126" s="318" cm="1">
        <f t="array" ref="AB126">+SUMPRODUCT(IF('Consolidado Costos'!$K$6:$K$158=$V126,('Consolidado Costos'!AG$6:AG$158*'Consolidado Costos'!$D$6:$D$158),0))</f>
        <v>0</v>
      </c>
      <c r="AC126" s="318" cm="1">
        <f t="array" ref="AC126">+SUMPRODUCT(IF('Consolidado Costos'!$K$6:$K$158=$V126,('Consolidado Costos'!AH$6:AH$158*'Consolidado Costos'!$D$6:$D$158),0))</f>
        <v>0</v>
      </c>
      <c r="AD126" s="318" cm="1">
        <f t="array" ref="AD126">+SUMPRODUCT(IF('Consolidado Costos'!$K$6:$K$158=$V126,('Consolidado Costos'!AI$6:AI$158*'Consolidado Costos'!$D$6:$D$158),0))</f>
        <v>0</v>
      </c>
      <c r="AE126" s="318" cm="1">
        <f t="array" ref="AE126">+SUMPRODUCT(IF('Consolidado Costos'!$K$6:$K$158=$V126,('Consolidado Costos'!AJ$6:AJ$158*'Consolidado Costos'!$D$6:$D$158),0))</f>
        <v>0</v>
      </c>
      <c r="AF126" s="318" cm="1">
        <f t="array" ref="AF126">+SUMPRODUCT(IF('Consolidado Costos'!$K$6:$K$158=$V126,('Consolidado Costos'!AK$6:AK$158*'Consolidado Costos'!$D$6:$D$158),0))</f>
        <v>0</v>
      </c>
      <c r="AG126" s="318" cm="1">
        <f t="array" ref="AG126">+SUMPRODUCT(IF('Consolidado Costos'!$K$6:$K$158=$V126,('Consolidado Costos'!AL$6:AL$158*'Consolidado Costos'!$D$6:$D$158),0))</f>
        <v>0</v>
      </c>
      <c r="AH126" s="318" cm="1">
        <f t="array" ref="AH126">+SUMPRODUCT(IF('Consolidado Costos'!$K$6:$K$158=$V126,('Consolidado Costos'!AM$6:AM$158*'Consolidado Costos'!$D$6:$D$158),0))</f>
        <v>0</v>
      </c>
      <c r="AI126" s="318" cm="1">
        <f t="array" ref="AI126">+SUMPRODUCT(IF('Consolidado Costos'!$K$6:$K$158=$V126,('Consolidado Costos'!AN$6:AN$158*'Consolidado Costos'!$D$6:$D$158),0))</f>
        <v>0</v>
      </c>
      <c r="AJ126" s="318" cm="1">
        <f t="array" ref="AJ126">+SUMPRODUCT(IF('Consolidado Costos'!$K$6:$K$158=$V126,('Consolidado Costos'!AO$6:AO$158*'Consolidado Costos'!$D$6:$D$158),0))</f>
        <v>0</v>
      </c>
      <c r="AK126" s="318" cm="1">
        <f t="array" ref="AK126">+SUMPRODUCT(IF('Consolidado Costos'!$K$6:$K$158=$V126,('Consolidado Costos'!AP$6:AP$158*'Consolidado Costos'!$D$6:$D$158),0))</f>
        <v>0</v>
      </c>
      <c r="AM126" s="327"/>
      <c r="AN126" s="330" t="s">
        <v>512</v>
      </c>
      <c r="AO126" s="330" t="s">
        <v>513</v>
      </c>
      <c r="AP126" s="329"/>
      <c r="AQ126" s="354">
        <f t="shared" si="12"/>
        <v>0</v>
      </c>
      <c r="AR126" s="318" cm="1">
        <f t="array" ref="AR126">+SUMPRODUCT(IF('Consolidado Costos'!$K$6:$K$158=$AN126,('Consolidado Costos'!AE$6:AE$158*'Consolidado Costos'!$E$6:$E$158),0))</f>
        <v>0</v>
      </c>
      <c r="AS126" s="318" cm="1">
        <f t="array" ref="AS126">+SUMPRODUCT(IF('Consolidado Costos'!$K$6:$K$158=$AN126,('Consolidado Costos'!AF$6:AF$158*'Consolidado Costos'!$E$6:$E$158),0))</f>
        <v>0</v>
      </c>
      <c r="AT126" s="318" cm="1">
        <f t="array" ref="AT126">+SUMPRODUCT(IF('Consolidado Costos'!$K$6:$K$158=$AN126,('Consolidado Costos'!AG$6:AG$158*'Consolidado Costos'!$E$6:$E$158),0))</f>
        <v>0</v>
      </c>
      <c r="AU126" s="318" cm="1">
        <f t="array" ref="AU126">+SUMPRODUCT(IF('Consolidado Costos'!$K$6:$K$158=$AN126,('Consolidado Costos'!AH$6:AH$158*'Consolidado Costos'!$E$6:$E$158),0))</f>
        <v>0</v>
      </c>
      <c r="AV126" s="318" cm="1">
        <f t="array" ref="AV126">+SUMPRODUCT(IF('Consolidado Costos'!$K$6:$K$158=$AN126,('Consolidado Costos'!AI$6:AI$158*'Consolidado Costos'!$E$6:$E$158),0))</f>
        <v>0</v>
      </c>
      <c r="AW126" s="318" cm="1">
        <f t="array" ref="AW126">+SUMPRODUCT(IF('Consolidado Costos'!$K$6:$K$158=$AN126,('Consolidado Costos'!AJ$6:AJ$158*'Consolidado Costos'!$E$6:$E$158),0))</f>
        <v>0</v>
      </c>
      <c r="AX126" s="318" cm="1">
        <f t="array" ref="AX126">+SUMPRODUCT(IF('Consolidado Costos'!$K$6:$K$158=$AN126,('Consolidado Costos'!AK$6:AK$158*'Consolidado Costos'!$E$6:$E$158),0))</f>
        <v>0</v>
      </c>
      <c r="AY126" s="318" cm="1">
        <f t="array" ref="AY126">+SUMPRODUCT(IF('Consolidado Costos'!$K$6:$K$158=$AN126,('Consolidado Costos'!AL$6:AL$158*'Consolidado Costos'!$E$6:$E$158),0))</f>
        <v>0</v>
      </c>
      <c r="AZ126" s="318" cm="1">
        <f t="array" ref="AZ126">+SUMPRODUCT(IF('Consolidado Costos'!$K$6:$K$158=$AN126,('Consolidado Costos'!AM$6:AM$158*'Consolidado Costos'!$E$6:$E$158),0))</f>
        <v>0</v>
      </c>
      <c r="BA126" s="318" cm="1">
        <f t="array" ref="BA126">+SUMPRODUCT(IF('Consolidado Costos'!$K$6:$K$158=$AN126,('Consolidado Costos'!AN$6:AN$158*'Consolidado Costos'!$E$6:$E$158),0))</f>
        <v>0</v>
      </c>
      <c r="BB126" s="318" cm="1">
        <f t="array" ref="BB126">+SUMPRODUCT(IF('Consolidado Costos'!$K$6:$K$158=$AN126,('Consolidado Costos'!AO$6:AO$158*'Consolidado Costos'!$E$6:$E$158),0))</f>
        <v>0</v>
      </c>
      <c r="BC126" s="318" cm="1">
        <f t="array" ref="BC126">+SUMPRODUCT(IF('Consolidado Costos'!$K$6:$K$158=$AN126,('Consolidado Costos'!AP$6:AP$158*'Consolidado Costos'!$E$6:$E$158),0))</f>
        <v>0</v>
      </c>
      <c r="BE126" s="327"/>
      <c r="BF126" s="330" t="s">
        <v>512</v>
      </c>
      <c r="BG126" s="330" t="s">
        <v>513</v>
      </c>
      <c r="BH126" s="329"/>
      <c r="BI126" s="354">
        <f t="shared" si="13"/>
        <v>0</v>
      </c>
      <c r="BJ126" s="318" cm="1">
        <f t="array" ref="BJ126">+SUMPRODUCT(IF('Consolidado Costos'!$K$6:$K$158=$BF126,('Consolidado Costos'!AE$6:AE$158*'Consolidado Costos'!$F$6:$F$158),0))</f>
        <v>0</v>
      </c>
      <c r="BK126" s="318" cm="1">
        <f t="array" ref="BK126">+SUMPRODUCT(IF('Consolidado Costos'!$K$6:$K$158=$BF126,('Consolidado Costos'!AF$6:AF$158*'Consolidado Costos'!$F$6:$F$158),0))</f>
        <v>0</v>
      </c>
      <c r="BL126" s="318" cm="1">
        <f t="array" ref="BL126">+SUMPRODUCT(IF('Consolidado Costos'!$K$6:$K$158=$BF126,('Consolidado Costos'!AG$6:AG$158*'Consolidado Costos'!$F$6:$F$158),0))</f>
        <v>0</v>
      </c>
      <c r="BM126" s="318" cm="1">
        <f t="array" ref="BM126">+SUMPRODUCT(IF('Consolidado Costos'!$K$6:$K$158=$BF126,('Consolidado Costos'!AH$6:AH$158*'Consolidado Costos'!$F$6:$F$158),0))</f>
        <v>0</v>
      </c>
      <c r="BN126" s="318" cm="1">
        <f t="array" ref="BN126">+SUMPRODUCT(IF('Consolidado Costos'!$K$6:$K$158=$BF126,('Consolidado Costos'!AI$6:AI$158*'Consolidado Costos'!$F$6:$F$158),0))</f>
        <v>0</v>
      </c>
      <c r="BO126" s="318" cm="1">
        <f t="array" ref="BO126">+SUMPRODUCT(IF('Consolidado Costos'!$K$6:$K$158=$BF126,('Consolidado Costos'!AJ$6:AJ$158*'Consolidado Costos'!$F$6:$F$158),0))</f>
        <v>0</v>
      </c>
      <c r="BP126" s="318" cm="1">
        <f t="array" ref="BP126">+SUMPRODUCT(IF('Consolidado Costos'!$K$6:$K$158=$BF126,('Consolidado Costos'!AK$6:AK$158*'Consolidado Costos'!$F$6:$F$158),0))</f>
        <v>0</v>
      </c>
      <c r="BQ126" s="318" cm="1">
        <f t="array" ref="BQ126">+SUMPRODUCT(IF('Consolidado Costos'!$K$6:$K$158=$BF126,('Consolidado Costos'!AL$6:AL$158*'Consolidado Costos'!$F$6:$F$158),0))</f>
        <v>0</v>
      </c>
      <c r="BR126" s="318" cm="1">
        <f t="array" ref="BR126">+SUMPRODUCT(IF('Consolidado Costos'!$K$6:$K$158=$BF126,('Consolidado Costos'!AM$6:AM$158*'Consolidado Costos'!$F$6:$F$158),0))</f>
        <v>0</v>
      </c>
      <c r="BS126" s="318" cm="1">
        <f t="array" ref="BS126">+SUMPRODUCT(IF('Consolidado Costos'!$K$6:$K$158=$BF126,('Consolidado Costos'!AN$6:AN$158*'Consolidado Costos'!$F$6:$F$158),0))</f>
        <v>0</v>
      </c>
      <c r="BT126" s="318" cm="1">
        <f t="array" ref="BT126">+SUMPRODUCT(IF('Consolidado Costos'!$K$6:$K$158=$BF126,('Consolidado Costos'!AO$6:AO$158*'Consolidado Costos'!$F$6:$F$158),0))</f>
        <v>0</v>
      </c>
      <c r="BU126" s="318" cm="1">
        <f t="array" ref="BU126">+SUMPRODUCT(IF('Consolidado Costos'!$K$6:$K$158=$BF126,('Consolidado Costos'!AP$6:AP$158*'Consolidado Costos'!$F$6:$F$158),0))</f>
        <v>0</v>
      </c>
      <c r="BW126" s="327"/>
      <c r="BX126" s="330" t="s">
        <v>512</v>
      </c>
      <c r="BY126" s="330" t="s">
        <v>513</v>
      </c>
      <c r="BZ126" s="329"/>
      <c r="CA126" s="354">
        <f t="shared" si="14"/>
        <v>0</v>
      </c>
      <c r="CB126" s="318" cm="1">
        <f t="array" ref="CB126">+SUMPRODUCT(IF('Consolidado Costos'!$K$6:$K$158=$BX126,('Consolidado Costos'!AE$6:AE$158*'Consolidado Costos'!$G$6:$G$158),0))</f>
        <v>0</v>
      </c>
      <c r="CC126" s="318" cm="1">
        <f t="array" ref="CC126">+SUMPRODUCT(IF('Consolidado Costos'!$K$6:$K$158=$BX126,('Consolidado Costos'!AF$6:AF$158*'Consolidado Costos'!$G$6:$G$158),0))</f>
        <v>0</v>
      </c>
      <c r="CD126" s="318" cm="1">
        <f t="array" ref="CD126">+SUMPRODUCT(IF('Consolidado Costos'!$K$6:$K$158=$BX126,('Consolidado Costos'!AG$6:AG$158*'Consolidado Costos'!$G$6:$G$158),0))</f>
        <v>0</v>
      </c>
      <c r="CE126" s="318" cm="1">
        <f t="array" ref="CE126">+SUMPRODUCT(IF('Consolidado Costos'!$K$6:$K$158=$BX126,('Consolidado Costos'!AH$6:AH$158*'Consolidado Costos'!$G$6:$G$158),0))</f>
        <v>0</v>
      </c>
      <c r="CF126" s="318" cm="1">
        <f t="array" ref="CF126">+SUMPRODUCT(IF('Consolidado Costos'!$K$6:$K$158=$BX126,('Consolidado Costos'!AI$6:AI$158*'Consolidado Costos'!$G$6:$G$158),0))</f>
        <v>0</v>
      </c>
      <c r="CG126" s="318" cm="1">
        <f t="array" ref="CG126">+SUMPRODUCT(IF('Consolidado Costos'!$K$6:$K$158=$BX126,('Consolidado Costos'!AJ$6:AJ$158*'Consolidado Costos'!$G$6:$G$158),0))</f>
        <v>0</v>
      </c>
      <c r="CH126" s="318" cm="1">
        <f t="array" ref="CH126">+SUMPRODUCT(IF('Consolidado Costos'!$K$6:$K$158=$BX126,('Consolidado Costos'!AK$6:AK$158*'Consolidado Costos'!$G$6:$G$158),0))</f>
        <v>0</v>
      </c>
      <c r="CI126" s="318" cm="1">
        <f t="array" ref="CI126">+SUMPRODUCT(IF('Consolidado Costos'!$K$6:$K$158=$BX126,('Consolidado Costos'!AL$6:AL$158*'Consolidado Costos'!$G$6:$G$158),0))</f>
        <v>0</v>
      </c>
      <c r="CJ126" s="318" cm="1">
        <f t="array" ref="CJ126">+SUMPRODUCT(IF('Consolidado Costos'!$K$6:$K$158=$BX126,('Consolidado Costos'!AM$6:AM$158*'Consolidado Costos'!$G$6:$G$158),0))</f>
        <v>0</v>
      </c>
      <c r="CK126" s="318" cm="1">
        <f t="array" ref="CK126">+SUMPRODUCT(IF('Consolidado Costos'!$K$6:$K$158=$BX126,('Consolidado Costos'!AN$6:AN$158*'Consolidado Costos'!$G$6:$G$158),0))</f>
        <v>0</v>
      </c>
      <c r="CL126" s="318" cm="1">
        <f t="array" ref="CL126">+SUMPRODUCT(IF('Consolidado Costos'!$K$6:$K$158=$BX126,('Consolidado Costos'!AO$6:AO$158*'Consolidado Costos'!$G$6:$G$158),0))</f>
        <v>0</v>
      </c>
      <c r="CM126" s="318" cm="1">
        <f t="array" ref="CM126">+SUMPRODUCT(IF('Consolidado Costos'!$K$6:$K$158=$BX126,('Consolidado Costos'!AP$6:AP$158*'Consolidado Costos'!$G$6:$G$158),0))</f>
        <v>0</v>
      </c>
      <c r="CN126" s="357">
        <f t="shared" si="10"/>
        <v>1</v>
      </c>
    </row>
    <row r="127" spans="2:92" s="310" customFormat="1" outlineLevel="1">
      <c r="B127" s="327"/>
      <c r="C127" s="330" t="s">
        <v>212</v>
      </c>
      <c r="D127" s="330" t="s">
        <v>213</v>
      </c>
      <c r="E127" s="329"/>
      <c r="F127" s="318">
        <f>+SUMIF('Consolidado Costos'!$K$6:$K$158,$C127,'Consolidado Costos'!$AD$6:$AD$158)</f>
        <v>0</v>
      </c>
      <c r="G127" s="318">
        <f>+SUMIF('Consolidado Costos'!$K$6:$K$158,$C127,'Consolidado Costos'!AE$6:AE$158)</f>
        <v>0</v>
      </c>
      <c r="H127" s="318">
        <f>+SUMIF('Consolidado Costos'!$K$6:$K$158,$C127,'Consolidado Costos'!AF$6:AF$158)</f>
        <v>0</v>
      </c>
      <c r="I127" s="318">
        <f>+SUMIF('Consolidado Costos'!$K$6:$K$158,$C127,'Consolidado Costos'!AG$6:AG$158)</f>
        <v>0</v>
      </c>
      <c r="J127" s="318">
        <f>+SUMIF('Consolidado Costos'!$K$6:$K$158,$C127,'Consolidado Costos'!AH$6:AH$158)</f>
        <v>0</v>
      </c>
      <c r="K127" s="318">
        <f>+SUMIF('Consolidado Costos'!$K$6:$K$158,$C127,'Consolidado Costos'!AI$6:AI$158)</f>
        <v>0</v>
      </c>
      <c r="L127" s="318">
        <f>+SUMIF('Consolidado Costos'!$K$6:$K$158,$C127,'Consolidado Costos'!AJ$6:AJ$158)</f>
        <v>0</v>
      </c>
      <c r="M127" s="318">
        <f>+SUMIF('Consolidado Costos'!$K$6:$K$158,$C127,'Consolidado Costos'!AK$6:AK$158)</f>
        <v>0</v>
      </c>
      <c r="N127" s="318">
        <f>+SUMIF('Consolidado Costos'!$K$6:$K$158,$C127,'Consolidado Costos'!AL$6:AL$158)</f>
        <v>0</v>
      </c>
      <c r="O127" s="318">
        <f>+SUMIF('Consolidado Costos'!$K$6:$K$158,$C127,'Consolidado Costos'!AM$6:AM$158)</f>
        <v>0</v>
      </c>
      <c r="P127" s="318">
        <f>+SUMIF('Consolidado Costos'!$K$6:$K$158,$C127,'Consolidado Costos'!AN$6:AN$158)</f>
        <v>0</v>
      </c>
      <c r="Q127" s="318">
        <f>+SUMIF('Consolidado Costos'!$K$6:$K$158,$C127,'Consolidado Costos'!AO$6:AO$158)</f>
        <v>0</v>
      </c>
      <c r="R127" s="318">
        <f>+SUMIF('Consolidado Costos'!$K$6:$K$158,$C127,'Consolidado Costos'!AP$6:AP$158)</f>
        <v>0</v>
      </c>
      <c r="S127" s="357">
        <f t="shared" si="5"/>
        <v>1</v>
      </c>
      <c r="U127" s="327"/>
      <c r="V127" s="330" t="s">
        <v>212</v>
      </c>
      <c r="W127" s="330" t="s">
        <v>213</v>
      </c>
      <c r="X127" s="329"/>
      <c r="Y127" s="354">
        <f t="shared" si="11"/>
        <v>0</v>
      </c>
      <c r="Z127" s="318" cm="1">
        <f t="array" ref="Z127">+SUMPRODUCT(IF('Consolidado Costos'!$K$6:$K$158=$V127,('Consolidado Costos'!AE$6:AE$158*'Consolidado Costos'!$D$6:$D$158),0))</f>
        <v>0</v>
      </c>
      <c r="AA127" s="318" cm="1">
        <f t="array" ref="AA127">+SUMPRODUCT(IF('Consolidado Costos'!$K$6:$K$158=$V127,('Consolidado Costos'!AF$6:AF$158*'Consolidado Costos'!$D$6:$D$158),0))</f>
        <v>0</v>
      </c>
      <c r="AB127" s="318" cm="1">
        <f t="array" ref="AB127">+SUMPRODUCT(IF('Consolidado Costos'!$K$6:$K$158=$V127,('Consolidado Costos'!AG$6:AG$158*'Consolidado Costos'!$D$6:$D$158),0))</f>
        <v>0</v>
      </c>
      <c r="AC127" s="318" cm="1">
        <f t="array" ref="AC127">+SUMPRODUCT(IF('Consolidado Costos'!$K$6:$K$158=$V127,('Consolidado Costos'!AH$6:AH$158*'Consolidado Costos'!$D$6:$D$158),0))</f>
        <v>0</v>
      </c>
      <c r="AD127" s="318" cm="1">
        <f t="array" ref="AD127">+SUMPRODUCT(IF('Consolidado Costos'!$K$6:$K$158=$V127,('Consolidado Costos'!AI$6:AI$158*'Consolidado Costos'!$D$6:$D$158),0))</f>
        <v>0</v>
      </c>
      <c r="AE127" s="318" cm="1">
        <f t="array" ref="AE127">+SUMPRODUCT(IF('Consolidado Costos'!$K$6:$K$158=$V127,('Consolidado Costos'!AJ$6:AJ$158*'Consolidado Costos'!$D$6:$D$158),0))</f>
        <v>0</v>
      </c>
      <c r="AF127" s="318" cm="1">
        <f t="array" ref="AF127">+SUMPRODUCT(IF('Consolidado Costos'!$K$6:$K$158=$V127,('Consolidado Costos'!AK$6:AK$158*'Consolidado Costos'!$D$6:$D$158),0))</f>
        <v>0</v>
      </c>
      <c r="AG127" s="318" cm="1">
        <f t="array" ref="AG127">+SUMPRODUCT(IF('Consolidado Costos'!$K$6:$K$158=$V127,('Consolidado Costos'!AL$6:AL$158*'Consolidado Costos'!$D$6:$D$158),0))</f>
        <v>0</v>
      </c>
      <c r="AH127" s="318" cm="1">
        <f t="array" ref="AH127">+SUMPRODUCT(IF('Consolidado Costos'!$K$6:$K$158=$V127,('Consolidado Costos'!AM$6:AM$158*'Consolidado Costos'!$D$6:$D$158),0))</f>
        <v>0</v>
      </c>
      <c r="AI127" s="318" cm="1">
        <f t="array" ref="AI127">+SUMPRODUCT(IF('Consolidado Costos'!$K$6:$K$158=$V127,('Consolidado Costos'!AN$6:AN$158*'Consolidado Costos'!$D$6:$D$158),0))</f>
        <v>0</v>
      </c>
      <c r="AJ127" s="318" cm="1">
        <f t="array" ref="AJ127">+SUMPRODUCT(IF('Consolidado Costos'!$K$6:$K$158=$V127,('Consolidado Costos'!AO$6:AO$158*'Consolidado Costos'!$D$6:$D$158),0))</f>
        <v>0</v>
      </c>
      <c r="AK127" s="318" cm="1">
        <f t="array" ref="AK127">+SUMPRODUCT(IF('Consolidado Costos'!$K$6:$K$158=$V127,('Consolidado Costos'!AP$6:AP$158*'Consolidado Costos'!$D$6:$D$158),0))</f>
        <v>0</v>
      </c>
      <c r="AM127" s="327"/>
      <c r="AN127" s="330" t="s">
        <v>212</v>
      </c>
      <c r="AO127" s="330" t="s">
        <v>213</v>
      </c>
      <c r="AP127" s="329"/>
      <c r="AQ127" s="354">
        <f t="shared" si="12"/>
        <v>0</v>
      </c>
      <c r="AR127" s="318" cm="1">
        <f t="array" ref="AR127">+SUMPRODUCT(IF('Consolidado Costos'!$K$6:$K$158=$AN127,('Consolidado Costos'!AE$6:AE$158*'Consolidado Costos'!$E$6:$E$158),0))</f>
        <v>0</v>
      </c>
      <c r="AS127" s="318" cm="1">
        <f t="array" ref="AS127">+SUMPRODUCT(IF('Consolidado Costos'!$K$6:$K$158=$AN127,('Consolidado Costos'!AF$6:AF$158*'Consolidado Costos'!$E$6:$E$158),0))</f>
        <v>0</v>
      </c>
      <c r="AT127" s="318" cm="1">
        <f t="array" ref="AT127">+SUMPRODUCT(IF('Consolidado Costos'!$K$6:$K$158=$AN127,('Consolidado Costos'!AG$6:AG$158*'Consolidado Costos'!$E$6:$E$158),0))</f>
        <v>0</v>
      </c>
      <c r="AU127" s="318" cm="1">
        <f t="array" ref="AU127">+SUMPRODUCT(IF('Consolidado Costos'!$K$6:$K$158=$AN127,('Consolidado Costos'!AH$6:AH$158*'Consolidado Costos'!$E$6:$E$158),0))</f>
        <v>0</v>
      </c>
      <c r="AV127" s="318" cm="1">
        <f t="array" ref="AV127">+SUMPRODUCT(IF('Consolidado Costos'!$K$6:$K$158=$AN127,('Consolidado Costos'!AI$6:AI$158*'Consolidado Costos'!$E$6:$E$158),0))</f>
        <v>0</v>
      </c>
      <c r="AW127" s="318" cm="1">
        <f t="array" ref="AW127">+SUMPRODUCT(IF('Consolidado Costos'!$K$6:$K$158=$AN127,('Consolidado Costos'!AJ$6:AJ$158*'Consolidado Costos'!$E$6:$E$158),0))</f>
        <v>0</v>
      </c>
      <c r="AX127" s="318" cm="1">
        <f t="array" ref="AX127">+SUMPRODUCT(IF('Consolidado Costos'!$K$6:$K$158=$AN127,('Consolidado Costos'!AK$6:AK$158*'Consolidado Costos'!$E$6:$E$158),0))</f>
        <v>0</v>
      </c>
      <c r="AY127" s="318" cm="1">
        <f t="array" ref="AY127">+SUMPRODUCT(IF('Consolidado Costos'!$K$6:$K$158=$AN127,('Consolidado Costos'!AL$6:AL$158*'Consolidado Costos'!$E$6:$E$158),0))</f>
        <v>0</v>
      </c>
      <c r="AZ127" s="318" cm="1">
        <f t="array" ref="AZ127">+SUMPRODUCT(IF('Consolidado Costos'!$K$6:$K$158=$AN127,('Consolidado Costos'!AM$6:AM$158*'Consolidado Costos'!$E$6:$E$158),0))</f>
        <v>0</v>
      </c>
      <c r="BA127" s="318" cm="1">
        <f t="array" ref="BA127">+SUMPRODUCT(IF('Consolidado Costos'!$K$6:$K$158=$AN127,('Consolidado Costos'!AN$6:AN$158*'Consolidado Costos'!$E$6:$E$158),0))</f>
        <v>0</v>
      </c>
      <c r="BB127" s="318" cm="1">
        <f t="array" ref="BB127">+SUMPRODUCT(IF('Consolidado Costos'!$K$6:$K$158=$AN127,('Consolidado Costos'!AO$6:AO$158*'Consolidado Costos'!$E$6:$E$158),0))</f>
        <v>0</v>
      </c>
      <c r="BC127" s="318" cm="1">
        <f t="array" ref="BC127">+SUMPRODUCT(IF('Consolidado Costos'!$K$6:$K$158=$AN127,('Consolidado Costos'!AP$6:AP$158*'Consolidado Costos'!$E$6:$E$158),0))</f>
        <v>0</v>
      </c>
      <c r="BE127" s="327"/>
      <c r="BF127" s="330" t="s">
        <v>212</v>
      </c>
      <c r="BG127" s="330" t="s">
        <v>213</v>
      </c>
      <c r="BH127" s="329"/>
      <c r="BI127" s="354">
        <f t="shared" si="13"/>
        <v>0</v>
      </c>
      <c r="BJ127" s="318" cm="1">
        <f t="array" ref="BJ127">+SUMPRODUCT(IF('Consolidado Costos'!$K$6:$K$158=$BF127,('Consolidado Costos'!AE$6:AE$158*'Consolidado Costos'!$F$6:$F$158),0))</f>
        <v>0</v>
      </c>
      <c r="BK127" s="318" cm="1">
        <f t="array" ref="BK127">+SUMPRODUCT(IF('Consolidado Costos'!$K$6:$K$158=$BF127,('Consolidado Costos'!AF$6:AF$158*'Consolidado Costos'!$F$6:$F$158),0))</f>
        <v>0</v>
      </c>
      <c r="BL127" s="318" cm="1">
        <f t="array" ref="BL127">+SUMPRODUCT(IF('Consolidado Costos'!$K$6:$K$158=$BF127,('Consolidado Costos'!AG$6:AG$158*'Consolidado Costos'!$F$6:$F$158),0))</f>
        <v>0</v>
      </c>
      <c r="BM127" s="318" cm="1">
        <f t="array" ref="BM127">+SUMPRODUCT(IF('Consolidado Costos'!$K$6:$K$158=$BF127,('Consolidado Costos'!AH$6:AH$158*'Consolidado Costos'!$F$6:$F$158),0))</f>
        <v>0</v>
      </c>
      <c r="BN127" s="318" cm="1">
        <f t="array" ref="BN127">+SUMPRODUCT(IF('Consolidado Costos'!$K$6:$K$158=$BF127,('Consolidado Costos'!AI$6:AI$158*'Consolidado Costos'!$F$6:$F$158),0))</f>
        <v>0</v>
      </c>
      <c r="BO127" s="318" cm="1">
        <f t="array" ref="BO127">+SUMPRODUCT(IF('Consolidado Costos'!$K$6:$K$158=$BF127,('Consolidado Costos'!AJ$6:AJ$158*'Consolidado Costos'!$F$6:$F$158),0))</f>
        <v>0</v>
      </c>
      <c r="BP127" s="318" cm="1">
        <f t="array" ref="BP127">+SUMPRODUCT(IF('Consolidado Costos'!$K$6:$K$158=$BF127,('Consolidado Costos'!AK$6:AK$158*'Consolidado Costos'!$F$6:$F$158),0))</f>
        <v>0</v>
      </c>
      <c r="BQ127" s="318" cm="1">
        <f t="array" ref="BQ127">+SUMPRODUCT(IF('Consolidado Costos'!$K$6:$K$158=$BF127,('Consolidado Costos'!AL$6:AL$158*'Consolidado Costos'!$F$6:$F$158),0))</f>
        <v>0</v>
      </c>
      <c r="BR127" s="318" cm="1">
        <f t="array" ref="BR127">+SUMPRODUCT(IF('Consolidado Costos'!$K$6:$K$158=$BF127,('Consolidado Costos'!AM$6:AM$158*'Consolidado Costos'!$F$6:$F$158),0))</f>
        <v>0</v>
      </c>
      <c r="BS127" s="318" cm="1">
        <f t="array" ref="BS127">+SUMPRODUCT(IF('Consolidado Costos'!$K$6:$K$158=$BF127,('Consolidado Costos'!AN$6:AN$158*'Consolidado Costos'!$F$6:$F$158),0))</f>
        <v>0</v>
      </c>
      <c r="BT127" s="318" cm="1">
        <f t="array" ref="BT127">+SUMPRODUCT(IF('Consolidado Costos'!$K$6:$K$158=$BF127,('Consolidado Costos'!AO$6:AO$158*'Consolidado Costos'!$F$6:$F$158),0))</f>
        <v>0</v>
      </c>
      <c r="BU127" s="318" cm="1">
        <f t="array" ref="BU127">+SUMPRODUCT(IF('Consolidado Costos'!$K$6:$K$158=$BF127,('Consolidado Costos'!AP$6:AP$158*'Consolidado Costos'!$F$6:$F$158),0))</f>
        <v>0</v>
      </c>
      <c r="BW127" s="327"/>
      <c r="BX127" s="330" t="s">
        <v>212</v>
      </c>
      <c r="BY127" s="330" t="s">
        <v>213</v>
      </c>
      <c r="BZ127" s="329"/>
      <c r="CA127" s="354">
        <f t="shared" si="14"/>
        <v>0</v>
      </c>
      <c r="CB127" s="318" cm="1">
        <f t="array" ref="CB127">+SUMPRODUCT(IF('Consolidado Costos'!$K$6:$K$158=$BX127,('Consolidado Costos'!AE$6:AE$158*'Consolidado Costos'!$G$6:$G$158),0))</f>
        <v>0</v>
      </c>
      <c r="CC127" s="318" cm="1">
        <f t="array" ref="CC127">+SUMPRODUCT(IF('Consolidado Costos'!$K$6:$K$158=$BX127,('Consolidado Costos'!AF$6:AF$158*'Consolidado Costos'!$G$6:$G$158),0))</f>
        <v>0</v>
      </c>
      <c r="CD127" s="318" cm="1">
        <f t="array" ref="CD127">+SUMPRODUCT(IF('Consolidado Costos'!$K$6:$K$158=$BX127,('Consolidado Costos'!AG$6:AG$158*'Consolidado Costos'!$G$6:$G$158),0))</f>
        <v>0</v>
      </c>
      <c r="CE127" s="318" cm="1">
        <f t="array" ref="CE127">+SUMPRODUCT(IF('Consolidado Costos'!$K$6:$K$158=$BX127,('Consolidado Costos'!AH$6:AH$158*'Consolidado Costos'!$G$6:$G$158),0))</f>
        <v>0</v>
      </c>
      <c r="CF127" s="318" cm="1">
        <f t="array" ref="CF127">+SUMPRODUCT(IF('Consolidado Costos'!$K$6:$K$158=$BX127,('Consolidado Costos'!AI$6:AI$158*'Consolidado Costos'!$G$6:$G$158),0))</f>
        <v>0</v>
      </c>
      <c r="CG127" s="318" cm="1">
        <f t="array" ref="CG127">+SUMPRODUCT(IF('Consolidado Costos'!$K$6:$K$158=$BX127,('Consolidado Costos'!AJ$6:AJ$158*'Consolidado Costos'!$G$6:$G$158),0))</f>
        <v>0</v>
      </c>
      <c r="CH127" s="318" cm="1">
        <f t="array" ref="CH127">+SUMPRODUCT(IF('Consolidado Costos'!$K$6:$K$158=$BX127,('Consolidado Costos'!AK$6:AK$158*'Consolidado Costos'!$G$6:$G$158),0))</f>
        <v>0</v>
      </c>
      <c r="CI127" s="318" cm="1">
        <f t="array" ref="CI127">+SUMPRODUCT(IF('Consolidado Costos'!$K$6:$K$158=$BX127,('Consolidado Costos'!AL$6:AL$158*'Consolidado Costos'!$G$6:$G$158),0))</f>
        <v>0</v>
      </c>
      <c r="CJ127" s="318" cm="1">
        <f t="array" ref="CJ127">+SUMPRODUCT(IF('Consolidado Costos'!$K$6:$K$158=$BX127,('Consolidado Costos'!AM$6:AM$158*'Consolidado Costos'!$G$6:$G$158),0))</f>
        <v>0</v>
      </c>
      <c r="CK127" s="318" cm="1">
        <f t="array" ref="CK127">+SUMPRODUCT(IF('Consolidado Costos'!$K$6:$K$158=$BX127,('Consolidado Costos'!AN$6:AN$158*'Consolidado Costos'!$G$6:$G$158),0))</f>
        <v>0</v>
      </c>
      <c r="CL127" s="318" cm="1">
        <f t="array" ref="CL127">+SUMPRODUCT(IF('Consolidado Costos'!$K$6:$K$158=$BX127,('Consolidado Costos'!AO$6:AO$158*'Consolidado Costos'!$G$6:$G$158),0))</f>
        <v>0</v>
      </c>
      <c r="CM127" s="318" cm="1">
        <f t="array" ref="CM127">+SUMPRODUCT(IF('Consolidado Costos'!$K$6:$K$158=$BX127,('Consolidado Costos'!AP$6:AP$158*'Consolidado Costos'!$G$6:$G$158),0))</f>
        <v>0</v>
      </c>
      <c r="CN127" s="357">
        <f t="shared" si="10"/>
        <v>1</v>
      </c>
    </row>
    <row r="128" spans="2:92" s="310" customFormat="1" outlineLevel="1">
      <c r="B128" s="327"/>
      <c r="C128" s="330" t="s">
        <v>514</v>
      </c>
      <c r="D128" s="330" t="s">
        <v>515</v>
      </c>
      <c r="E128" s="329"/>
      <c r="F128" s="318">
        <f>+SUMIF('Consolidado Costos'!$K$6:$K$158,$C128,'Consolidado Costos'!$AD$6:$AD$158)</f>
        <v>0</v>
      </c>
      <c r="G128" s="318">
        <f>+SUMIF('Consolidado Costos'!$K$6:$K$158,$C128,'Consolidado Costos'!AE$6:AE$158)</f>
        <v>0</v>
      </c>
      <c r="H128" s="318">
        <f>+SUMIF('Consolidado Costos'!$K$6:$K$158,$C128,'Consolidado Costos'!AF$6:AF$158)</f>
        <v>0</v>
      </c>
      <c r="I128" s="318">
        <f>+SUMIF('Consolidado Costos'!$K$6:$K$158,$C128,'Consolidado Costos'!AG$6:AG$158)</f>
        <v>0</v>
      </c>
      <c r="J128" s="318">
        <f>+SUMIF('Consolidado Costos'!$K$6:$K$158,$C128,'Consolidado Costos'!AH$6:AH$158)</f>
        <v>0</v>
      </c>
      <c r="K128" s="318">
        <f>+SUMIF('Consolidado Costos'!$K$6:$K$158,$C128,'Consolidado Costos'!AI$6:AI$158)</f>
        <v>0</v>
      </c>
      <c r="L128" s="318">
        <f>+SUMIF('Consolidado Costos'!$K$6:$K$158,$C128,'Consolidado Costos'!AJ$6:AJ$158)</f>
        <v>0</v>
      </c>
      <c r="M128" s="318">
        <f>+SUMIF('Consolidado Costos'!$K$6:$K$158,$C128,'Consolidado Costos'!AK$6:AK$158)</f>
        <v>0</v>
      </c>
      <c r="N128" s="318">
        <f>+SUMIF('Consolidado Costos'!$K$6:$K$158,$C128,'Consolidado Costos'!AL$6:AL$158)</f>
        <v>0</v>
      </c>
      <c r="O128" s="318">
        <f>+SUMIF('Consolidado Costos'!$K$6:$K$158,$C128,'Consolidado Costos'!AM$6:AM$158)</f>
        <v>0</v>
      </c>
      <c r="P128" s="318">
        <f>+SUMIF('Consolidado Costos'!$K$6:$K$158,$C128,'Consolidado Costos'!AN$6:AN$158)</f>
        <v>0</v>
      </c>
      <c r="Q128" s="318">
        <f>+SUMIF('Consolidado Costos'!$K$6:$K$158,$C128,'Consolidado Costos'!AO$6:AO$158)</f>
        <v>0</v>
      </c>
      <c r="R128" s="318">
        <f>+SUMIF('Consolidado Costos'!$K$6:$K$158,$C128,'Consolidado Costos'!AP$6:AP$158)</f>
        <v>0</v>
      </c>
      <c r="S128" s="357">
        <f t="shared" si="5"/>
        <v>1</v>
      </c>
      <c r="U128" s="327"/>
      <c r="V128" s="330" t="s">
        <v>514</v>
      </c>
      <c r="W128" s="330" t="s">
        <v>515</v>
      </c>
      <c r="X128" s="329"/>
      <c r="Y128" s="354">
        <f t="shared" si="11"/>
        <v>0</v>
      </c>
      <c r="Z128" s="318" cm="1">
        <f t="array" ref="Z128">+SUMPRODUCT(IF('Consolidado Costos'!$K$6:$K$158=$V128,('Consolidado Costos'!AE$6:AE$158*'Consolidado Costos'!$D$6:$D$158),0))</f>
        <v>0</v>
      </c>
      <c r="AA128" s="318" cm="1">
        <f t="array" ref="AA128">+SUMPRODUCT(IF('Consolidado Costos'!$K$6:$K$158=$V128,('Consolidado Costos'!AF$6:AF$158*'Consolidado Costos'!$D$6:$D$158),0))</f>
        <v>0</v>
      </c>
      <c r="AB128" s="318" cm="1">
        <f t="array" ref="AB128">+SUMPRODUCT(IF('Consolidado Costos'!$K$6:$K$158=$V128,('Consolidado Costos'!AG$6:AG$158*'Consolidado Costos'!$D$6:$D$158),0))</f>
        <v>0</v>
      </c>
      <c r="AC128" s="318" cm="1">
        <f t="array" ref="AC128">+SUMPRODUCT(IF('Consolidado Costos'!$K$6:$K$158=$V128,('Consolidado Costos'!AH$6:AH$158*'Consolidado Costos'!$D$6:$D$158),0))</f>
        <v>0</v>
      </c>
      <c r="AD128" s="318" cm="1">
        <f t="array" ref="AD128">+SUMPRODUCT(IF('Consolidado Costos'!$K$6:$K$158=$V128,('Consolidado Costos'!AI$6:AI$158*'Consolidado Costos'!$D$6:$D$158),0))</f>
        <v>0</v>
      </c>
      <c r="AE128" s="318" cm="1">
        <f t="array" ref="AE128">+SUMPRODUCT(IF('Consolidado Costos'!$K$6:$K$158=$V128,('Consolidado Costos'!AJ$6:AJ$158*'Consolidado Costos'!$D$6:$D$158),0))</f>
        <v>0</v>
      </c>
      <c r="AF128" s="318" cm="1">
        <f t="array" ref="AF128">+SUMPRODUCT(IF('Consolidado Costos'!$K$6:$K$158=$V128,('Consolidado Costos'!AK$6:AK$158*'Consolidado Costos'!$D$6:$D$158),0))</f>
        <v>0</v>
      </c>
      <c r="AG128" s="318" cm="1">
        <f t="array" ref="AG128">+SUMPRODUCT(IF('Consolidado Costos'!$K$6:$K$158=$V128,('Consolidado Costos'!AL$6:AL$158*'Consolidado Costos'!$D$6:$D$158),0))</f>
        <v>0</v>
      </c>
      <c r="AH128" s="318" cm="1">
        <f t="array" ref="AH128">+SUMPRODUCT(IF('Consolidado Costos'!$K$6:$K$158=$V128,('Consolidado Costos'!AM$6:AM$158*'Consolidado Costos'!$D$6:$D$158),0))</f>
        <v>0</v>
      </c>
      <c r="AI128" s="318" cm="1">
        <f t="array" ref="AI128">+SUMPRODUCT(IF('Consolidado Costos'!$K$6:$K$158=$V128,('Consolidado Costos'!AN$6:AN$158*'Consolidado Costos'!$D$6:$D$158),0))</f>
        <v>0</v>
      </c>
      <c r="AJ128" s="318" cm="1">
        <f t="array" ref="AJ128">+SUMPRODUCT(IF('Consolidado Costos'!$K$6:$K$158=$V128,('Consolidado Costos'!AO$6:AO$158*'Consolidado Costos'!$D$6:$D$158),0))</f>
        <v>0</v>
      </c>
      <c r="AK128" s="318" cm="1">
        <f t="array" ref="AK128">+SUMPRODUCT(IF('Consolidado Costos'!$K$6:$K$158=$V128,('Consolidado Costos'!AP$6:AP$158*'Consolidado Costos'!$D$6:$D$158),0))</f>
        <v>0</v>
      </c>
      <c r="AM128" s="327"/>
      <c r="AN128" s="330" t="s">
        <v>514</v>
      </c>
      <c r="AO128" s="330" t="s">
        <v>515</v>
      </c>
      <c r="AP128" s="329"/>
      <c r="AQ128" s="354">
        <f t="shared" si="12"/>
        <v>0</v>
      </c>
      <c r="AR128" s="318" cm="1">
        <f t="array" ref="AR128">+SUMPRODUCT(IF('Consolidado Costos'!$K$6:$K$158=$AN128,('Consolidado Costos'!AE$6:AE$158*'Consolidado Costos'!$E$6:$E$158),0))</f>
        <v>0</v>
      </c>
      <c r="AS128" s="318" cm="1">
        <f t="array" ref="AS128">+SUMPRODUCT(IF('Consolidado Costos'!$K$6:$K$158=$AN128,('Consolidado Costos'!AF$6:AF$158*'Consolidado Costos'!$E$6:$E$158),0))</f>
        <v>0</v>
      </c>
      <c r="AT128" s="318" cm="1">
        <f t="array" ref="AT128">+SUMPRODUCT(IF('Consolidado Costos'!$K$6:$K$158=$AN128,('Consolidado Costos'!AG$6:AG$158*'Consolidado Costos'!$E$6:$E$158),0))</f>
        <v>0</v>
      </c>
      <c r="AU128" s="318" cm="1">
        <f t="array" ref="AU128">+SUMPRODUCT(IF('Consolidado Costos'!$K$6:$K$158=$AN128,('Consolidado Costos'!AH$6:AH$158*'Consolidado Costos'!$E$6:$E$158),0))</f>
        <v>0</v>
      </c>
      <c r="AV128" s="318" cm="1">
        <f t="array" ref="AV128">+SUMPRODUCT(IF('Consolidado Costos'!$K$6:$K$158=$AN128,('Consolidado Costos'!AI$6:AI$158*'Consolidado Costos'!$E$6:$E$158),0))</f>
        <v>0</v>
      </c>
      <c r="AW128" s="318" cm="1">
        <f t="array" ref="AW128">+SUMPRODUCT(IF('Consolidado Costos'!$K$6:$K$158=$AN128,('Consolidado Costos'!AJ$6:AJ$158*'Consolidado Costos'!$E$6:$E$158),0))</f>
        <v>0</v>
      </c>
      <c r="AX128" s="318" cm="1">
        <f t="array" ref="AX128">+SUMPRODUCT(IF('Consolidado Costos'!$K$6:$K$158=$AN128,('Consolidado Costos'!AK$6:AK$158*'Consolidado Costos'!$E$6:$E$158),0))</f>
        <v>0</v>
      </c>
      <c r="AY128" s="318" cm="1">
        <f t="array" ref="AY128">+SUMPRODUCT(IF('Consolidado Costos'!$K$6:$K$158=$AN128,('Consolidado Costos'!AL$6:AL$158*'Consolidado Costos'!$E$6:$E$158),0))</f>
        <v>0</v>
      </c>
      <c r="AZ128" s="318" cm="1">
        <f t="array" ref="AZ128">+SUMPRODUCT(IF('Consolidado Costos'!$K$6:$K$158=$AN128,('Consolidado Costos'!AM$6:AM$158*'Consolidado Costos'!$E$6:$E$158),0))</f>
        <v>0</v>
      </c>
      <c r="BA128" s="318" cm="1">
        <f t="array" ref="BA128">+SUMPRODUCT(IF('Consolidado Costos'!$K$6:$K$158=$AN128,('Consolidado Costos'!AN$6:AN$158*'Consolidado Costos'!$E$6:$E$158),0))</f>
        <v>0</v>
      </c>
      <c r="BB128" s="318" cm="1">
        <f t="array" ref="BB128">+SUMPRODUCT(IF('Consolidado Costos'!$K$6:$K$158=$AN128,('Consolidado Costos'!AO$6:AO$158*'Consolidado Costos'!$E$6:$E$158),0))</f>
        <v>0</v>
      </c>
      <c r="BC128" s="318" cm="1">
        <f t="array" ref="BC128">+SUMPRODUCT(IF('Consolidado Costos'!$K$6:$K$158=$AN128,('Consolidado Costos'!AP$6:AP$158*'Consolidado Costos'!$E$6:$E$158),0))</f>
        <v>0</v>
      </c>
      <c r="BE128" s="327"/>
      <c r="BF128" s="330" t="s">
        <v>514</v>
      </c>
      <c r="BG128" s="330" t="s">
        <v>515</v>
      </c>
      <c r="BH128" s="329"/>
      <c r="BI128" s="354">
        <f t="shared" si="13"/>
        <v>0</v>
      </c>
      <c r="BJ128" s="318" cm="1">
        <f t="array" ref="BJ128">+SUMPRODUCT(IF('Consolidado Costos'!$K$6:$K$158=$BF128,('Consolidado Costos'!AE$6:AE$158*'Consolidado Costos'!$F$6:$F$158),0))</f>
        <v>0</v>
      </c>
      <c r="BK128" s="318" cm="1">
        <f t="array" ref="BK128">+SUMPRODUCT(IF('Consolidado Costos'!$K$6:$K$158=$BF128,('Consolidado Costos'!AF$6:AF$158*'Consolidado Costos'!$F$6:$F$158),0))</f>
        <v>0</v>
      </c>
      <c r="BL128" s="318" cm="1">
        <f t="array" ref="BL128">+SUMPRODUCT(IF('Consolidado Costos'!$K$6:$K$158=$BF128,('Consolidado Costos'!AG$6:AG$158*'Consolidado Costos'!$F$6:$F$158),0))</f>
        <v>0</v>
      </c>
      <c r="BM128" s="318" cm="1">
        <f t="array" ref="BM128">+SUMPRODUCT(IF('Consolidado Costos'!$K$6:$K$158=$BF128,('Consolidado Costos'!AH$6:AH$158*'Consolidado Costos'!$F$6:$F$158),0))</f>
        <v>0</v>
      </c>
      <c r="BN128" s="318" cm="1">
        <f t="array" ref="BN128">+SUMPRODUCT(IF('Consolidado Costos'!$K$6:$K$158=$BF128,('Consolidado Costos'!AI$6:AI$158*'Consolidado Costos'!$F$6:$F$158),0))</f>
        <v>0</v>
      </c>
      <c r="BO128" s="318" cm="1">
        <f t="array" ref="BO128">+SUMPRODUCT(IF('Consolidado Costos'!$K$6:$K$158=$BF128,('Consolidado Costos'!AJ$6:AJ$158*'Consolidado Costos'!$F$6:$F$158),0))</f>
        <v>0</v>
      </c>
      <c r="BP128" s="318" cm="1">
        <f t="array" ref="BP128">+SUMPRODUCT(IF('Consolidado Costos'!$K$6:$K$158=$BF128,('Consolidado Costos'!AK$6:AK$158*'Consolidado Costos'!$F$6:$F$158),0))</f>
        <v>0</v>
      </c>
      <c r="BQ128" s="318" cm="1">
        <f t="array" ref="BQ128">+SUMPRODUCT(IF('Consolidado Costos'!$K$6:$K$158=$BF128,('Consolidado Costos'!AL$6:AL$158*'Consolidado Costos'!$F$6:$F$158),0))</f>
        <v>0</v>
      </c>
      <c r="BR128" s="318" cm="1">
        <f t="array" ref="BR128">+SUMPRODUCT(IF('Consolidado Costos'!$K$6:$K$158=$BF128,('Consolidado Costos'!AM$6:AM$158*'Consolidado Costos'!$F$6:$F$158),0))</f>
        <v>0</v>
      </c>
      <c r="BS128" s="318" cm="1">
        <f t="array" ref="BS128">+SUMPRODUCT(IF('Consolidado Costos'!$K$6:$K$158=$BF128,('Consolidado Costos'!AN$6:AN$158*'Consolidado Costos'!$F$6:$F$158),0))</f>
        <v>0</v>
      </c>
      <c r="BT128" s="318" cm="1">
        <f t="array" ref="BT128">+SUMPRODUCT(IF('Consolidado Costos'!$K$6:$K$158=$BF128,('Consolidado Costos'!AO$6:AO$158*'Consolidado Costos'!$F$6:$F$158),0))</f>
        <v>0</v>
      </c>
      <c r="BU128" s="318" cm="1">
        <f t="array" ref="BU128">+SUMPRODUCT(IF('Consolidado Costos'!$K$6:$K$158=$BF128,('Consolidado Costos'!AP$6:AP$158*'Consolidado Costos'!$F$6:$F$158),0))</f>
        <v>0</v>
      </c>
      <c r="BW128" s="327"/>
      <c r="BX128" s="330" t="s">
        <v>514</v>
      </c>
      <c r="BY128" s="330" t="s">
        <v>515</v>
      </c>
      <c r="BZ128" s="329"/>
      <c r="CA128" s="354">
        <f t="shared" si="14"/>
        <v>0</v>
      </c>
      <c r="CB128" s="318" cm="1">
        <f t="array" ref="CB128">+SUMPRODUCT(IF('Consolidado Costos'!$K$6:$K$158=$BX128,('Consolidado Costos'!AE$6:AE$158*'Consolidado Costos'!$G$6:$G$158),0))</f>
        <v>0</v>
      </c>
      <c r="CC128" s="318" cm="1">
        <f t="array" ref="CC128">+SUMPRODUCT(IF('Consolidado Costos'!$K$6:$K$158=$BX128,('Consolidado Costos'!AF$6:AF$158*'Consolidado Costos'!$G$6:$G$158),0))</f>
        <v>0</v>
      </c>
      <c r="CD128" s="318" cm="1">
        <f t="array" ref="CD128">+SUMPRODUCT(IF('Consolidado Costos'!$K$6:$K$158=$BX128,('Consolidado Costos'!AG$6:AG$158*'Consolidado Costos'!$G$6:$G$158),0))</f>
        <v>0</v>
      </c>
      <c r="CE128" s="318" cm="1">
        <f t="array" ref="CE128">+SUMPRODUCT(IF('Consolidado Costos'!$K$6:$K$158=$BX128,('Consolidado Costos'!AH$6:AH$158*'Consolidado Costos'!$G$6:$G$158),0))</f>
        <v>0</v>
      </c>
      <c r="CF128" s="318" cm="1">
        <f t="array" ref="CF128">+SUMPRODUCT(IF('Consolidado Costos'!$K$6:$K$158=$BX128,('Consolidado Costos'!AI$6:AI$158*'Consolidado Costos'!$G$6:$G$158),0))</f>
        <v>0</v>
      </c>
      <c r="CG128" s="318" cm="1">
        <f t="array" ref="CG128">+SUMPRODUCT(IF('Consolidado Costos'!$K$6:$K$158=$BX128,('Consolidado Costos'!AJ$6:AJ$158*'Consolidado Costos'!$G$6:$G$158),0))</f>
        <v>0</v>
      </c>
      <c r="CH128" s="318" cm="1">
        <f t="array" ref="CH128">+SUMPRODUCT(IF('Consolidado Costos'!$K$6:$K$158=$BX128,('Consolidado Costos'!AK$6:AK$158*'Consolidado Costos'!$G$6:$G$158),0))</f>
        <v>0</v>
      </c>
      <c r="CI128" s="318" cm="1">
        <f t="array" ref="CI128">+SUMPRODUCT(IF('Consolidado Costos'!$K$6:$K$158=$BX128,('Consolidado Costos'!AL$6:AL$158*'Consolidado Costos'!$G$6:$G$158),0))</f>
        <v>0</v>
      </c>
      <c r="CJ128" s="318" cm="1">
        <f t="array" ref="CJ128">+SUMPRODUCT(IF('Consolidado Costos'!$K$6:$K$158=$BX128,('Consolidado Costos'!AM$6:AM$158*'Consolidado Costos'!$G$6:$G$158),0))</f>
        <v>0</v>
      </c>
      <c r="CK128" s="318" cm="1">
        <f t="array" ref="CK128">+SUMPRODUCT(IF('Consolidado Costos'!$K$6:$K$158=$BX128,('Consolidado Costos'!AN$6:AN$158*'Consolidado Costos'!$G$6:$G$158),0))</f>
        <v>0</v>
      </c>
      <c r="CL128" s="318" cm="1">
        <f t="array" ref="CL128">+SUMPRODUCT(IF('Consolidado Costos'!$K$6:$K$158=$BX128,('Consolidado Costos'!AO$6:AO$158*'Consolidado Costos'!$G$6:$G$158),0))</f>
        <v>0</v>
      </c>
      <c r="CM128" s="318" cm="1">
        <f t="array" ref="CM128">+SUMPRODUCT(IF('Consolidado Costos'!$K$6:$K$158=$BX128,('Consolidado Costos'!AP$6:AP$158*'Consolidado Costos'!$G$6:$G$158),0))</f>
        <v>0</v>
      </c>
      <c r="CN128" s="357">
        <f t="shared" si="10"/>
        <v>1</v>
      </c>
    </row>
    <row r="129" spans="2:92" s="337" customFormat="1">
      <c r="B129" s="331" t="s">
        <v>516</v>
      </c>
      <c r="C129" s="332"/>
      <c r="D129" s="333" t="s">
        <v>486</v>
      </c>
      <c r="E129" s="334"/>
      <c r="F129" s="335">
        <f>+SUM(F109:F128)</f>
        <v>977871.87257808854</v>
      </c>
      <c r="G129" s="335">
        <f t="shared" ref="G129:R129" si="15">+SUM(G109:G128)</f>
        <v>72898.688954156925</v>
      </c>
      <c r="H129" s="335">
        <f t="shared" si="15"/>
        <v>72898.688954156925</v>
      </c>
      <c r="I129" s="335">
        <f t="shared" si="15"/>
        <v>72898.688954156925</v>
      </c>
      <c r="J129" s="335">
        <f t="shared" si="15"/>
        <v>77069.137672105629</v>
      </c>
      <c r="K129" s="335">
        <f t="shared" si="15"/>
        <v>77069.137672105629</v>
      </c>
      <c r="L129" s="335">
        <f t="shared" si="15"/>
        <v>77069.137672105629</v>
      </c>
      <c r="M129" s="335">
        <f t="shared" si="15"/>
        <v>77069.137672105629</v>
      </c>
      <c r="N129" s="335">
        <f t="shared" si="15"/>
        <v>77069.137672105629</v>
      </c>
      <c r="O129" s="335">
        <f t="shared" si="15"/>
        <v>77069.137672105629</v>
      </c>
      <c r="P129" s="335">
        <f t="shared" si="15"/>
        <v>77069.137672105629</v>
      </c>
      <c r="Q129" s="335">
        <f t="shared" si="15"/>
        <v>77069.137672105629</v>
      </c>
      <c r="R129" s="335">
        <f t="shared" si="15"/>
        <v>142622.70433877231</v>
      </c>
      <c r="S129" s="357">
        <f>+IF(SUM(G129:R129)=F129,1,0)</f>
        <v>0</v>
      </c>
      <c r="U129" s="331" t="s">
        <v>516</v>
      </c>
      <c r="V129" s="332"/>
      <c r="W129" s="333" t="s">
        <v>486</v>
      </c>
      <c r="X129" s="334"/>
      <c r="Y129" s="335">
        <f>+SUM(Y109:Y128)</f>
        <v>790639.60484965029</v>
      </c>
      <c r="Z129" s="335">
        <f t="shared" ref="Z129:AK129" si="16">+SUM(Z109:Z128)</f>
        <v>58327.646568667427</v>
      </c>
      <c r="AA129" s="335">
        <f t="shared" si="16"/>
        <v>58327.646568667427</v>
      </c>
      <c r="AB129" s="335">
        <f t="shared" si="16"/>
        <v>58327.646568667427</v>
      </c>
      <c r="AC129" s="335">
        <f t="shared" si="16"/>
        <v>62498.095286616139</v>
      </c>
      <c r="AD129" s="335">
        <f t="shared" si="16"/>
        <v>62498.095286616139</v>
      </c>
      <c r="AE129" s="335">
        <f t="shared" si="16"/>
        <v>62498.095286616139</v>
      </c>
      <c r="AF129" s="335">
        <f t="shared" si="16"/>
        <v>62498.095286616139</v>
      </c>
      <c r="AG129" s="335">
        <f t="shared" si="16"/>
        <v>62498.095286616139</v>
      </c>
      <c r="AH129" s="335">
        <f t="shared" si="16"/>
        <v>62498.095286616139</v>
      </c>
      <c r="AI129" s="335">
        <f t="shared" si="16"/>
        <v>62498.095286616139</v>
      </c>
      <c r="AJ129" s="335">
        <f t="shared" si="16"/>
        <v>62498.095286616139</v>
      </c>
      <c r="AK129" s="335">
        <f t="shared" si="16"/>
        <v>115671.90285071869</v>
      </c>
      <c r="AM129" s="331" t="s">
        <v>516</v>
      </c>
      <c r="AN129" s="332"/>
      <c r="AO129" s="333" t="s">
        <v>486</v>
      </c>
      <c r="AP129" s="334"/>
      <c r="AQ129" s="335">
        <f t="shared" ref="AQ129:BC129" si="17">+SUM(AQ109:AQ128)</f>
        <v>105122.24419114218</v>
      </c>
      <c r="AR129" s="335">
        <f t="shared" si="17"/>
        <v>8051.5816847319338</v>
      </c>
      <c r="AS129" s="335">
        <f t="shared" si="17"/>
        <v>8051.5816847319338</v>
      </c>
      <c r="AT129" s="335">
        <f t="shared" si="17"/>
        <v>8051.5816847319338</v>
      </c>
      <c r="AU129" s="335">
        <f t="shared" si="17"/>
        <v>8051.5816847319338</v>
      </c>
      <c r="AV129" s="335">
        <f t="shared" si="17"/>
        <v>8051.5816847319338</v>
      </c>
      <c r="AW129" s="335">
        <f t="shared" si="17"/>
        <v>8051.5816847319338</v>
      </c>
      <c r="AX129" s="335">
        <f t="shared" si="17"/>
        <v>8051.5816847319338</v>
      </c>
      <c r="AY129" s="335">
        <f t="shared" si="17"/>
        <v>8051.5816847319338</v>
      </c>
      <c r="AZ129" s="335">
        <f t="shared" si="17"/>
        <v>8051.5816847319338</v>
      </c>
      <c r="BA129" s="335">
        <f t="shared" si="17"/>
        <v>8051.5816847319338</v>
      </c>
      <c r="BB129" s="335">
        <f t="shared" si="17"/>
        <v>8051.5816847319338</v>
      </c>
      <c r="BC129" s="335">
        <f t="shared" si="17"/>
        <v>16554.845659090908</v>
      </c>
      <c r="BE129" s="331" t="s">
        <v>516</v>
      </c>
      <c r="BF129" s="332"/>
      <c r="BG129" s="333" t="s">
        <v>486</v>
      </c>
      <c r="BH129" s="334"/>
      <c r="BI129" s="335">
        <f t="shared" ref="BI129:BU129" si="18">+SUM(BI109:BI128)</f>
        <v>52077.480203962696</v>
      </c>
      <c r="BJ129" s="335">
        <f t="shared" si="18"/>
        <v>4169.3273674242428</v>
      </c>
      <c r="BK129" s="335">
        <f t="shared" si="18"/>
        <v>4169.3273674242428</v>
      </c>
      <c r="BL129" s="335">
        <f t="shared" si="18"/>
        <v>4169.3273674242428</v>
      </c>
      <c r="BM129" s="335">
        <f t="shared" si="18"/>
        <v>4169.3273674242428</v>
      </c>
      <c r="BN129" s="335">
        <f t="shared" si="18"/>
        <v>4169.3273674242428</v>
      </c>
      <c r="BO129" s="335">
        <f t="shared" si="18"/>
        <v>4169.3273674242428</v>
      </c>
      <c r="BP129" s="335">
        <f t="shared" si="18"/>
        <v>4169.3273674242428</v>
      </c>
      <c r="BQ129" s="335">
        <f t="shared" si="18"/>
        <v>4169.3273674242428</v>
      </c>
      <c r="BR129" s="335">
        <f t="shared" si="18"/>
        <v>4169.3273674242428</v>
      </c>
      <c r="BS129" s="335">
        <f t="shared" si="18"/>
        <v>4169.3273674242428</v>
      </c>
      <c r="BT129" s="335">
        <f t="shared" si="18"/>
        <v>4169.3273674242428</v>
      </c>
      <c r="BU129" s="335">
        <f t="shared" si="18"/>
        <v>6214.8791622960371</v>
      </c>
      <c r="BW129" s="331" t="s">
        <v>516</v>
      </c>
      <c r="BX129" s="332"/>
      <c r="BY129" s="333" t="s">
        <v>486</v>
      </c>
      <c r="BZ129" s="334"/>
      <c r="CA129" s="335">
        <f t="shared" ref="CA129:CM129" si="19">+SUM(CA109:CA128)</f>
        <v>30032.543333333324</v>
      </c>
      <c r="CB129" s="335">
        <f t="shared" si="19"/>
        <v>2350.1333333333332</v>
      </c>
      <c r="CC129" s="335">
        <f t="shared" si="19"/>
        <v>2350.1333333333332</v>
      </c>
      <c r="CD129" s="335">
        <f t="shared" si="19"/>
        <v>2350.1333333333332</v>
      </c>
      <c r="CE129" s="335">
        <f t="shared" si="19"/>
        <v>2350.1333333333332</v>
      </c>
      <c r="CF129" s="335">
        <f t="shared" si="19"/>
        <v>2350.1333333333332</v>
      </c>
      <c r="CG129" s="335">
        <f t="shared" si="19"/>
        <v>2350.1333333333332</v>
      </c>
      <c r="CH129" s="335">
        <f t="shared" si="19"/>
        <v>2350.1333333333332</v>
      </c>
      <c r="CI129" s="335">
        <f t="shared" si="19"/>
        <v>2350.1333333333332</v>
      </c>
      <c r="CJ129" s="335">
        <f t="shared" si="19"/>
        <v>2350.1333333333332</v>
      </c>
      <c r="CK129" s="335">
        <f t="shared" si="19"/>
        <v>2350.1333333333332</v>
      </c>
      <c r="CL129" s="335">
        <f t="shared" si="19"/>
        <v>2350.1333333333332</v>
      </c>
      <c r="CM129" s="335">
        <f t="shared" si="19"/>
        <v>4181.0766666666659</v>
      </c>
      <c r="CN129" s="357">
        <f t="shared" si="10"/>
        <v>0</v>
      </c>
    </row>
    <row r="130" spans="2:92" s="310" customFormat="1" outlineLevel="1">
      <c r="B130" s="327"/>
      <c r="C130" s="330" t="s">
        <v>517</v>
      </c>
      <c r="D130" s="330" t="s">
        <v>518</v>
      </c>
      <c r="E130" s="329"/>
      <c r="F130" s="318">
        <f>+SUMIF('Consolidado Costos'!$K$6:$K$158,$C130,'Consolidado Costos'!$AD$6:$AD$158)</f>
        <v>0</v>
      </c>
      <c r="G130" s="318">
        <f>+SUMIF('Consolidado Costos'!$K$6:$K$158,$C130,'Consolidado Costos'!AE$6:AE$158)</f>
        <v>0</v>
      </c>
      <c r="H130" s="318">
        <f>+SUMIF('Consolidado Costos'!$K$6:$K$158,$C130,'Consolidado Costos'!AF$6:AF$158)</f>
        <v>0</v>
      </c>
      <c r="I130" s="318">
        <f>+SUMIF('Consolidado Costos'!$K$6:$K$158,$C130,'Consolidado Costos'!AG$6:AG$158)</f>
        <v>0</v>
      </c>
      <c r="J130" s="318">
        <f>+SUMIF('Consolidado Costos'!$K$6:$K$158,$C130,'Consolidado Costos'!AH$6:AH$158)</f>
        <v>0</v>
      </c>
      <c r="K130" s="318">
        <f>+SUMIF('Consolidado Costos'!$K$6:$K$158,$C130,'Consolidado Costos'!AI$6:AI$158)</f>
        <v>0</v>
      </c>
      <c r="L130" s="318">
        <f>+SUMIF('Consolidado Costos'!$K$6:$K$158,$C130,'Consolidado Costos'!AJ$6:AJ$158)</f>
        <v>0</v>
      </c>
      <c r="M130" s="318">
        <f>+SUMIF('Consolidado Costos'!$K$6:$K$158,$C130,'Consolidado Costos'!AK$6:AK$158)</f>
        <v>0</v>
      </c>
      <c r="N130" s="318">
        <f>+SUMIF('Consolidado Costos'!$K$6:$K$158,$C130,'Consolidado Costos'!AL$6:AL$158)</f>
        <v>0</v>
      </c>
      <c r="O130" s="318">
        <f>+SUMIF('Consolidado Costos'!$K$6:$K$158,$C130,'Consolidado Costos'!AM$6:AM$158)</f>
        <v>0</v>
      </c>
      <c r="P130" s="318">
        <f>+SUMIF('Consolidado Costos'!$K$6:$K$158,$C130,'Consolidado Costos'!AN$6:AN$158)</f>
        <v>0</v>
      </c>
      <c r="Q130" s="318">
        <f>+SUMIF('Consolidado Costos'!$K$6:$K$158,$C130,'Consolidado Costos'!AO$6:AO$158)</f>
        <v>0</v>
      </c>
      <c r="R130" s="318">
        <f>+SUMIF('Consolidado Costos'!$K$6:$K$158,$C130,'Consolidado Costos'!AP$6:AP$158)</f>
        <v>0</v>
      </c>
      <c r="S130" s="357">
        <f t="shared" si="5"/>
        <v>1</v>
      </c>
      <c r="U130" s="327"/>
      <c r="V130" s="330" t="s">
        <v>517</v>
      </c>
      <c r="W130" s="330" t="s">
        <v>518</v>
      </c>
      <c r="X130" s="329"/>
      <c r="Y130" s="354">
        <f t="shared" ref="Y130:Y139" si="20">+SUM(Z130:AK130)</f>
        <v>0</v>
      </c>
      <c r="Z130" s="318" cm="1">
        <f t="array" ref="Z130">+SUMPRODUCT(IF('Consolidado Costos'!$K$6:$K$158=$V130,('Consolidado Costos'!AE$6:AE$158*'Consolidado Costos'!$D$6:$D$158),0))</f>
        <v>0</v>
      </c>
      <c r="AA130" s="318" cm="1">
        <f t="array" ref="AA130">+SUMPRODUCT(IF('Consolidado Costos'!$K$6:$K$158=$V130,('Consolidado Costos'!AF$6:AF$158*'Consolidado Costos'!$D$6:$D$158),0))</f>
        <v>0</v>
      </c>
      <c r="AB130" s="318" cm="1">
        <f t="array" ref="AB130">+SUMPRODUCT(IF('Consolidado Costos'!$K$6:$K$158=$V130,('Consolidado Costos'!AG$6:AG$158*'Consolidado Costos'!$D$6:$D$158),0))</f>
        <v>0</v>
      </c>
      <c r="AC130" s="318" cm="1">
        <f t="array" ref="AC130">+SUMPRODUCT(IF('Consolidado Costos'!$K$6:$K$158=$V130,('Consolidado Costos'!AH$6:AH$158*'Consolidado Costos'!$D$6:$D$158),0))</f>
        <v>0</v>
      </c>
      <c r="AD130" s="318" cm="1">
        <f t="array" ref="AD130">+SUMPRODUCT(IF('Consolidado Costos'!$K$6:$K$158=$V130,('Consolidado Costos'!AI$6:AI$158*'Consolidado Costos'!$D$6:$D$158),0))</f>
        <v>0</v>
      </c>
      <c r="AE130" s="318" cm="1">
        <f t="array" ref="AE130">+SUMPRODUCT(IF('Consolidado Costos'!$K$6:$K$158=$V130,('Consolidado Costos'!AJ$6:AJ$158*'Consolidado Costos'!$D$6:$D$158),0))</f>
        <v>0</v>
      </c>
      <c r="AF130" s="318" cm="1">
        <f t="array" ref="AF130">+SUMPRODUCT(IF('Consolidado Costos'!$K$6:$K$158=$V130,('Consolidado Costos'!AK$6:AK$158*'Consolidado Costos'!$D$6:$D$158),0))</f>
        <v>0</v>
      </c>
      <c r="AG130" s="318" cm="1">
        <f t="array" ref="AG130">+SUMPRODUCT(IF('Consolidado Costos'!$K$6:$K$158=$V130,('Consolidado Costos'!AL$6:AL$158*'Consolidado Costos'!$D$6:$D$158),0))</f>
        <v>0</v>
      </c>
      <c r="AH130" s="318" cm="1">
        <f t="array" ref="AH130">+SUMPRODUCT(IF('Consolidado Costos'!$K$6:$K$158=$V130,('Consolidado Costos'!AM$6:AM$158*'Consolidado Costos'!$D$6:$D$158),0))</f>
        <v>0</v>
      </c>
      <c r="AI130" s="318" cm="1">
        <f t="array" ref="AI130">+SUMPRODUCT(IF('Consolidado Costos'!$K$6:$K$158=$V130,('Consolidado Costos'!AN$6:AN$158*'Consolidado Costos'!$D$6:$D$158),0))</f>
        <v>0</v>
      </c>
      <c r="AJ130" s="318" cm="1">
        <f t="array" ref="AJ130">+SUMPRODUCT(IF('Consolidado Costos'!$K$6:$K$158=$V130,('Consolidado Costos'!AO$6:AO$158*'Consolidado Costos'!$D$6:$D$158),0))</f>
        <v>0</v>
      </c>
      <c r="AK130" s="318" cm="1">
        <f t="array" ref="AK130">+SUMPRODUCT(IF('Consolidado Costos'!$K$6:$K$158=$V130,('Consolidado Costos'!AP$6:AP$158*'Consolidado Costos'!$D$6:$D$158),0))</f>
        <v>0</v>
      </c>
      <c r="AM130" s="327"/>
      <c r="AN130" s="330" t="s">
        <v>517</v>
      </c>
      <c r="AO130" s="330" t="s">
        <v>518</v>
      </c>
      <c r="AP130" s="329"/>
      <c r="AQ130" s="354">
        <f t="shared" ref="AQ130:AQ151" si="21">+SUM(AR130:BC130)</f>
        <v>0</v>
      </c>
      <c r="AR130" s="318" cm="1">
        <f t="array" ref="AR130">+SUMPRODUCT(IF('Consolidado Costos'!$K$6:$K$158=$AN130,('Consolidado Costos'!AE$6:AE$158*'Consolidado Costos'!$E$6:$E$158),0))</f>
        <v>0</v>
      </c>
      <c r="AS130" s="318" cm="1">
        <f t="array" ref="AS130">+SUMPRODUCT(IF('Consolidado Costos'!$K$6:$K$158=$AN130,('Consolidado Costos'!AF$6:AF$158*'Consolidado Costos'!$E$6:$E$158),0))</f>
        <v>0</v>
      </c>
      <c r="AT130" s="318" cm="1">
        <f t="array" ref="AT130">+SUMPRODUCT(IF('Consolidado Costos'!$K$6:$K$158=$AN130,('Consolidado Costos'!AG$6:AG$158*'Consolidado Costos'!$E$6:$E$158),0))</f>
        <v>0</v>
      </c>
      <c r="AU130" s="318" cm="1">
        <f t="array" ref="AU130">+SUMPRODUCT(IF('Consolidado Costos'!$K$6:$K$158=$AN130,('Consolidado Costos'!AH$6:AH$158*'Consolidado Costos'!$E$6:$E$158),0))</f>
        <v>0</v>
      </c>
      <c r="AV130" s="318" cm="1">
        <f t="array" ref="AV130">+SUMPRODUCT(IF('Consolidado Costos'!$K$6:$K$158=$AN130,('Consolidado Costos'!AI$6:AI$158*'Consolidado Costos'!$E$6:$E$158),0))</f>
        <v>0</v>
      </c>
      <c r="AW130" s="318" cm="1">
        <f t="array" ref="AW130">+SUMPRODUCT(IF('Consolidado Costos'!$K$6:$K$158=$AN130,('Consolidado Costos'!AJ$6:AJ$158*'Consolidado Costos'!$E$6:$E$158),0))</f>
        <v>0</v>
      </c>
      <c r="AX130" s="318" cm="1">
        <f t="array" ref="AX130">+SUMPRODUCT(IF('Consolidado Costos'!$K$6:$K$158=$AN130,('Consolidado Costos'!AK$6:AK$158*'Consolidado Costos'!$E$6:$E$158),0))</f>
        <v>0</v>
      </c>
      <c r="AY130" s="318" cm="1">
        <f t="array" ref="AY130">+SUMPRODUCT(IF('Consolidado Costos'!$K$6:$K$158=$AN130,('Consolidado Costos'!AL$6:AL$158*'Consolidado Costos'!$E$6:$E$158),0))</f>
        <v>0</v>
      </c>
      <c r="AZ130" s="318" cm="1">
        <f t="array" ref="AZ130">+SUMPRODUCT(IF('Consolidado Costos'!$K$6:$K$158=$AN130,('Consolidado Costos'!AM$6:AM$158*'Consolidado Costos'!$E$6:$E$158),0))</f>
        <v>0</v>
      </c>
      <c r="BA130" s="318" cm="1">
        <f t="array" ref="BA130">+SUMPRODUCT(IF('Consolidado Costos'!$K$6:$K$158=$AN130,('Consolidado Costos'!AN$6:AN$158*'Consolidado Costos'!$E$6:$E$158),0))</f>
        <v>0</v>
      </c>
      <c r="BB130" s="318" cm="1">
        <f t="array" ref="BB130">+SUMPRODUCT(IF('Consolidado Costos'!$K$6:$K$158=$AN130,('Consolidado Costos'!AO$6:AO$158*'Consolidado Costos'!$E$6:$E$158),0))</f>
        <v>0</v>
      </c>
      <c r="BC130" s="318" cm="1">
        <f t="array" ref="BC130">+SUMPRODUCT(IF('Consolidado Costos'!$K$6:$K$158=$AN130,('Consolidado Costos'!AP$6:AP$158*'Consolidado Costos'!$E$6:$E$158),0))</f>
        <v>0</v>
      </c>
      <c r="BE130" s="327"/>
      <c r="BF130" s="330" t="s">
        <v>517</v>
      </c>
      <c r="BG130" s="330" t="s">
        <v>518</v>
      </c>
      <c r="BH130" s="329"/>
      <c r="BI130" s="354">
        <f t="shared" ref="BI130:BI139" si="22">+SUM(BJ130:BU130)</f>
        <v>0</v>
      </c>
      <c r="BJ130" s="318" cm="1">
        <f t="array" ref="BJ130">+SUMPRODUCT(IF('Consolidado Costos'!$K$6:$K$158=$BF130,('Consolidado Costos'!AE$6:AE$158*'Consolidado Costos'!$F$6:$F$158),0))</f>
        <v>0</v>
      </c>
      <c r="BK130" s="318" cm="1">
        <f t="array" ref="BK130">+SUMPRODUCT(IF('Consolidado Costos'!$K$6:$K$158=$BF130,('Consolidado Costos'!AF$6:AF$158*'Consolidado Costos'!$F$6:$F$158),0))</f>
        <v>0</v>
      </c>
      <c r="BL130" s="318" cm="1">
        <f t="array" ref="BL130">+SUMPRODUCT(IF('Consolidado Costos'!$K$6:$K$158=$BF130,('Consolidado Costos'!AG$6:AG$158*'Consolidado Costos'!$F$6:$F$158),0))</f>
        <v>0</v>
      </c>
      <c r="BM130" s="318" cm="1">
        <f t="array" ref="BM130">+SUMPRODUCT(IF('Consolidado Costos'!$K$6:$K$158=$BF130,('Consolidado Costos'!AH$6:AH$158*'Consolidado Costos'!$F$6:$F$158),0))</f>
        <v>0</v>
      </c>
      <c r="BN130" s="318" cm="1">
        <f t="array" ref="BN130">+SUMPRODUCT(IF('Consolidado Costos'!$K$6:$K$158=$BF130,('Consolidado Costos'!AI$6:AI$158*'Consolidado Costos'!$F$6:$F$158),0))</f>
        <v>0</v>
      </c>
      <c r="BO130" s="318" cm="1">
        <f t="array" ref="BO130">+SUMPRODUCT(IF('Consolidado Costos'!$K$6:$K$158=$BF130,('Consolidado Costos'!AJ$6:AJ$158*'Consolidado Costos'!$F$6:$F$158),0))</f>
        <v>0</v>
      </c>
      <c r="BP130" s="318" cm="1">
        <f t="array" ref="BP130">+SUMPRODUCT(IF('Consolidado Costos'!$K$6:$K$158=$BF130,('Consolidado Costos'!AK$6:AK$158*'Consolidado Costos'!$F$6:$F$158),0))</f>
        <v>0</v>
      </c>
      <c r="BQ130" s="318" cm="1">
        <f t="array" ref="BQ130">+SUMPRODUCT(IF('Consolidado Costos'!$K$6:$K$158=$BF130,('Consolidado Costos'!AL$6:AL$158*'Consolidado Costos'!$F$6:$F$158),0))</f>
        <v>0</v>
      </c>
      <c r="BR130" s="318" cm="1">
        <f t="array" ref="BR130">+SUMPRODUCT(IF('Consolidado Costos'!$K$6:$K$158=$BF130,('Consolidado Costos'!AM$6:AM$158*'Consolidado Costos'!$F$6:$F$158),0))</f>
        <v>0</v>
      </c>
      <c r="BS130" s="318" cm="1">
        <f t="array" ref="BS130">+SUMPRODUCT(IF('Consolidado Costos'!$K$6:$K$158=$BF130,('Consolidado Costos'!AN$6:AN$158*'Consolidado Costos'!$F$6:$F$158),0))</f>
        <v>0</v>
      </c>
      <c r="BT130" s="318" cm="1">
        <f t="array" ref="BT130">+SUMPRODUCT(IF('Consolidado Costos'!$K$6:$K$158=$BF130,('Consolidado Costos'!AO$6:AO$158*'Consolidado Costos'!$F$6:$F$158),0))</f>
        <v>0</v>
      </c>
      <c r="BU130" s="318" cm="1">
        <f t="array" ref="BU130">+SUMPRODUCT(IF('Consolidado Costos'!$K$6:$K$158=$BF130,('Consolidado Costos'!AP$6:AP$158*'Consolidado Costos'!$F$6:$F$158),0))</f>
        <v>0</v>
      </c>
      <c r="BW130" s="327"/>
      <c r="BX130" s="330" t="s">
        <v>517</v>
      </c>
      <c r="BY130" s="330" t="s">
        <v>518</v>
      </c>
      <c r="BZ130" s="329"/>
      <c r="CA130" s="354">
        <f t="shared" ref="CA130:CA139" si="23">+SUM(CB130:CM130)</f>
        <v>0</v>
      </c>
      <c r="CB130" s="318" cm="1">
        <f t="array" ref="CB130">+SUMPRODUCT(IF('Consolidado Costos'!$K$6:$K$158=$BX130,('Consolidado Costos'!AE$6:AE$158*'Consolidado Costos'!$G$6:$G$158),0))</f>
        <v>0</v>
      </c>
      <c r="CC130" s="318" cm="1">
        <f t="array" ref="CC130">+SUMPRODUCT(IF('Consolidado Costos'!$K$6:$K$158=$BX130,('Consolidado Costos'!AF$6:AF$158*'Consolidado Costos'!$G$6:$G$158),0))</f>
        <v>0</v>
      </c>
      <c r="CD130" s="318" cm="1">
        <f t="array" ref="CD130">+SUMPRODUCT(IF('Consolidado Costos'!$K$6:$K$158=$BX130,('Consolidado Costos'!AG$6:AG$158*'Consolidado Costos'!$G$6:$G$158),0))</f>
        <v>0</v>
      </c>
      <c r="CE130" s="318" cm="1">
        <f t="array" ref="CE130">+SUMPRODUCT(IF('Consolidado Costos'!$K$6:$K$158=$BX130,('Consolidado Costos'!AH$6:AH$158*'Consolidado Costos'!$G$6:$G$158),0))</f>
        <v>0</v>
      </c>
      <c r="CF130" s="318" cm="1">
        <f t="array" ref="CF130">+SUMPRODUCT(IF('Consolidado Costos'!$K$6:$K$158=$BX130,('Consolidado Costos'!AI$6:AI$158*'Consolidado Costos'!$G$6:$G$158),0))</f>
        <v>0</v>
      </c>
      <c r="CG130" s="318" cm="1">
        <f t="array" ref="CG130">+SUMPRODUCT(IF('Consolidado Costos'!$K$6:$K$158=$BX130,('Consolidado Costos'!AJ$6:AJ$158*'Consolidado Costos'!$G$6:$G$158),0))</f>
        <v>0</v>
      </c>
      <c r="CH130" s="318" cm="1">
        <f t="array" ref="CH130">+SUMPRODUCT(IF('Consolidado Costos'!$K$6:$K$158=$BX130,('Consolidado Costos'!AK$6:AK$158*'Consolidado Costos'!$G$6:$G$158),0))</f>
        <v>0</v>
      </c>
      <c r="CI130" s="318" cm="1">
        <f t="array" ref="CI130">+SUMPRODUCT(IF('Consolidado Costos'!$K$6:$K$158=$BX130,('Consolidado Costos'!AL$6:AL$158*'Consolidado Costos'!$G$6:$G$158),0))</f>
        <v>0</v>
      </c>
      <c r="CJ130" s="318" cm="1">
        <f t="array" ref="CJ130">+SUMPRODUCT(IF('Consolidado Costos'!$K$6:$K$158=$BX130,('Consolidado Costos'!AM$6:AM$158*'Consolidado Costos'!$G$6:$G$158),0))</f>
        <v>0</v>
      </c>
      <c r="CK130" s="318" cm="1">
        <f t="array" ref="CK130">+SUMPRODUCT(IF('Consolidado Costos'!$K$6:$K$158=$BX130,('Consolidado Costos'!AN$6:AN$158*'Consolidado Costos'!$G$6:$G$158),0))</f>
        <v>0</v>
      </c>
      <c r="CL130" s="318" cm="1">
        <f t="array" ref="CL130">+SUMPRODUCT(IF('Consolidado Costos'!$K$6:$K$158=$BX130,('Consolidado Costos'!AO$6:AO$158*'Consolidado Costos'!$G$6:$G$158),0))</f>
        <v>0</v>
      </c>
      <c r="CM130" s="318" cm="1">
        <f t="array" ref="CM130">+SUMPRODUCT(IF('Consolidado Costos'!$K$6:$K$158=$BX130,('Consolidado Costos'!AP$6:AP$158*'Consolidado Costos'!$G$6:$G$158),0))</f>
        <v>0</v>
      </c>
      <c r="CN130" s="357">
        <f t="shared" si="10"/>
        <v>1</v>
      </c>
    </row>
    <row r="131" spans="2:92" s="310" customFormat="1" outlineLevel="1">
      <c r="B131" s="327"/>
      <c r="C131" s="330" t="s">
        <v>519</v>
      </c>
      <c r="D131" s="330" t="s">
        <v>520</v>
      </c>
      <c r="E131" s="329"/>
      <c r="F131" s="318">
        <f>+SUMIF('Consolidado Costos'!$K$6:$K$158,$C131,'Consolidado Costos'!$AD$6:$AD$158)</f>
        <v>0</v>
      </c>
      <c r="G131" s="318">
        <f>+SUMIF('Consolidado Costos'!$K$6:$K$158,$C131,'Consolidado Costos'!AE$6:AE$158)</f>
        <v>0</v>
      </c>
      <c r="H131" s="318">
        <f>+SUMIF('Consolidado Costos'!$K$6:$K$158,$C131,'Consolidado Costos'!AF$6:AF$158)</f>
        <v>0</v>
      </c>
      <c r="I131" s="318">
        <f>+SUMIF('Consolidado Costos'!$K$6:$K$158,$C131,'Consolidado Costos'!AG$6:AG$158)</f>
        <v>0</v>
      </c>
      <c r="J131" s="318">
        <f>+SUMIF('Consolidado Costos'!$K$6:$K$158,$C131,'Consolidado Costos'!AH$6:AH$158)</f>
        <v>0</v>
      </c>
      <c r="K131" s="318">
        <f>+SUMIF('Consolidado Costos'!$K$6:$K$158,$C131,'Consolidado Costos'!AI$6:AI$158)</f>
        <v>0</v>
      </c>
      <c r="L131" s="318">
        <f>+SUMIF('Consolidado Costos'!$K$6:$K$158,$C131,'Consolidado Costos'!AJ$6:AJ$158)</f>
        <v>0</v>
      </c>
      <c r="M131" s="318">
        <f>+SUMIF('Consolidado Costos'!$K$6:$K$158,$C131,'Consolidado Costos'!AK$6:AK$158)</f>
        <v>0</v>
      </c>
      <c r="N131" s="318">
        <f>+SUMIF('Consolidado Costos'!$K$6:$K$158,$C131,'Consolidado Costos'!AL$6:AL$158)</f>
        <v>0</v>
      </c>
      <c r="O131" s="318">
        <f>+SUMIF('Consolidado Costos'!$K$6:$K$158,$C131,'Consolidado Costos'!AM$6:AM$158)</f>
        <v>0</v>
      </c>
      <c r="P131" s="318">
        <f>+SUMIF('Consolidado Costos'!$K$6:$K$158,$C131,'Consolidado Costos'!AN$6:AN$158)</f>
        <v>0</v>
      </c>
      <c r="Q131" s="318">
        <f>+SUMIF('Consolidado Costos'!$K$6:$K$158,$C131,'Consolidado Costos'!AO$6:AO$158)</f>
        <v>0</v>
      </c>
      <c r="R131" s="318">
        <f>+SUMIF('Consolidado Costos'!$K$6:$K$158,$C131,'Consolidado Costos'!AP$6:AP$158)</f>
        <v>0</v>
      </c>
      <c r="S131" s="357">
        <f t="shared" si="5"/>
        <v>1</v>
      </c>
      <c r="U131" s="327"/>
      <c r="V131" s="330" t="s">
        <v>519</v>
      </c>
      <c r="W131" s="330" t="s">
        <v>520</v>
      </c>
      <c r="X131" s="329"/>
      <c r="Y131" s="354">
        <f t="shared" si="20"/>
        <v>0</v>
      </c>
      <c r="Z131" s="318" cm="1">
        <f t="array" ref="Z131">+SUMPRODUCT(IF('Consolidado Costos'!$K$6:$K$158=$V131,('Consolidado Costos'!AE$6:AE$158*'Consolidado Costos'!$D$6:$D$158),0))</f>
        <v>0</v>
      </c>
      <c r="AA131" s="318" cm="1">
        <f t="array" ref="AA131">+SUMPRODUCT(IF('Consolidado Costos'!$K$6:$K$158=$V131,('Consolidado Costos'!AF$6:AF$158*'Consolidado Costos'!$D$6:$D$158),0))</f>
        <v>0</v>
      </c>
      <c r="AB131" s="318" cm="1">
        <f t="array" ref="AB131">+SUMPRODUCT(IF('Consolidado Costos'!$K$6:$K$158=$V131,('Consolidado Costos'!AG$6:AG$158*'Consolidado Costos'!$D$6:$D$158),0))</f>
        <v>0</v>
      </c>
      <c r="AC131" s="318" cm="1">
        <f t="array" ref="AC131">+SUMPRODUCT(IF('Consolidado Costos'!$K$6:$K$158=$V131,('Consolidado Costos'!AH$6:AH$158*'Consolidado Costos'!$D$6:$D$158),0))</f>
        <v>0</v>
      </c>
      <c r="AD131" s="318" cm="1">
        <f t="array" ref="AD131">+SUMPRODUCT(IF('Consolidado Costos'!$K$6:$K$158=$V131,('Consolidado Costos'!AI$6:AI$158*'Consolidado Costos'!$D$6:$D$158),0))</f>
        <v>0</v>
      </c>
      <c r="AE131" s="318" cm="1">
        <f t="array" ref="AE131">+SUMPRODUCT(IF('Consolidado Costos'!$K$6:$K$158=$V131,('Consolidado Costos'!AJ$6:AJ$158*'Consolidado Costos'!$D$6:$D$158),0))</f>
        <v>0</v>
      </c>
      <c r="AF131" s="318" cm="1">
        <f t="array" ref="AF131">+SUMPRODUCT(IF('Consolidado Costos'!$K$6:$K$158=$V131,('Consolidado Costos'!AK$6:AK$158*'Consolidado Costos'!$D$6:$D$158),0))</f>
        <v>0</v>
      </c>
      <c r="AG131" s="318" cm="1">
        <f t="array" ref="AG131">+SUMPRODUCT(IF('Consolidado Costos'!$K$6:$K$158=$V131,('Consolidado Costos'!AL$6:AL$158*'Consolidado Costos'!$D$6:$D$158),0))</f>
        <v>0</v>
      </c>
      <c r="AH131" s="318" cm="1">
        <f t="array" ref="AH131">+SUMPRODUCT(IF('Consolidado Costos'!$K$6:$K$158=$V131,('Consolidado Costos'!AM$6:AM$158*'Consolidado Costos'!$D$6:$D$158),0))</f>
        <v>0</v>
      </c>
      <c r="AI131" s="318" cm="1">
        <f t="array" ref="AI131">+SUMPRODUCT(IF('Consolidado Costos'!$K$6:$K$158=$V131,('Consolidado Costos'!AN$6:AN$158*'Consolidado Costos'!$D$6:$D$158),0))</f>
        <v>0</v>
      </c>
      <c r="AJ131" s="318" cm="1">
        <f t="array" ref="AJ131">+SUMPRODUCT(IF('Consolidado Costos'!$K$6:$K$158=$V131,('Consolidado Costos'!AO$6:AO$158*'Consolidado Costos'!$D$6:$D$158),0))</f>
        <v>0</v>
      </c>
      <c r="AK131" s="318" cm="1">
        <f t="array" ref="AK131">+SUMPRODUCT(IF('Consolidado Costos'!$K$6:$K$158=$V131,('Consolidado Costos'!AP$6:AP$158*'Consolidado Costos'!$D$6:$D$158),0))</f>
        <v>0</v>
      </c>
      <c r="AM131" s="327"/>
      <c r="AN131" s="330" t="s">
        <v>519</v>
      </c>
      <c r="AO131" s="330" t="s">
        <v>520</v>
      </c>
      <c r="AP131" s="329"/>
      <c r="AQ131" s="354">
        <f t="shared" si="21"/>
        <v>0</v>
      </c>
      <c r="AR131" s="318" cm="1">
        <f t="array" ref="AR131">+SUMPRODUCT(IF('Consolidado Costos'!$K$6:$K$158=$AN131,('Consolidado Costos'!AE$6:AE$158*'Consolidado Costos'!$E$6:$E$158),0))</f>
        <v>0</v>
      </c>
      <c r="AS131" s="318" cm="1">
        <f t="array" ref="AS131">+SUMPRODUCT(IF('Consolidado Costos'!$K$6:$K$158=$AN131,('Consolidado Costos'!AF$6:AF$158*'Consolidado Costos'!$E$6:$E$158),0))</f>
        <v>0</v>
      </c>
      <c r="AT131" s="318" cm="1">
        <f t="array" ref="AT131">+SUMPRODUCT(IF('Consolidado Costos'!$K$6:$K$158=$AN131,('Consolidado Costos'!AG$6:AG$158*'Consolidado Costos'!$E$6:$E$158),0))</f>
        <v>0</v>
      </c>
      <c r="AU131" s="318" cm="1">
        <f t="array" ref="AU131">+SUMPRODUCT(IF('Consolidado Costos'!$K$6:$K$158=$AN131,('Consolidado Costos'!AH$6:AH$158*'Consolidado Costos'!$E$6:$E$158),0))</f>
        <v>0</v>
      </c>
      <c r="AV131" s="318" cm="1">
        <f t="array" ref="AV131">+SUMPRODUCT(IF('Consolidado Costos'!$K$6:$K$158=$AN131,('Consolidado Costos'!AI$6:AI$158*'Consolidado Costos'!$E$6:$E$158),0))</f>
        <v>0</v>
      </c>
      <c r="AW131" s="318" cm="1">
        <f t="array" ref="AW131">+SUMPRODUCT(IF('Consolidado Costos'!$K$6:$K$158=$AN131,('Consolidado Costos'!AJ$6:AJ$158*'Consolidado Costos'!$E$6:$E$158),0))</f>
        <v>0</v>
      </c>
      <c r="AX131" s="318" cm="1">
        <f t="array" ref="AX131">+SUMPRODUCT(IF('Consolidado Costos'!$K$6:$K$158=$AN131,('Consolidado Costos'!AK$6:AK$158*'Consolidado Costos'!$E$6:$E$158),0))</f>
        <v>0</v>
      </c>
      <c r="AY131" s="318" cm="1">
        <f t="array" ref="AY131">+SUMPRODUCT(IF('Consolidado Costos'!$K$6:$K$158=$AN131,('Consolidado Costos'!AL$6:AL$158*'Consolidado Costos'!$E$6:$E$158),0))</f>
        <v>0</v>
      </c>
      <c r="AZ131" s="318" cm="1">
        <f t="array" ref="AZ131">+SUMPRODUCT(IF('Consolidado Costos'!$K$6:$K$158=$AN131,('Consolidado Costos'!AM$6:AM$158*'Consolidado Costos'!$E$6:$E$158),0))</f>
        <v>0</v>
      </c>
      <c r="BA131" s="318" cm="1">
        <f t="array" ref="BA131">+SUMPRODUCT(IF('Consolidado Costos'!$K$6:$K$158=$AN131,('Consolidado Costos'!AN$6:AN$158*'Consolidado Costos'!$E$6:$E$158),0))</f>
        <v>0</v>
      </c>
      <c r="BB131" s="318" cm="1">
        <f t="array" ref="BB131">+SUMPRODUCT(IF('Consolidado Costos'!$K$6:$K$158=$AN131,('Consolidado Costos'!AO$6:AO$158*'Consolidado Costos'!$E$6:$E$158),0))</f>
        <v>0</v>
      </c>
      <c r="BC131" s="318" cm="1">
        <f t="array" ref="BC131">+SUMPRODUCT(IF('Consolidado Costos'!$K$6:$K$158=$AN131,('Consolidado Costos'!AP$6:AP$158*'Consolidado Costos'!$E$6:$E$158),0))</f>
        <v>0</v>
      </c>
      <c r="BE131" s="327"/>
      <c r="BF131" s="330" t="s">
        <v>519</v>
      </c>
      <c r="BG131" s="330" t="s">
        <v>520</v>
      </c>
      <c r="BH131" s="329"/>
      <c r="BI131" s="354">
        <f t="shared" si="22"/>
        <v>0</v>
      </c>
      <c r="BJ131" s="318" cm="1">
        <f t="array" ref="BJ131">+SUMPRODUCT(IF('Consolidado Costos'!$K$6:$K$158=$BF131,('Consolidado Costos'!AE$6:AE$158*'Consolidado Costos'!$F$6:$F$158),0))</f>
        <v>0</v>
      </c>
      <c r="BK131" s="318" cm="1">
        <f t="array" ref="BK131">+SUMPRODUCT(IF('Consolidado Costos'!$K$6:$K$158=$BF131,('Consolidado Costos'!AF$6:AF$158*'Consolidado Costos'!$F$6:$F$158),0))</f>
        <v>0</v>
      </c>
      <c r="BL131" s="318" cm="1">
        <f t="array" ref="BL131">+SUMPRODUCT(IF('Consolidado Costos'!$K$6:$K$158=$BF131,('Consolidado Costos'!AG$6:AG$158*'Consolidado Costos'!$F$6:$F$158),0))</f>
        <v>0</v>
      </c>
      <c r="BM131" s="318" cm="1">
        <f t="array" ref="BM131">+SUMPRODUCT(IF('Consolidado Costos'!$K$6:$K$158=$BF131,('Consolidado Costos'!AH$6:AH$158*'Consolidado Costos'!$F$6:$F$158),0))</f>
        <v>0</v>
      </c>
      <c r="BN131" s="318" cm="1">
        <f t="array" ref="BN131">+SUMPRODUCT(IF('Consolidado Costos'!$K$6:$K$158=$BF131,('Consolidado Costos'!AI$6:AI$158*'Consolidado Costos'!$F$6:$F$158),0))</f>
        <v>0</v>
      </c>
      <c r="BO131" s="318" cm="1">
        <f t="array" ref="BO131">+SUMPRODUCT(IF('Consolidado Costos'!$K$6:$K$158=$BF131,('Consolidado Costos'!AJ$6:AJ$158*'Consolidado Costos'!$F$6:$F$158),0))</f>
        <v>0</v>
      </c>
      <c r="BP131" s="318" cm="1">
        <f t="array" ref="BP131">+SUMPRODUCT(IF('Consolidado Costos'!$K$6:$K$158=$BF131,('Consolidado Costos'!AK$6:AK$158*'Consolidado Costos'!$F$6:$F$158),0))</f>
        <v>0</v>
      </c>
      <c r="BQ131" s="318" cm="1">
        <f t="array" ref="BQ131">+SUMPRODUCT(IF('Consolidado Costos'!$K$6:$K$158=$BF131,('Consolidado Costos'!AL$6:AL$158*'Consolidado Costos'!$F$6:$F$158),0))</f>
        <v>0</v>
      </c>
      <c r="BR131" s="318" cm="1">
        <f t="array" ref="BR131">+SUMPRODUCT(IF('Consolidado Costos'!$K$6:$K$158=$BF131,('Consolidado Costos'!AM$6:AM$158*'Consolidado Costos'!$F$6:$F$158),0))</f>
        <v>0</v>
      </c>
      <c r="BS131" s="318" cm="1">
        <f t="array" ref="BS131">+SUMPRODUCT(IF('Consolidado Costos'!$K$6:$K$158=$BF131,('Consolidado Costos'!AN$6:AN$158*'Consolidado Costos'!$F$6:$F$158),0))</f>
        <v>0</v>
      </c>
      <c r="BT131" s="318" cm="1">
        <f t="array" ref="BT131">+SUMPRODUCT(IF('Consolidado Costos'!$K$6:$K$158=$BF131,('Consolidado Costos'!AO$6:AO$158*'Consolidado Costos'!$F$6:$F$158),0))</f>
        <v>0</v>
      </c>
      <c r="BU131" s="318" cm="1">
        <f t="array" ref="BU131">+SUMPRODUCT(IF('Consolidado Costos'!$K$6:$K$158=$BF131,('Consolidado Costos'!AP$6:AP$158*'Consolidado Costos'!$F$6:$F$158),0))</f>
        <v>0</v>
      </c>
      <c r="BW131" s="327"/>
      <c r="BX131" s="330" t="s">
        <v>519</v>
      </c>
      <c r="BY131" s="330" t="s">
        <v>520</v>
      </c>
      <c r="BZ131" s="329"/>
      <c r="CA131" s="354">
        <f t="shared" si="23"/>
        <v>0</v>
      </c>
      <c r="CB131" s="318" cm="1">
        <f t="array" ref="CB131">+SUMPRODUCT(IF('Consolidado Costos'!$K$6:$K$158=$BX131,('Consolidado Costos'!AE$6:AE$158*'Consolidado Costos'!$G$6:$G$158),0))</f>
        <v>0</v>
      </c>
      <c r="CC131" s="318" cm="1">
        <f t="array" ref="CC131">+SUMPRODUCT(IF('Consolidado Costos'!$K$6:$K$158=$BX131,('Consolidado Costos'!AF$6:AF$158*'Consolidado Costos'!$G$6:$G$158),0))</f>
        <v>0</v>
      </c>
      <c r="CD131" s="318" cm="1">
        <f t="array" ref="CD131">+SUMPRODUCT(IF('Consolidado Costos'!$K$6:$K$158=$BX131,('Consolidado Costos'!AG$6:AG$158*'Consolidado Costos'!$G$6:$G$158),0))</f>
        <v>0</v>
      </c>
      <c r="CE131" s="318" cm="1">
        <f t="array" ref="CE131">+SUMPRODUCT(IF('Consolidado Costos'!$K$6:$K$158=$BX131,('Consolidado Costos'!AH$6:AH$158*'Consolidado Costos'!$G$6:$G$158),0))</f>
        <v>0</v>
      </c>
      <c r="CF131" s="318" cm="1">
        <f t="array" ref="CF131">+SUMPRODUCT(IF('Consolidado Costos'!$K$6:$K$158=$BX131,('Consolidado Costos'!AI$6:AI$158*'Consolidado Costos'!$G$6:$G$158),0))</f>
        <v>0</v>
      </c>
      <c r="CG131" s="318" cm="1">
        <f t="array" ref="CG131">+SUMPRODUCT(IF('Consolidado Costos'!$K$6:$K$158=$BX131,('Consolidado Costos'!AJ$6:AJ$158*'Consolidado Costos'!$G$6:$G$158),0))</f>
        <v>0</v>
      </c>
      <c r="CH131" s="318" cm="1">
        <f t="array" ref="CH131">+SUMPRODUCT(IF('Consolidado Costos'!$K$6:$K$158=$BX131,('Consolidado Costos'!AK$6:AK$158*'Consolidado Costos'!$G$6:$G$158),0))</f>
        <v>0</v>
      </c>
      <c r="CI131" s="318" cm="1">
        <f t="array" ref="CI131">+SUMPRODUCT(IF('Consolidado Costos'!$K$6:$K$158=$BX131,('Consolidado Costos'!AL$6:AL$158*'Consolidado Costos'!$G$6:$G$158),0))</f>
        <v>0</v>
      </c>
      <c r="CJ131" s="318" cm="1">
        <f t="array" ref="CJ131">+SUMPRODUCT(IF('Consolidado Costos'!$K$6:$K$158=$BX131,('Consolidado Costos'!AM$6:AM$158*'Consolidado Costos'!$G$6:$G$158),0))</f>
        <v>0</v>
      </c>
      <c r="CK131" s="318" cm="1">
        <f t="array" ref="CK131">+SUMPRODUCT(IF('Consolidado Costos'!$K$6:$K$158=$BX131,('Consolidado Costos'!AN$6:AN$158*'Consolidado Costos'!$G$6:$G$158),0))</f>
        <v>0</v>
      </c>
      <c r="CL131" s="318" cm="1">
        <f t="array" ref="CL131">+SUMPRODUCT(IF('Consolidado Costos'!$K$6:$K$158=$BX131,('Consolidado Costos'!AO$6:AO$158*'Consolidado Costos'!$G$6:$G$158),0))</f>
        <v>0</v>
      </c>
      <c r="CM131" s="318" cm="1">
        <f t="array" ref="CM131">+SUMPRODUCT(IF('Consolidado Costos'!$K$6:$K$158=$BX131,('Consolidado Costos'!AP$6:AP$158*'Consolidado Costos'!$G$6:$G$158),0))</f>
        <v>0</v>
      </c>
      <c r="CN131" s="357">
        <f t="shared" si="10"/>
        <v>1</v>
      </c>
    </row>
    <row r="132" spans="2:92" s="310" customFormat="1" outlineLevel="1">
      <c r="B132" s="327"/>
      <c r="C132" s="330" t="s">
        <v>521</v>
      </c>
      <c r="D132" s="330" t="s">
        <v>522</v>
      </c>
      <c r="E132" s="329"/>
      <c r="F132" s="318">
        <f>+SUMIF('Consolidado Costos'!$K$6:$K$158,$C132,'Consolidado Costos'!$AD$6:$AD$158)</f>
        <v>0</v>
      </c>
      <c r="G132" s="318">
        <f>+SUMIF('Consolidado Costos'!$K$6:$K$158,$C132,'Consolidado Costos'!AE$6:AE$158)</f>
        <v>0</v>
      </c>
      <c r="H132" s="318">
        <f>+SUMIF('Consolidado Costos'!$K$6:$K$158,$C132,'Consolidado Costos'!AF$6:AF$158)</f>
        <v>0</v>
      </c>
      <c r="I132" s="318">
        <f>+SUMIF('Consolidado Costos'!$K$6:$K$158,$C132,'Consolidado Costos'!AG$6:AG$158)</f>
        <v>0</v>
      </c>
      <c r="J132" s="318">
        <f>+SUMIF('Consolidado Costos'!$K$6:$K$158,$C132,'Consolidado Costos'!AH$6:AH$158)</f>
        <v>0</v>
      </c>
      <c r="K132" s="318">
        <f>+SUMIF('Consolidado Costos'!$K$6:$K$158,$C132,'Consolidado Costos'!AI$6:AI$158)</f>
        <v>0</v>
      </c>
      <c r="L132" s="318">
        <f>+SUMIF('Consolidado Costos'!$K$6:$K$158,$C132,'Consolidado Costos'!AJ$6:AJ$158)</f>
        <v>0</v>
      </c>
      <c r="M132" s="318">
        <f>+SUMIF('Consolidado Costos'!$K$6:$K$158,$C132,'Consolidado Costos'!AK$6:AK$158)</f>
        <v>0</v>
      </c>
      <c r="N132" s="318">
        <f>+SUMIF('Consolidado Costos'!$K$6:$K$158,$C132,'Consolidado Costos'!AL$6:AL$158)</f>
        <v>0</v>
      </c>
      <c r="O132" s="318">
        <f>+SUMIF('Consolidado Costos'!$K$6:$K$158,$C132,'Consolidado Costos'!AM$6:AM$158)</f>
        <v>0</v>
      </c>
      <c r="P132" s="318">
        <f>+SUMIF('Consolidado Costos'!$K$6:$K$158,$C132,'Consolidado Costos'!AN$6:AN$158)</f>
        <v>0</v>
      </c>
      <c r="Q132" s="318">
        <f>+SUMIF('Consolidado Costos'!$K$6:$K$158,$C132,'Consolidado Costos'!AO$6:AO$158)</f>
        <v>0</v>
      </c>
      <c r="R132" s="318">
        <f>+SUMIF('Consolidado Costos'!$K$6:$K$158,$C132,'Consolidado Costos'!AP$6:AP$158)</f>
        <v>0</v>
      </c>
      <c r="S132" s="357">
        <f t="shared" si="5"/>
        <v>1</v>
      </c>
      <c r="U132" s="327"/>
      <c r="V132" s="330" t="s">
        <v>521</v>
      </c>
      <c r="W132" s="330" t="s">
        <v>522</v>
      </c>
      <c r="X132" s="329"/>
      <c r="Y132" s="354">
        <f t="shared" si="20"/>
        <v>0</v>
      </c>
      <c r="Z132" s="318" cm="1">
        <f t="array" ref="Z132">+SUMPRODUCT(IF('Consolidado Costos'!$K$6:$K$158=$V132,('Consolidado Costos'!AE$6:AE$158*'Consolidado Costos'!$D$6:$D$158),0))</f>
        <v>0</v>
      </c>
      <c r="AA132" s="318" cm="1">
        <f t="array" ref="AA132">+SUMPRODUCT(IF('Consolidado Costos'!$K$6:$K$158=$V132,('Consolidado Costos'!AF$6:AF$158*'Consolidado Costos'!$D$6:$D$158),0))</f>
        <v>0</v>
      </c>
      <c r="AB132" s="318" cm="1">
        <f t="array" ref="AB132">+SUMPRODUCT(IF('Consolidado Costos'!$K$6:$K$158=$V132,('Consolidado Costos'!AG$6:AG$158*'Consolidado Costos'!$D$6:$D$158),0))</f>
        <v>0</v>
      </c>
      <c r="AC132" s="318" cm="1">
        <f t="array" ref="AC132">+SUMPRODUCT(IF('Consolidado Costos'!$K$6:$K$158=$V132,('Consolidado Costos'!AH$6:AH$158*'Consolidado Costos'!$D$6:$D$158),0))</f>
        <v>0</v>
      </c>
      <c r="AD132" s="318" cm="1">
        <f t="array" ref="AD132">+SUMPRODUCT(IF('Consolidado Costos'!$K$6:$K$158=$V132,('Consolidado Costos'!AI$6:AI$158*'Consolidado Costos'!$D$6:$D$158),0))</f>
        <v>0</v>
      </c>
      <c r="AE132" s="318" cm="1">
        <f t="array" ref="AE132">+SUMPRODUCT(IF('Consolidado Costos'!$K$6:$K$158=$V132,('Consolidado Costos'!AJ$6:AJ$158*'Consolidado Costos'!$D$6:$D$158),0))</f>
        <v>0</v>
      </c>
      <c r="AF132" s="318" cm="1">
        <f t="array" ref="AF132">+SUMPRODUCT(IF('Consolidado Costos'!$K$6:$K$158=$V132,('Consolidado Costos'!AK$6:AK$158*'Consolidado Costos'!$D$6:$D$158),0))</f>
        <v>0</v>
      </c>
      <c r="AG132" s="318" cm="1">
        <f t="array" ref="AG132">+SUMPRODUCT(IF('Consolidado Costos'!$K$6:$K$158=$V132,('Consolidado Costos'!AL$6:AL$158*'Consolidado Costos'!$D$6:$D$158),0))</f>
        <v>0</v>
      </c>
      <c r="AH132" s="318" cm="1">
        <f t="array" ref="AH132">+SUMPRODUCT(IF('Consolidado Costos'!$K$6:$K$158=$V132,('Consolidado Costos'!AM$6:AM$158*'Consolidado Costos'!$D$6:$D$158),0))</f>
        <v>0</v>
      </c>
      <c r="AI132" s="318" cm="1">
        <f t="array" ref="AI132">+SUMPRODUCT(IF('Consolidado Costos'!$K$6:$K$158=$V132,('Consolidado Costos'!AN$6:AN$158*'Consolidado Costos'!$D$6:$D$158),0))</f>
        <v>0</v>
      </c>
      <c r="AJ132" s="318" cm="1">
        <f t="array" ref="AJ132">+SUMPRODUCT(IF('Consolidado Costos'!$K$6:$K$158=$V132,('Consolidado Costos'!AO$6:AO$158*'Consolidado Costos'!$D$6:$D$158),0))</f>
        <v>0</v>
      </c>
      <c r="AK132" s="318" cm="1">
        <f t="array" ref="AK132">+SUMPRODUCT(IF('Consolidado Costos'!$K$6:$K$158=$V132,('Consolidado Costos'!AP$6:AP$158*'Consolidado Costos'!$D$6:$D$158),0))</f>
        <v>0</v>
      </c>
      <c r="AM132" s="327"/>
      <c r="AN132" s="330" t="s">
        <v>521</v>
      </c>
      <c r="AO132" s="330" t="s">
        <v>522</v>
      </c>
      <c r="AP132" s="329"/>
      <c r="AQ132" s="354">
        <f t="shared" si="21"/>
        <v>0</v>
      </c>
      <c r="AR132" s="318" cm="1">
        <f t="array" ref="AR132">+SUMPRODUCT(IF('Consolidado Costos'!$K$6:$K$158=$AN132,('Consolidado Costos'!AE$6:AE$158*'Consolidado Costos'!$E$6:$E$158),0))</f>
        <v>0</v>
      </c>
      <c r="AS132" s="318" cm="1">
        <f t="array" ref="AS132">+SUMPRODUCT(IF('Consolidado Costos'!$K$6:$K$158=$AN132,('Consolidado Costos'!AF$6:AF$158*'Consolidado Costos'!$E$6:$E$158),0))</f>
        <v>0</v>
      </c>
      <c r="AT132" s="318" cm="1">
        <f t="array" ref="AT132">+SUMPRODUCT(IF('Consolidado Costos'!$K$6:$K$158=$AN132,('Consolidado Costos'!AG$6:AG$158*'Consolidado Costos'!$E$6:$E$158),0))</f>
        <v>0</v>
      </c>
      <c r="AU132" s="318" cm="1">
        <f t="array" ref="AU132">+SUMPRODUCT(IF('Consolidado Costos'!$K$6:$K$158=$AN132,('Consolidado Costos'!AH$6:AH$158*'Consolidado Costos'!$E$6:$E$158),0))</f>
        <v>0</v>
      </c>
      <c r="AV132" s="318" cm="1">
        <f t="array" ref="AV132">+SUMPRODUCT(IF('Consolidado Costos'!$K$6:$K$158=$AN132,('Consolidado Costos'!AI$6:AI$158*'Consolidado Costos'!$E$6:$E$158),0))</f>
        <v>0</v>
      </c>
      <c r="AW132" s="318" cm="1">
        <f t="array" ref="AW132">+SUMPRODUCT(IF('Consolidado Costos'!$K$6:$K$158=$AN132,('Consolidado Costos'!AJ$6:AJ$158*'Consolidado Costos'!$E$6:$E$158),0))</f>
        <v>0</v>
      </c>
      <c r="AX132" s="318" cm="1">
        <f t="array" ref="AX132">+SUMPRODUCT(IF('Consolidado Costos'!$K$6:$K$158=$AN132,('Consolidado Costos'!AK$6:AK$158*'Consolidado Costos'!$E$6:$E$158),0))</f>
        <v>0</v>
      </c>
      <c r="AY132" s="318" cm="1">
        <f t="array" ref="AY132">+SUMPRODUCT(IF('Consolidado Costos'!$K$6:$K$158=$AN132,('Consolidado Costos'!AL$6:AL$158*'Consolidado Costos'!$E$6:$E$158),0))</f>
        <v>0</v>
      </c>
      <c r="AZ132" s="318" cm="1">
        <f t="array" ref="AZ132">+SUMPRODUCT(IF('Consolidado Costos'!$K$6:$K$158=$AN132,('Consolidado Costos'!AM$6:AM$158*'Consolidado Costos'!$E$6:$E$158),0))</f>
        <v>0</v>
      </c>
      <c r="BA132" s="318" cm="1">
        <f t="array" ref="BA132">+SUMPRODUCT(IF('Consolidado Costos'!$K$6:$K$158=$AN132,('Consolidado Costos'!AN$6:AN$158*'Consolidado Costos'!$E$6:$E$158),0))</f>
        <v>0</v>
      </c>
      <c r="BB132" s="318" cm="1">
        <f t="array" ref="BB132">+SUMPRODUCT(IF('Consolidado Costos'!$K$6:$K$158=$AN132,('Consolidado Costos'!AO$6:AO$158*'Consolidado Costos'!$E$6:$E$158),0))</f>
        <v>0</v>
      </c>
      <c r="BC132" s="318" cm="1">
        <f t="array" ref="BC132">+SUMPRODUCT(IF('Consolidado Costos'!$K$6:$K$158=$AN132,('Consolidado Costos'!AP$6:AP$158*'Consolidado Costos'!$E$6:$E$158),0))</f>
        <v>0</v>
      </c>
      <c r="BE132" s="327"/>
      <c r="BF132" s="330" t="s">
        <v>521</v>
      </c>
      <c r="BG132" s="330" t="s">
        <v>522</v>
      </c>
      <c r="BH132" s="329"/>
      <c r="BI132" s="354">
        <f t="shared" si="22"/>
        <v>0</v>
      </c>
      <c r="BJ132" s="318" cm="1">
        <f t="array" ref="BJ132">+SUMPRODUCT(IF('Consolidado Costos'!$K$6:$K$158=$BF132,('Consolidado Costos'!AE$6:AE$158*'Consolidado Costos'!$F$6:$F$158),0))</f>
        <v>0</v>
      </c>
      <c r="BK132" s="318" cm="1">
        <f t="array" ref="BK132">+SUMPRODUCT(IF('Consolidado Costos'!$K$6:$K$158=$BF132,('Consolidado Costos'!AF$6:AF$158*'Consolidado Costos'!$F$6:$F$158),0))</f>
        <v>0</v>
      </c>
      <c r="BL132" s="318" cm="1">
        <f t="array" ref="BL132">+SUMPRODUCT(IF('Consolidado Costos'!$K$6:$K$158=$BF132,('Consolidado Costos'!AG$6:AG$158*'Consolidado Costos'!$F$6:$F$158),0))</f>
        <v>0</v>
      </c>
      <c r="BM132" s="318" cm="1">
        <f t="array" ref="BM132">+SUMPRODUCT(IF('Consolidado Costos'!$K$6:$K$158=$BF132,('Consolidado Costos'!AH$6:AH$158*'Consolidado Costos'!$F$6:$F$158),0))</f>
        <v>0</v>
      </c>
      <c r="BN132" s="318" cm="1">
        <f t="array" ref="BN132">+SUMPRODUCT(IF('Consolidado Costos'!$K$6:$K$158=$BF132,('Consolidado Costos'!AI$6:AI$158*'Consolidado Costos'!$F$6:$F$158),0))</f>
        <v>0</v>
      </c>
      <c r="BO132" s="318" cm="1">
        <f t="array" ref="BO132">+SUMPRODUCT(IF('Consolidado Costos'!$K$6:$K$158=$BF132,('Consolidado Costos'!AJ$6:AJ$158*'Consolidado Costos'!$F$6:$F$158),0))</f>
        <v>0</v>
      </c>
      <c r="BP132" s="318" cm="1">
        <f t="array" ref="BP132">+SUMPRODUCT(IF('Consolidado Costos'!$K$6:$K$158=$BF132,('Consolidado Costos'!AK$6:AK$158*'Consolidado Costos'!$F$6:$F$158),0))</f>
        <v>0</v>
      </c>
      <c r="BQ132" s="318" cm="1">
        <f t="array" ref="BQ132">+SUMPRODUCT(IF('Consolidado Costos'!$K$6:$K$158=$BF132,('Consolidado Costos'!AL$6:AL$158*'Consolidado Costos'!$F$6:$F$158),0))</f>
        <v>0</v>
      </c>
      <c r="BR132" s="318" cm="1">
        <f t="array" ref="BR132">+SUMPRODUCT(IF('Consolidado Costos'!$K$6:$K$158=$BF132,('Consolidado Costos'!AM$6:AM$158*'Consolidado Costos'!$F$6:$F$158),0))</f>
        <v>0</v>
      </c>
      <c r="BS132" s="318" cm="1">
        <f t="array" ref="BS132">+SUMPRODUCT(IF('Consolidado Costos'!$K$6:$K$158=$BF132,('Consolidado Costos'!AN$6:AN$158*'Consolidado Costos'!$F$6:$F$158),0))</f>
        <v>0</v>
      </c>
      <c r="BT132" s="318" cm="1">
        <f t="array" ref="BT132">+SUMPRODUCT(IF('Consolidado Costos'!$K$6:$K$158=$BF132,('Consolidado Costos'!AO$6:AO$158*'Consolidado Costos'!$F$6:$F$158),0))</f>
        <v>0</v>
      </c>
      <c r="BU132" s="318" cm="1">
        <f t="array" ref="BU132">+SUMPRODUCT(IF('Consolidado Costos'!$K$6:$K$158=$BF132,('Consolidado Costos'!AP$6:AP$158*'Consolidado Costos'!$F$6:$F$158),0))</f>
        <v>0</v>
      </c>
      <c r="BW132" s="327"/>
      <c r="BX132" s="330" t="s">
        <v>521</v>
      </c>
      <c r="BY132" s="330" t="s">
        <v>522</v>
      </c>
      <c r="BZ132" s="329"/>
      <c r="CA132" s="354">
        <f t="shared" si="23"/>
        <v>0</v>
      </c>
      <c r="CB132" s="318" cm="1">
        <f t="array" ref="CB132">+SUMPRODUCT(IF('Consolidado Costos'!$K$6:$K$158=$BX132,('Consolidado Costos'!AE$6:AE$158*'Consolidado Costos'!$G$6:$G$158),0))</f>
        <v>0</v>
      </c>
      <c r="CC132" s="318" cm="1">
        <f t="array" ref="CC132">+SUMPRODUCT(IF('Consolidado Costos'!$K$6:$K$158=$BX132,('Consolidado Costos'!AF$6:AF$158*'Consolidado Costos'!$G$6:$G$158),0))</f>
        <v>0</v>
      </c>
      <c r="CD132" s="318" cm="1">
        <f t="array" ref="CD132">+SUMPRODUCT(IF('Consolidado Costos'!$K$6:$K$158=$BX132,('Consolidado Costos'!AG$6:AG$158*'Consolidado Costos'!$G$6:$G$158),0))</f>
        <v>0</v>
      </c>
      <c r="CE132" s="318" cm="1">
        <f t="array" ref="CE132">+SUMPRODUCT(IF('Consolidado Costos'!$K$6:$K$158=$BX132,('Consolidado Costos'!AH$6:AH$158*'Consolidado Costos'!$G$6:$G$158),0))</f>
        <v>0</v>
      </c>
      <c r="CF132" s="318" cm="1">
        <f t="array" ref="CF132">+SUMPRODUCT(IF('Consolidado Costos'!$K$6:$K$158=$BX132,('Consolidado Costos'!AI$6:AI$158*'Consolidado Costos'!$G$6:$G$158),0))</f>
        <v>0</v>
      </c>
      <c r="CG132" s="318" cm="1">
        <f t="array" ref="CG132">+SUMPRODUCT(IF('Consolidado Costos'!$K$6:$K$158=$BX132,('Consolidado Costos'!AJ$6:AJ$158*'Consolidado Costos'!$G$6:$G$158),0))</f>
        <v>0</v>
      </c>
      <c r="CH132" s="318" cm="1">
        <f t="array" ref="CH132">+SUMPRODUCT(IF('Consolidado Costos'!$K$6:$K$158=$BX132,('Consolidado Costos'!AK$6:AK$158*'Consolidado Costos'!$G$6:$G$158),0))</f>
        <v>0</v>
      </c>
      <c r="CI132" s="318" cm="1">
        <f t="array" ref="CI132">+SUMPRODUCT(IF('Consolidado Costos'!$K$6:$K$158=$BX132,('Consolidado Costos'!AL$6:AL$158*'Consolidado Costos'!$G$6:$G$158),0))</f>
        <v>0</v>
      </c>
      <c r="CJ132" s="318" cm="1">
        <f t="array" ref="CJ132">+SUMPRODUCT(IF('Consolidado Costos'!$K$6:$K$158=$BX132,('Consolidado Costos'!AM$6:AM$158*'Consolidado Costos'!$G$6:$G$158),0))</f>
        <v>0</v>
      </c>
      <c r="CK132" s="318" cm="1">
        <f t="array" ref="CK132">+SUMPRODUCT(IF('Consolidado Costos'!$K$6:$K$158=$BX132,('Consolidado Costos'!AN$6:AN$158*'Consolidado Costos'!$G$6:$G$158),0))</f>
        <v>0</v>
      </c>
      <c r="CL132" s="318" cm="1">
        <f t="array" ref="CL132">+SUMPRODUCT(IF('Consolidado Costos'!$K$6:$K$158=$BX132,('Consolidado Costos'!AO$6:AO$158*'Consolidado Costos'!$G$6:$G$158),0))</f>
        <v>0</v>
      </c>
      <c r="CM132" s="318" cm="1">
        <f t="array" ref="CM132">+SUMPRODUCT(IF('Consolidado Costos'!$K$6:$K$158=$BX132,('Consolidado Costos'!AP$6:AP$158*'Consolidado Costos'!$G$6:$G$158),0))</f>
        <v>0</v>
      </c>
      <c r="CN132" s="357">
        <f t="shared" si="10"/>
        <v>1</v>
      </c>
    </row>
    <row r="133" spans="2:92" s="310" customFormat="1" outlineLevel="1">
      <c r="B133" s="327"/>
      <c r="C133" s="330" t="s">
        <v>523</v>
      </c>
      <c r="D133" s="330" t="s">
        <v>524</v>
      </c>
      <c r="E133" s="329"/>
      <c r="F133" s="318">
        <f>+SUMIF('Consolidado Costos'!$K$6:$K$158,$C133,'Consolidado Costos'!$AD$6:$AD$158)</f>
        <v>0</v>
      </c>
      <c r="G133" s="318">
        <f>+SUMIF('Consolidado Costos'!$K$6:$K$158,$C133,'Consolidado Costos'!AE$6:AE$158)</f>
        <v>0</v>
      </c>
      <c r="H133" s="318">
        <f>+SUMIF('Consolidado Costos'!$K$6:$K$158,$C133,'Consolidado Costos'!AF$6:AF$158)</f>
        <v>0</v>
      </c>
      <c r="I133" s="318">
        <f>+SUMIF('Consolidado Costos'!$K$6:$K$158,$C133,'Consolidado Costos'!AG$6:AG$158)</f>
        <v>0</v>
      </c>
      <c r="J133" s="318">
        <f>+SUMIF('Consolidado Costos'!$K$6:$K$158,$C133,'Consolidado Costos'!AH$6:AH$158)</f>
        <v>0</v>
      </c>
      <c r="K133" s="318">
        <f>+SUMIF('Consolidado Costos'!$K$6:$K$158,$C133,'Consolidado Costos'!AI$6:AI$158)</f>
        <v>0</v>
      </c>
      <c r="L133" s="318">
        <f>+SUMIF('Consolidado Costos'!$K$6:$K$158,$C133,'Consolidado Costos'!AJ$6:AJ$158)</f>
        <v>0</v>
      </c>
      <c r="M133" s="318">
        <f>+SUMIF('Consolidado Costos'!$K$6:$K$158,$C133,'Consolidado Costos'!AK$6:AK$158)</f>
        <v>0</v>
      </c>
      <c r="N133" s="318">
        <f>+SUMIF('Consolidado Costos'!$K$6:$K$158,$C133,'Consolidado Costos'!AL$6:AL$158)</f>
        <v>0</v>
      </c>
      <c r="O133" s="318">
        <f>+SUMIF('Consolidado Costos'!$K$6:$K$158,$C133,'Consolidado Costos'!AM$6:AM$158)</f>
        <v>0</v>
      </c>
      <c r="P133" s="318">
        <f>+SUMIF('Consolidado Costos'!$K$6:$K$158,$C133,'Consolidado Costos'!AN$6:AN$158)</f>
        <v>0</v>
      </c>
      <c r="Q133" s="318">
        <f>+SUMIF('Consolidado Costos'!$K$6:$K$158,$C133,'Consolidado Costos'!AO$6:AO$158)</f>
        <v>0</v>
      </c>
      <c r="R133" s="318">
        <f>+SUMIF('Consolidado Costos'!$K$6:$K$158,$C133,'Consolidado Costos'!AP$6:AP$158)</f>
        <v>0</v>
      </c>
      <c r="S133" s="357">
        <f t="shared" si="5"/>
        <v>1</v>
      </c>
      <c r="U133" s="327"/>
      <c r="V133" s="330" t="s">
        <v>523</v>
      </c>
      <c r="W133" s="330" t="s">
        <v>524</v>
      </c>
      <c r="X133" s="329"/>
      <c r="Y133" s="354">
        <f t="shared" si="20"/>
        <v>0</v>
      </c>
      <c r="Z133" s="318" cm="1">
        <f t="array" ref="Z133">+SUMPRODUCT(IF('Consolidado Costos'!$K$6:$K$158=$V133,('Consolidado Costos'!AE$6:AE$158*'Consolidado Costos'!$D$6:$D$158),0))</f>
        <v>0</v>
      </c>
      <c r="AA133" s="318" cm="1">
        <f t="array" ref="AA133">+SUMPRODUCT(IF('Consolidado Costos'!$K$6:$K$158=$V133,('Consolidado Costos'!AF$6:AF$158*'Consolidado Costos'!$D$6:$D$158),0))</f>
        <v>0</v>
      </c>
      <c r="AB133" s="318" cm="1">
        <f t="array" ref="AB133">+SUMPRODUCT(IF('Consolidado Costos'!$K$6:$K$158=$V133,('Consolidado Costos'!AG$6:AG$158*'Consolidado Costos'!$D$6:$D$158),0))</f>
        <v>0</v>
      </c>
      <c r="AC133" s="318" cm="1">
        <f t="array" ref="AC133">+SUMPRODUCT(IF('Consolidado Costos'!$K$6:$K$158=$V133,('Consolidado Costos'!AH$6:AH$158*'Consolidado Costos'!$D$6:$D$158),0))</f>
        <v>0</v>
      </c>
      <c r="AD133" s="318" cm="1">
        <f t="array" ref="AD133">+SUMPRODUCT(IF('Consolidado Costos'!$K$6:$K$158=$V133,('Consolidado Costos'!AI$6:AI$158*'Consolidado Costos'!$D$6:$D$158),0))</f>
        <v>0</v>
      </c>
      <c r="AE133" s="318" cm="1">
        <f t="array" ref="AE133">+SUMPRODUCT(IF('Consolidado Costos'!$K$6:$K$158=$V133,('Consolidado Costos'!AJ$6:AJ$158*'Consolidado Costos'!$D$6:$D$158),0))</f>
        <v>0</v>
      </c>
      <c r="AF133" s="318" cm="1">
        <f t="array" ref="AF133">+SUMPRODUCT(IF('Consolidado Costos'!$K$6:$K$158=$V133,('Consolidado Costos'!AK$6:AK$158*'Consolidado Costos'!$D$6:$D$158),0))</f>
        <v>0</v>
      </c>
      <c r="AG133" s="318" cm="1">
        <f t="array" ref="AG133">+SUMPRODUCT(IF('Consolidado Costos'!$K$6:$K$158=$V133,('Consolidado Costos'!AL$6:AL$158*'Consolidado Costos'!$D$6:$D$158),0))</f>
        <v>0</v>
      </c>
      <c r="AH133" s="318" cm="1">
        <f t="array" ref="AH133">+SUMPRODUCT(IF('Consolidado Costos'!$K$6:$K$158=$V133,('Consolidado Costos'!AM$6:AM$158*'Consolidado Costos'!$D$6:$D$158),0))</f>
        <v>0</v>
      </c>
      <c r="AI133" s="318" cm="1">
        <f t="array" ref="AI133">+SUMPRODUCT(IF('Consolidado Costos'!$K$6:$K$158=$V133,('Consolidado Costos'!AN$6:AN$158*'Consolidado Costos'!$D$6:$D$158),0))</f>
        <v>0</v>
      </c>
      <c r="AJ133" s="318" cm="1">
        <f t="array" ref="AJ133">+SUMPRODUCT(IF('Consolidado Costos'!$K$6:$K$158=$V133,('Consolidado Costos'!AO$6:AO$158*'Consolidado Costos'!$D$6:$D$158),0))</f>
        <v>0</v>
      </c>
      <c r="AK133" s="318" cm="1">
        <f t="array" ref="AK133">+SUMPRODUCT(IF('Consolidado Costos'!$K$6:$K$158=$V133,('Consolidado Costos'!AP$6:AP$158*'Consolidado Costos'!$D$6:$D$158),0))</f>
        <v>0</v>
      </c>
      <c r="AM133" s="327"/>
      <c r="AN133" s="330" t="s">
        <v>523</v>
      </c>
      <c r="AO133" s="330" t="s">
        <v>524</v>
      </c>
      <c r="AP133" s="329"/>
      <c r="AQ133" s="354">
        <f t="shared" si="21"/>
        <v>0</v>
      </c>
      <c r="AR133" s="318" cm="1">
        <f t="array" ref="AR133">+SUMPRODUCT(IF('Consolidado Costos'!$K$6:$K$158=$AN133,('Consolidado Costos'!AE$6:AE$158*'Consolidado Costos'!$E$6:$E$158),0))</f>
        <v>0</v>
      </c>
      <c r="AS133" s="318" cm="1">
        <f t="array" ref="AS133">+SUMPRODUCT(IF('Consolidado Costos'!$K$6:$K$158=$AN133,('Consolidado Costos'!AF$6:AF$158*'Consolidado Costos'!$E$6:$E$158),0))</f>
        <v>0</v>
      </c>
      <c r="AT133" s="318" cm="1">
        <f t="array" ref="AT133">+SUMPRODUCT(IF('Consolidado Costos'!$K$6:$K$158=$AN133,('Consolidado Costos'!AG$6:AG$158*'Consolidado Costos'!$E$6:$E$158),0))</f>
        <v>0</v>
      </c>
      <c r="AU133" s="318" cm="1">
        <f t="array" ref="AU133">+SUMPRODUCT(IF('Consolidado Costos'!$K$6:$K$158=$AN133,('Consolidado Costos'!AH$6:AH$158*'Consolidado Costos'!$E$6:$E$158),0))</f>
        <v>0</v>
      </c>
      <c r="AV133" s="318" cm="1">
        <f t="array" ref="AV133">+SUMPRODUCT(IF('Consolidado Costos'!$K$6:$K$158=$AN133,('Consolidado Costos'!AI$6:AI$158*'Consolidado Costos'!$E$6:$E$158),0))</f>
        <v>0</v>
      </c>
      <c r="AW133" s="318" cm="1">
        <f t="array" ref="AW133">+SUMPRODUCT(IF('Consolidado Costos'!$K$6:$K$158=$AN133,('Consolidado Costos'!AJ$6:AJ$158*'Consolidado Costos'!$E$6:$E$158),0))</f>
        <v>0</v>
      </c>
      <c r="AX133" s="318" cm="1">
        <f t="array" ref="AX133">+SUMPRODUCT(IF('Consolidado Costos'!$K$6:$K$158=$AN133,('Consolidado Costos'!AK$6:AK$158*'Consolidado Costos'!$E$6:$E$158),0))</f>
        <v>0</v>
      </c>
      <c r="AY133" s="318" cm="1">
        <f t="array" ref="AY133">+SUMPRODUCT(IF('Consolidado Costos'!$K$6:$K$158=$AN133,('Consolidado Costos'!AL$6:AL$158*'Consolidado Costos'!$E$6:$E$158),0))</f>
        <v>0</v>
      </c>
      <c r="AZ133" s="318" cm="1">
        <f t="array" ref="AZ133">+SUMPRODUCT(IF('Consolidado Costos'!$K$6:$K$158=$AN133,('Consolidado Costos'!AM$6:AM$158*'Consolidado Costos'!$E$6:$E$158),0))</f>
        <v>0</v>
      </c>
      <c r="BA133" s="318" cm="1">
        <f t="array" ref="BA133">+SUMPRODUCT(IF('Consolidado Costos'!$K$6:$K$158=$AN133,('Consolidado Costos'!AN$6:AN$158*'Consolidado Costos'!$E$6:$E$158),0))</f>
        <v>0</v>
      </c>
      <c r="BB133" s="318" cm="1">
        <f t="array" ref="BB133">+SUMPRODUCT(IF('Consolidado Costos'!$K$6:$K$158=$AN133,('Consolidado Costos'!AO$6:AO$158*'Consolidado Costos'!$E$6:$E$158),0))</f>
        <v>0</v>
      </c>
      <c r="BC133" s="318" cm="1">
        <f t="array" ref="BC133">+SUMPRODUCT(IF('Consolidado Costos'!$K$6:$K$158=$AN133,('Consolidado Costos'!AP$6:AP$158*'Consolidado Costos'!$E$6:$E$158),0))</f>
        <v>0</v>
      </c>
      <c r="BE133" s="327"/>
      <c r="BF133" s="330" t="s">
        <v>523</v>
      </c>
      <c r="BG133" s="330" t="s">
        <v>524</v>
      </c>
      <c r="BH133" s="329"/>
      <c r="BI133" s="354">
        <f t="shared" si="22"/>
        <v>0</v>
      </c>
      <c r="BJ133" s="318" cm="1">
        <f t="array" ref="BJ133">+SUMPRODUCT(IF('Consolidado Costos'!$K$6:$K$158=$BF133,('Consolidado Costos'!AE$6:AE$158*'Consolidado Costos'!$F$6:$F$158),0))</f>
        <v>0</v>
      </c>
      <c r="BK133" s="318" cm="1">
        <f t="array" ref="BK133">+SUMPRODUCT(IF('Consolidado Costos'!$K$6:$K$158=$BF133,('Consolidado Costos'!AF$6:AF$158*'Consolidado Costos'!$F$6:$F$158),0))</f>
        <v>0</v>
      </c>
      <c r="BL133" s="318" cm="1">
        <f t="array" ref="BL133">+SUMPRODUCT(IF('Consolidado Costos'!$K$6:$K$158=$BF133,('Consolidado Costos'!AG$6:AG$158*'Consolidado Costos'!$F$6:$F$158),0))</f>
        <v>0</v>
      </c>
      <c r="BM133" s="318" cm="1">
        <f t="array" ref="BM133">+SUMPRODUCT(IF('Consolidado Costos'!$K$6:$K$158=$BF133,('Consolidado Costos'!AH$6:AH$158*'Consolidado Costos'!$F$6:$F$158),0))</f>
        <v>0</v>
      </c>
      <c r="BN133" s="318" cm="1">
        <f t="array" ref="BN133">+SUMPRODUCT(IF('Consolidado Costos'!$K$6:$K$158=$BF133,('Consolidado Costos'!AI$6:AI$158*'Consolidado Costos'!$F$6:$F$158),0))</f>
        <v>0</v>
      </c>
      <c r="BO133" s="318" cm="1">
        <f t="array" ref="BO133">+SUMPRODUCT(IF('Consolidado Costos'!$K$6:$K$158=$BF133,('Consolidado Costos'!AJ$6:AJ$158*'Consolidado Costos'!$F$6:$F$158),0))</f>
        <v>0</v>
      </c>
      <c r="BP133" s="318" cm="1">
        <f t="array" ref="BP133">+SUMPRODUCT(IF('Consolidado Costos'!$K$6:$K$158=$BF133,('Consolidado Costos'!AK$6:AK$158*'Consolidado Costos'!$F$6:$F$158),0))</f>
        <v>0</v>
      </c>
      <c r="BQ133" s="318" cm="1">
        <f t="array" ref="BQ133">+SUMPRODUCT(IF('Consolidado Costos'!$K$6:$K$158=$BF133,('Consolidado Costos'!AL$6:AL$158*'Consolidado Costos'!$F$6:$F$158),0))</f>
        <v>0</v>
      </c>
      <c r="BR133" s="318" cm="1">
        <f t="array" ref="BR133">+SUMPRODUCT(IF('Consolidado Costos'!$K$6:$K$158=$BF133,('Consolidado Costos'!AM$6:AM$158*'Consolidado Costos'!$F$6:$F$158),0))</f>
        <v>0</v>
      </c>
      <c r="BS133" s="318" cm="1">
        <f t="array" ref="BS133">+SUMPRODUCT(IF('Consolidado Costos'!$K$6:$K$158=$BF133,('Consolidado Costos'!AN$6:AN$158*'Consolidado Costos'!$F$6:$F$158),0))</f>
        <v>0</v>
      </c>
      <c r="BT133" s="318" cm="1">
        <f t="array" ref="BT133">+SUMPRODUCT(IF('Consolidado Costos'!$K$6:$K$158=$BF133,('Consolidado Costos'!AO$6:AO$158*'Consolidado Costos'!$F$6:$F$158),0))</f>
        <v>0</v>
      </c>
      <c r="BU133" s="318" cm="1">
        <f t="array" ref="BU133">+SUMPRODUCT(IF('Consolidado Costos'!$K$6:$K$158=$BF133,('Consolidado Costos'!AP$6:AP$158*'Consolidado Costos'!$F$6:$F$158),0))</f>
        <v>0</v>
      </c>
      <c r="BW133" s="327"/>
      <c r="BX133" s="330" t="s">
        <v>523</v>
      </c>
      <c r="BY133" s="330" t="s">
        <v>524</v>
      </c>
      <c r="BZ133" s="329"/>
      <c r="CA133" s="354">
        <f t="shared" si="23"/>
        <v>0</v>
      </c>
      <c r="CB133" s="318" cm="1">
        <f t="array" ref="CB133">+SUMPRODUCT(IF('Consolidado Costos'!$K$6:$K$158=$BX133,('Consolidado Costos'!AE$6:AE$158*'Consolidado Costos'!$G$6:$G$158),0))</f>
        <v>0</v>
      </c>
      <c r="CC133" s="318" cm="1">
        <f t="array" ref="CC133">+SUMPRODUCT(IF('Consolidado Costos'!$K$6:$K$158=$BX133,('Consolidado Costos'!AF$6:AF$158*'Consolidado Costos'!$G$6:$G$158),0))</f>
        <v>0</v>
      </c>
      <c r="CD133" s="318" cm="1">
        <f t="array" ref="CD133">+SUMPRODUCT(IF('Consolidado Costos'!$K$6:$K$158=$BX133,('Consolidado Costos'!AG$6:AG$158*'Consolidado Costos'!$G$6:$G$158),0))</f>
        <v>0</v>
      </c>
      <c r="CE133" s="318" cm="1">
        <f t="array" ref="CE133">+SUMPRODUCT(IF('Consolidado Costos'!$K$6:$K$158=$BX133,('Consolidado Costos'!AH$6:AH$158*'Consolidado Costos'!$G$6:$G$158),0))</f>
        <v>0</v>
      </c>
      <c r="CF133" s="318" cm="1">
        <f t="array" ref="CF133">+SUMPRODUCT(IF('Consolidado Costos'!$K$6:$K$158=$BX133,('Consolidado Costos'!AI$6:AI$158*'Consolidado Costos'!$G$6:$G$158),0))</f>
        <v>0</v>
      </c>
      <c r="CG133" s="318" cm="1">
        <f t="array" ref="CG133">+SUMPRODUCT(IF('Consolidado Costos'!$K$6:$K$158=$BX133,('Consolidado Costos'!AJ$6:AJ$158*'Consolidado Costos'!$G$6:$G$158),0))</f>
        <v>0</v>
      </c>
      <c r="CH133" s="318" cm="1">
        <f t="array" ref="CH133">+SUMPRODUCT(IF('Consolidado Costos'!$K$6:$K$158=$BX133,('Consolidado Costos'!AK$6:AK$158*'Consolidado Costos'!$G$6:$G$158),0))</f>
        <v>0</v>
      </c>
      <c r="CI133" s="318" cm="1">
        <f t="array" ref="CI133">+SUMPRODUCT(IF('Consolidado Costos'!$K$6:$K$158=$BX133,('Consolidado Costos'!AL$6:AL$158*'Consolidado Costos'!$G$6:$G$158),0))</f>
        <v>0</v>
      </c>
      <c r="CJ133" s="318" cm="1">
        <f t="array" ref="CJ133">+SUMPRODUCT(IF('Consolidado Costos'!$K$6:$K$158=$BX133,('Consolidado Costos'!AM$6:AM$158*'Consolidado Costos'!$G$6:$G$158),0))</f>
        <v>0</v>
      </c>
      <c r="CK133" s="318" cm="1">
        <f t="array" ref="CK133">+SUMPRODUCT(IF('Consolidado Costos'!$K$6:$K$158=$BX133,('Consolidado Costos'!AN$6:AN$158*'Consolidado Costos'!$G$6:$G$158),0))</f>
        <v>0</v>
      </c>
      <c r="CL133" s="318" cm="1">
        <f t="array" ref="CL133">+SUMPRODUCT(IF('Consolidado Costos'!$K$6:$K$158=$BX133,('Consolidado Costos'!AO$6:AO$158*'Consolidado Costos'!$G$6:$G$158),0))</f>
        <v>0</v>
      </c>
      <c r="CM133" s="318" cm="1">
        <f t="array" ref="CM133">+SUMPRODUCT(IF('Consolidado Costos'!$K$6:$K$158=$BX133,('Consolidado Costos'!AP$6:AP$158*'Consolidado Costos'!$G$6:$G$158),0))</f>
        <v>0</v>
      </c>
      <c r="CN133" s="357">
        <f t="shared" si="10"/>
        <v>1</v>
      </c>
    </row>
    <row r="134" spans="2:92" s="310" customFormat="1" outlineLevel="1">
      <c r="B134" s="327"/>
      <c r="C134" s="328" t="s">
        <v>525</v>
      </c>
      <c r="D134" s="328" t="s">
        <v>526</v>
      </c>
      <c r="E134" s="329"/>
      <c r="F134" s="318">
        <f>+SUMIF('Consolidado Costos'!$K$6:$K$158,$C134,'Consolidado Costos'!$AD$6:$AD$158)</f>
        <v>0</v>
      </c>
      <c r="G134" s="318">
        <f>+SUMIF('Consolidado Costos'!$K$6:$K$158,$C134,'Consolidado Costos'!AE$6:AE$158)</f>
        <v>0</v>
      </c>
      <c r="H134" s="318">
        <f>+SUMIF('Consolidado Costos'!$K$6:$K$158,$C134,'Consolidado Costos'!AF$6:AF$158)</f>
        <v>0</v>
      </c>
      <c r="I134" s="318">
        <f>+SUMIF('Consolidado Costos'!$K$6:$K$158,$C134,'Consolidado Costos'!AG$6:AG$158)</f>
        <v>0</v>
      </c>
      <c r="J134" s="318">
        <f>+SUMIF('Consolidado Costos'!$K$6:$K$158,$C134,'Consolidado Costos'!AH$6:AH$158)</f>
        <v>0</v>
      </c>
      <c r="K134" s="318">
        <f>+SUMIF('Consolidado Costos'!$K$6:$K$158,$C134,'Consolidado Costos'!AI$6:AI$158)</f>
        <v>0</v>
      </c>
      <c r="L134" s="318">
        <f>+SUMIF('Consolidado Costos'!$K$6:$K$158,$C134,'Consolidado Costos'!AJ$6:AJ$158)</f>
        <v>0</v>
      </c>
      <c r="M134" s="318">
        <f>+SUMIF('Consolidado Costos'!$K$6:$K$158,$C134,'Consolidado Costos'!AK$6:AK$158)</f>
        <v>0</v>
      </c>
      <c r="N134" s="318">
        <f>+SUMIF('Consolidado Costos'!$K$6:$K$158,$C134,'Consolidado Costos'!AL$6:AL$158)</f>
        <v>0</v>
      </c>
      <c r="O134" s="318">
        <f>+SUMIF('Consolidado Costos'!$K$6:$K$158,$C134,'Consolidado Costos'!AM$6:AM$158)</f>
        <v>0</v>
      </c>
      <c r="P134" s="318">
        <f>+SUMIF('Consolidado Costos'!$K$6:$K$158,$C134,'Consolidado Costos'!AN$6:AN$158)</f>
        <v>0</v>
      </c>
      <c r="Q134" s="318">
        <f>+SUMIF('Consolidado Costos'!$K$6:$K$158,$C134,'Consolidado Costos'!AO$6:AO$158)</f>
        <v>0</v>
      </c>
      <c r="R134" s="318">
        <f>+SUMIF('Consolidado Costos'!$K$6:$K$158,$C134,'Consolidado Costos'!AP$6:AP$158)</f>
        <v>0</v>
      </c>
      <c r="S134" s="357">
        <f t="shared" si="5"/>
        <v>1</v>
      </c>
      <c r="U134" s="327"/>
      <c r="V134" s="328" t="s">
        <v>525</v>
      </c>
      <c r="W134" s="328" t="s">
        <v>526</v>
      </c>
      <c r="X134" s="329"/>
      <c r="Y134" s="354">
        <f t="shared" si="20"/>
        <v>0</v>
      </c>
      <c r="Z134" s="318" cm="1">
        <f t="array" ref="Z134">+SUMPRODUCT(IF('Consolidado Costos'!$K$6:$K$158=$V134,('Consolidado Costos'!AE$6:AE$158*'Consolidado Costos'!$D$6:$D$158),0))</f>
        <v>0</v>
      </c>
      <c r="AA134" s="318" cm="1">
        <f t="array" ref="AA134">+SUMPRODUCT(IF('Consolidado Costos'!$K$6:$K$158=$V134,('Consolidado Costos'!AF$6:AF$158*'Consolidado Costos'!$D$6:$D$158),0))</f>
        <v>0</v>
      </c>
      <c r="AB134" s="318" cm="1">
        <f t="array" ref="AB134">+SUMPRODUCT(IF('Consolidado Costos'!$K$6:$K$158=$V134,('Consolidado Costos'!AG$6:AG$158*'Consolidado Costos'!$D$6:$D$158),0))</f>
        <v>0</v>
      </c>
      <c r="AC134" s="318" cm="1">
        <f t="array" ref="AC134">+SUMPRODUCT(IF('Consolidado Costos'!$K$6:$K$158=$V134,('Consolidado Costos'!AH$6:AH$158*'Consolidado Costos'!$D$6:$D$158),0))</f>
        <v>0</v>
      </c>
      <c r="AD134" s="318" cm="1">
        <f t="array" ref="AD134">+SUMPRODUCT(IF('Consolidado Costos'!$K$6:$K$158=$V134,('Consolidado Costos'!AI$6:AI$158*'Consolidado Costos'!$D$6:$D$158),0))</f>
        <v>0</v>
      </c>
      <c r="AE134" s="318" cm="1">
        <f t="array" ref="AE134">+SUMPRODUCT(IF('Consolidado Costos'!$K$6:$K$158=$V134,('Consolidado Costos'!AJ$6:AJ$158*'Consolidado Costos'!$D$6:$D$158),0))</f>
        <v>0</v>
      </c>
      <c r="AF134" s="318" cm="1">
        <f t="array" ref="AF134">+SUMPRODUCT(IF('Consolidado Costos'!$K$6:$K$158=$V134,('Consolidado Costos'!AK$6:AK$158*'Consolidado Costos'!$D$6:$D$158),0))</f>
        <v>0</v>
      </c>
      <c r="AG134" s="318" cm="1">
        <f t="array" ref="AG134">+SUMPRODUCT(IF('Consolidado Costos'!$K$6:$K$158=$V134,('Consolidado Costos'!AL$6:AL$158*'Consolidado Costos'!$D$6:$D$158),0))</f>
        <v>0</v>
      </c>
      <c r="AH134" s="318" cm="1">
        <f t="array" ref="AH134">+SUMPRODUCT(IF('Consolidado Costos'!$K$6:$K$158=$V134,('Consolidado Costos'!AM$6:AM$158*'Consolidado Costos'!$D$6:$D$158),0))</f>
        <v>0</v>
      </c>
      <c r="AI134" s="318" cm="1">
        <f t="array" ref="AI134">+SUMPRODUCT(IF('Consolidado Costos'!$K$6:$K$158=$V134,('Consolidado Costos'!AN$6:AN$158*'Consolidado Costos'!$D$6:$D$158),0))</f>
        <v>0</v>
      </c>
      <c r="AJ134" s="318" cm="1">
        <f t="array" ref="AJ134">+SUMPRODUCT(IF('Consolidado Costos'!$K$6:$K$158=$V134,('Consolidado Costos'!AO$6:AO$158*'Consolidado Costos'!$D$6:$D$158),0))</f>
        <v>0</v>
      </c>
      <c r="AK134" s="318" cm="1">
        <f t="array" ref="AK134">+SUMPRODUCT(IF('Consolidado Costos'!$K$6:$K$158=$V134,('Consolidado Costos'!AP$6:AP$158*'Consolidado Costos'!$D$6:$D$158),0))</f>
        <v>0</v>
      </c>
      <c r="AM134" s="327"/>
      <c r="AN134" s="328" t="s">
        <v>525</v>
      </c>
      <c r="AO134" s="328" t="s">
        <v>526</v>
      </c>
      <c r="AP134" s="329"/>
      <c r="AQ134" s="354">
        <f t="shared" si="21"/>
        <v>0</v>
      </c>
      <c r="AR134" s="318" cm="1">
        <f t="array" ref="AR134">+SUMPRODUCT(IF('Consolidado Costos'!$K$6:$K$158=$AN134,('Consolidado Costos'!AE$6:AE$158*'Consolidado Costos'!$E$6:$E$158),0))</f>
        <v>0</v>
      </c>
      <c r="AS134" s="318" cm="1">
        <f t="array" ref="AS134">+SUMPRODUCT(IF('Consolidado Costos'!$K$6:$K$158=$AN134,('Consolidado Costos'!AF$6:AF$158*'Consolidado Costos'!$E$6:$E$158),0))</f>
        <v>0</v>
      </c>
      <c r="AT134" s="318" cm="1">
        <f t="array" ref="AT134">+SUMPRODUCT(IF('Consolidado Costos'!$K$6:$K$158=$AN134,('Consolidado Costos'!AG$6:AG$158*'Consolidado Costos'!$E$6:$E$158),0))</f>
        <v>0</v>
      </c>
      <c r="AU134" s="318" cm="1">
        <f t="array" ref="AU134">+SUMPRODUCT(IF('Consolidado Costos'!$K$6:$K$158=$AN134,('Consolidado Costos'!AH$6:AH$158*'Consolidado Costos'!$E$6:$E$158),0))</f>
        <v>0</v>
      </c>
      <c r="AV134" s="318" cm="1">
        <f t="array" ref="AV134">+SUMPRODUCT(IF('Consolidado Costos'!$K$6:$K$158=$AN134,('Consolidado Costos'!AI$6:AI$158*'Consolidado Costos'!$E$6:$E$158),0))</f>
        <v>0</v>
      </c>
      <c r="AW134" s="318" cm="1">
        <f t="array" ref="AW134">+SUMPRODUCT(IF('Consolidado Costos'!$K$6:$K$158=$AN134,('Consolidado Costos'!AJ$6:AJ$158*'Consolidado Costos'!$E$6:$E$158),0))</f>
        <v>0</v>
      </c>
      <c r="AX134" s="318" cm="1">
        <f t="array" ref="AX134">+SUMPRODUCT(IF('Consolidado Costos'!$K$6:$K$158=$AN134,('Consolidado Costos'!AK$6:AK$158*'Consolidado Costos'!$E$6:$E$158),0))</f>
        <v>0</v>
      </c>
      <c r="AY134" s="318" cm="1">
        <f t="array" ref="AY134">+SUMPRODUCT(IF('Consolidado Costos'!$K$6:$K$158=$AN134,('Consolidado Costos'!AL$6:AL$158*'Consolidado Costos'!$E$6:$E$158),0))</f>
        <v>0</v>
      </c>
      <c r="AZ134" s="318" cm="1">
        <f t="array" ref="AZ134">+SUMPRODUCT(IF('Consolidado Costos'!$K$6:$K$158=$AN134,('Consolidado Costos'!AM$6:AM$158*'Consolidado Costos'!$E$6:$E$158),0))</f>
        <v>0</v>
      </c>
      <c r="BA134" s="318" cm="1">
        <f t="array" ref="BA134">+SUMPRODUCT(IF('Consolidado Costos'!$K$6:$K$158=$AN134,('Consolidado Costos'!AN$6:AN$158*'Consolidado Costos'!$E$6:$E$158),0))</f>
        <v>0</v>
      </c>
      <c r="BB134" s="318" cm="1">
        <f t="array" ref="BB134">+SUMPRODUCT(IF('Consolidado Costos'!$K$6:$K$158=$AN134,('Consolidado Costos'!AO$6:AO$158*'Consolidado Costos'!$E$6:$E$158),0))</f>
        <v>0</v>
      </c>
      <c r="BC134" s="318" cm="1">
        <f t="array" ref="BC134">+SUMPRODUCT(IF('Consolidado Costos'!$K$6:$K$158=$AN134,('Consolidado Costos'!AP$6:AP$158*'Consolidado Costos'!$E$6:$E$158),0))</f>
        <v>0</v>
      </c>
      <c r="BE134" s="327"/>
      <c r="BF134" s="328" t="s">
        <v>525</v>
      </c>
      <c r="BG134" s="328" t="s">
        <v>526</v>
      </c>
      <c r="BH134" s="329"/>
      <c r="BI134" s="354">
        <f t="shared" si="22"/>
        <v>0</v>
      </c>
      <c r="BJ134" s="318" cm="1">
        <f t="array" ref="BJ134">+SUMPRODUCT(IF('Consolidado Costos'!$K$6:$K$158=$BF134,('Consolidado Costos'!AE$6:AE$158*'Consolidado Costos'!$F$6:$F$158),0))</f>
        <v>0</v>
      </c>
      <c r="BK134" s="318" cm="1">
        <f t="array" ref="BK134">+SUMPRODUCT(IF('Consolidado Costos'!$K$6:$K$158=$BF134,('Consolidado Costos'!AF$6:AF$158*'Consolidado Costos'!$F$6:$F$158),0))</f>
        <v>0</v>
      </c>
      <c r="BL134" s="318" cm="1">
        <f t="array" ref="BL134">+SUMPRODUCT(IF('Consolidado Costos'!$K$6:$K$158=$BF134,('Consolidado Costos'!AG$6:AG$158*'Consolidado Costos'!$F$6:$F$158),0))</f>
        <v>0</v>
      </c>
      <c r="BM134" s="318" cm="1">
        <f t="array" ref="BM134">+SUMPRODUCT(IF('Consolidado Costos'!$K$6:$K$158=$BF134,('Consolidado Costos'!AH$6:AH$158*'Consolidado Costos'!$F$6:$F$158),0))</f>
        <v>0</v>
      </c>
      <c r="BN134" s="318" cm="1">
        <f t="array" ref="BN134">+SUMPRODUCT(IF('Consolidado Costos'!$K$6:$K$158=$BF134,('Consolidado Costos'!AI$6:AI$158*'Consolidado Costos'!$F$6:$F$158),0))</f>
        <v>0</v>
      </c>
      <c r="BO134" s="318" cm="1">
        <f t="array" ref="BO134">+SUMPRODUCT(IF('Consolidado Costos'!$K$6:$K$158=$BF134,('Consolidado Costos'!AJ$6:AJ$158*'Consolidado Costos'!$F$6:$F$158),0))</f>
        <v>0</v>
      </c>
      <c r="BP134" s="318" cm="1">
        <f t="array" ref="BP134">+SUMPRODUCT(IF('Consolidado Costos'!$K$6:$K$158=$BF134,('Consolidado Costos'!AK$6:AK$158*'Consolidado Costos'!$F$6:$F$158),0))</f>
        <v>0</v>
      </c>
      <c r="BQ134" s="318" cm="1">
        <f t="array" ref="BQ134">+SUMPRODUCT(IF('Consolidado Costos'!$K$6:$K$158=$BF134,('Consolidado Costos'!AL$6:AL$158*'Consolidado Costos'!$F$6:$F$158),0))</f>
        <v>0</v>
      </c>
      <c r="BR134" s="318" cm="1">
        <f t="array" ref="BR134">+SUMPRODUCT(IF('Consolidado Costos'!$K$6:$K$158=$BF134,('Consolidado Costos'!AM$6:AM$158*'Consolidado Costos'!$F$6:$F$158),0))</f>
        <v>0</v>
      </c>
      <c r="BS134" s="318" cm="1">
        <f t="array" ref="BS134">+SUMPRODUCT(IF('Consolidado Costos'!$K$6:$K$158=$BF134,('Consolidado Costos'!AN$6:AN$158*'Consolidado Costos'!$F$6:$F$158),0))</f>
        <v>0</v>
      </c>
      <c r="BT134" s="318" cm="1">
        <f t="array" ref="BT134">+SUMPRODUCT(IF('Consolidado Costos'!$K$6:$K$158=$BF134,('Consolidado Costos'!AO$6:AO$158*'Consolidado Costos'!$F$6:$F$158),0))</f>
        <v>0</v>
      </c>
      <c r="BU134" s="318" cm="1">
        <f t="array" ref="BU134">+SUMPRODUCT(IF('Consolidado Costos'!$K$6:$K$158=$BF134,('Consolidado Costos'!AP$6:AP$158*'Consolidado Costos'!$F$6:$F$158),0))</f>
        <v>0</v>
      </c>
      <c r="BW134" s="327"/>
      <c r="BX134" s="328" t="s">
        <v>525</v>
      </c>
      <c r="BY134" s="328" t="s">
        <v>526</v>
      </c>
      <c r="BZ134" s="329"/>
      <c r="CA134" s="354">
        <f t="shared" si="23"/>
        <v>0</v>
      </c>
      <c r="CB134" s="318" cm="1">
        <f t="array" ref="CB134">+SUMPRODUCT(IF('Consolidado Costos'!$K$6:$K$158=$BX134,('Consolidado Costos'!AE$6:AE$158*'Consolidado Costos'!$G$6:$G$158),0))</f>
        <v>0</v>
      </c>
      <c r="CC134" s="318" cm="1">
        <f t="array" ref="CC134">+SUMPRODUCT(IF('Consolidado Costos'!$K$6:$K$158=$BX134,('Consolidado Costos'!AF$6:AF$158*'Consolidado Costos'!$G$6:$G$158),0))</f>
        <v>0</v>
      </c>
      <c r="CD134" s="318" cm="1">
        <f t="array" ref="CD134">+SUMPRODUCT(IF('Consolidado Costos'!$K$6:$K$158=$BX134,('Consolidado Costos'!AG$6:AG$158*'Consolidado Costos'!$G$6:$G$158),0))</f>
        <v>0</v>
      </c>
      <c r="CE134" s="318" cm="1">
        <f t="array" ref="CE134">+SUMPRODUCT(IF('Consolidado Costos'!$K$6:$K$158=$BX134,('Consolidado Costos'!AH$6:AH$158*'Consolidado Costos'!$G$6:$G$158),0))</f>
        <v>0</v>
      </c>
      <c r="CF134" s="318" cm="1">
        <f t="array" ref="CF134">+SUMPRODUCT(IF('Consolidado Costos'!$K$6:$K$158=$BX134,('Consolidado Costos'!AI$6:AI$158*'Consolidado Costos'!$G$6:$G$158),0))</f>
        <v>0</v>
      </c>
      <c r="CG134" s="318" cm="1">
        <f t="array" ref="CG134">+SUMPRODUCT(IF('Consolidado Costos'!$K$6:$K$158=$BX134,('Consolidado Costos'!AJ$6:AJ$158*'Consolidado Costos'!$G$6:$G$158),0))</f>
        <v>0</v>
      </c>
      <c r="CH134" s="318" cm="1">
        <f t="array" ref="CH134">+SUMPRODUCT(IF('Consolidado Costos'!$K$6:$K$158=$BX134,('Consolidado Costos'!AK$6:AK$158*'Consolidado Costos'!$G$6:$G$158),0))</f>
        <v>0</v>
      </c>
      <c r="CI134" s="318" cm="1">
        <f t="array" ref="CI134">+SUMPRODUCT(IF('Consolidado Costos'!$K$6:$K$158=$BX134,('Consolidado Costos'!AL$6:AL$158*'Consolidado Costos'!$G$6:$G$158),0))</f>
        <v>0</v>
      </c>
      <c r="CJ134" s="318" cm="1">
        <f t="array" ref="CJ134">+SUMPRODUCT(IF('Consolidado Costos'!$K$6:$K$158=$BX134,('Consolidado Costos'!AM$6:AM$158*'Consolidado Costos'!$G$6:$G$158),0))</f>
        <v>0</v>
      </c>
      <c r="CK134" s="318" cm="1">
        <f t="array" ref="CK134">+SUMPRODUCT(IF('Consolidado Costos'!$K$6:$K$158=$BX134,('Consolidado Costos'!AN$6:AN$158*'Consolidado Costos'!$G$6:$G$158),0))</f>
        <v>0</v>
      </c>
      <c r="CL134" s="318" cm="1">
        <f t="array" ref="CL134">+SUMPRODUCT(IF('Consolidado Costos'!$K$6:$K$158=$BX134,('Consolidado Costos'!AO$6:AO$158*'Consolidado Costos'!$G$6:$G$158),0))</f>
        <v>0</v>
      </c>
      <c r="CM134" s="318" cm="1">
        <f t="array" ref="CM134">+SUMPRODUCT(IF('Consolidado Costos'!$K$6:$K$158=$BX134,('Consolidado Costos'!AP$6:AP$158*'Consolidado Costos'!$G$6:$G$158),0))</f>
        <v>0</v>
      </c>
      <c r="CN134" s="357">
        <f t="shared" si="10"/>
        <v>1</v>
      </c>
    </row>
    <row r="135" spans="2:92" s="310" customFormat="1" outlineLevel="1">
      <c r="B135" s="327"/>
      <c r="C135" s="328" t="s">
        <v>527</v>
      </c>
      <c r="D135" s="328" t="s">
        <v>528</v>
      </c>
      <c r="E135" s="329"/>
      <c r="F135" s="318">
        <f>+SUMIF('Consolidado Costos'!$K$6:$K$158,$C135,'Consolidado Costos'!$AD$6:$AD$158)</f>
        <v>0</v>
      </c>
      <c r="G135" s="318">
        <f>+SUMIF('Consolidado Costos'!$K$6:$K$158,$C135,'Consolidado Costos'!AE$6:AE$158)</f>
        <v>0</v>
      </c>
      <c r="H135" s="318">
        <f>+SUMIF('Consolidado Costos'!$K$6:$K$158,$C135,'Consolidado Costos'!AF$6:AF$158)</f>
        <v>0</v>
      </c>
      <c r="I135" s="318">
        <f>+SUMIF('Consolidado Costos'!$K$6:$K$158,$C135,'Consolidado Costos'!AG$6:AG$158)</f>
        <v>0</v>
      </c>
      <c r="J135" s="318">
        <f>+SUMIF('Consolidado Costos'!$K$6:$K$158,$C135,'Consolidado Costos'!AH$6:AH$158)</f>
        <v>0</v>
      </c>
      <c r="K135" s="318">
        <f>+SUMIF('Consolidado Costos'!$K$6:$K$158,$C135,'Consolidado Costos'!AI$6:AI$158)</f>
        <v>0</v>
      </c>
      <c r="L135" s="318">
        <f>+SUMIF('Consolidado Costos'!$K$6:$K$158,$C135,'Consolidado Costos'!AJ$6:AJ$158)</f>
        <v>0</v>
      </c>
      <c r="M135" s="318">
        <f>+SUMIF('Consolidado Costos'!$K$6:$K$158,$C135,'Consolidado Costos'!AK$6:AK$158)</f>
        <v>0</v>
      </c>
      <c r="N135" s="318">
        <f>+SUMIF('Consolidado Costos'!$K$6:$K$158,$C135,'Consolidado Costos'!AL$6:AL$158)</f>
        <v>0</v>
      </c>
      <c r="O135" s="318">
        <f>+SUMIF('Consolidado Costos'!$K$6:$K$158,$C135,'Consolidado Costos'!AM$6:AM$158)</f>
        <v>0</v>
      </c>
      <c r="P135" s="318">
        <f>+SUMIF('Consolidado Costos'!$K$6:$K$158,$C135,'Consolidado Costos'!AN$6:AN$158)</f>
        <v>0</v>
      </c>
      <c r="Q135" s="318">
        <f>+SUMIF('Consolidado Costos'!$K$6:$K$158,$C135,'Consolidado Costos'!AO$6:AO$158)</f>
        <v>0</v>
      </c>
      <c r="R135" s="318">
        <f>+SUMIF('Consolidado Costos'!$K$6:$K$158,$C135,'Consolidado Costos'!AP$6:AP$158)</f>
        <v>0</v>
      </c>
      <c r="S135" s="357">
        <f t="shared" si="5"/>
        <v>1</v>
      </c>
      <c r="U135" s="327"/>
      <c r="V135" s="328" t="s">
        <v>527</v>
      </c>
      <c r="W135" s="328" t="s">
        <v>528</v>
      </c>
      <c r="X135" s="329"/>
      <c r="Y135" s="354">
        <f t="shared" si="20"/>
        <v>0</v>
      </c>
      <c r="Z135" s="318" cm="1">
        <f t="array" ref="Z135">+SUMPRODUCT(IF('Consolidado Costos'!$K$6:$K$158=$V135,('Consolidado Costos'!AE$6:AE$158*'Consolidado Costos'!$D$6:$D$158),0))</f>
        <v>0</v>
      </c>
      <c r="AA135" s="318" cm="1">
        <f t="array" ref="AA135">+SUMPRODUCT(IF('Consolidado Costos'!$K$6:$K$158=$V135,('Consolidado Costos'!AF$6:AF$158*'Consolidado Costos'!$D$6:$D$158),0))</f>
        <v>0</v>
      </c>
      <c r="AB135" s="318" cm="1">
        <f t="array" ref="AB135">+SUMPRODUCT(IF('Consolidado Costos'!$K$6:$K$158=$V135,('Consolidado Costos'!AG$6:AG$158*'Consolidado Costos'!$D$6:$D$158),0))</f>
        <v>0</v>
      </c>
      <c r="AC135" s="318" cm="1">
        <f t="array" ref="AC135">+SUMPRODUCT(IF('Consolidado Costos'!$K$6:$K$158=$V135,('Consolidado Costos'!AH$6:AH$158*'Consolidado Costos'!$D$6:$D$158),0))</f>
        <v>0</v>
      </c>
      <c r="AD135" s="318" cm="1">
        <f t="array" ref="AD135">+SUMPRODUCT(IF('Consolidado Costos'!$K$6:$K$158=$V135,('Consolidado Costos'!AI$6:AI$158*'Consolidado Costos'!$D$6:$D$158),0))</f>
        <v>0</v>
      </c>
      <c r="AE135" s="318" cm="1">
        <f t="array" ref="AE135">+SUMPRODUCT(IF('Consolidado Costos'!$K$6:$K$158=$V135,('Consolidado Costos'!AJ$6:AJ$158*'Consolidado Costos'!$D$6:$D$158),0))</f>
        <v>0</v>
      </c>
      <c r="AF135" s="318" cm="1">
        <f t="array" ref="AF135">+SUMPRODUCT(IF('Consolidado Costos'!$K$6:$K$158=$V135,('Consolidado Costos'!AK$6:AK$158*'Consolidado Costos'!$D$6:$D$158),0))</f>
        <v>0</v>
      </c>
      <c r="AG135" s="318" cm="1">
        <f t="array" ref="AG135">+SUMPRODUCT(IF('Consolidado Costos'!$K$6:$K$158=$V135,('Consolidado Costos'!AL$6:AL$158*'Consolidado Costos'!$D$6:$D$158),0))</f>
        <v>0</v>
      </c>
      <c r="AH135" s="318" cm="1">
        <f t="array" ref="AH135">+SUMPRODUCT(IF('Consolidado Costos'!$K$6:$K$158=$V135,('Consolidado Costos'!AM$6:AM$158*'Consolidado Costos'!$D$6:$D$158),0))</f>
        <v>0</v>
      </c>
      <c r="AI135" s="318" cm="1">
        <f t="array" ref="AI135">+SUMPRODUCT(IF('Consolidado Costos'!$K$6:$K$158=$V135,('Consolidado Costos'!AN$6:AN$158*'Consolidado Costos'!$D$6:$D$158),0))</f>
        <v>0</v>
      </c>
      <c r="AJ135" s="318" cm="1">
        <f t="array" ref="AJ135">+SUMPRODUCT(IF('Consolidado Costos'!$K$6:$K$158=$V135,('Consolidado Costos'!AO$6:AO$158*'Consolidado Costos'!$D$6:$D$158),0))</f>
        <v>0</v>
      </c>
      <c r="AK135" s="318" cm="1">
        <f t="array" ref="AK135">+SUMPRODUCT(IF('Consolidado Costos'!$K$6:$K$158=$V135,('Consolidado Costos'!AP$6:AP$158*'Consolidado Costos'!$D$6:$D$158),0))</f>
        <v>0</v>
      </c>
      <c r="AM135" s="327"/>
      <c r="AN135" s="328" t="s">
        <v>527</v>
      </c>
      <c r="AO135" s="328" t="s">
        <v>528</v>
      </c>
      <c r="AP135" s="329"/>
      <c r="AQ135" s="354">
        <f t="shared" si="21"/>
        <v>0</v>
      </c>
      <c r="AR135" s="318" cm="1">
        <f t="array" ref="AR135">+SUMPRODUCT(IF('Consolidado Costos'!$K$6:$K$158=$AN135,('Consolidado Costos'!AE$6:AE$158*'Consolidado Costos'!$E$6:$E$158),0))</f>
        <v>0</v>
      </c>
      <c r="AS135" s="318" cm="1">
        <f t="array" ref="AS135">+SUMPRODUCT(IF('Consolidado Costos'!$K$6:$K$158=$AN135,('Consolidado Costos'!AF$6:AF$158*'Consolidado Costos'!$E$6:$E$158),0))</f>
        <v>0</v>
      </c>
      <c r="AT135" s="318" cm="1">
        <f t="array" ref="AT135">+SUMPRODUCT(IF('Consolidado Costos'!$K$6:$K$158=$AN135,('Consolidado Costos'!AG$6:AG$158*'Consolidado Costos'!$E$6:$E$158),0))</f>
        <v>0</v>
      </c>
      <c r="AU135" s="318" cm="1">
        <f t="array" ref="AU135">+SUMPRODUCT(IF('Consolidado Costos'!$K$6:$K$158=$AN135,('Consolidado Costos'!AH$6:AH$158*'Consolidado Costos'!$E$6:$E$158),0))</f>
        <v>0</v>
      </c>
      <c r="AV135" s="318" cm="1">
        <f t="array" ref="AV135">+SUMPRODUCT(IF('Consolidado Costos'!$K$6:$K$158=$AN135,('Consolidado Costos'!AI$6:AI$158*'Consolidado Costos'!$E$6:$E$158),0))</f>
        <v>0</v>
      </c>
      <c r="AW135" s="318" cm="1">
        <f t="array" ref="AW135">+SUMPRODUCT(IF('Consolidado Costos'!$K$6:$K$158=$AN135,('Consolidado Costos'!AJ$6:AJ$158*'Consolidado Costos'!$E$6:$E$158),0))</f>
        <v>0</v>
      </c>
      <c r="AX135" s="318" cm="1">
        <f t="array" ref="AX135">+SUMPRODUCT(IF('Consolidado Costos'!$K$6:$K$158=$AN135,('Consolidado Costos'!AK$6:AK$158*'Consolidado Costos'!$E$6:$E$158),0))</f>
        <v>0</v>
      </c>
      <c r="AY135" s="318" cm="1">
        <f t="array" ref="AY135">+SUMPRODUCT(IF('Consolidado Costos'!$K$6:$K$158=$AN135,('Consolidado Costos'!AL$6:AL$158*'Consolidado Costos'!$E$6:$E$158),0))</f>
        <v>0</v>
      </c>
      <c r="AZ135" s="318" cm="1">
        <f t="array" ref="AZ135">+SUMPRODUCT(IF('Consolidado Costos'!$K$6:$K$158=$AN135,('Consolidado Costos'!AM$6:AM$158*'Consolidado Costos'!$E$6:$E$158),0))</f>
        <v>0</v>
      </c>
      <c r="BA135" s="318" cm="1">
        <f t="array" ref="BA135">+SUMPRODUCT(IF('Consolidado Costos'!$K$6:$K$158=$AN135,('Consolidado Costos'!AN$6:AN$158*'Consolidado Costos'!$E$6:$E$158),0))</f>
        <v>0</v>
      </c>
      <c r="BB135" s="318" cm="1">
        <f t="array" ref="BB135">+SUMPRODUCT(IF('Consolidado Costos'!$K$6:$K$158=$AN135,('Consolidado Costos'!AO$6:AO$158*'Consolidado Costos'!$E$6:$E$158),0))</f>
        <v>0</v>
      </c>
      <c r="BC135" s="318" cm="1">
        <f t="array" ref="BC135">+SUMPRODUCT(IF('Consolidado Costos'!$K$6:$K$158=$AN135,('Consolidado Costos'!AP$6:AP$158*'Consolidado Costos'!$E$6:$E$158),0))</f>
        <v>0</v>
      </c>
      <c r="BE135" s="327"/>
      <c r="BF135" s="328" t="s">
        <v>527</v>
      </c>
      <c r="BG135" s="328" t="s">
        <v>528</v>
      </c>
      <c r="BH135" s="329"/>
      <c r="BI135" s="354">
        <f t="shared" si="22"/>
        <v>0</v>
      </c>
      <c r="BJ135" s="318" cm="1">
        <f t="array" ref="BJ135">+SUMPRODUCT(IF('Consolidado Costos'!$K$6:$K$158=$BF135,('Consolidado Costos'!AE$6:AE$158*'Consolidado Costos'!$F$6:$F$158),0))</f>
        <v>0</v>
      </c>
      <c r="BK135" s="318" cm="1">
        <f t="array" ref="BK135">+SUMPRODUCT(IF('Consolidado Costos'!$K$6:$K$158=$BF135,('Consolidado Costos'!AF$6:AF$158*'Consolidado Costos'!$F$6:$F$158),0))</f>
        <v>0</v>
      </c>
      <c r="BL135" s="318" cm="1">
        <f t="array" ref="BL135">+SUMPRODUCT(IF('Consolidado Costos'!$K$6:$K$158=$BF135,('Consolidado Costos'!AG$6:AG$158*'Consolidado Costos'!$F$6:$F$158),0))</f>
        <v>0</v>
      </c>
      <c r="BM135" s="318" cm="1">
        <f t="array" ref="BM135">+SUMPRODUCT(IF('Consolidado Costos'!$K$6:$K$158=$BF135,('Consolidado Costos'!AH$6:AH$158*'Consolidado Costos'!$F$6:$F$158),0))</f>
        <v>0</v>
      </c>
      <c r="BN135" s="318" cm="1">
        <f t="array" ref="BN135">+SUMPRODUCT(IF('Consolidado Costos'!$K$6:$K$158=$BF135,('Consolidado Costos'!AI$6:AI$158*'Consolidado Costos'!$F$6:$F$158),0))</f>
        <v>0</v>
      </c>
      <c r="BO135" s="318" cm="1">
        <f t="array" ref="BO135">+SUMPRODUCT(IF('Consolidado Costos'!$K$6:$K$158=$BF135,('Consolidado Costos'!AJ$6:AJ$158*'Consolidado Costos'!$F$6:$F$158),0))</f>
        <v>0</v>
      </c>
      <c r="BP135" s="318" cm="1">
        <f t="array" ref="BP135">+SUMPRODUCT(IF('Consolidado Costos'!$K$6:$K$158=$BF135,('Consolidado Costos'!AK$6:AK$158*'Consolidado Costos'!$F$6:$F$158),0))</f>
        <v>0</v>
      </c>
      <c r="BQ135" s="318" cm="1">
        <f t="array" ref="BQ135">+SUMPRODUCT(IF('Consolidado Costos'!$K$6:$K$158=$BF135,('Consolidado Costos'!AL$6:AL$158*'Consolidado Costos'!$F$6:$F$158),0))</f>
        <v>0</v>
      </c>
      <c r="BR135" s="318" cm="1">
        <f t="array" ref="BR135">+SUMPRODUCT(IF('Consolidado Costos'!$K$6:$K$158=$BF135,('Consolidado Costos'!AM$6:AM$158*'Consolidado Costos'!$F$6:$F$158),0))</f>
        <v>0</v>
      </c>
      <c r="BS135" s="318" cm="1">
        <f t="array" ref="BS135">+SUMPRODUCT(IF('Consolidado Costos'!$K$6:$K$158=$BF135,('Consolidado Costos'!AN$6:AN$158*'Consolidado Costos'!$F$6:$F$158),0))</f>
        <v>0</v>
      </c>
      <c r="BT135" s="318" cm="1">
        <f t="array" ref="BT135">+SUMPRODUCT(IF('Consolidado Costos'!$K$6:$K$158=$BF135,('Consolidado Costos'!AO$6:AO$158*'Consolidado Costos'!$F$6:$F$158),0))</f>
        <v>0</v>
      </c>
      <c r="BU135" s="318" cm="1">
        <f t="array" ref="BU135">+SUMPRODUCT(IF('Consolidado Costos'!$K$6:$K$158=$BF135,('Consolidado Costos'!AP$6:AP$158*'Consolidado Costos'!$F$6:$F$158),0))</f>
        <v>0</v>
      </c>
      <c r="BW135" s="327"/>
      <c r="BX135" s="328" t="s">
        <v>527</v>
      </c>
      <c r="BY135" s="328" t="s">
        <v>528</v>
      </c>
      <c r="BZ135" s="329"/>
      <c r="CA135" s="354">
        <f t="shared" si="23"/>
        <v>0</v>
      </c>
      <c r="CB135" s="318" cm="1">
        <f t="array" ref="CB135">+SUMPRODUCT(IF('Consolidado Costos'!$K$6:$K$158=$BX135,('Consolidado Costos'!AE$6:AE$158*'Consolidado Costos'!$G$6:$G$158),0))</f>
        <v>0</v>
      </c>
      <c r="CC135" s="318" cm="1">
        <f t="array" ref="CC135">+SUMPRODUCT(IF('Consolidado Costos'!$K$6:$K$158=$BX135,('Consolidado Costos'!AF$6:AF$158*'Consolidado Costos'!$G$6:$G$158),0))</f>
        <v>0</v>
      </c>
      <c r="CD135" s="318" cm="1">
        <f t="array" ref="CD135">+SUMPRODUCT(IF('Consolidado Costos'!$K$6:$K$158=$BX135,('Consolidado Costos'!AG$6:AG$158*'Consolidado Costos'!$G$6:$G$158),0))</f>
        <v>0</v>
      </c>
      <c r="CE135" s="318" cm="1">
        <f t="array" ref="CE135">+SUMPRODUCT(IF('Consolidado Costos'!$K$6:$K$158=$BX135,('Consolidado Costos'!AH$6:AH$158*'Consolidado Costos'!$G$6:$G$158),0))</f>
        <v>0</v>
      </c>
      <c r="CF135" s="318" cm="1">
        <f t="array" ref="CF135">+SUMPRODUCT(IF('Consolidado Costos'!$K$6:$K$158=$BX135,('Consolidado Costos'!AI$6:AI$158*'Consolidado Costos'!$G$6:$G$158),0))</f>
        <v>0</v>
      </c>
      <c r="CG135" s="318" cm="1">
        <f t="array" ref="CG135">+SUMPRODUCT(IF('Consolidado Costos'!$K$6:$K$158=$BX135,('Consolidado Costos'!AJ$6:AJ$158*'Consolidado Costos'!$G$6:$G$158),0))</f>
        <v>0</v>
      </c>
      <c r="CH135" s="318" cm="1">
        <f t="array" ref="CH135">+SUMPRODUCT(IF('Consolidado Costos'!$K$6:$K$158=$BX135,('Consolidado Costos'!AK$6:AK$158*'Consolidado Costos'!$G$6:$G$158),0))</f>
        <v>0</v>
      </c>
      <c r="CI135" s="318" cm="1">
        <f t="array" ref="CI135">+SUMPRODUCT(IF('Consolidado Costos'!$K$6:$K$158=$BX135,('Consolidado Costos'!AL$6:AL$158*'Consolidado Costos'!$G$6:$G$158),0))</f>
        <v>0</v>
      </c>
      <c r="CJ135" s="318" cm="1">
        <f t="array" ref="CJ135">+SUMPRODUCT(IF('Consolidado Costos'!$K$6:$K$158=$BX135,('Consolidado Costos'!AM$6:AM$158*'Consolidado Costos'!$G$6:$G$158),0))</f>
        <v>0</v>
      </c>
      <c r="CK135" s="318" cm="1">
        <f t="array" ref="CK135">+SUMPRODUCT(IF('Consolidado Costos'!$K$6:$K$158=$BX135,('Consolidado Costos'!AN$6:AN$158*'Consolidado Costos'!$G$6:$G$158),0))</f>
        <v>0</v>
      </c>
      <c r="CL135" s="318" cm="1">
        <f t="array" ref="CL135">+SUMPRODUCT(IF('Consolidado Costos'!$K$6:$K$158=$BX135,('Consolidado Costos'!AO$6:AO$158*'Consolidado Costos'!$G$6:$G$158),0))</f>
        <v>0</v>
      </c>
      <c r="CM135" s="318" cm="1">
        <f t="array" ref="CM135">+SUMPRODUCT(IF('Consolidado Costos'!$K$6:$K$158=$BX135,('Consolidado Costos'!AP$6:AP$158*'Consolidado Costos'!$G$6:$G$158),0))</f>
        <v>0</v>
      </c>
      <c r="CN135" s="357">
        <f t="shared" si="10"/>
        <v>1</v>
      </c>
    </row>
    <row r="136" spans="2:92" s="310" customFormat="1" outlineLevel="1">
      <c r="B136" s="327"/>
      <c r="C136" s="330" t="s">
        <v>186</v>
      </c>
      <c r="D136" s="330" t="s">
        <v>187</v>
      </c>
      <c r="E136" s="329"/>
      <c r="F136" s="318">
        <f>+SUMIF('Consolidado Costos'!$K$6:$K$158,$C136,'Consolidado Costos'!$AD$6:$AD$158)</f>
        <v>346312.66461538465</v>
      </c>
      <c r="G136" s="318">
        <f>+SUMIF('Consolidado Costos'!$K$6:$K$158,$C136,'Consolidado Costos'!AE$6:AE$158)</f>
        <v>28853.606666666667</v>
      </c>
      <c r="H136" s="318">
        <f>+SUMIF('Consolidado Costos'!$K$6:$K$158,$C136,'Consolidado Costos'!AF$6:AF$158)</f>
        <v>28854.657948717948</v>
      </c>
      <c r="I136" s="318">
        <f>+SUMIF('Consolidado Costos'!$K$6:$K$158,$C136,'Consolidado Costos'!AG$6:AG$158)</f>
        <v>28855.709230769229</v>
      </c>
      <c r="J136" s="318">
        <f>+SUMIF('Consolidado Costos'!$K$6:$K$158,$C136,'Consolidado Costos'!AH$6:AH$158)</f>
        <v>28856.760512820514</v>
      </c>
      <c r="K136" s="318">
        <f>+SUMIF('Consolidado Costos'!$K$6:$K$158,$C136,'Consolidado Costos'!AI$6:AI$158)</f>
        <v>28857.811794871795</v>
      </c>
      <c r="L136" s="318">
        <f>+SUMIF('Consolidado Costos'!$K$6:$K$158,$C136,'Consolidado Costos'!AJ$6:AJ$158)</f>
        <v>28858.863076923077</v>
      </c>
      <c r="M136" s="318">
        <f>+SUMIF('Consolidado Costos'!$K$6:$K$158,$C136,'Consolidado Costos'!AK$6:AK$158)</f>
        <v>28859.914358974362</v>
      </c>
      <c r="N136" s="318">
        <f>+SUMIF('Consolidado Costos'!$K$6:$K$158,$C136,'Consolidado Costos'!AL$6:AL$158)</f>
        <v>28860.965641025643</v>
      </c>
      <c r="O136" s="318">
        <f>+SUMIF('Consolidado Costos'!$K$6:$K$158,$C136,'Consolidado Costos'!AM$6:AM$158)</f>
        <v>28862.016923076924</v>
      </c>
      <c r="P136" s="318">
        <f>+SUMIF('Consolidado Costos'!$K$6:$K$158,$C136,'Consolidado Costos'!AN$6:AN$158)</f>
        <v>28863.068205128206</v>
      </c>
      <c r="Q136" s="318">
        <f>+SUMIF('Consolidado Costos'!$K$6:$K$158,$C136,'Consolidado Costos'!AO$6:AO$158)</f>
        <v>28864.119487179487</v>
      </c>
      <c r="R136" s="318">
        <f>+SUMIF('Consolidado Costos'!$K$6:$K$158,$C136,'Consolidado Costos'!AP$6:AP$158)</f>
        <v>28865.170769230768</v>
      </c>
      <c r="S136" s="357">
        <f t="shared" si="5"/>
        <v>1</v>
      </c>
      <c r="U136" s="327"/>
      <c r="V136" s="330" t="s">
        <v>186</v>
      </c>
      <c r="W136" s="330" t="s">
        <v>187</v>
      </c>
      <c r="X136" s="329"/>
      <c r="Y136" s="354">
        <f t="shared" si="20"/>
        <v>180000</v>
      </c>
      <c r="Z136" s="318" cm="1">
        <f t="array" ref="Z136">+SUMPRODUCT(IF('Consolidado Costos'!$K$6:$K$158=$V136,('Consolidado Costos'!AE$6:AE$158*'Consolidado Costos'!$D$6:$D$158),0))</f>
        <v>15000</v>
      </c>
      <c r="AA136" s="318" cm="1">
        <f t="array" ref="AA136">+SUMPRODUCT(IF('Consolidado Costos'!$K$6:$K$158=$V136,('Consolidado Costos'!AF$6:AF$158*'Consolidado Costos'!$D$6:$D$158),0))</f>
        <v>15000</v>
      </c>
      <c r="AB136" s="318" cm="1">
        <f t="array" ref="AB136">+SUMPRODUCT(IF('Consolidado Costos'!$K$6:$K$158=$V136,('Consolidado Costos'!AG$6:AG$158*'Consolidado Costos'!$D$6:$D$158),0))</f>
        <v>15000</v>
      </c>
      <c r="AC136" s="318" cm="1">
        <f t="array" ref="AC136">+SUMPRODUCT(IF('Consolidado Costos'!$K$6:$K$158=$V136,('Consolidado Costos'!AH$6:AH$158*'Consolidado Costos'!$D$6:$D$158),0))</f>
        <v>15000</v>
      </c>
      <c r="AD136" s="318" cm="1">
        <f t="array" ref="AD136">+SUMPRODUCT(IF('Consolidado Costos'!$K$6:$K$158=$V136,('Consolidado Costos'!AI$6:AI$158*'Consolidado Costos'!$D$6:$D$158),0))</f>
        <v>15000</v>
      </c>
      <c r="AE136" s="318" cm="1">
        <f t="array" ref="AE136">+SUMPRODUCT(IF('Consolidado Costos'!$K$6:$K$158=$V136,('Consolidado Costos'!AJ$6:AJ$158*'Consolidado Costos'!$D$6:$D$158),0))</f>
        <v>15000</v>
      </c>
      <c r="AF136" s="318" cm="1">
        <f t="array" ref="AF136">+SUMPRODUCT(IF('Consolidado Costos'!$K$6:$K$158=$V136,('Consolidado Costos'!AK$6:AK$158*'Consolidado Costos'!$D$6:$D$158),0))</f>
        <v>15000</v>
      </c>
      <c r="AG136" s="318" cm="1">
        <f t="array" ref="AG136">+SUMPRODUCT(IF('Consolidado Costos'!$K$6:$K$158=$V136,('Consolidado Costos'!AL$6:AL$158*'Consolidado Costos'!$D$6:$D$158),0))</f>
        <v>15000</v>
      </c>
      <c r="AH136" s="318" cm="1">
        <f t="array" ref="AH136">+SUMPRODUCT(IF('Consolidado Costos'!$K$6:$K$158=$V136,('Consolidado Costos'!AM$6:AM$158*'Consolidado Costos'!$D$6:$D$158),0))</f>
        <v>15000</v>
      </c>
      <c r="AI136" s="318" cm="1">
        <f t="array" ref="AI136">+SUMPRODUCT(IF('Consolidado Costos'!$K$6:$K$158=$V136,('Consolidado Costos'!AN$6:AN$158*'Consolidado Costos'!$D$6:$D$158),0))</f>
        <v>15000</v>
      </c>
      <c r="AJ136" s="318" cm="1">
        <f t="array" ref="AJ136">+SUMPRODUCT(IF('Consolidado Costos'!$K$6:$K$158=$V136,('Consolidado Costos'!AO$6:AO$158*'Consolidado Costos'!$D$6:$D$158),0))</f>
        <v>15000</v>
      </c>
      <c r="AK136" s="318" cm="1">
        <f t="array" ref="AK136">+SUMPRODUCT(IF('Consolidado Costos'!$K$6:$K$158=$V136,('Consolidado Costos'!AP$6:AP$158*'Consolidado Costos'!$D$6:$D$158),0))</f>
        <v>15000</v>
      </c>
      <c r="AM136" s="327"/>
      <c r="AN136" s="330" t="s">
        <v>186</v>
      </c>
      <c r="AO136" s="330" t="s">
        <v>187</v>
      </c>
      <c r="AP136" s="329"/>
      <c r="AQ136" s="354">
        <f t="shared" si="21"/>
        <v>0</v>
      </c>
      <c r="AR136" s="318" cm="1">
        <f t="array" ref="AR136">+SUMPRODUCT(IF('Consolidado Costos'!$K$6:$K$158=$AN136,('Consolidado Costos'!AE$6:AE$158*'Consolidado Costos'!$E$6:$E$158),0))</f>
        <v>0</v>
      </c>
      <c r="AS136" s="318" cm="1">
        <f t="array" ref="AS136">+SUMPRODUCT(IF('Consolidado Costos'!$K$6:$K$158=$AN136,('Consolidado Costos'!AF$6:AF$158*'Consolidado Costos'!$E$6:$E$158),0))</f>
        <v>0</v>
      </c>
      <c r="AT136" s="318" cm="1">
        <f t="array" ref="AT136">+SUMPRODUCT(IF('Consolidado Costos'!$K$6:$K$158=$AN136,('Consolidado Costos'!AG$6:AG$158*'Consolidado Costos'!$E$6:$E$158),0))</f>
        <v>0</v>
      </c>
      <c r="AU136" s="318" cm="1">
        <f t="array" ref="AU136">+SUMPRODUCT(IF('Consolidado Costos'!$K$6:$K$158=$AN136,('Consolidado Costos'!AH$6:AH$158*'Consolidado Costos'!$E$6:$E$158),0))</f>
        <v>0</v>
      </c>
      <c r="AV136" s="318" cm="1">
        <f t="array" ref="AV136">+SUMPRODUCT(IF('Consolidado Costos'!$K$6:$K$158=$AN136,('Consolidado Costos'!AI$6:AI$158*'Consolidado Costos'!$E$6:$E$158),0))</f>
        <v>0</v>
      </c>
      <c r="AW136" s="318" cm="1">
        <f t="array" ref="AW136">+SUMPRODUCT(IF('Consolidado Costos'!$K$6:$K$158=$AN136,('Consolidado Costos'!AJ$6:AJ$158*'Consolidado Costos'!$E$6:$E$158),0))</f>
        <v>0</v>
      </c>
      <c r="AX136" s="318" cm="1">
        <f t="array" ref="AX136">+SUMPRODUCT(IF('Consolidado Costos'!$K$6:$K$158=$AN136,('Consolidado Costos'!AK$6:AK$158*'Consolidado Costos'!$E$6:$E$158),0))</f>
        <v>0</v>
      </c>
      <c r="AY136" s="318" cm="1">
        <f t="array" ref="AY136">+SUMPRODUCT(IF('Consolidado Costos'!$K$6:$K$158=$AN136,('Consolidado Costos'!AL$6:AL$158*'Consolidado Costos'!$E$6:$E$158),0))</f>
        <v>0</v>
      </c>
      <c r="AZ136" s="318" cm="1">
        <f t="array" ref="AZ136">+SUMPRODUCT(IF('Consolidado Costos'!$K$6:$K$158=$AN136,('Consolidado Costos'!AM$6:AM$158*'Consolidado Costos'!$E$6:$E$158),0))</f>
        <v>0</v>
      </c>
      <c r="BA136" s="318" cm="1">
        <f t="array" ref="BA136">+SUMPRODUCT(IF('Consolidado Costos'!$K$6:$K$158=$AN136,('Consolidado Costos'!AN$6:AN$158*'Consolidado Costos'!$E$6:$E$158),0))</f>
        <v>0</v>
      </c>
      <c r="BB136" s="318" cm="1">
        <f t="array" ref="BB136">+SUMPRODUCT(IF('Consolidado Costos'!$K$6:$K$158=$AN136,('Consolidado Costos'!AO$6:AO$158*'Consolidado Costos'!$E$6:$E$158),0))</f>
        <v>0</v>
      </c>
      <c r="BC136" s="318" cm="1">
        <f t="array" ref="BC136">+SUMPRODUCT(IF('Consolidado Costos'!$K$6:$K$158=$AN136,('Consolidado Costos'!AP$6:AP$158*'Consolidado Costos'!$E$6:$E$158),0))</f>
        <v>0</v>
      </c>
      <c r="BE136" s="327"/>
      <c r="BF136" s="330" t="s">
        <v>186</v>
      </c>
      <c r="BG136" s="330" t="s">
        <v>187</v>
      </c>
      <c r="BH136" s="329"/>
      <c r="BI136" s="354">
        <f t="shared" si="22"/>
        <v>12000</v>
      </c>
      <c r="BJ136" s="318" cm="1">
        <f t="array" ref="BJ136">+SUMPRODUCT(IF('Consolidado Costos'!$K$6:$K$158=$BF136,('Consolidado Costos'!AE$6:AE$158*'Consolidado Costos'!$F$6:$F$158),0))</f>
        <v>1000</v>
      </c>
      <c r="BK136" s="318" cm="1">
        <f t="array" ref="BK136">+SUMPRODUCT(IF('Consolidado Costos'!$K$6:$K$158=$BF136,('Consolidado Costos'!AF$6:AF$158*'Consolidado Costos'!$F$6:$F$158),0))</f>
        <v>1000</v>
      </c>
      <c r="BL136" s="318" cm="1">
        <f t="array" ref="BL136">+SUMPRODUCT(IF('Consolidado Costos'!$K$6:$K$158=$BF136,('Consolidado Costos'!AG$6:AG$158*'Consolidado Costos'!$F$6:$F$158),0))</f>
        <v>1000</v>
      </c>
      <c r="BM136" s="318" cm="1">
        <f t="array" ref="BM136">+SUMPRODUCT(IF('Consolidado Costos'!$K$6:$K$158=$BF136,('Consolidado Costos'!AH$6:AH$158*'Consolidado Costos'!$F$6:$F$158),0))</f>
        <v>1000</v>
      </c>
      <c r="BN136" s="318" cm="1">
        <f t="array" ref="BN136">+SUMPRODUCT(IF('Consolidado Costos'!$K$6:$K$158=$BF136,('Consolidado Costos'!AI$6:AI$158*'Consolidado Costos'!$F$6:$F$158),0))</f>
        <v>1000</v>
      </c>
      <c r="BO136" s="318" cm="1">
        <f t="array" ref="BO136">+SUMPRODUCT(IF('Consolidado Costos'!$K$6:$K$158=$BF136,('Consolidado Costos'!AJ$6:AJ$158*'Consolidado Costos'!$F$6:$F$158),0))</f>
        <v>1000</v>
      </c>
      <c r="BP136" s="318" cm="1">
        <f t="array" ref="BP136">+SUMPRODUCT(IF('Consolidado Costos'!$K$6:$K$158=$BF136,('Consolidado Costos'!AK$6:AK$158*'Consolidado Costos'!$F$6:$F$158),0))</f>
        <v>1000</v>
      </c>
      <c r="BQ136" s="318" cm="1">
        <f t="array" ref="BQ136">+SUMPRODUCT(IF('Consolidado Costos'!$K$6:$K$158=$BF136,('Consolidado Costos'!AL$6:AL$158*'Consolidado Costos'!$F$6:$F$158),0))</f>
        <v>1000</v>
      </c>
      <c r="BR136" s="318" cm="1">
        <f t="array" ref="BR136">+SUMPRODUCT(IF('Consolidado Costos'!$K$6:$K$158=$BF136,('Consolidado Costos'!AM$6:AM$158*'Consolidado Costos'!$F$6:$F$158),0))</f>
        <v>1000</v>
      </c>
      <c r="BS136" s="318" cm="1">
        <f t="array" ref="BS136">+SUMPRODUCT(IF('Consolidado Costos'!$K$6:$K$158=$BF136,('Consolidado Costos'!AN$6:AN$158*'Consolidado Costos'!$F$6:$F$158),0))</f>
        <v>1000</v>
      </c>
      <c r="BT136" s="318" cm="1">
        <f t="array" ref="BT136">+SUMPRODUCT(IF('Consolidado Costos'!$K$6:$K$158=$BF136,('Consolidado Costos'!AO$6:AO$158*'Consolidado Costos'!$F$6:$F$158),0))</f>
        <v>1000</v>
      </c>
      <c r="BU136" s="318" cm="1">
        <f t="array" ref="BU136">+SUMPRODUCT(IF('Consolidado Costos'!$K$6:$K$158=$BF136,('Consolidado Costos'!AP$6:AP$158*'Consolidado Costos'!$F$6:$F$158),0))</f>
        <v>1000</v>
      </c>
      <c r="BW136" s="327"/>
      <c r="BX136" s="330" t="s">
        <v>186</v>
      </c>
      <c r="BY136" s="330" t="s">
        <v>187</v>
      </c>
      <c r="BZ136" s="329"/>
      <c r="CA136" s="354">
        <f t="shared" si="23"/>
        <v>154312.66461538462</v>
      </c>
      <c r="CB136" s="318" cm="1">
        <f t="array" ref="CB136">+SUMPRODUCT(IF('Consolidado Costos'!$K$6:$K$158=$BX136,('Consolidado Costos'!AE$6:AE$158*'Consolidado Costos'!$G$6:$G$158),0))</f>
        <v>12853.606666666667</v>
      </c>
      <c r="CC136" s="318" cm="1">
        <f t="array" ref="CC136">+SUMPRODUCT(IF('Consolidado Costos'!$K$6:$K$158=$BX136,('Consolidado Costos'!AF$6:AF$158*'Consolidado Costos'!$G$6:$G$158),0))</f>
        <v>12854.65794871795</v>
      </c>
      <c r="CD136" s="318" cm="1">
        <f t="array" ref="CD136">+SUMPRODUCT(IF('Consolidado Costos'!$K$6:$K$158=$BX136,('Consolidado Costos'!AG$6:AG$158*'Consolidado Costos'!$G$6:$G$158),0))</f>
        <v>12855.709230769231</v>
      </c>
      <c r="CE136" s="318" cm="1">
        <f t="array" ref="CE136">+SUMPRODUCT(IF('Consolidado Costos'!$K$6:$K$158=$BX136,('Consolidado Costos'!AH$6:AH$158*'Consolidado Costos'!$G$6:$G$158),0))</f>
        <v>12856.760512820514</v>
      </c>
      <c r="CF136" s="318" cm="1">
        <f t="array" ref="CF136">+SUMPRODUCT(IF('Consolidado Costos'!$K$6:$K$158=$BX136,('Consolidado Costos'!AI$6:AI$158*'Consolidado Costos'!$G$6:$G$158),0))</f>
        <v>12857.811794871795</v>
      </c>
      <c r="CG136" s="318" cm="1">
        <f t="array" ref="CG136">+SUMPRODUCT(IF('Consolidado Costos'!$K$6:$K$158=$BX136,('Consolidado Costos'!AJ$6:AJ$158*'Consolidado Costos'!$G$6:$G$158),0))</f>
        <v>12858.863076923077</v>
      </c>
      <c r="CH136" s="318" cm="1">
        <f t="array" ref="CH136">+SUMPRODUCT(IF('Consolidado Costos'!$K$6:$K$158=$BX136,('Consolidado Costos'!AK$6:AK$158*'Consolidado Costos'!$G$6:$G$158),0))</f>
        <v>12859.91435897436</v>
      </c>
      <c r="CI136" s="318" cm="1">
        <f t="array" ref="CI136">+SUMPRODUCT(IF('Consolidado Costos'!$K$6:$K$158=$BX136,('Consolidado Costos'!AL$6:AL$158*'Consolidado Costos'!$G$6:$G$158),0))</f>
        <v>12860.965641025641</v>
      </c>
      <c r="CJ136" s="318" cm="1">
        <f t="array" ref="CJ136">+SUMPRODUCT(IF('Consolidado Costos'!$K$6:$K$158=$BX136,('Consolidado Costos'!AM$6:AM$158*'Consolidado Costos'!$G$6:$G$158),0))</f>
        <v>12862.016923076924</v>
      </c>
      <c r="CK136" s="318" cm="1">
        <f t="array" ref="CK136">+SUMPRODUCT(IF('Consolidado Costos'!$K$6:$K$158=$BX136,('Consolidado Costos'!AN$6:AN$158*'Consolidado Costos'!$G$6:$G$158),0))</f>
        <v>12863.068205128206</v>
      </c>
      <c r="CL136" s="318" cm="1">
        <f t="array" ref="CL136">+SUMPRODUCT(IF('Consolidado Costos'!$K$6:$K$158=$BX136,('Consolidado Costos'!AO$6:AO$158*'Consolidado Costos'!$G$6:$G$158),0))</f>
        <v>12864.119487179487</v>
      </c>
      <c r="CM136" s="318" cm="1">
        <f t="array" ref="CM136">+SUMPRODUCT(IF('Consolidado Costos'!$K$6:$K$158=$BX136,('Consolidado Costos'!AP$6:AP$158*'Consolidado Costos'!$G$6:$G$158),0))</f>
        <v>12865.17076923077</v>
      </c>
      <c r="CN136" s="357">
        <f t="shared" si="10"/>
        <v>1</v>
      </c>
    </row>
    <row r="137" spans="2:92" s="310" customFormat="1" outlineLevel="1">
      <c r="B137" s="327"/>
      <c r="C137" s="330" t="s">
        <v>192</v>
      </c>
      <c r="D137" s="330" t="s">
        <v>193</v>
      </c>
      <c r="E137" s="329"/>
      <c r="F137" s="318">
        <f>+SUMIF('Consolidado Costos'!$K$6:$K$158,$C137,'Consolidado Costos'!$AD$6:$AD$158)</f>
        <v>24000</v>
      </c>
      <c r="G137" s="318">
        <f>+SUMIF('Consolidado Costos'!$K$6:$K$158,$C137,'Consolidado Costos'!AE$6:AE$158)</f>
        <v>2000</v>
      </c>
      <c r="H137" s="318">
        <f>+SUMIF('Consolidado Costos'!$K$6:$K$158,$C137,'Consolidado Costos'!AF$6:AF$158)</f>
        <v>2000</v>
      </c>
      <c r="I137" s="318">
        <f>+SUMIF('Consolidado Costos'!$K$6:$K$158,$C137,'Consolidado Costos'!AG$6:AG$158)</f>
        <v>2000</v>
      </c>
      <c r="J137" s="318">
        <f>+SUMIF('Consolidado Costos'!$K$6:$K$158,$C137,'Consolidado Costos'!AH$6:AH$158)</f>
        <v>2000</v>
      </c>
      <c r="K137" s="318">
        <f>+SUMIF('Consolidado Costos'!$K$6:$K$158,$C137,'Consolidado Costos'!AI$6:AI$158)</f>
        <v>2000</v>
      </c>
      <c r="L137" s="318">
        <f>+SUMIF('Consolidado Costos'!$K$6:$K$158,$C137,'Consolidado Costos'!AJ$6:AJ$158)</f>
        <v>2000</v>
      </c>
      <c r="M137" s="318">
        <f>+SUMIF('Consolidado Costos'!$K$6:$K$158,$C137,'Consolidado Costos'!AK$6:AK$158)</f>
        <v>2000</v>
      </c>
      <c r="N137" s="318">
        <f>+SUMIF('Consolidado Costos'!$K$6:$K$158,$C137,'Consolidado Costos'!AL$6:AL$158)</f>
        <v>2000</v>
      </c>
      <c r="O137" s="318">
        <f>+SUMIF('Consolidado Costos'!$K$6:$K$158,$C137,'Consolidado Costos'!AM$6:AM$158)</f>
        <v>2000</v>
      </c>
      <c r="P137" s="318">
        <f>+SUMIF('Consolidado Costos'!$K$6:$K$158,$C137,'Consolidado Costos'!AN$6:AN$158)</f>
        <v>2000</v>
      </c>
      <c r="Q137" s="318">
        <f>+SUMIF('Consolidado Costos'!$K$6:$K$158,$C137,'Consolidado Costos'!AO$6:AO$158)</f>
        <v>2000</v>
      </c>
      <c r="R137" s="318">
        <f>+SUMIF('Consolidado Costos'!$K$6:$K$158,$C137,'Consolidado Costos'!AP$6:AP$158)</f>
        <v>2000</v>
      </c>
      <c r="S137" s="357">
        <f t="shared" si="5"/>
        <v>1</v>
      </c>
      <c r="U137" s="327"/>
      <c r="V137" s="330" t="s">
        <v>192</v>
      </c>
      <c r="W137" s="330" t="s">
        <v>193</v>
      </c>
      <c r="X137" s="329"/>
      <c r="Y137" s="354">
        <f t="shared" si="20"/>
        <v>0</v>
      </c>
      <c r="Z137" s="318" cm="1">
        <f t="array" ref="Z137">+SUMPRODUCT(IF('Consolidado Costos'!$K$6:$K$158=$V137,('Consolidado Costos'!AE$6:AE$158*'Consolidado Costos'!$D$6:$D$158),0))</f>
        <v>0</v>
      </c>
      <c r="AA137" s="318" cm="1">
        <f t="array" ref="AA137">+SUMPRODUCT(IF('Consolidado Costos'!$K$6:$K$158=$V137,('Consolidado Costos'!AF$6:AF$158*'Consolidado Costos'!$D$6:$D$158),0))</f>
        <v>0</v>
      </c>
      <c r="AB137" s="318" cm="1">
        <f t="array" ref="AB137">+SUMPRODUCT(IF('Consolidado Costos'!$K$6:$K$158=$V137,('Consolidado Costos'!AG$6:AG$158*'Consolidado Costos'!$D$6:$D$158),0))</f>
        <v>0</v>
      </c>
      <c r="AC137" s="318" cm="1">
        <f t="array" ref="AC137">+SUMPRODUCT(IF('Consolidado Costos'!$K$6:$K$158=$V137,('Consolidado Costos'!AH$6:AH$158*'Consolidado Costos'!$D$6:$D$158),0))</f>
        <v>0</v>
      </c>
      <c r="AD137" s="318" cm="1">
        <f t="array" ref="AD137">+SUMPRODUCT(IF('Consolidado Costos'!$K$6:$K$158=$V137,('Consolidado Costos'!AI$6:AI$158*'Consolidado Costos'!$D$6:$D$158),0))</f>
        <v>0</v>
      </c>
      <c r="AE137" s="318" cm="1">
        <f t="array" ref="AE137">+SUMPRODUCT(IF('Consolidado Costos'!$K$6:$K$158=$V137,('Consolidado Costos'!AJ$6:AJ$158*'Consolidado Costos'!$D$6:$D$158),0))</f>
        <v>0</v>
      </c>
      <c r="AF137" s="318" cm="1">
        <f t="array" ref="AF137">+SUMPRODUCT(IF('Consolidado Costos'!$K$6:$K$158=$V137,('Consolidado Costos'!AK$6:AK$158*'Consolidado Costos'!$D$6:$D$158),0))</f>
        <v>0</v>
      </c>
      <c r="AG137" s="318" cm="1">
        <f t="array" ref="AG137">+SUMPRODUCT(IF('Consolidado Costos'!$K$6:$K$158=$V137,('Consolidado Costos'!AL$6:AL$158*'Consolidado Costos'!$D$6:$D$158),0))</f>
        <v>0</v>
      </c>
      <c r="AH137" s="318" cm="1">
        <f t="array" ref="AH137">+SUMPRODUCT(IF('Consolidado Costos'!$K$6:$K$158=$V137,('Consolidado Costos'!AM$6:AM$158*'Consolidado Costos'!$D$6:$D$158),0))</f>
        <v>0</v>
      </c>
      <c r="AI137" s="318" cm="1">
        <f t="array" ref="AI137">+SUMPRODUCT(IF('Consolidado Costos'!$K$6:$K$158=$V137,('Consolidado Costos'!AN$6:AN$158*'Consolidado Costos'!$D$6:$D$158),0))</f>
        <v>0</v>
      </c>
      <c r="AJ137" s="318" cm="1">
        <f t="array" ref="AJ137">+SUMPRODUCT(IF('Consolidado Costos'!$K$6:$K$158=$V137,('Consolidado Costos'!AO$6:AO$158*'Consolidado Costos'!$D$6:$D$158),0))</f>
        <v>0</v>
      </c>
      <c r="AK137" s="318" cm="1">
        <f t="array" ref="AK137">+SUMPRODUCT(IF('Consolidado Costos'!$K$6:$K$158=$V137,('Consolidado Costos'!AP$6:AP$158*'Consolidado Costos'!$D$6:$D$158),0))</f>
        <v>0</v>
      </c>
      <c r="AM137" s="327"/>
      <c r="AN137" s="330" t="s">
        <v>192</v>
      </c>
      <c r="AO137" s="330" t="s">
        <v>193</v>
      </c>
      <c r="AP137" s="329"/>
      <c r="AQ137" s="354">
        <f t="shared" si="21"/>
        <v>0</v>
      </c>
      <c r="AR137" s="318" cm="1">
        <f t="array" ref="AR137">+SUMPRODUCT(IF('Consolidado Costos'!$K$6:$K$158=$AN137,('Consolidado Costos'!AE$6:AE$158*'Consolidado Costos'!$E$6:$E$158),0))</f>
        <v>0</v>
      </c>
      <c r="AS137" s="318" cm="1">
        <f t="array" ref="AS137">+SUMPRODUCT(IF('Consolidado Costos'!$K$6:$K$158=$AN137,('Consolidado Costos'!AF$6:AF$158*'Consolidado Costos'!$E$6:$E$158),0))</f>
        <v>0</v>
      </c>
      <c r="AT137" s="318" cm="1">
        <f t="array" ref="AT137">+SUMPRODUCT(IF('Consolidado Costos'!$K$6:$K$158=$AN137,('Consolidado Costos'!AG$6:AG$158*'Consolidado Costos'!$E$6:$E$158),0))</f>
        <v>0</v>
      </c>
      <c r="AU137" s="318" cm="1">
        <f t="array" ref="AU137">+SUMPRODUCT(IF('Consolidado Costos'!$K$6:$K$158=$AN137,('Consolidado Costos'!AH$6:AH$158*'Consolidado Costos'!$E$6:$E$158),0))</f>
        <v>0</v>
      </c>
      <c r="AV137" s="318" cm="1">
        <f t="array" ref="AV137">+SUMPRODUCT(IF('Consolidado Costos'!$K$6:$K$158=$AN137,('Consolidado Costos'!AI$6:AI$158*'Consolidado Costos'!$E$6:$E$158),0))</f>
        <v>0</v>
      </c>
      <c r="AW137" s="318" cm="1">
        <f t="array" ref="AW137">+SUMPRODUCT(IF('Consolidado Costos'!$K$6:$K$158=$AN137,('Consolidado Costos'!AJ$6:AJ$158*'Consolidado Costos'!$E$6:$E$158),0))</f>
        <v>0</v>
      </c>
      <c r="AX137" s="318" cm="1">
        <f t="array" ref="AX137">+SUMPRODUCT(IF('Consolidado Costos'!$K$6:$K$158=$AN137,('Consolidado Costos'!AK$6:AK$158*'Consolidado Costos'!$E$6:$E$158),0))</f>
        <v>0</v>
      </c>
      <c r="AY137" s="318" cm="1">
        <f t="array" ref="AY137">+SUMPRODUCT(IF('Consolidado Costos'!$K$6:$K$158=$AN137,('Consolidado Costos'!AL$6:AL$158*'Consolidado Costos'!$E$6:$E$158),0))</f>
        <v>0</v>
      </c>
      <c r="AZ137" s="318" cm="1">
        <f t="array" ref="AZ137">+SUMPRODUCT(IF('Consolidado Costos'!$K$6:$K$158=$AN137,('Consolidado Costos'!AM$6:AM$158*'Consolidado Costos'!$E$6:$E$158),0))</f>
        <v>0</v>
      </c>
      <c r="BA137" s="318" cm="1">
        <f t="array" ref="BA137">+SUMPRODUCT(IF('Consolidado Costos'!$K$6:$K$158=$AN137,('Consolidado Costos'!AN$6:AN$158*'Consolidado Costos'!$E$6:$E$158),0))</f>
        <v>0</v>
      </c>
      <c r="BB137" s="318" cm="1">
        <f t="array" ref="BB137">+SUMPRODUCT(IF('Consolidado Costos'!$K$6:$K$158=$AN137,('Consolidado Costos'!AO$6:AO$158*'Consolidado Costos'!$E$6:$E$158),0))</f>
        <v>0</v>
      </c>
      <c r="BC137" s="318" cm="1">
        <f t="array" ref="BC137">+SUMPRODUCT(IF('Consolidado Costos'!$K$6:$K$158=$AN137,('Consolidado Costos'!AP$6:AP$158*'Consolidado Costos'!$E$6:$E$158),0))</f>
        <v>0</v>
      </c>
      <c r="BE137" s="327"/>
      <c r="BF137" s="330" t="s">
        <v>192</v>
      </c>
      <c r="BG137" s="330" t="s">
        <v>193</v>
      </c>
      <c r="BH137" s="329"/>
      <c r="BI137" s="354">
        <f t="shared" si="22"/>
        <v>0</v>
      </c>
      <c r="BJ137" s="318" cm="1">
        <f t="array" ref="BJ137">+SUMPRODUCT(IF('Consolidado Costos'!$K$6:$K$158=$BF137,('Consolidado Costos'!AE$6:AE$158*'Consolidado Costos'!$F$6:$F$158),0))</f>
        <v>0</v>
      </c>
      <c r="BK137" s="318" cm="1">
        <f t="array" ref="BK137">+SUMPRODUCT(IF('Consolidado Costos'!$K$6:$K$158=$BF137,('Consolidado Costos'!AF$6:AF$158*'Consolidado Costos'!$F$6:$F$158),0))</f>
        <v>0</v>
      </c>
      <c r="BL137" s="318" cm="1">
        <f t="array" ref="BL137">+SUMPRODUCT(IF('Consolidado Costos'!$K$6:$K$158=$BF137,('Consolidado Costos'!AG$6:AG$158*'Consolidado Costos'!$F$6:$F$158),0))</f>
        <v>0</v>
      </c>
      <c r="BM137" s="318" cm="1">
        <f t="array" ref="BM137">+SUMPRODUCT(IF('Consolidado Costos'!$K$6:$K$158=$BF137,('Consolidado Costos'!AH$6:AH$158*'Consolidado Costos'!$F$6:$F$158),0))</f>
        <v>0</v>
      </c>
      <c r="BN137" s="318" cm="1">
        <f t="array" ref="BN137">+SUMPRODUCT(IF('Consolidado Costos'!$K$6:$K$158=$BF137,('Consolidado Costos'!AI$6:AI$158*'Consolidado Costos'!$F$6:$F$158),0))</f>
        <v>0</v>
      </c>
      <c r="BO137" s="318" cm="1">
        <f t="array" ref="BO137">+SUMPRODUCT(IF('Consolidado Costos'!$K$6:$K$158=$BF137,('Consolidado Costos'!AJ$6:AJ$158*'Consolidado Costos'!$F$6:$F$158),0))</f>
        <v>0</v>
      </c>
      <c r="BP137" s="318" cm="1">
        <f t="array" ref="BP137">+SUMPRODUCT(IF('Consolidado Costos'!$K$6:$K$158=$BF137,('Consolidado Costos'!AK$6:AK$158*'Consolidado Costos'!$F$6:$F$158),0))</f>
        <v>0</v>
      </c>
      <c r="BQ137" s="318" cm="1">
        <f t="array" ref="BQ137">+SUMPRODUCT(IF('Consolidado Costos'!$K$6:$K$158=$BF137,('Consolidado Costos'!AL$6:AL$158*'Consolidado Costos'!$F$6:$F$158),0))</f>
        <v>0</v>
      </c>
      <c r="BR137" s="318" cm="1">
        <f t="array" ref="BR137">+SUMPRODUCT(IF('Consolidado Costos'!$K$6:$K$158=$BF137,('Consolidado Costos'!AM$6:AM$158*'Consolidado Costos'!$F$6:$F$158),0))</f>
        <v>0</v>
      </c>
      <c r="BS137" s="318" cm="1">
        <f t="array" ref="BS137">+SUMPRODUCT(IF('Consolidado Costos'!$K$6:$K$158=$BF137,('Consolidado Costos'!AN$6:AN$158*'Consolidado Costos'!$F$6:$F$158),0))</f>
        <v>0</v>
      </c>
      <c r="BT137" s="318" cm="1">
        <f t="array" ref="BT137">+SUMPRODUCT(IF('Consolidado Costos'!$K$6:$K$158=$BF137,('Consolidado Costos'!AO$6:AO$158*'Consolidado Costos'!$F$6:$F$158),0))</f>
        <v>0</v>
      </c>
      <c r="BU137" s="318" cm="1">
        <f t="array" ref="BU137">+SUMPRODUCT(IF('Consolidado Costos'!$K$6:$K$158=$BF137,('Consolidado Costos'!AP$6:AP$158*'Consolidado Costos'!$F$6:$F$158),0))</f>
        <v>0</v>
      </c>
      <c r="BW137" s="327"/>
      <c r="BX137" s="330" t="s">
        <v>192</v>
      </c>
      <c r="BY137" s="330" t="s">
        <v>193</v>
      </c>
      <c r="BZ137" s="329"/>
      <c r="CA137" s="354">
        <f t="shared" si="23"/>
        <v>24000</v>
      </c>
      <c r="CB137" s="318" cm="1">
        <f t="array" ref="CB137">+SUMPRODUCT(IF('Consolidado Costos'!$K$6:$K$158=$BX137,('Consolidado Costos'!AE$6:AE$158*'Consolidado Costos'!$G$6:$G$158),0))</f>
        <v>2000</v>
      </c>
      <c r="CC137" s="318" cm="1">
        <f t="array" ref="CC137">+SUMPRODUCT(IF('Consolidado Costos'!$K$6:$K$158=$BX137,('Consolidado Costos'!AF$6:AF$158*'Consolidado Costos'!$G$6:$G$158),0))</f>
        <v>2000</v>
      </c>
      <c r="CD137" s="318" cm="1">
        <f t="array" ref="CD137">+SUMPRODUCT(IF('Consolidado Costos'!$K$6:$K$158=$BX137,('Consolidado Costos'!AG$6:AG$158*'Consolidado Costos'!$G$6:$G$158),0))</f>
        <v>2000</v>
      </c>
      <c r="CE137" s="318" cm="1">
        <f t="array" ref="CE137">+SUMPRODUCT(IF('Consolidado Costos'!$K$6:$K$158=$BX137,('Consolidado Costos'!AH$6:AH$158*'Consolidado Costos'!$G$6:$G$158),0))</f>
        <v>2000</v>
      </c>
      <c r="CF137" s="318" cm="1">
        <f t="array" ref="CF137">+SUMPRODUCT(IF('Consolidado Costos'!$K$6:$K$158=$BX137,('Consolidado Costos'!AI$6:AI$158*'Consolidado Costos'!$G$6:$G$158),0))</f>
        <v>2000</v>
      </c>
      <c r="CG137" s="318" cm="1">
        <f t="array" ref="CG137">+SUMPRODUCT(IF('Consolidado Costos'!$K$6:$K$158=$BX137,('Consolidado Costos'!AJ$6:AJ$158*'Consolidado Costos'!$G$6:$G$158),0))</f>
        <v>2000</v>
      </c>
      <c r="CH137" s="318" cm="1">
        <f t="array" ref="CH137">+SUMPRODUCT(IF('Consolidado Costos'!$K$6:$K$158=$BX137,('Consolidado Costos'!AK$6:AK$158*'Consolidado Costos'!$G$6:$G$158),0))</f>
        <v>2000</v>
      </c>
      <c r="CI137" s="318" cm="1">
        <f t="array" ref="CI137">+SUMPRODUCT(IF('Consolidado Costos'!$K$6:$K$158=$BX137,('Consolidado Costos'!AL$6:AL$158*'Consolidado Costos'!$G$6:$G$158),0))</f>
        <v>2000</v>
      </c>
      <c r="CJ137" s="318" cm="1">
        <f t="array" ref="CJ137">+SUMPRODUCT(IF('Consolidado Costos'!$K$6:$K$158=$BX137,('Consolidado Costos'!AM$6:AM$158*'Consolidado Costos'!$G$6:$G$158),0))</f>
        <v>2000</v>
      </c>
      <c r="CK137" s="318" cm="1">
        <f t="array" ref="CK137">+SUMPRODUCT(IF('Consolidado Costos'!$K$6:$K$158=$BX137,('Consolidado Costos'!AN$6:AN$158*'Consolidado Costos'!$G$6:$G$158),0))</f>
        <v>2000</v>
      </c>
      <c r="CL137" s="318" cm="1">
        <f t="array" ref="CL137">+SUMPRODUCT(IF('Consolidado Costos'!$K$6:$K$158=$BX137,('Consolidado Costos'!AO$6:AO$158*'Consolidado Costos'!$G$6:$G$158),0))</f>
        <v>2000</v>
      </c>
      <c r="CM137" s="318" cm="1">
        <f t="array" ref="CM137">+SUMPRODUCT(IF('Consolidado Costos'!$K$6:$K$158=$BX137,('Consolidado Costos'!AP$6:AP$158*'Consolidado Costos'!$G$6:$G$158),0))</f>
        <v>2000</v>
      </c>
      <c r="CN137" s="357">
        <f t="shared" si="10"/>
        <v>1</v>
      </c>
    </row>
    <row r="138" spans="2:92" s="310" customFormat="1" outlineLevel="1">
      <c r="B138" s="327"/>
      <c r="C138" s="330" t="s">
        <v>529</v>
      </c>
      <c r="D138" s="330" t="s">
        <v>530</v>
      </c>
      <c r="E138" s="329"/>
      <c r="F138" s="318">
        <f>+SUMIF('Consolidado Costos'!$K$6:$K$158,$C138,'Consolidado Costos'!$AD$6:$AD$158)</f>
        <v>0</v>
      </c>
      <c r="G138" s="318">
        <f>+SUMIF('Consolidado Costos'!$K$6:$K$158,$C138,'Consolidado Costos'!AE$6:AE$158)</f>
        <v>0</v>
      </c>
      <c r="H138" s="318">
        <f>+SUMIF('Consolidado Costos'!$K$6:$K$158,$C138,'Consolidado Costos'!AF$6:AF$158)</f>
        <v>0</v>
      </c>
      <c r="I138" s="318">
        <f>+SUMIF('Consolidado Costos'!$K$6:$K$158,$C138,'Consolidado Costos'!AG$6:AG$158)</f>
        <v>0</v>
      </c>
      <c r="J138" s="318">
        <f>+SUMIF('Consolidado Costos'!$K$6:$K$158,$C138,'Consolidado Costos'!AH$6:AH$158)</f>
        <v>0</v>
      </c>
      <c r="K138" s="318">
        <f>+SUMIF('Consolidado Costos'!$K$6:$K$158,$C138,'Consolidado Costos'!AI$6:AI$158)</f>
        <v>0</v>
      </c>
      <c r="L138" s="318">
        <f>+SUMIF('Consolidado Costos'!$K$6:$K$158,$C138,'Consolidado Costos'!AJ$6:AJ$158)</f>
        <v>0</v>
      </c>
      <c r="M138" s="318">
        <f>+SUMIF('Consolidado Costos'!$K$6:$K$158,$C138,'Consolidado Costos'!AK$6:AK$158)</f>
        <v>0</v>
      </c>
      <c r="N138" s="318">
        <f>+SUMIF('Consolidado Costos'!$K$6:$K$158,$C138,'Consolidado Costos'!AL$6:AL$158)</f>
        <v>0</v>
      </c>
      <c r="O138" s="318">
        <f>+SUMIF('Consolidado Costos'!$K$6:$K$158,$C138,'Consolidado Costos'!AM$6:AM$158)</f>
        <v>0</v>
      </c>
      <c r="P138" s="318">
        <f>+SUMIF('Consolidado Costos'!$K$6:$K$158,$C138,'Consolidado Costos'!AN$6:AN$158)</f>
        <v>0</v>
      </c>
      <c r="Q138" s="318">
        <f>+SUMIF('Consolidado Costos'!$K$6:$K$158,$C138,'Consolidado Costos'!AO$6:AO$158)</f>
        <v>0</v>
      </c>
      <c r="R138" s="318">
        <f>+SUMIF('Consolidado Costos'!$K$6:$K$158,$C138,'Consolidado Costos'!AP$6:AP$158)</f>
        <v>0</v>
      </c>
      <c r="S138" s="357">
        <f t="shared" si="5"/>
        <v>1</v>
      </c>
      <c r="U138" s="327"/>
      <c r="V138" s="330" t="s">
        <v>529</v>
      </c>
      <c r="W138" s="330" t="s">
        <v>530</v>
      </c>
      <c r="X138" s="329"/>
      <c r="Y138" s="354">
        <f t="shared" si="20"/>
        <v>0</v>
      </c>
      <c r="Z138" s="318" cm="1">
        <f t="array" ref="Z138">+SUMPRODUCT(IF('Consolidado Costos'!$K$6:$K$158=$V138,('Consolidado Costos'!AE$6:AE$158*'Consolidado Costos'!$D$6:$D$158),0))</f>
        <v>0</v>
      </c>
      <c r="AA138" s="318" cm="1">
        <f t="array" ref="AA138">+SUMPRODUCT(IF('Consolidado Costos'!$K$6:$K$158=$V138,('Consolidado Costos'!AF$6:AF$158*'Consolidado Costos'!$D$6:$D$158),0))</f>
        <v>0</v>
      </c>
      <c r="AB138" s="318" cm="1">
        <f t="array" ref="AB138">+SUMPRODUCT(IF('Consolidado Costos'!$K$6:$K$158=$V138,('Consolidado Costos'!AG$6:AG$158*'Consolidado Costos'!$D$6:$D$158),0))</f>
        <v>0</v>
      </c>
      <c r="AC138" s="318" cm="1">
        <f t="array" ref="AC138">+SUMPRODUCT(IF('Consolidado Costos'!$K$6:$K$158=$V138,('Consolidado Costos'!AH$6:AH$158*'Consolidado Costos'!$D$6:$D$158),0))</f>
        <v>0</v>
      </c>
      <c r="AD138" s="318" cm="1">
        <f t="array" ref="AD138">+SUMPRODUCT(IF('Consolidado Costos'!$K$6:$K$158=$V138,('Consolidado Costos'!AI$6:AI$158*'Consolidado Costos'!$D$6:$D$158),0))</f>
        <v>0</v>
      </c>
      <c r="AE138" s="318" cm="1">
        <f t="array" ref="AE138">+SUMPRODUCT(IF('Consolidado Costos'!$K$6:$K$158=$V138,('Consolidado Costos'!AJ$6:AJ$158*'Consolidado Costos'!$D$6:$D$158),0))</f>
        <v>0</v>
      </c>
      <c r="AF138" s="318" cm="1">
        <f t="array" ref="AF138">+SUMPRODUCT(IF('Consolidado Costos'!$K$6:$K$158=$V138,('Consolidado Costos'!AK$6:AK$158*'Consolidado Costos'!$D$6:$D$158),0))</f>
        <v>0</v>
      </c>
      <c r="AG138" s="318" cm="1">
        <f t="array" ref="AG138">+SUMPRODUCT(IF('Consolidado Costos'!$K$6:$K$158=$V138,('Consolidado Costos'!AL$6:AL$158*'Consolidado Costos'!$D$6:$D$158),0))</f>
        <v>0</v>
      </c>
      <c r="AH138" s="318" cm="1">
        <f t="array" ref="AH138">+SUMPRODUCT(IF('Consolidado Costos'!$K$6:$K$158=$V138,('Consolidado Costos'!AM$6:AM$158*'Consolidado Costos'!$D$6:$D$158),0))</f>
        <v>0</v>
      </c>
      <c r="AI138" s="318" cm="1">
        <f t="array" ref="AI138">+SUMPRODUCT(IF('Consolidado Costos'!$K$6:$K$158=$V138,('Consolidado Costos'!AN$6:AN$158*'Consolidado Costos'!$D$6:$D$158),0))</f>
        <v>0</v>
      </c>
      <c r="AJ138" s="318" cm="1">
        <f t="array" ref="AJ138">+SUMPRODUCT(IF('Consolidado Costos'!$K$6:$K$158=$V138,('Consolidado Costos'!AO$6:AO$158*'Consolidado Costos'!$D$6:$D$158),0))</f>
        <v>0</v>
      </c>
      <c r="AK138" s="318" cm="1">
        <f t="array" ref="AK138">+SUMPRODUCT(IF('Consolidado Costos'!$K$6:$K$158=$V138,('Consolidado Costos'!AP$6:AP$158*'Consolidado Costos'!$D$6:$D$158),0))</f>
        <v>0</v>
      </c>
      <c r="AM138" s="327"/>
      <c r="AN138" s="330" t="s">
        <v>529</v>
      </c>
      <c r="AO138" s="330" t="s">
        <v>530</v>
      </c>
      <c r="AP138" s="329"/>
      <c r="AQ138" s="354">
        <f t="shared" si="21"/>
        <v>0</v>
      </c>
      <c r="AR138" s="318" cm="1">
        <f t="array" ref="AR138">+SUMPRODUCT(IF('Consolidado Costos'!$K$6:$K$158=$AN138,('Consolidado Costos'!AE$6:AE$158*'Consolidado Costos'!$E$6:$E$158),0))</f>
        <v>0</v>
      </c>
      <c r="AS138" s="318" cm="1">
        <f t="array" ref="AS138">+SUMPRODUCT(IF('Consolidado Costos'!$K$6:$K$158=$AN138,('Consolidado Costos'!AF$6:AF$158*'Consolidado Costos'!$E$6:$E$158),0))</f>
        <v>0</v>
      </c>
      <c r="AT138" s="318" cm="1">
        <f t="array" ref="AT138">+SUMPRODUCT(IF('Consolidado Costos'!$K$6:$K$158=$AN138,('Consolidado Costos'!AG$6:AG$158*'Consolidado Costos'!$E$6:$E$158),0))</f>
        <v>0</v>
      </c>
      <c r="AU138" s="318" cm="1">
        <f t="array" ref="AU138">+SUMPRODUCT(IF('Consolidado Costos'!$K$6:$K$158=$AN138,('Consolidado Costos'!AH$6:AH$158*'Consolidado Costos'!$E$6:$E$158),0))</f>
        <v>0</v>
      </c>
      <c r="AV138" s="318" cm="1">
        <f t="array" ref="AV138">+SUMPRODUCT(IF('Consolidado Costos'!$K$6:$K$158=$AN138,('Consolidado Costos'!AI$6:AI$158*'Consolidado Costos'!$E$6:$E$158),0))</f>
        <v>0</v>
      </c>
      <c r="AW138" s="318" cm="1">
        <f t="array" ref="AW138">+SUMPRODUCT(IF('Consolidado Costos'!$K$6:$K$158=$AN138,('Consolidado Costos'!AJ$6:AJ$158*'Consolidado Costos'!$E$6:$E$158),0))</f>
        <v>0</v>
      </c>
      <c r="AX138" s="318" cm="1">
        <f t="array" ref="AX138">+SUMPRODUCT(IF('Consolidado Costos'!$K$6:$K$158=$AN138,('Consolidado Costos'!AK$6:AK$158*'Consolidado Costos'!$E$6:$E$158),0))</f>
        <v>0</v>
      </c>
      <c r="AY138" s="318" cm="1">
        <f t="array" ref="AY138">+SUMPRODUCT(IF('Consolidado Costos'!$K$6:$K$158=$AN138,('Consolidado Costos'!AL$6:AL$158*'Consolidado Costos'!$E$6:$E$158),0))</f>
        <v>0</v>
      </c>
      <c r="AZ138" s="318" cm="1">
        <f t="array" ref="AZ138">+SUMPRODUCT(IF('Consolidado Costos'!$K$6:$K$158=$AN138,('Consolidado Costos'!AM$6:AM$158*'Consolidado Costos'!$E$6:$E$158),0))</f>
        <v>0</v>
      </c>
      <c r="BA138" s="318" cm="1">
        <f t="array" ref="BA138">+SUMPRODUCT(IF('Consolidado Costos'!$K$6:$K$158=$AN138,('Consolidado Costos'!AN$6:AN$158*'Consolidado Costos'!$E$6:$E$158),0))</f>
        <v>0</v>
      </c>
      <c r="BB138" s="318" cm="1">
        <f t="array" ref="BB138">+SUMPRODUCT(IF('Consolidado Costos'!$K$6:$K$158=$AN138,('Consolidado Costos'!AO$6:AO$158*'Consolidado Costos'!$E$6:$E$158),0))</f>
        <v>0</v>
      </c>
      <c r="BC138" s="318" cm="1">
        <f t="array" ref="BC138">+SUMPRODUCT(IF('Consolidado Costos'!$K$6:$K$158=$AN138,('Consolidado Costos'!AP$6:AP$158*'Consolidado Costos'!$E$6:$E$158),0))</f>
        <v>0</v>
      </c>
      <c r="BE138" s="327"/>
      <c r="BF138" s="330" t="s">
        <v>529</v>
      </c>
      <c r="BG138" s="330" t="s">
        <v>530</v>
      </c>
      <c r="BH138" s="329"/>
      <c r="BI138" s="354">
        <f t="shared" si="22"/>
        <v>0</v>
      </c>
      <c r="BJ138" s="318" cm="1">
        <f t="array" ref="BJ138">+SUMPRODUCT(IF('Consolidado Costos'!$K$6:$K$158=$BF138,('Consolidado Costos'!AE$6:AE$158*'Consolidado Costos'!$F$6:$F$158),0))</f>
        <v>0</v>
      </c>
      <c r="BK138" s="318" cm="1">
        <f t="array" ref="BK138">+SUMPRODUCT(IF('Consolidado Costos'!$K$6:$K$158=$BF138,('Consolidado Costos'!AF$6:AF$158*'Consolidado Costos'!$F$6:$F$158),0))</f>
        <v>0</v>
      </c>
      <c r="BL138" s="318" cm="1">
        <f t="array" ref="BL138">+SUMPRODUCT(IF('Consolidado Costos'!$K$6:$K$158=$BF138,('Consolidado Costos'!AG$6:AG$158*'Consolidado Costos'!$F$6:$F$158),0))</f>
        <v>0</v>
      </c>
      <c r="BM138" s="318" cm="1">
        <f t="array" ref="BM138">+SUMPRODUCT(IF('Consolidado Costos'!$K$6:$K$158=$BF138,('Consolidado Costos'!AH$6:AH$158*'Consolidado Costos'!$F$6:$F$158),0))</f>
        <v>0</v>
      </c>
      <c r="BN138" s="318" cm="1">
        <f t="array" ref="BN138">+SUMPRODUCT(IF('Consolidado Costos'!$K$6:$K$158=$BF138,('Consolidado Costos'!AI$6:AI$158*'Consolidado Costos'!$F$6:$F$158),0))</f>
        <v>0</v>
      </c>
      <c r="BO138" s="318" cm="1">
        <f t="array" ref="BO138">+SUMPRODUCT(IF('Consolidado Costos'!$K$6:$K$158=$BF138,('Consolidado Costos'!AJ$6:AJ$158*'Consolidado Costos'!$F$6:$F$158),0))</f>
        <v>0</v>
      </c>
      <c r="BP138" s="318" cm="1">
        <f t="array" ref="BP138">+SUMPRODUCT(IF('Consolidado Costos'!$K$6:$K$158=$BF138,('Consolidado Costos'!AK$6:AK$158*'Consolidado Costos'!$F$6:$F$158),0))</f>
        <v>0</v>
      </c>
      <c r="BQ138" s="318" cm="1">
        <f t="array" ref="BQ138">+SUMPRODUCT(IF('Consolidado Costos'!$K$6:$K$158=$BF138,('Consolidado Costos'!AL$6:AL$158*'Consolidado Costos'!$F$6:$F$158),0))</f>
        <v>0</v>
      </c>
      <c r="BR138" s="318" cm="1">
        <f t="array" ref="BR138">+SUMPRODUCT(IF('Consolidado Costos'!$K$6:$K$158=$BF138,('Consolidado Costos'!AM$6:AM$158*'Consolidado Costos'!$F$6:$F$158),0))</f>
        <v>0</v>
      </c>
      <c r="BS138" s="318" cm="1">
        <f t="array" ref="BS138">+SUMPRODUCT(IF('Consolidado Costos'!$K$6:$K$158=$BF138,('Consolidado Costos'!AN$6:AN$158*'Consolidado Costos'!$F$6:$F$158),0))</f>
        <v>0</v>
      </c>
      <c r="BT138" s="318" cm="1">
        <f t="array" ref="BT138">+SUMPRODUCT(IF('Consolidado Costos'!$K$6:$K$158=$BF138,('Consolidado Costos'!AO$6:AO$158*'Consolidado Costos'!$F$6:$F$158),0))</f>
        <v>0</v>
      </c>
      <c r="BU138" s="318" cm="1">
        <f t="array" ref="BU138">+SUMPRODUCT(IF('Consolidado Costos'!$K$6:$K$158=$BF138,('Consolidado Costos'!AP$6:AP$158*'Consolidado Costos'!$F$6:$F$158),0))</f>
        <v>0</v>
      </c>
      <c r="BW138" s="327"/>
      <c r="BX138" s="330" t="s">
        <v>529</v>
      </c>
      <c r="BY138" s="330" t="s">
        <v>530</v>
      </c>
      <c r="BZ138" s="329"/>
      <c r="CA138" s="354">
        <f t="shared" si="23"/>
        <v>0</v>
      </c>
      <c r="CB138" s="318" cm="1">
        <f t="array" ref="CB138">+SUMPRODUCT(IF('Consolidado Costos'!$K$6:$K$158=$BX138,('Consolidado Costos'!AE$6:AE$158*'Consolidado Costos'!$G$6:$G$158),0))</f>
        <v>0</v>
      </c>
      <c r="CC138" s="318" cm="1">
        <f t="array" ref="CC138">+SUMPRODUCT(IF('Consolidado Costos'!$K$6:$K$158=$BX138,('Consolidado Costos'!AF$6:AF$158*'Consolidado Costos'!$G$6:$G$158),0))</f>
        <v>0</v>
      </c>
      <c r="CD138" s="318" cm="1">
        <f t="array" ref="CD138">+SUMPRODUCT(IF('Consolidado Costos'!$K$6:$K$158=$BX138,('Consolidado Costos'!AG$6:AG$158*'Consolidado Costos'!$G$6:$G$158),0))</f>
        <v>0</v>
      </c>
      <c r="CE138" s="318" cm="1">
        <f t="array" ref="CE138">+SUMPRODUCT(IF('Consolidado Costos'!$K$6:$K$158=$BX138,('Consolidado Costos'!AH$6:AH$158*'Consolidado Costos'!$G$6:$G$158),0))</f>
        <v>0</v>
      </c>
      <c r="CF138" s="318" cm="1">
        <f t="array" ref="CF138">+SUMPRODUCT(IF('Consolidado Costos'!$K$6:$K$158=$BX138,('Consolidado Costos'!AI$6:AI$158*'Consolidado Costos'!$G$6:$G$158),0))</f>
        <v>0</v>
      </c>
      <c r="CG138" s="318" cm="1">
        <f t="array" ref="CG138">+SUMPRODUCT(IF('Consolidado Costos'!$K$6:$K$158=$BX138,('Consolidado Costos'!AJ$6:AJ$158*'Consolidado Costos'!$G$6:$G$158),0))</f>
        <v>0</v>
      </c>
      <c r="CH138" s="318" cm="1">
        <f t="array" ref="CH138">+SUMPRODUCT(IF('Consolidado Costos'!$K$6:$K$158=$BX138,('Consolidado Costos'!AK$6:AK$158*'Consolidado Costos'!$G$6:$G$158),0))</f>
        <v>0</v>
      </c>
      <c r="CI138" s="318" cm="1">
        <f t="array" ref="CI138">+SUMPRODUCT(IF('Consolidado Costos'!$K$6:$K$158=$BX138,('Consolidado Costos'!AL$6:AL$158*'Consolidado Costos'!$G$6:$G$158),0))</f>
        <v>0</v>
      </c>
      <c r="CJ138" s="318" cm="1">
        <f t="array" ref="CJ138">+SUMPRODUCT(IF('Consolidado Costos'!$K$6:$K$158=$BX138,('Consolidado Costos'!AM$6:AM$158*'Consolidado Costos'!$G$6:$G$158),0))</f>
        <v>0</v>
      </c>
      <c r="CK138" s="318" cm="1">
        <f t="array" ref="CK138">+SUMPRODUCT(IF('Consolidado Costos'!$K$6:$K$158=$BX138,('Consolidado Costos'!AN$6:AN$158*'Consolidado Costos'!$G$6:$G$158),0))</f>
        <v>0</v>
      </c>
      <c r="CL138" s="318" cm="1">
        <f t="array" ref="CL138">+SUMPRODUCT(IF('Consolidado Costos'!$K$6:$K$158=$BX138,('Consolidado Costos'!AO$6:AO$158*'Consolidado Costos'!$G$6:$G$158),0))</f>
        <v>0</v>
      </c>
      <c r="CM138" s="318" cm="1">
        <f t="array" ref="CM138">+SUMPRODUCT(IF('Consolidado Costos'!$K$6:$K$158=$BX138,('Consolidado Costos'!AP$6:AP$158*'Consolidado Costos'!$G$6:$G$158),0))</f>
        <v>0</v>
      </c>
      <c r="CN138" s="357">
        <f t="shared" si="10"/>
        <v>1</v>
      </c>
    </row>
    <row r="139" spans="2:92" s="310" customFormat="1" outlineLevel="1">
      <c r="B139" s="327"/>
      <c r="C139" s="330" t="s">
        <v>531</v>
      </c>
      <c r="D139" s="330" t="s">
        <v>532</v>
      </c>
      <c r="E139" s="329"/>
      <c r="F139" s="318">
        <f>+SUMIF('Consolidado Costos'!$K$6:$K$158,$C139,'Consolidado Costos'!$AD$6:$AD$158)</f>
        <v>0</v>
      </c>
      <c r="G139" s="318">
        <f>+SUMIF('Consolidado Costos'!$K$6:$K$158,$C139,'Consolidado Costos'!AE$6:AE$158)</f>
        <v>0</v>
      </c>
      <c r="H139" s="318">
        <f>+SUMIF('Consolidado Costos'!$K$6:$K$158,$C139,'Consolidado Costos'!AF$6:AF$158)</f>
        <v>0</v>
      </c>
      <c r="I139" s="318">
        <f>+SUMIF('Consolidado Costos'!$K$6:$K$158,$C139,'Consolidado Costos'!AG$6:AG$158)</f>
        <v>0</v>
      </c>
      <c r="J139" s="318">
        <f>+SUMIF('Consolidado Costos'!$K$6:$K$158,$C139,'Consolidado Costos'!AH$6:AH$158)</f>
        <v>0</v>
      </c>
      <c r="K139" s="318">
        <f>+SUMIF('Consolidado Costos'!$K$6:$K$158,$C139,'Consolidado Costos'!AI$6:AI$158)</f>
        <v>0</v>
      </c>
      <c r="L139" s="318">
        <f>+SUMIF('Consolidado Costos'!$K$6:$K$158,$C139,'Consolidado Costos'!AJ$6:AJ$158)</f>
        <v>0</v>
      </c>
      <c r="M139" s="318">
        <f>+SUMIF('Consolidado Costos'!$K$6:$K$158,$C139,'Consolidado Costos'!AK$6:AK$158)</f>
        <v>0</v>
      </c>
      <c r="N139" s="318">
        <f>+SUMIF('Consolidado Costos'!$K$6:$K$158,$C139,'Consolidado Costos'!AL$6:AL$158)</f>
        <v>0</v>
      </c>
      <c r="O139" s="318">
        <f>+SUMIF('Consolidado Costos'!$K$6:$K$158,$C139,'Consolidado Costos'!AM$6:AM$158)</f>
        <v>0</v>
      </c>
      <c r="P139" s="318">
        <f>+SUMIF('Consolidado Costos'!$K$6:$K$158,$C139,'Consolidado Costos'!AN$6:AN$158)</f>
        <v>0</v>
      </c>
      <c r="Q139" s="318">
        <f>+SUMIF('Consolidado Costos'!$K$6:$K$158,$C139,'Consolidado Costos'!AO$6:AO$158)</f>
        <v>0</v>
      </c>
      <c r="R139" s="318">
        <f>+SUMIF('Consolidado Costos'!$K$6:$K$158,$C139,'Consolidado Costos'!AP$6:AP$158)</f>
        <v>0</v>
      </c>
      <c r="S139" s="357">
        <f t="shared" si="5"/>
        <v>1</v>
      </c>
      <c r="U139" s="327"/>
      <c r="V139" s="330" t="s">
        <v>531</v>
      </c>
      <c r="W139" s="330" t="s">
        <v>532</v>
      </c>
      <c r="X139" s="329"/>
      <c r="Y139" s="354">
        <f t="shared" si="20"/>
        <v>0</v>
      </c>
      <c r="Z139" s="318" cm="1">
        <f t="array" ref="Z139">+SUMPRODUCT(IF('Consolidado Costos'!$K$6:$K$158=$V139,('Consolidado Costos'!AE$6:AE$158*'Consolidado Costos'!$D$6:$D$158),0))</f>
        <v>0</v>
      </c>
      <c r="AA139" s="318" cm="1">
        <f t="array" ref="AA139">+SUMPRODUCT(IF('Consolidado Costos'!$K$6:$K$158=$V139,('Consolidado Costos'!AF$6:AF$158*'Consolidado Costos'!$D$6:$D$158),0))</f>
        <v>0</v>
      </c>
      <c r="AB139" s="318" cm="1">
        <f t="array" ref="AB139">+SUMPRODUCT(IF('Consolidado Costos'!$K$6:$K$158=$V139,('Consolidado Costos'!AG$6:AG$158*'Consolidado Costos'!$D$6:$D$158),0))</f>
        <v>0</v>
      </c>
      <c r="AC139" s="318" cm="1">
        <f t="array" ref="AC139">+SUMPRODUCT(IF('Consolidado Costos'!$K$6:$K$158=$V139,('Consolidado Costos'!AH$6:AH$158*'Consolidado Costos'!$D$6:$D$158),0))</f>
        <v>0</v>
      </c>
      <c r="AD139" s="318" cm="1">
        <f t="array" ref="AD139">+SUMPRODUCT(IF('Consolidado Costos'!$K$6:$K$158=$V139,('Consolidado Costos'!AI$6:AI$158*'Consolidado Costos'!$D$6:$D$158),0))</f>
        <v>0</v>
      </c>
      <c r="AE139" s="318" cm="1">
        <f t="array" ref="AE139">+SUMPRODUCT(IF('Consolidado Costos'!$K$6:$K$158=$V139,('Consolidado Costos'!AJ$6:AJ$158*'Consolidado Costos'!$D$6:$D$158),0))</f>
        <v>0</v>
      </c>
      <c r="AF139" s="318" cm="1">
        <f t="array" ref="AF139">+SUMPRODUCT(IF('Consolidado Costos'!$K$6:$K$158=$V139,('Consolidado Costos'!AK$6:AK$158*'Consolidado Costos'!$D$6:$D$158),0))</f>
        <v>0</v>
      </c>
      <c r="AG139" s="318" cm="1">
        <f t="array" ref="AG139">+SUMPRODUCT(IF('Consolidado Costos'!$K$6:$K$158=$V139,('Consolidado Costos'!AL$6:AL$158*'Consolidado Costos'!$D$6:$D$158),0))</f>
        <v>0</v>
      </c>
      <c r="AH139" s="318" cm="1">
        <f t="array" ref="AH139">+SUMPRODUCT(IF('Consolidado Costos'!$K$6:$K$158=$V139,('Consolidado Costos'!AM$6:AM$158*'Consolidado Costos'!$D$6:$D$158),0))</f>
        <v>0</v>
      </c>
      <c r="AI139" s="318" cm="1">
        <f t="array" ref="AI139">+SUMPRODUCT(IF('Consolidado Costos'!$K$6:$K$158=$V139,('Consolidado Costos'!AN$6:AN$158*'Consolidado Costos'!$D$6:$D$158),0))</f>
        <v>0</v>
      </c>
      <c r="AJ139" s="318" cm="1">
        <f t="array" ref="AJ139">+SUMPRODUCT(IF('Consolidado Costos'!$K$6:$K$158=$V139,('Consolidado Costos'!AO$6:AO$158*'Consolidado Costos'!$D$6:$D$158),0))</f>
        <v>0</v>
      </c>
      <c r="AK139" s="318" cm="1">
        <f t="array" ref="AK139">+SUMPRODUCT(IF('Consolidado Costos'!$K$6:$K$158=$V139,('Consolidado Costos'!AP$6:AP$158*'Consolidado Costos'!$D$6:$D$158),0))</f>
        <v>0</v>
      </c>
      <c r="AM139" s="327"/>
      <c r="AN139" s="330" t="s">
        <v>531</v>
      </c>
      <c r="AO139" s="330" t="s">
        <v>532</v>
      </c>
      <c r="AP139" s="329"/>
      <c r="AQ139" s="354">
        <f t="shared" si="21"/>
        <v>0</v>
      </c>
      <c r="AR139" s="318" cm="1">
        <f t="array" ref="AR139">+SUMPRODUCT(IF('Consolidado Costos'!$K$6:$K$158=$AN139,('Consolidado Costos'!AE$6:AE$158*'Consolidado Costos'!$E$6:$E$158),0))</f>
        <v>0</v>
      </c>
      <c r="AS139" s="318" cm="1">
        <f t="array" ref="AS139">+SUMPRODUCT(IF('Consolidado Costos'!$K$6:$K$158=$AN139,('Consolidado Costos'!AF$6:AF$158*'Consolidado Costos'!$E$6:$E$158),0))</f>
        <v>0</v>
      </c>
      <c r="AT139" s="318" cm="1">
        <f t="array" ref="AT139">+SUMPRODUCT(IF('Consolidado Costos'!$K$6:$K$158=$AN139,('Consolidado Costos'!AG$6:AG$158*'Consolidado Costos'!$E$6:$E$158),0))</f>
        <v>0</v>
      </c>
      <c r="AU139" s="318" cm="1">
        <f t="array" ref="AU139">+SUMPRODUCT(IF('Consolidado Costos'!$K$6:$K$158=$AN139,('Consolidado Costos'!AH$6:AH$158*'Consolidado Costos'!$E$6:$E$158),0))</f>
        <v>0</v>
      </c>
      <c r="AV139" s="318" cm="1">
        <f t="array" ref="AV139">+SUMPRODUCT(IF('Consolidado Costos'!$K$6:$K$158=$AN139,('Consolidado Costos'!AI$6:AI$158*'Consolidado Costos'!$E$6:$E$158),0))</f>
        <v>0</v>
      </c>
      <c r="AW139" s="318" cm="1">
        <f t="array" ref="AW139">+SUMPRODUCT(IF('Consolidado Costos'!$K$6:$K$158=$AN139,('Consolidado Costos'!AJ$6:AJ$158*'Consolidado Costos'!$E$6:$E$158),0))</f>
        <v>0</v>
      </c>
      <c r="AX139" s="318" cm="1">
        <f t="array" ref="AX139">+SUMPRODUCT(IF('Consolidado Costos'!$K$6:$K$158=$AN139,('Consolidado Costos'!AK$6:AK$158*'Consolidado Costos'!$E$6:$E$158),0))</f>
        <v>0</v>
      </c>
      <c r="AY139" s="318" cm="1">
        <f t="array" ref="AY139">+SUMPRODUCT(IF('Consolidado Costos'!$K$6:$K$158=$AN139,('Consolidado Costos'!AL$6:AL$158*'Consolidado Costos'!$E$6:$E$158),0))</f>
        <v>0</v>
      </c>
      <c r="AZ139" s="318" cm="1">
        <f t="array" ref="AZ139">+SUMPRODUCT(IF('Consolidado Costos'!$K$6:$K$158=$AN139,('Consolidado Costos'!AM$6:AM$158*'Consolidado Costos'!$E$6:$E$158),0))</f>
        <v>0</v>
      </c>
      <c r="BA139" s="318" cm="1">
        <f t="array" ref="BA139">+SUMPRODUCT(IF('Consolidado Costos'!$K$6:$K$158=$AN139,('Consolidado Costos'!AN$6:AN$158*'Consolidado Costos'!$E$6:$E$158),0))</f>
        <v>0</v>
      </c>
      <c r="BB139" s="318" cm="1">
        <f t="array" ref="BB139">+SUMPRODUCT(IF('Consolidado Costos'!$K$6:$K$158=$AN139,('Consolidado Costos'!AO$6:AO$158*'Consolidado Costos'!$E$6:$E$158),0))</f>
        <v>0</v>
      </c>
      <c r="BC139" s="318" cm="1">
        <f t="array" ref="BC139">+SUMPRODUCT(IF('Consolidado Costos'!$K$6:$K$158=$AN139,('Consolidado Costos'!AP$6:AP$158*'Consolidado Costos'!$E$6:$E$158),0))</f>
        <v>0</v>
      </c>
      <c r="BE139" s="327"/>
      <c r="BF139" s="330" t="s">
        <v>531</v>
      </c>
      <c r="BG139" s="330" t="s">
        <v>532</v>
      </c>
      <c r="BH139" s="329"/>
      <c r="BI139" s="354">
        <f t="shared" si="22"/>
        <v>0</v>
      </c>
      <c r="BJ139" s="318" cm="1">
        <f t="array" ref="BJ139">+SUMPRODUCT(IF('Consolidado Costos'!$K$6:$K$158=$BF139,('Consolidado Costos'!AE$6:AE$158*'Consolidado Costos'!$F$6:$F$158),0))</f>
        <v>0</v>
      </c>
      <c r="BK139" s="318" cm="1">
        <f t="array" ref="BK139">+SUMPRODUCT(IF('Consolidado Costos'!$K$6:$K$158=$BF139,('Consolidado Costos'!AF$6:AF$158*'Consolidado Costos'!$F$6:$F$158),0))</f>
        <v>0</v>
      </c>
      <c r="BL139" s="318" cm="1">
        <f t="array" ref="BL139">+SUMPRODUCT(IF('Consolidado Costos'!$K$6:$K$158=$BF139,('Consolidado Costos'!AG$6:AG$158*'Consolidado Costos'!$F$6:$F$158),0))</f>
        <v>0</v>
      </c>
      <c r="BM139" s="318" cm="1">
        <f t="array" ref="BM139">+SUMPRODUCT(IF('Consolidado Costos'!$K$6:$K$158=$BF139,('Consolidado Costos'!AH$6:AH$158*'Consolidado Costos'!$F$6:$F$158),0))</f>
        <v>0</v>
      </c>
      <c r="BN139" s="318" cm="1">
        <f t="array" ref="BN139">+SUMPRODUCT(IF('Consolidado Costos'!$K$6:$K$158=$BF139,('Consolidado Costos'!AI$6:AI$158*'Consolidado Costos'!$F$6:$F$158),0))</f>
        <v>0</v>
      </c>
      <c r="BO139" s="318" cm="1">
        <f t="array" ref="BO139">+SUMPRODUCT(IF('Consolidado Costos'!$K$6:$K$158=$BF139,('Consolidado Costos'!AJ$6:AJ$158*'Consolidado Costos'!$F$6:$F$158),0))</f>
        <v>0</v>
      </c>
      <c r="BP139" s="318" cm="1">
        <f t="array" ref="BP139">+SUMPRODUCT(IF('Consolidado Costos'!$K$6:$K$158=$BF139,('Consolidado Costos'!AK$6:AK$158*'Consolidado Costos'!$F$6:$F$158),0))</f>
        <v>0</v>
      </c>
      <c r="BQ139" s="318" cm="1">
        <f t="array" ref="BQ139">+SUMPRODUCT(IF('Consolidado Costos'!$K$6:$K$158=$BF139,('Consolidado Costos'!AL$6:AL$158*'Consolidado Costos'!$F$6:$F$158),0))</f>
        <v>0</v>
      </c>
      <c r="BR139" s="318" cm="1">
        <f t="array" ref="BR139">+SUMPRODUCT(IF('Consolidado Costos'!$K$6:$K$158=$BF139,('Consolidado Costos'!AM$6:AM$158*'Consolidado Costos'!$F$6:$F$158),0))</f>
        <v>0</v>
      </c>
      <c r="BS139" s="318" cm="1">
        <f t="array" ref="BS139">+SUMPRODUCT(IF('Consolidado Costos'!$K$6:$K$158=$BF139,('Consolidado Costos'!AN$6:AN$158*'Consolidado Costos'!$F$6:$F$158),0))</f>
        <v>0</v>
      </c>
      <c r="BT139" s="318" cm="1">
        <f t="array" ref="BT139">+SUMPRODUCT(IF('Consolidado Costos'!$K$6:$K$158=$BF139,('Consolidado Costos'!AO$6:AO$158*'Consolidado Costos'!$F$6:$F$158),0))</f>
        <v>0</v>
      </c>
      <c r="BU139" s="318" cm="1">
        <f t="array" ref="BU139">+SUMPRODUCT(IF('Consolidado Costos'!$K$6:$K$158=$BF139,('Consolidado Costos'!AP$6:AP$158*'Consolidado Costos'!$F$6:$F$158),0))</f>
        <v>0</v>
      </c>
      <c r="BW139" s="327"/>
      <c r="BX139" s="330" t="s">
        <v>531</v>
      </c>
      <c r="BY139" s="330" t="s">
        <v>532</v>
      </c>
      <c r="BZ139" s="329"/>
      <c r="CA139" s="354">
        <f t="shared" si="23"/>
        <v>0</v>
      </c>
      <c r="CB139" s="318" cm="1">
        <f t="array" ref="CB139">+SUMPRODUCT(IF('Consolidado Costos'!$K$6:$K$158=$BX139,('Consolidado Costos'!AE$6:AE$158*'Consolidado Costos'!$G$6:$G$158),0))</f>
        <v>0</v>
      </c>
      <c r="CC139" s="318" cm="1">
        <f t="array" ref="CC139">+SUMPRODUCT(IF('Consolidado Costos'!$K$6:$K$158=$BX139,('Consolidado Costos'!AF$6:AF$158*'Consolidado Costos'!$G$6:$G$158),0))</f>
        <v>0</v>
      </c>
      <c r="CD139" s="318" cm="1">
        <f t="array" ref="CD139">+SUMPRODUCT(IF('Consolidado Costos'!$K$6:$K$158=$BX139,('Consolidado Costos'!AG$6:AG$158*'Consolidado Costos'!$G$6:$G$158),0))</f>
        <v>0</v>
      </c>
      <c r="CE139" s="318" cm="1">
        <f t="array" ref="CE139">+SUMPRODUCT(IF('Consolidado Costos'!$K$6:$K$158=$BX139,('Consolidado Costos'!AH$6:AH$158*'Consolidado Costos'!$G$6:$G$158),0))</f>
        <v>0</v>
      </c>
      <c r="CF139" s="318" cm="1">
        <f t="array" ref="CF139">+SUMPRODUCT(IF('Consolidado Costos'!$K$6:$K$158=$BX139,('Consolidado Costos'!AI$6:AI$158*'Consolidado Costos'!$G$6:$G$158),0))</f>
        <v>0</v>
      </c>
      <c r="CG139" s="318" cm="1">
        <f t="array" ref="CG139">+SUMPRODUCT(IF('Consolidado Costos'!$K$6:$K$158=$BX139,('Consolidado Costos'!AJ$6:AJ$158*'Consolidado Costos'!$G$6:$G$158),0))</f>
        <v>0</v>
      </c>
      <c r="CH139" s="318" cm="1">
        <f t="array" ref="CH139">+SUMPRODUCT(IF('Consolidado Costos'!$K$6:$K$158=$BX139,('Consolidado Costos'!AK$6:AK$158*'Consolidado Costos'!$G$6:$G$158),0))</f>
        <v>0</v>
      </c>
      <c r="CI139" s="318" cm="1">
        <f t="array" ref="CI139">+SUMPRODUCT(IF('Consolidado Costos'!$K$6:$K$158=$BX139,('Consolidado Costos'!AL$6:AL$158*'Consolidado Costos'!$G$6:$G$158),0))</f>
        <v>0</v>
      </c>
      <c r="CJ139" s="318" cm="1">
        <f t="array" ref="CJ139">+SUMPRODUCT(IF('Consolidado Costos'!$K$6:$K$158=$BX139,('Consolidado Costos'!AM$6:AM$158*'Consolidado Costos'!$G$6:$G$158),0))</f>
        <v>0</v>
      </c>
      <c r="CK139" s="318" cm="1">
        <f t="array" ref="CK139">+SUMPRODUCT(IF('Consolidado Costos'!$K$6:$K$158=$BX139,('Consolidado Costos'!AN$6:AN$158*'Consolidado Costos'!$G$6:$G$158),0))</f>
        <v>0</v>
      </c>
      <c r="CL139" s="318" cm="1">
        <f t="array" ref="CL139">+SUMPRODUCT(IF('Consolidado Costos'!$K$6:$K$158=$BX139,('Consolidado Costos'!AO$6:AO$158*'Consolidado Costos'!$G$6:$G$158),0))</f>
        <v>0</v>
      </c>
      <c r="CM139" s="318" cm="1">
        <f t="array" ref="CM139">+SUMPRODUCT(IF('Consolidado Costos'!$K$6:$K$158=$BX139,('Consolidado Costos'!AP$6:AP$158*'Consolidado Costos'!$G$6:$G$158),0))</f>
        <v>0</v>
      </c>
      <c r="CN139" s="357">
        <f t="shared" si="10"/>
        <v>1</v>
      </c>
    </row>
    <row r="140" spans="2:92" s="337" customFormat="1">
      <c r="B140" s="331" t="s">
        <v>533</v>
      </c>
      <c r="C140" s="332"/>
      <c r="D140" s="333" t="s">
        <v>486</v>
      </c>
      <c r="E140" s="334"/>
      <c r="F140" s="335">
        <f>+SUM(F130:F139)</f>
        <v>370312.66461538465</v>
      </c>
      <c r="G140" s="335">
        <f t="shared" ref="G140:R140" si="24">+SUM(G130:G139)</f>
        <v>30853.606666666667</v>
      </c>
      <c r="H140" s="335">
        <f t="shared" si="24"/>
        <v>30854.657948717948</v>
      </c>
      <c r="I140" s="335">
        <f t="shared" si="24"/>
        <v>30855.709230769229</v>
      </c>
      <c r="J140" s="335">
        <f t="shared" si="24"/>
        <v>30856.760512820514</v>
      </c>
      <c r="K140" s="335">
        <f t="shared" si="24"/>
        <v>30857.811794871795</v>
      </c>
      <c r="L140" s="335">
        <f t="shared" si="24"/>
        <v>30858.863076923077</v>
      </c>
      <c r="M140" s="335">
        <f t="shared" si="24"/>
        <v>30859.914358974362</v>
      </c>
      <c r="N140" s="335">
        <f t="shared" si="24"/>
        <v>30860.965641025643</v>
      </c>
      <c r="O140" s="335">
        <f t="shared" si="24"/>
        <v>30862.016923076924</v>
      </c>
      <c r="P140" s="335">
        <f t="shared" si="24"/>
        <v>30863.068205128206</v>
      </c>
      <c r="Q140" s="335">
        <f t="shared" si="24"/>
        <v>30864.119487179487</v>
      </c>
      <c r="R140" s="335">
        <f t="shared" si="24"/>
        <v>30865.170769230768</v>
      </c>
      <c r="S140" s="357">
        <f t="shared" si="5"/>
        <v>1</v>
      </c>
      <c r="U140" s="331" t="s">
        <v>533</v>
      </c>
      <c r="V140" s="332"/>
      <c r="W140" s="333" t="s">
        <v>486</v>
      </c>
      <c r="X140" s="334"/>
      <c r="Y140" s="335">
        <f>+SUM(Y130:Y139)</f>
        <v>180000</v>
      </c>
      <c r="Z140" s="335">
        <f t="shared" ref="Z140:AK140" si="25">+SUM(Z130:Z139)</f>
        <v>15000</v>
      </c>
      <c r="AA140" s="335">
        <f t="shared" si="25"/>
        <v>15000</v>
      </c>
      <c r="AB140" s="335">
        <f t="shared" si="25"/>
        <v>15000</v>
      </c>
      <c r="AC140" s="335">
        <f t="shared" si="25"/>
        <v>15000</v>
      </c>
      <c r="AD140" s="335">
        <f t="shared" si="25"/>
        <v>15000</v>
      </c>
      <c r="AE140" s="335">
        <f t="shared" si="25"/>
        <v>15000</v>
      </c>
      <c r="AF140" s="335">
        <f t="shared" si="25"/>
        <v>15000</v>
      </c>
      <c r="AG140" s="335">
        <f t="shared" si="25"/>
        <v>15000</v>
      </c>
      <c r="AH140" s="335">
        <f t="shared" si="25"/>
        <v>15000</v>
      </c>
      <c r="AI140" s="335">
        <f t="shared" si="25"/>
        <v>15000</v>
      </c>
      <c r="AJ140" s="335">
        <f t="shared" si="25"/>
        <v>15000</v>
      </c>
      <c r="AK140" s="335">
        <f t="shared" si="25"/>
        <v>15000</v>
      </c>
      <c r="AM140" s="331" t="s">
        <v>533</v>
      </c>
      <c r="AN140" s="332"/>
      <c r="AO140" s="333" t="s">
        <v>486</v>
      </c>
      <c r="AP140" s="334"/>
      <c r="AQ140" s="335">
        <f>+SUM(AQ130:AQ139)</f>
        <v>0</v>
      </c>
      <c r="AR140" s="335">
        <f t="shared" ref="AR140:BC140" si="26">+SUM(AR130:AR139)</f>
        <v>0</v>
      </c>
      <c r="AS140" s="335">
        <f t="shared" si="26"/>
        <v>0</v>
      </c>
      <c r="AT140" s="335">
        <f t="shared" si="26"/>
        <v>0</v>
      </c>
      <c r="AU140" s="335">
        <f t="shared" si="26"/>
        <v>0</v>
      </c>
      <c r="AV140" s="335">
        <f t="shared" si="26"/>
        <v>0</v>
      </c>
      <c r="AW140" s="335">
        <f t="shared" si="26"/>
        <v>0</v>
      </c>
      <c r="AX140" s="335">
        <f t="shared" si="26"/>
        <v>0</v>
      </c>
      <c r="AY140" s="335">
        <f t="shared" si="26"/>
        <v>0</v>
      </c>
      <c r="AZ140" s="335">
        <f t="shared" si="26"/>
        <v>0</v>
      </c>
      <c r="BA140" s="335">
        <f t="shared" si="26"/>
        <v>0</v>
      </c>
      <c r="BB140" s="335">
        <f t="shared" si="26"/>
        <v>0</v>
      </c>
      <c r="BC140" s="335">
        <f t="shared" si="26"/>
        <v>0</v>
      </c>
      <c r="BE140" s="331" t="s">
        <v>533</v>
      </c>
      <c r="BF140" s="332"/>
      <c r="BG140" s="333" t="s">
        <v>486</v>
      </c>
      <c r="BH140" s="334"/>
      <c r="BI140" s="335">
        <f>+SUM(BI130:BI139)</f>
        <v>12000</v>
      </c>
      <c r="BJ140" s="335">
        <f t="shared" ref="BJ140:BU140" si="27">+SUM(BJ130:BJ139)</f>
        <v>1000</v>
      </c>
      <c r="BK140" s="335">
        <f t="shared" si="27"/>
        <v>1000</v>
      </c>
      <c r="BL140" s="335">
        <f t="shared" si="27"/>
        <v>1000</v>
      </c>
      <c r="BM140" s="335">
        <f t="shared" si="27"/>
        <v>1000</v>
      </c>
      <c r="BN140" s="335">
        <f t="shared" si="27"/>
        <v>1000</v>
      </c>
      <c r="BO140" s="335">
        <f t="shared" si="27"/>
        <v>1000</v>
      </c>
      <c r="BP140" s="335">
        <f t="shared" si="27"/>
        <v>1000</v>
      </c>
      <c r="BQ140" s="335">
        <f t="shared" si="27"/>
        <v>1000</v>
      </c>
      <c r="BR140" s="335">
        <f t="shared" si="27"/>
        <v>1000</v>
      </c>
      <c r="BS140" s="335">
        <f t="shared" si="27"/>
        <v>1000</v>
      </c>
      <c r="BT140" s="335">
        <f t="shared" si="27"/>
        <v>1000</v>
      </c>
      <c r="BU140" s="335">
        <f t="shared" si="27"/>
        <v>1000</v>
      </c>
      <c r="BW140" s="331" t="s">
        <v>533</v>
      </c>
      <c r="BX140" s="332"/>
      <c r="BY140" s="333" t="s">
        <v>486</v>
      </c>
      <c r="BZ140" s="334"/>
      <c r="CA140" s="335">
        <f>+SUM(CA130:CA139)</f>
        <v>178312.66461538462</v>
      </c>
      <c r="CB140" s="335">
        <f t="shared" ref="CB140:CM140" si="28">+SUM(CB130:CB139)</f>
        <v>14853.606666666667</v>
      </c>
      <c r="CC140" s="335">
        <f t="shared" si="28"/>
        <v>14854.65794871795</v>
      </c>
      <c r="CD140" s="335">
        <f t="shared" si="28"/>
        <v>14855.709230769231</v>
      </c>
      <c r="CE140" s="335">
        <f t="shared" si="28"/>
        <v>14856.760512820514</v>
      </c>
      <c r="CF140" s="335">
        <f t="shared" si="28"/>
        <v>14857.811794871795</v>
      </c>
      <c r="CG140" s="335">
        <f t="shared" si="28"/>
        <v>14858.863076923077</v>
      </c>
      <c r="CH140" s="335">
        <f t="shared" si="28"/>
        <v>14859.91435897436</v>
      </c>
      <c r="CI140" s="335">
        <f t="shared" si="28"/>
        <v>14860.965641025641</v>
      </c>
      <c r="CJ140" s="335">
        <f t="shared" si="28"/>
        <v>14862.016923076924</v>
      </c>
      <c r="CK140" s="335">
        <f t="shared" si="28"/>
        <v>14863.068205128206</v>
      </c>
      <c r="CL140" s="335">
        <f t="shared" si="28"/>
        <v>14864.119487179487</v>
      </c>
      <c r="CM140" s="335">
        <f t="shared" si="28"/>
        <v>14865.17076923077</v>
      </c>
      <c r="CN140" s="357">
        <f t="shared" si="10"/>
        <v>1</v>
      </c>
    </row>
    <row r="141" spans="2:92" s="310" customFormat="1" outlineLevel="1">
      <c r="B141" s="327"/>
      <c r="C141" s="328" t="s">
        <v>331</v>
      </c>
      <c r="D141" s="328" t="s">
        <v>332</v>
      </c>
      <c r="E141" s="329"/>
      <c r="F141" s="318">
        <f>+SUMIF('Consolidado Costos'!$K$6:$K$158,$C141,'Consolidado Costos'!$AD$6:$AD$158)</f>
        <v>86707.692307692312</v>
      </c>
      <c r="G141" s="318"/>
      <c r="H141" s="318"/>
      <c r="I141" s="318"/>
      <c r="J141" s="318"/>
      <c r="K141" s="318"/>
      <c r="L141" s="318"/>
      <c r="M141" s="318"/>
      <c r="N141" s="318"/>
      <c r="O141" s="318"/>
      <c r="P141" s="318"/>
      <c r="Q141" s="318"/>
      <c r="R141" s="318"/>
      <c r="S141" s="357">
        <f t="shared" si="5"/>
        <v>0</v>
      </c>
      <c r="U141" s="327"/>
      <c r="V141" s="328" t="s">
        <v>331</v>
      </c>
      <c r="W141" s="328" t="s">
        <v>332</v>
      </c>
      <c r="X141" s="329"/>
      <c r="Y141" s="354">
        <f t="shared" ref="Y141:Y151" si="29">+SUM(Z141:AK141)</f>
        <v>86707.692307692312</v>
      </c>
      <c r="Z141" s="318" cm="1">
        <f t="array" ref="Z141">+SUMPRODUCT(IF('Consolidado Costos'!$K$6:$K$158=$V141,('Consolidado Costos'!AE$6:AE$158*'Consolidado Costos'!$D$6:$D$158),0))</f>
        <v>7225.6410256410254</v>
      </c>
      <c r="AA141" s="318" cm="1">
        <f t="array" ref="AA141">+SUMPRODUCT(IF('Consolidado Costos'!$K$6:$K$158=$V141,('Consolidado Costos'!AF$6:AF$158*'Consolidado Costos'!$D$6:$D$158),0))</f>
        <v>7225.6410256410254</v>
      </c>
      <c r="AB141" s="318" cm="1">
        <f t="array" ref="AB141">+SUMPRODUCT(IF('Consolidado Costos'!$K$6:$K$158=$V141,('Consolidado Costos'!AG$6:AG$158*'Consolidado Costos'!$D$6:$D$158),0))</f>
        <v>7225.6410256410254</v>
      </c>
      <c r="AC141" s="318" cm="1">
        <f t="array" ref="AC141">+SUMPRODUCT(IF('Consolidado Costos'!$K$6:$K$158=$V141,('Consolidado Costos'!AH$6:AH$158*'Consolidado Costos'!$D$6:$D$158),0))</f>
        <v>7225.6410256410254</v>
      </c>
      <c r="AD141" s="318" cm="1">
        <f t="array" ref="AD141">+SUMPRODUCT(IF('Consolidado Costos'!$K$6:$K$158=$V141,('Consolidado Costos'!AI$6:AI$158*'Consolidado Costos'!$D$6:$D$158),0))</f>
        <v>7225.6410256410254</v>
      </c>
      <c r="AE141" s="318" cm="1">
        <f t="array" ref="AE141">+SUMPRODUCT(IF('Consolidado Costos'!$K$6:$K$158=$V141,('Consolidado Costos'!AJ$6:AJ$158*'Consolidado Costos'!$D$6:$D$158),0))</f>
        <v>7225.6410256410254</v>
      </c>
      <c r="AF141" s="318" cm="1">
        <f t="array" ref="AF141">+SUMPRODUCT(IF('Consolidado Costos'!$K$6:$K$158=$V141,('Consolidado Costos'!AK$6:AK$158*'Consolidado Costos'!$D$6:$D$158),0))</f>
        <v>7225.6410256410254</v>
      </c>
      <c r="AG141" s="318" cm="1">
        <f t="array" ref="AG141">+SUMPRODUCT(IF('Consolidado Costos'!$K$6:$K$158=$V141,('Consolidado Costos'!AL$6:AL$158*'Consolidado Costos'!$D$6:$D$158),0))</f>
        <v>7225.6410256410254</v>
      </c>
      <c r="AH141" s="318" cm="1">
        <f t="array" ref="AH141">+SUMPRODUCT(IF('Consolidado Costos'!$K$6:$K$158=$V141,('Consolidado Costos'!AM$6:AM$158*'Consolidado Costos'!$D$6:$D$158),0))</f>
        <v>7225.6410256410254</v>
      </c>
      <c r="AI141" s="318" cm="1">
        <f t="array" ref="AI141">+SUMPRODUCT(IF('Consolidado Costos'!$K$6:$K$158=$V141,('Consolidado Costos'!AN$6:AN$158*'Consolidado Costos'!$D$6:$D$158),0))</f>
        <v>7225.6410256410254</v>
      </c>
      <c r="AJ141" s="318" cm="1">
        <f t="array" ref="AJ141">+SUMPRODUCT(IF('Consolidado Costos'!$K$6:$K$158=$V141,('Consolidado Costos'!AO$6:AO$158*'Consolidado Costos'!$D$6:$D$158),0))</f>
        <v>7225.6410256410254</v>
      </c>
      <c r="AK141" s="318" cm="1">
        <f t="array" ref="AK141">+SUMPRODUCT(IF('Consolidado Costos'!$K$6:$K$158=$V141,('Consolidado Costos'!AP$6:AP$158*'Consolidado Costos'!$D$6:$D$158),0))</f>
        <v>7225.6410256410254</v>
      </c>
      <c r="AM141" s="327"/>
      <c r="AN141" s="328" t="s">
        <v>331</v>
      </c>
      <c r="AO141" s="328" t="s">
        <v>332</v>
      </c>
      <c r="AP141" s="329"/>
      <c r="AQ141" s="354">
        <f t="shared" si="21"/>
        <v>0</v>
      </c>
      <c r="AR141" s="318" cm="1">
        <f t="array" ref="AR141">+SUMPRODUCT(IF('Consolidado Costos'!$K$6:$K$158=$AN141,('Consolidado Costos'!AE$6:AE$158*'Consolidado Costos'!$E$6:$E$158),0))</f>
        <v>0</v>
      </c>
      <c r="AS141" s="318" cm="1">
        <f t="array" ref="AS141">+SUMPRODUCT(IF('Consolidado Costos'!$K$6:$K$158=$AN141,('Consolidado Costos'!AF$6:AF$158*'Consolidado Costos'!$E$6:$E$158),0))</f>
        <v>0</v>
      </c>
      <c r="AT141" s="318" cm="1">
        <f t="array" ref="AT141">+SUMPRODUCT(IF('Consolidado Costos'!$K$6:$K$158=$AN141,('Consolidado Costos'!AG$6:AG$158*'Consolidado Costos'!$E$6:$E$158),0))</f>
        <v>0</v>
      </c>
      <c r="AU141" s="318" cm="1">
        <f t="array" ref="AU141">+SUMPRODUCT(IF('Consolidado Costos'!$K$6:$K$158=$AN141,('Consolidado Costos'!AH$6:AH$158*'Consolidado Costos'!$E$6:$E$158),0))</f>
        <v>0</v>
      </c>
      <c r="AV141" s="318" cm="1">
        <f t="array" ref="AV141">+SUMPRODUCT(IF('Consolidado Costos'!$K$6:$K$158=$AN141,('Consolidado Costos'!AI$6:AI$158*'Consolidado Costos'!$E$6:$E$158),0))</f>
        <v>0</v>
      </c>
      <c r="AW141" s="318" cm="1">
        <f t="array" ref="AW141">+SUMPRODUCT(IF('Consolidado Costos'!$K$6:$K$158=$AN141,('Consolidado Costos'!AJ$6:AJ$158*'Consolidado Costos'!$E$6:$E$158),0))</f>
        <v>0</v>
      </c>
      <c r="AX141" s="318" cm="1">
        <f t="array" ref="AX141">+SUMPRODUCT(IF('Consolidado Costos'!$K$6:$K$158=$AN141,('Consolidado Costos'!AK$6:AK$158*'Consolidado Costos'!$E$6:$E$158),0))</f>
        <v>0</v>
      </c>
      <c r="AY141" s="318" cm="1">
        <f t="array" ref="AY141">+SUMPRODUCT(IF('Consolidado Costos'!$K$6:$K$158=$AN141,('Consolidado Costos'!AL$6:AL$158*'Consolidado Costos'!$E$6:$E$158),0))</f>
        <v>0</v>
      </c>
      <c r="AZ141" s="318" cm="1">
        <f t="array" ref="AZ141">+SUMPRODUCT(IF('Consolidado Costos'!$K$6:$K$158=$AN141,('Consolidado Costos'!AM$6:AM$158*'Consolidado Costos'!$E$6:$E$158),0))</f>
        <v>0</v>
      </c>
      <c r="BA141" s="318" cm="1">
        <f t="array" ref="BA141">+SUMPRODUCT(IF('Consolidado Costos'!$K$6:$K$158=$AN141,('Consolidado Costos'!AN$6:AN$158*'Consolidado Costos'!$E$6:$E$158),0))</f>
        <v>0</v>
      </c>
      <c r="BB141" s="318" cm="1">
        <f t="array" ref="BB141">+SUMPRODUCT(IF('Consolidado Costos'!$K$6:$K$158=$AN141,('Consolidado Costos'!AO$6:AO$158*'Consolidado Costos'!$E$6:$E$158),0))</f>
        <v>0</v>
      </c>
      <c r="BC141" s="318" cm="1">
        <f t="array" ref="BC141">+SUMPRODUCT(IF('Consolidado Costos'!$K$6:$K$158=$AN141,('Consolidado Costos'!AP$6:AP$158*'Consolidado Costos'!$E$6:$E$158),0))</f>
        <v>0</v>
      </c>
      <c r="BE141" s="327"/>
      <c r="BF141" s="328" t="s">
        <v>331</v>
      </c>
      <c r="BG141" s="328" t="s">
        <v>332</v>
      </c>
      <c r="BH141" s="329"/>
      <c r="BI141" s="354">
        <f t="shared" ref="BI141:BI151" si="30">+SUM(BJ141:BU141)</f>
        <v>0</v>
      </c>
      <c r="BJ141" s="318" cm="1">
        <f t="array" ref="BJ141">+SUMPRODUCT(IF('Consolidado Costos'!$K$6:$K$158=$BF141,('Consolidado Costos'!AE$6:AE$158*'Consolidado Costos'!$F$6:$F$158),0))</f>
        <v>0</v>
      </c>
      <c r="BK141" s="318" cm="1">
        <f t="array" ref="BK141">+SUMPRODUCT(IF('Consolidado Costos'!$K$6:$K$158=$BF141,('Consolidado Costos'!AF$6:AF$158*'Consolidado Costos'!$F$6:$F$158),0))</f>
        <v>0</v>
      </c>
      <c r="BL141" s="318" cm="1">
        <f t="array" ref="BL141">+SUMPRODUCT(IF('Consolidado Costos'!$K$6:$K$158=$BF141,('Consolidado Costos'!AG$6:AG$158*'Consolidado Costos'!$F$6:$F$158),0))</f>
        <v>0</v>
      </c>
      <c r="BM141" s="318" cm="1">
        <f t="array" ref="BM141">+SUMPRODUCT(IF('Consolidado Costos'!$K$6:$K$158=$BF141,('Consolidado Costos'!AH$6:AH$158*'Consolidado Costos'!$F$6:$F$158),0))</f>
        <v>0</v>
      </c>
      <c r="BN141" s="318" cm="1">
        <f t="array" ref="BN141">+SUMPRODUCT(IF('Consolidado Costos'!$K$6:$K$158=$BF141,('Consolidado Costos'!AI$6:AI$158*'Consolidado Costos'!$F$6:$F$158),0))</f>
        <v>0</v>
      </c>
      <c r="BO141" s="318" cm="1">
        <f t="array" ref="BO141">+SUMPRODUCT(IF('Consolidado Costos'!$K$6:$K$158=$BF141,('Consolidado Costos'!AJ$6:AJ$158*'Consolidado Costos'!$F$6:$F$158),0))</f>
        <v>0</v>
      </c>
      <c r="BP141" s="318" cm="1">
        <f t="array" ref="BP141">+SUMPRODUCT(IF('Consolidado Costos'!$K$6:$K$158=$BF141,('Consolidado Costos'!AK$6:AK$158*'Consolidado Costos'!$F$6:$F$158),0))</f>
        <v>0</v>
      </c>
      <c r="BQ141" s="318" cm="1">
        <f t="array" ref="BQ141">+SUMPRODUCT(IF('Consolidado Costos'!$K$6:$K$158=$BF141,('Consolidado Costos'!AL$6:AL$158*'Consolidado Costos'!$F$6:$F$158),0))</f>
        <v>0</v>
      </c>
      <c r="BR141" s="318" cm="1">
        <f t="array" ref="BR141">+SUMPRODUCT(IF('Consolidado Costos'!$K$6:$K$158=$BF141,('Consolidado Costos'!AM$6:AM$158*'Consolidado Costos'!$F$6:$F$158),0))</f>
        <v>0</v>
      </c>
      <c r="BS141" s="318" cm="1">
        <f t="array" ref="BS141">+SUMPRODUCT(IF('Consolidado Costos'!$K$6:$K$158=$BF141,('Consolidado Costos'!AN$6:AN$158*'Consolidado Costos'!$F$6:$F$158),0))</f>
        <v>0</v>
      </c>
      <c r="BT141" s="318" cm="1">
        <f t="array" ref="BT141">+SUMPRODUCT(IF('Consolidado Costos'!$K$6:$K$158=$BF141,('Consolidado Costos'!AO$6:AO$158*'Consolidado Costos'!$F$6:$F$158),0))</f>
        <v>0</v>
      </c>
      <c r="BU141" s="318" cm="1">
        <f t="array" ref="BU141">+SUMPRODUCT(IF('Consolidado Costos'!$K$6:$K$158=$BF141,('Consolidado Costos'!AP$6:AP$158*'Consolidado Costos'!$F$6:$F$158),0))</f>
        <v>0</v>
      </c>
      <c r="BW141" s="327"/>
      <c r="BX141" s="328" t="s">
        <v>331</v>
      </c>
      <c r="BY141" s="328" t="s">
        <v>332</v>
      </c>
      <c r="BZ141" s="329"/>
      <c r="CA141" s="354">
        <f t="shared" ref="CA141:CA151" si="31">+SUM(CB141:CM141)</f>
        <v>0</v>
      </c>
      <c r="CB141" s="318" cm="1">
        <f t="array" ref="CB141">+SUMPRODUCT(IF('Consolidado Costos'!$K$6:$K$158=$BX141,('Consolidado Costos'!AE$6:AE$158*'Consolidado Costos'!$G$6:$G$158),0))</f>
        <v>0</v>
      </c>
      <c r="CC141" s="318" cm="1">
        <f t="array" ref="CC141">+SUMPRODUCT(IF('Consolidado Costos'!$K$6:$K$158=$BX141,('Consolidado Costos'!AF$6:AF$158*'Consolidado Costos'!$G$6:$G$158),0))</f>
        <v>0</v>
      </c>
      <c r="CD141" s="318" cm="1">
        <f t="array" ref="CD141">+SUMPRODUCT(IF('Consolidado Costos'!$K$6:$K$158=$BX141,('Consolidado Costos'!AG$6:AG$158*'Consolidado Costos'!$G$6:$G$158),0))</f>
        <v>0</v>
      </c>
      <c r="CE141" s="318" cm="1">
        <f t="array" ref="CE141">+SUMPRODUCT(IF('Consolidado Costos'!$K$6:$K$158=$BX141,('Consolidado Costos'!AH$6:AH$158*'Consolidado Costos'!$G$6:$G$158),0))</f>
        <v>0</v>
      </c>
      <c r="CF141" s="318" cm="1">
        <f t="array" ref="CF141">+SUMPRODUCT(IF('Consolidado Costos'!$K$6:$K$158=$BX141,('Consolidado Costos'!AI$6:AI$158*'Consolidado Costos'!$G$6:$G$158),0))</f>
        <v>0</v>
      </c>
      <c r="CG141" s="318" cm="1">
        <f t="array" ref="CG141">+SUMPRODUCT(IF('Consolidado Costos'!$K$6:$K$158=$BX141,('Consolidado Costos'!AJ$6:AJ$158*'Consolidado Costos'!$G$6:$G$158),0))</f>
        <v>0</v>
      </c>
      <c r="CH141" s="318" cm="1">
        <f t="array" ref="CH141">+SUMPRODUCT(IF('Consolidado Costos'!$K$6:$K$158=$BX141,('Consolidado Costos'!AK$6:AK$158*'Consolidado Costos'!$G$6:$G$158),0))</f>
        <v>0</v>
      </c>
      <c r="CI141" s="318" cm="1">
        <f t="array" ref="CI141">+SUMPRODUCT(IF('Consolidado Costos'!$K$6:$K$158=$BX141,('Consolidado Costos'!AL$6:AL$158*'Consolidado Costos'!$G$6:$G$158),0))</f>
        <v>0</v>
      </c>
      <c r="CJ141" s="318" cm="1">
        <f t="array" ref="CJ141">+SUMPRODUCT(IF('Consolidado Costos'!$K$6:$K$158=$BX141,('Consolidado Costos'!AM$6:AM$158*'Consolidado Costos'!$G$6:$G$158),0))</f>
        <v>0</v>
      </c>
      <c r="CK141" s="318" cm="1">
        <f t="array" ref="CK141">+SUMPRODUCT(IF('Consolidado Costos'!$K$6:$K$158=$BX141,('Consolidado Costos'!AN$6:AN$158*'Consolidado Costos'!$G$6:$G$158),0))</f>
        <v>0</v>
      </c>
      <c r="CL141" s="318" cm="1">
        <f t="array" ref="CL141">+SUMPRODUCT(IF('Consolidado Costos'!$K$6:$K$158=$BX141,('Consolidado Costos'!AO$6:AO$158*'Consolidado Costos'!$G$6:$G$158),0))</f>
        <v>0</v>
      </c>
      <c r="CM141" s="318" cm="1">
        <f t="array" ref="CM141">+SUMPRODUCT(IF('Consolidado Costos'!$K$6:$K$158=$BX141,('Consolidado Costos'!AP$6:AP$158*'Consolidado Costos'!$G$6:$G$158),0))</f>
        <v>0</v>
      </c>
      <c r="CN141" s="357">
        <f t="shared" si="10"/>
        <v>1</v>
      </c>
    </row>
    <row r="142" spans="2:92" s="310" customFormat="1" outlineLevel="1">
      <c r="B142" s="327"/>
      <c r="C142" s="328" t="s">
        <v>534</v>
      </c>
      <c r="D142" s="328" t="s">
        <v>535</v>
      </c>
      <c r="E142" s="329"/>
      <c r="F142" s="318">
        <f>+SUMIF('Consolidado Costos'!$K$6:$K$158,$C142,'Consolidado Costos'!$AD$6:$AD$158)</f>
        <v>0</v>
      </c>
      <c r="G142" s="318">
        <f>+SUMIF('Consolidado Costos'!$K$6:$K$158,$C142,'Consolidado Costos'!AE$6:AE$158)</f>
        <v>0</v>
      </c>
      <c r="H142" s="318">
        <f>+SUMIF('Consolidado Costos'!$K$6:$K$158,$C142,'Consolidado Costos'!AF$6:AF$158)</f>
        <v>0</v>
      </c>
      <c r="I142" s="318">
        <f>+SUMIF('Consolidado Costos'!$K$6:$K$158,$C142,'Consolidado Costos'!AG$6:AG$158)</f>
        <v>0</v>
      </c>
      <c r="J142" s="318">
        <f>+SUMIF('Consolidado Costos'!$K$6:$K$158,$C142,'Consolidado Costos'!AH$6:AH$158)</f>
        <v>0</v>
      </c>
      <c r="K142" s="318">
        <f>+SUMIF('Consolidado Costos'!$K$6:$K$158,$C142,'Consolidado Costos'!AI$6:AI$158)</f>
        <v>0</v>
      </c>
      <c r="L142" s="318">
        <f>+SUMIF('Consolidado Costos'!$K$6:$K$158,$C142,'Consolidado Costos'!AJ$6:AJ$158)</f>
        <v>0</v>
      </c>
      <c r="M142" s="318">
        <f>+SUMIF('Consolidado Costos'!$K$6:$K$158,$C142,'Consolidado Costos'!AK$6:AK$158)</f>
        <v>0</v>
      </c>
      <c r="N142" s="318">
        <f>+SUMIF('Consolidado Costos'!$K$6:$K$158,$C142,'Consolidado Costos'!AL$6:AL$158)</f>
        <v>0</v>
      </c>
      <c r="O142" s="318">
        <f>+SUMIF('Consolidado Costos'!$K$6:$K$158,$C142,'Consolidado Costos'!AM$6:AM$158)</f>
        <v>0</v>
      </c>
      <c r="P142" s="318">
        <f>+SUMIF('Consolidado Costos'!$K$6:$K$158,$C142,'Consolidado Costos'!AN$6:AN$158)</f>
        <v>0</v>
      </c>
      <c r="Q142" s="318">
        <f>+SUMIF('Consolidado Costos'!$K$6:$K$158,$C142,'Consolidado Costos'!AO$6:AO$158)</f>
        <v>0</v>
      </c>
      <c r="R142" s="318">
        <f>+SUMIF('Consolidado Costos'!$K$6:$K$158,$C142,'Consolidado Costos'!AP$6:AP$158)</f>
        <v>0</v>
      </c>
      <c r="S142" s="357">
        <f t="shared" si="5"/>
        <v>1</v>
      </c>
      <c r="U142" s="327"/>
      <c r="V142" s="328" t="s">
        <v>534</v>
      </c>
      <c r="W142" s="328" t="s">
        <v>535</v>
      </c>
      <c r="X142" s="329"/>
      <c r="Y142" s="354">
        <f t="shared" si="29"/>
        <v>0</v>
      </c>
      <c r="Z142" s="318" cm="1">
        <f t="array" ref="Z142">+SUMPRODUCT(IF('Consolidado Costos'!$K$6:$K$158=$V142,('Consolidado Costos'!AE$6:AE$158*'Consolidado Costos'!$D$6:$D$158),0))</f>
        <v>0</v>
      </c>
      <c r="AA142" s="318" cm="1">
        <f t="array" ref="AA142">+SUMPRODUCT(IF('Consolidado Costos'!$K$6:$K$158=$V142,('Consolidado Costos'!AF$6:AF$158*'Consolidado Costos'!$D$6:$D$158),0))</f>
        <v>0</v>
      </c>
      <c r="AB142" s="318" cm="1">
        <f t="array" ref="AB142">+SUMPRODUCT(IF('Consolidado Costos'!$K$6:$K$158=$V142,('Consolidado Costos'!AG$6:AG$158*'Consolidado Costos'!$D$6:$D$158),0))</f>
        <v>0</v>
      </c>
      <c r="AC142" s="318" cm="1">
        <f t="array" ref="AC142">+SUMPRODUCT(IF('Consolidado Costos'!$K$6:$K$158=$V142,('Consolidado Costos'!AH$6:AH$158*'Consolidado Costos'!$D$6:$D$158),0))</f>
        <v>0</v>
      </c>
      <c r="AD142" s="318" cm="1">
        <f t="array" ref="AD142">+SUMPRODUCT(IF('Consolidado Costos'!$K$6:$K$158=$V142,('Consolidado Costos'!AI$6:AI$158*'Consolidado Costos'!$D$6:$D$158),0))</f>
        <v>0</v>
      </c>
      <c r="AE142" s="318" cm="1">
        <f t="array" ref="AE142">+SUMPRODUCT(IF('Consolidado Costos'!$K$6:$K$158=$V142,('Consolidado Costos'!AJ$6:AJ$158*'Consolidado Costos'!$D$6:$D$158),0))</f>
        <v>0</v>
      </c>
      <c r="AF142" s="318" cm="1">
        <f t="array" ref="AF142">+SUMPRODUCT(IF('Consolidado Costos'!$K$6:$K$158=$V142,('Consolidado Costos'!AK$6:AK$158*'Consolidado Costos'!$D$6:$D$158),0))</f>
        <v>0</v>
      </c>
      <c r="AG142" s="318" cm="1">
        <f t="array" ref="AG142">+SUMPRODUCT(IF('Consolidado Costos'!$K$6:$K$158=$V142,('Consolidado Costos'!AL$6:AL$158*'Consolidado Costos'!$D$6:$D$158),0))</f>
        <v>0</v>
      </c>
      <c r="AH142" s="318" cm="1">
        <f t="array" ref="AH142">+SUMPRODUCT(IF('Consolidado Costos'!$K$6:$K$158=$V142,('Consolidado Costos'!AM$6:AM$158*'Consolidado Costos'!$D$6:$D$158),0))</f>
        <v>0</v>
      </c>
      <c r="AI142" s="318" cm="1">
        <f t="array" ref="AI142">+SUMPRODUCT(IF('Consolidado Costos'!$K$6:$K$158=$V142,('Consolidado Costos'!AN$6:AN$158*'Consolidado Costos'!$D$6:$D$158),0))</f>
        <v>0</v>
      </c>
      <c r="AJ142" s="318" cm="1">
        <f t="array" ref="AJ142">+SUMPRODUCT(IF('Consolidado Costos'!$K$6:$K$158=$V142,('Consolidado Costos'!AO$6:AO$158*'Consolidado Costos'!$D$6:$D$158),0))</f>
        <v>0</v>
      </c>
      <c r="AK142" s="318" cm="1">
        <f t="array" ref="AK142">+SUMPRODUCT(IF('Consolidado Costos'!$K$6:$K$158=$V142,('Consolidado Costos'!AP$6:AP$158*'Consolidado Costos'!$D$6:$D$158),0))</f>
        <v>0</v>
      </c>
      <c r="AM142" s="327"/>
      <c r="AN142" s="328" t="s">
        <v>534</v>
      </c>
      <c r="AO142" s="328" t="s">
        <v>535</v>
      </c>
      <c r="AP142" s="329"/>
      <c r="AQ142" s="354">
        <f t="shared" si="21"/>
        <v>0</v>
      </c>
      <c r="AR142" s="318" cm="1">
        <f t="array" ref="AR142">+SUMPRODUCT(IF('Consolidado Costos'!$K$6:$K$158=$AN142,('Consolidado Costos'!AE$6:AE$158*'Consolidado Costos'!$E$6:$E$158),0))</f>
        <v>0</v>
      </c>
      <c r="AS142" s="318" cm="1">
        <f t="array" ref="AS142">+SUMPRODUCT(IF('Consolidado Costos'!$K$6:$K$158=$AN142,('Consolidado Costos'!AF$6:AF$158*'Consolidado Costos'!$E$6:$E$158),0))</f>
        <v>0</v>
      </c>
      <c r="AT142" s="318" cm="1">
        <f t="array" ref="AT142">+SUMPRODUCT(IF('Consolidado Costos'!$K$6:$K$158=$AN142,('Consolidado Costos'!AG$6:AG$158*'Consolidado Costos'!$E$6:$E$158),0))</f>
        <v>0</v>
      </c>
      <c r="AU142" s="318" cm="1">
        <f t="array" ref="AU142">+SUMPRODUCT(IF('Consolidado Costos'!$K$6:$K$158=$AN142,('Consolidado Costos'!AH$6:AH$158*'Consolidado Costos'!$E$6:$E$158),0))</f>
        <v>0</v>
      </c>
      <c r="AV142" s="318" cm="1">
        <f t="array" ref="AV142">+SUMPRODUCT(IF('Consolidado Costos'!$K$6:$K$158=$AN142,('Consolidado Costos'!AI$6:AI$158*'Consolidado Costos'!$E$6:$E$158),0))</f>
        <v>0</v>
      </c>
      <c r="AW142" s="318" cm="1">
        <f t="array" ref="AW142">+SUMPRODUCT(IF('Consolidado Costos'!$K$6:$K$158=$AN142,('Consolidado Costos'!AJ$6:AJ$158*'Consolidado Costos'!$E$6:$E$158),0))</f>
        <v>0</v>
      </c>
      <c r="AX142" s="318" cm="1">
        <f t="array" ref="AX142">+SUMPRODUCT(IF('Consolidado Costos'!$K$6:$K$158=$AN142,('Consolidado Costos'!AK$6:AK$158*'Consolidado Costos'!$E$6:$E$158),0))</f>
        <v>0</v>
      </c>
      <c r="AY142" s="318" cm="1">
        <f t="array" ref="AY142">+SUMPRODUCT(IF('Consolidado Costos'!$K$6:$K$158=$AN142,('Consolidado Costos'!AL$6:AL$158*'Consolidado Costos'!$E$6:$E$158),0))</f>
        <v>0</v>
      </c>
      <c r="AZ142" s="318" cm="1">
        <f t="array" ref="AZ142">+SUMPRODUCT(IF('Consolidado Costos'!$K$6:$K$158=$AN142,('Consolidado Costos'!AM$6:AM$158*'Consolidado Costos'!$E$6:$E$158),0))</f>
        <v>0</v>
      </c>
      <c r="BA142" s="318" cm="1">
        <f t="array" ref="BA142">+SUMPRODUCT(IF('Consolidado Costos'!$K$6:$K$158=$AN142,('Consolidado Costos'!AN$6:AN$158*'Consolidado Costos'!$E$6:$E$158),0))</f>
        <v>0</v>
      </c>
      <c r="BB142" s="318" cm="1">
        <f t="array" ref="BB142">+SUMPRODUCT(IF('Consolidado Costos'!$K$6:$K$158=$AN142,('Consolidado Costos'!AO$6:AO$158*'Consolidado Costos'!$E$6:$E$158),0))</f>
        <v>0</v>
      </c>
      <c r="BC142" s="318" cm="1">
        <f t="array" ref="BC142">+SUMPRODUCT(IF('Consolidado Costos'!$K$6:$K$158=$AN142,('Consolidado Costos'!AP$6:AP$158*'Consolidado Costos'!$E$6:$E$158),0))</f>
        <v>0</v>
      </c>
      <c r="BE142" s="327"/>
      <c r="BF142" s="328" t="s">
        <v>534</v>
      </c>
      <c r="BG142" s="328" t="s">
        <v>535</v>
      </c>
      <c r="BH142" s="329"/>
      <c r="BI142" s="354">
        <f t="shared" si="30"/>
        <v>0</v>
      </c>
      <c r="BJ142" s="318" cm="1">
        <f t="array" ref="BJ142">+SUMPRODUCT(IF('Consolidado Costos'!$K$6:$K$158=$BF142,('Consolidado Costos'!AE$6:AE$158*'Consolidado Costos'!$F$6:$F$158),0))</f>
        <v>0</v>
      </c>
      <c r="BK142" s="318" cm="1">
        <f t="array" ref="BK142">+SUMPRODUCT(IF('Consolidado Costos'!$K$6:$K$158=$BF142,('Consolidado Costos'!AF$6:AF$158*'Consolidado Costos'!$F$6:$F$158),0))</f>
        <v>0</v>
      </c>
      <c r="BL142" s="318" cm="1">
        <f t="array" ref="BL142">+SUMPRODUCT(IF('Consolidado Costos'!$K$6:$K$158=$BF142,('Consolidado Costos'!AG$6:AG$158*'Consolidado Costos'!$F$6:$F$158),0))</f>
        <v>0</v>
      </c>
      <c r="BM142" s="318" cm="1">
        <f t="array" ref="BM142">+SUMPRODUCT(IF('Consolidado Costos'!$K$6:$K$158=$BF142,('Consolidado Costos'!AH$6:AH$158*'Consolidado Costos'!$F$6:$F$158),0))</f>
        <v>0</v>
      </c>
      <c r="BN142" s="318" cm="1">
        <f t="array" ref="BN142">+SUMPRODUCT(IF('Consolidado Costos'!$K$6:$K$158=$BF142,('Consolidado Costos'!AI$6:AI$158*'Consolidado Costos'!$F$6:$F$158),0))</f>
        <v>0</v>
      </c>
      <c r="BO142" s="318" cm="1">
        <f t="array" ref="BO142">+SUMPRODUCT(IF('Consolidado Costos'!$K$6:$K$158=$BF142,('Consolidado Costos'!AJ$6:AJ$158*'Consolidado Costos'!$F$6:$F$158),0))</f>
        <v>0</v>
      </c>
      <c r="BP142" s="318" cm="1">
        <f t="array" ref="BP142">+SUMPRODUCT(IF('Consolidado Costos'!$K$6:$K$158=$BF142,('Consolidado Costos'!AK$6:AK$158*'Consolidado Costos'!$F$6:$F$158),0))</f>
        <v>0</v>
      </c>
      <c r="BQ142" s="318" cm="1">
        <f t="array" ref="BQ142">+SUMPRODUCT(IF('Consolidado Costos'!$K$6:$K$158=$BF142,('Consolidado Costos'!AL$6:AL$158*'Consolidado Costos'!$F$6:$F$158),0))</f>
        <v>0</v>
      </c>
      <c r="BR142" s="318" cm="1">
        <f t="array" ref="BR142">+SUMPRODUCT(IF('Consolidado Costos'!$K$6:$K$158=$BF142,('Consolidado Costos'!AM$6:AM$158*'Consolidado Costos'!$F$6:$F$158),0))</f>
        <v>0</v>
      </c>
      <c r="BS142" s="318" cm="1">
        <f t="array" ref="BS142">+SUMPRODUCT(IF('Consolidado Costos'!$K$6:$K$158=$BF142,('Consolidado Costos'!AN$6:AN$158*'Consolidado Costos'!$F$6:$F$158),0))</f>
        <v>0</v>
      </c>
      <c r="BT142" s="318" cm="1">
        <f t="array" ref="BT142">+SUMPRODUCT(IF('Consolidado Costos'!$K$6:$K$158=$BF142,('Consolidado Costos'!AO$6:AO$158*'Consolidado Costos'!$F$6:$F$158),0))</f>
        <v>0</v>
      </c>
      <c r="BU142" s="318" cm="1">
        <f t="array" ref="BU142">+SUMPRODUCT(IF('Consolidado Costos'!$K$6:$K$158=$BF142,('Consolidado Costos'!AP$6:AP$158*'Consolidado Costos'!$F$6:$F$158),0))</f>
        <v>0</v>
      </c>
      <c r="BW142" s="327"/>
      <c r="BX142" s="328" t="s">
        <v>534</v>
      </c>
      <c r="BY142" s="328" t="s">
        <v>535</v>
      </c>
      <c r="BZ142" s="329"/>
      <c r="CA142" s="354">
        <f t="shared" si="31"/>
        <v>0</v>
      </c>
      <c r="CB142" s="318" cm="1">
        <f t="array" ref="CB142">+SUMPRODUCT(IF('Consolidado Costos'!$K$6:$K$158=$BX142,('Consolidado Costos'!AE$6:AE$158*'Consolidado Costos'!$G$6:$G$158),0))</f>
        <v>0</v>
      </c>
      <c r="CC142" s="318" cm="1">
        <f t="array" ref="CC142">+SUMPRODUCT(IF('Consolidado Costos'!$K$6:$K$158=$BX142,('Consolidado Costos'!AF$6:AF$158*'Consolidado Costos'!$G$6:$G$158),0))</f>
        <v>0</v>
      </c>
      <c r="CD142" s="318" cm="1">
        <f t="array" ref="CD142">+SUMPRODUCT(IF('Consolidado Costos'!$K$6:$K$158=$BX142,('Consolidado Costos'!AG$6:AG$158*'Consolidado Costos'!$G$6:$G$158),0))</f>
        <v>0</v>
      </c>
      <c r="CE142" s="318" cm="1">
        <f t="array" ref="CE142">+SUMPRODUCT(IF('Consolidado Costos'!$K$6:$K$158=$BX142,('Consolidado Costos'!AH$6:AH$158*'Consolidado Costos'!$G$6:$G$158),0))</f>
        <v>0</v>
      </c>
      <c r="CF142" s="318" cm="1">
        <f t="array" ref="CF142">+SUMPRODUCT(IF('Consolidado Costos'!$K$6:$K$158=$BX142,('Consolidado Costos'!AI$6:AI$158*'Consolidado Costos'!$G$6:$G$158),0))</f>
        <v>0</v>
      </c>
      <c r="CG142" s="318" cm="1">
        <f t="array" ref="CG142">+SUMPRODUCT(IF('Consolidado Costos'!$K$6:$K$158=$BX142,('Consolidado Costos'!AJ$6:AJ$158*'Consolidado Costos'!$G$6:$G$158),0))</f>
        <v>0</v>
      </c>
      <c r="CH142" s="318" cm="1">
        <f t="array" ref="CH142">+SUMPRODUCT(IF('Consolidado Costos'!$K$6:$K$158=$BX142,('Consolidado Costos'!AK$6:AK$158*'Consolidado Costos'!$G$6:$G$158),0))</f>
        <v>0</v>
      </c>
      <c r="CI142" s="318" cm="1">
        <f t="array" ref="CI142">+SUMPRODUCT(IF('Consolidado Costos'!$K$6:$K$158=$BX142,('Consolidado Costos'!AL$6:AL$158*'Consolidado Costos'!$G$6:$G$158),0))</f>
        <v>0</v>
      </c>
      <c r="CJ142" s="318" cm="1">
        <f t="array" ref="CJ142">+SUMPRODUCT(IF('Consolidado Costos'!$K$6:$K$158=$BX142,('Consolidado Costos'!AM$6:AM$158*'Consolidado Costos'!$G$6:$G$158),0))</f>
        <v>0</v>
      </c>
      <c r="CK142" s="318" cm="1">
        <f t="array" ref="CK142">+SUMPRODUCT(IF('Consolidado Costos'!$K$6:$K$158=$BX142,('Consolidado Costos'!AN$6:AN$158*'Consolidado Costos'!$G$6:$G$158),0))</f>
        <v>0</v>
      </c>
      <c r="CL142" s="318" cm="1">
        <f t="array" ref="CL142">+SUMPRODUCT(IF('Consolidado Costos'!$K$6:$K$158=$BX142,('Consolidado Costos'!AO$6:AO$158*'Consolidado Costos'!$G$6:$G$158),0))</f>
        <v>0</v>
      </c>
      <c r="CM142" s="318" cm="1">
        <f t="array" ref="CM142">+SUMPRODUCT(IF('Consolidado Costos'!$K$6:$K$158=$BX142,('Consolidado Costos'!AP$6:AP$158*'Consolidado Costos'!$G$6:$G$158),0))</f>
        <v>0</v>
      </c>
      <c r="CN142" s="357">
        <f t="shared" si="10"/>
        <v>1</v>
      </c>
    </row>
    <row r="143" spans="2:92" s="310" customFormat="1" outlineLevel="1">
      <c r="B143" s="327"/>
      <c r="C143" s="330" t="s">
        <v>536</v>
      </c>
      <c r="D143" s="330" t="s">
        <v>537</v>
      </c>
      <c r="E143" s="329"/>
      <c r="F143" s="318">
        <f>+SUMIF('Consolidado Costos'!$K$6:$K$158,$C143,'Consolidado Costos'!$AD$6:$AD$158)</f>
        <v>0</v>
      </c>
      <c r="G143" s="318">
        <f>+SUMIF('Consolidado Costos'!$K$6:$K$158,$C143,'Consolidado Costos'!AE$6:AE$158)</f>
        <v>0</v>
      </c>
      <c r="H143" s="318">
        <f>+SUMIF('Consolidado Costos'!$K$6:$K$158,$C143,'Consolidado Costos'!AF$6:AF$158)</f>
        <v>0</v>
      </c>
      <c r="I143" s="318">
        <f>+SUMIF('Consolidado Costos'!$K$6:$K$158,$C143,'Consolidado Costos'!AG$6:AG$158)</f>
        <v>0</v>
      </c>
      <c r="J143" s="318">
        <f>+SUMIF('Consolidado Costos'!$K$6:$K$158,$C143,'Consolidado Costos'!AH$6:AH$158)</f>
        <v>0</v>
      </c>
      <c r="K143" s="318">
        <f>+SUMIF('Consolidado Costos'!$K$6:$K$158,$C143,'Consolidado Costos'!AI$6:AI$158)</f>
        <v>0</v>
      </c>
      <c r="L143" s="318">
        <f>+SUMIF('Consolidado Costos'!$K$6:$K$158,$C143,'Consolidado Costos'!AJ$6:AJ$158)</f>
        <v>0</v>
      </c>
      <c r="M143" s="318">
        <f>+SUMIF('Consolidado Costos'!$K$6:$K$158,$C143,'Consolidado Costos'!AK$6:AK$158)</f>
        <v>0</v>
      </c>
      <c r="N143" s="318">
        <f>+SUMIF('Consolidado Costos'!$K$6:$K$158,$C143,'Consolidado Costos'!AL$6:AL$158)</f>
        <v>0</v>
      </c>
      <c r="O143" s="318">
        <f>+SUMIF('Consolidado Costos'!$K$6:$K$158,$C143,'Consolidado Costos'!AM$6:AM$158)</f>
        <v>0</v>
      </c>
      <c r="P143" s="318">
        <f>+SUMIF('Consolidado Costos'!$K$6:$K$158,$C143,'Consolidado Costos'!AN$6:AN$158)</f>
        <v>0</v>
      </c>
      <c r="Q143" s="318">
        <f>+SUMIF('Consolidado Costos'!$K$6:$K$158,$C143,'Consolidado Costos'!AO$6:AO$158)</f>
        <v>0</v>
      </c>
      <c r="R143" s="318">
        <f>+SUMIF('Consolidado Costos'!$K$6:$K$158,$C143,'Consolidado Costos'!AP$6:AP$158)</f>
        <v>0</v>
      </c>
      <c r="S143" s="357">
        <f t="shared" si="5"/>
        <v>1</v>
      </c>
      <c r="U143" s="327"/>
      <c r="V143" s="330" t="s">
        <v>536</v>
      </c>
      <c r="W143" s="330" t="s">
        <v>537</v>
      </c>
      <c r="X143" s="329"/>
      <c r="Y143" s="354">
        <f t="shared" si="29"/>
        <v>0</v>
      </c>
      <c r="Z143" s="318" cm="1">
        <f t="array" ref="Z143">+SUMPRODUCT(IF('Consolidado Costos'!$K$6:$K$158=$V143,('Consolidado Costos'!AE$6:AE$158*'Consolidado Costos'!$D$6:$D$158),0))</f>
        <v>0</v>
      </c>
      <c r="AA143" s="318" cm="1">
        <f t="array" ref="AA143">+SUMPRODUCT(IF('Consolidado Costos'!$K$6:$K$158=$V143,('Consolidado Costos'!AF$6:AF$158*'Consolidado Costos'!$D$6:$D$158),0))</f>
        <v>0</v>
      </c>
      <c r="AB143" s="318" cm="1">
        <f t="array" ref="AB143">+SUMPRODUCT(IF('Consolidado Costos'!$K$6:$K$158=$V143,('Consolidado Costos'!AG$6:AG$158*'Consolidado Costos'!$D$6:$D$158),0))</f>
        <v>0</v>
      </c>
      <c r="AC143" s="318" cm="1">
        <f t="array" ref="AC143">+SUMPRODUCT(IF('Consolidado Costos'!$K$6:$K$158=$V143,('Consolidado Costos'!AH$6:AH$158*'Consolidado Costos'!$D$6:$D$158),0))</f>
        <v>0</v>
      </c>
      <c r="AD143" s="318" cm="1">
        <f t="array" ref="AD143">+SUMPRODUCT(IF('Consolidado Costos'!$K$6:$K$158=$V143,('Consolidado Costos'!AI$6:AI$158*'Consolidado Costos'!$D$6:$D$158),0))</f>
        <v>0</v>
      </c>
      <c r="AE143" s="318" cm="1">
        <f t="array" ref="AE143">+SUMPRODUCT(IF('Consolidado Costos'!$K$6:$K$158=$V143,('Consolidado Costos'!AJ$6:AJ$158*'Consolidado Costos'!$D$6:$D$158),0))</f>
        <v>0</v>
      </c>
      <c r="AF143" s="318" cm="1">
        <f t="array" ref="AF143">+SUMPRODUCT(IF('Consolidado Costos'!$K$6:$K$158=$V143,('Consolidado Costos'!AK$6:AK$158*'Consolidado Costos'!$D$6:$D$158),0))</f>
        <v>0</v>
      </c>
      <c r="AG143" s="318" cm="1">
        <f t="array" ref="AG143">+SUMPRODUCT(IF('Consolidado Costos'!$K$6:$K$158=$V143,('Consolidado Costos'!AL$6:AL$158*'Consolidado Costos'!$D$6:$D$158),0))</f>
        <v>0</v>
      </c>
      <c r="AH143" s="318" cm="1">
        <f t="array" ref="AH143">+SUMPRODUCT(IF('Consolidado Costos'!$K$6:$K$158=$V143,('Consolidado Costos'!AM$6:AM$158*'Consolidado Costos'!$D$6:$D$158),0))</f>
        <v>0</v>
      </c>
      <c r="AI143" s="318" cm="1">
        <f t="array" ref="AI143">+SUMPRODUCT(IF('Consolidado Costos'!$K$6:$K$158=$V143,('Consolidado Costos'!AN$6:AN$158*'Consolidado Costos'!$D$6:$D$158),0))</f>
        <v>0</v>
      </c>
      <c r="AJ143" s="318" cm="1">
        <f t="array" ref="AJ143">+SUMPRODUCT(IF('Consolidado Costos'!$K$6:$K$158=$V143,('Consolidado Costos'!AO$6:AO$158*'Consolidado Costos'!$D$6:$D$158),0))</f>
        <v>0</v>
      </c>
      <c r="AK143" s="318" cm="1">
        <f t="array" ref="AK143">+SUMPRODUCT(IF('Consolidado Costos'!$K$6:$K$158=$V143,('Consolidado Costos'!AP$6:AP$158*'Consolidado Costos'!$D$6:$D$158),0))</f>
        <v>0</v>
      </c>
      <c r="AM143" s="327"/>
      <c r="AN143" s="330" t="s">
        <v>536</v>
      </c>
      <c r="AO143" s="330" t="s">
        <v>537</v>
      </c>
      <c r="AP143" s="329"/>
      <c r="AQ143" s="354">
        <f t="shared" si="21"/>
        <v>0</v>
      </c>
      <c r="AR143" s="318" cm="1">
        <f t="array" ref="AR143">+SUMPRODUCT(IF('Consolidado Costos'!$K$6:$K$158=$AN143,('Consolidado Costos'!AE$6:AE$158*'Consolidado Costos'!$E$6:$E$158),0))</f>
        <v>0</v>
      </c>
      <c r="AS143" s="318" cm="1">
        <f t="array" ref="AS143">+SUMPRODUCT(IF('Consolidado Costos'!$K$6:$K$158=$AN143,('Consolidado Costos'!AF$6:AF$158*'Consolidado Costos'!$E$6:$E$158),0))</f>
        <v>0</v>
      </c>
      <c r="AT143" s="318" cm="1">
        <f t="array" ref="AT143">+SUMPRODUCT(IF('Consolidado Costos'!$K$6:$K$158=$AN143,('Consolidado Costos'!AG$6:AG$158*'Consolidado Costos'!$E$6:$E$158),0))</f>
        <v>0</v>
      </c>
      <c r="AU143" s="318" cm="1">
        <f t="array" ref="AU143">+SUMPRODUCT(IF('Consolidado Costos'!$K$6:$K$158=$AN143,('Consolidado Costos'!AH$6:AH$158*'Consolidado Costos'!$E$6:$E$158),0))</f>
        <v>0</v>
      </c>
      <c r="AV143" s="318" cm="1">
        <f t="array" ref="AV143">+SUMPRODUCT(IF('Consolidado Costos'!$K$6:$K$158=$AN143,('Consolidado Costos'!AI$6:AI$158*'Consolidado Costos'!$E$6:$E$158),0))</f>
        <v>0</v>
      </c>
      <c r="AW143" s="318" cm="1">
        <f t="array" ref="AW143">+SUMPRODUCT(IF('Consolidado Costos'!$K$6:$K$158=$AN143,('Consolidado Costos'!AJ$6:AJ$158*'Consolidado Costos'!$E$6:$E$158),0))</f>
        <v>0</v>
      </c>
      <c r="AX143" s="318" cm="1">
        <f t="array" ref="AX143">+SUMPRODUCT(IF('Consolidado Costos'!$K$6:$K$158=$AN143,('Consolidado Costos'!AK$6:AK$158*'Consolidado Costos'!$E$6:$E$158),0))</f>
        <v>0</v>
      </c>
      <c r="AY143" s="318" cm="1">
        <f t="array" ref="AY143">+SUMPRODUCT(IF('Consolidado Costos'!$K$6:$K$158=$AN143,('Consolidado Costos'!AL$6:AL$158*'Consolidado Costos'!$E$6:$E$158),0))</f>
        <v>0</v>
      </c>
      <c r="AZ143" s="318" cm="1">
        <f t="array" ref="AZ143">+SUMPRODUCT(IF('Consolidado Costos'!$K$6:$K$158=$AN143,('Consolidado Costos'!AM$6:AM$158*'Consolidado Costos'!$E$6:$E$158),0))</f>
        <v>0</v>
      </c>
      <c r="BA143" s="318" cm="1">
        <f t="array" ref="BA143">+SUMPRODUCT(IF('Consolidado Costos'!$K$6:$K$158=$AN143,('Consolidado Costos'!AN$6:AN$158*'Consolidado Costos'!$E$6:$E$158),0))</f>
        <v>0</v>
      </c>
      <c r="BB143" s="318" cm="1">
        <f t="array" ref="BB143">+SUMPRODUCT(IF('Consolidado Costos'!$K$6:$K$158=$AN143,('Consolidado Costos'!AO$6:AO$158*'Consolidado Costos'!$E$6:$E$158),0))</f>
        <v>0</v>
      </c>
      <c r="BC143" s="318" cm="1">
        <f t="array" ref="BC143">+SUMPRODUCT(IF('Consolidado Costos'!$K$6:$K$158=$AN143,('Consolidado Costos'!AP$6:AP$158*'Consolidado Costos'!$E$6:$E$158),0))</f>
        <v>0</v>
      </c>
      <c r="BE143" s="327"/>
      <c r="BF143" s="330" t="s">
        <v>536</v>
      </c>
      <c r="BG143" s="330" t="s">
        <v>537</v>
      </c>
      <c r="BH143" s="329"/>
      <c r="BI143" s="354">
        <f t="shared" si="30"/>
        <v>0</v>
      </c>
      <c r="BJ143" s="318" cm="1">
        <f t="array" ref="BJ143">+SUMPRODUCT(IF('Consolidado Costos'!$K$6:$K$158=$BF143,('Consolidado Costos'!AE$6:AE$158*'Consolidado Costos'!$F$6:$F$158),0))</f>
        <v>0</v>
      </c>
      <c r="BK143" s="318" cm="1">
        <f t="array" ref="BK143">+SUMPRODUCT(IF('Consolidado Costos'!$K$6:$K$158=$BF143,('Consolidado Costos'!AF$6:AF$158*'Consolidado Costos'!$F$6:$F$158),0))</f>
        <v>0</v>
      </c>
      <c r="BL143" s="318" cm="1">
        <f t="array" ref="BL143">+SUMPRODUCT(IF('Consolidado Costos'!$K$6:$K$158=$BF143,('Consolidado Costos'!AG$6:AG$158*'Consolidado Costos'!$F$6:$F$158),0))</f>
        <v>0</v>
      </c>
      <c r="BM143" s="318" cm="1">
        <f t="array" ref="BM143">+SUMPRODUCT(IF('Consolidado Costos'!$K$6:$K$158=$BF143,('Consolidado Costos'!AH$6:AH$158*'Consolidado Costos'!$F$6:$F$158),0))</f>
        <v>0</v>
      </c>
      <c r="BN143" s="318" cm="1">
        <f t="array" ref="BN143">+SUMPRODUCT(IF('Consolidado Costos'!$K$6:$K$158=$BF143,('Consolidado Costos'!AI$6:AI$158*'Consolidado Costos'!$F$6:$F$158),0))</f>
        <v>0</v>
      </c>
      <c r="BO143" s="318" cm="1">
        <f t="array" ref="BO143">+SUMPRODUCT(IF('Consolidado Costos'!$K$6:$K$158=$BF143,('Consolidado Costos'!AJ$6:AJ$158*'Consolidado Costos'!$F$6:$F$158),0))</f>
        <v>0</v>
      </c>
      <c r="BP143" s="318" cm="1">
        <f t="array" ref="BP143">+SUMPRODUCT(IF('Consolidado Costos'!$K$6:$K$158=$BF143,('Consolidado Costos'!AK$6:AK$158*'Consolidado Costos'!$F$6:$F$158),0))</f>
        <v>0</v>
      </c>
      <c r="BQ143" s="318" cm="1">
        <f t="array" ref="BQ143">+SUMPRODUCT(IF('Consolidado Costos'!$K$6:$K$158=$BF143,('Consolidado Costos'!AL$6:AL$158*'Consolidado Costos'!$F$6:$F$158),0))</f>
        <v>0</v>
      </c>
      <c r="BR143" s="318" cm="1">
        <f t="array" ref="BR143">+SUMPRODUCT(IF('Consolidado Costos'!$K$6:$K$158=$BF143,('Consolidado Costos'!AM$6:AM$158*'Consolidado Costos'!$F$6:$F$158),0))</f>
        <v>0</v>
      </c>
      <c r="BS143" s="318" cm="1">
        <f t="array" ref="BS143">+SUMPRODUCT(IF('Consolidado Costos'!$K$6:$K$158=$BF143,('Consolidado Costos'!AN$6:AN$158*'Consolidado Costos'!$F$6:$F$158),0))</f>
        <v>0</v>
      </c>
      <c r="BT143" s="318" cm="1">
        <f t="array" ref="BT143">+SUMPRODUCT(IF('Consolidado Costos'!$K$6:$K$158=$BF143,('Consolidado Costos'!AO$6:AO$158*'Consolidado Costos'!$F$6:$F$158),0))</f>
        <v>0</v>
      </c>
      <c r="BU143" s="318" cm="1">
        <f t="array" ref="BU143">+SUMPRODUCT(IF('Consolidado Costos'!$K$6:$K$158=$BF143,('Consolidado Costos'!AP$6:AP$158*'Consolidado Costos'!$F$6:$F$158),0))</f>
        <v>0</v>
      </c>
      <c r="BW143" s="327"/>
      <c r="BX143" s="330" t="s">
        <v>536</v>
      </c>
      <c r="BY143" s="330" t="s">
        <v>537</v>
      </c>
      <c r="BZ143" s="329"/>
      <c r="CA143" s="354">
        <f t="shared" si="31"/>
        <v>0</v>
      </c>
      <c r="CB143" s="318" cm="1">
        <f t="array" ref="CB143">+SUMPRODUCT(IF('Consolidado Costos'!$K$6:$K$158=$BX143,('Consolidado Costos'!AE$6:AE$158*'Consolidado Costos'!$G$6:$G$158),0))</f>
        <v>0</v>
      </c>
      <c r="CC143" s="318" cm="1">
        <f t="array" ref="CC143">+SUMPRODUCT(IF('Consolidado Costos'!$K$6:$K$158=$BX143,('Consolidado Costos'!AF$6:AF$158*'Consolidado Costos'!$G$6:$G$158),0))</f>
        <v>0</v>
      </c>
      <c r="CD143" s="318" cm="1">
        <f t="array" ref="CD143">+SUMPRODUCT(IF('Consolidado Costos'!$K$6:$K$158=$BX143,('Consolidado Costos'!AG$6:AG$158*'Consolidado Costos'!$G$6:$G$158),0))</f>
        <v>0</v>
      </c>
      <c r="CE143" s="318" cm="1">
        <f t="array" ref="CE143">+SUMPRODUCT(IF('Consolidado Costos'!$K$6:$K$158=$BX143,('Consolidado Costos'!AH$6:AH$158*'Consolidado Costos'!$G$6:$G$158),0))</f>
        <v>0</v>
      </c>
      <c r="CF143" s="318" cm="1">
        <f t="array" ref="CF143">+SUMPRODUCT(IF('Consolidado Costos'!$K$6:$K$158=$BX143,('Consolidado Costos'!AI$6:AI$158*'Consolidado Costos'!$G$6:$G$158),0))</f>
        <v>0</v>
      </c>
      <c r="CG143" s="318" cm="1">
        <f t="array" ref="CG143">+SUMPRODUCT(IF('Consolidado Costos'!$K$6:$K$158=$BX143,('Consolidado Costos'!AJ$6:AJ$158*'Consolidado Costos'!$G$6:$G$158),0))</f>
        <v>0</v>
      </c>
      <c r="CH143" s="318" cm="1">
        <f t="array" ref="CH143">+SUMPRODUCT(IF('Consolidado Costos'!$K$6:$K$158=$BX143,('Consolidado Costos'!AK$6:AK$158*'Consolidado Costos'!$G$6:$G$158),0))</f>
        <v>0</v>
      </c>
      <c r="CI143" s="318" cm="1">
        <f t="array" ref="CI143">+SUMPRODUCT(IF('Consolidado Costos'!$K$6:$K$158=$BX143,('Consolidado Costos'!AL$6:AL$158*'Consolidado Costos'!$G$6:$G$158),0))</f>
        <v>0</v>
      </c>
      <c r="CJ143" s="318" cm="1">
        <f t="array" ref="CJ143">+SUMPRODUCT(IF('Consolidado Costos'!$K$6:$K$158=$BX143,('Consolidado Costos'!AM$6:AM$158*'Consolidado Costos'!$G$6:$G$158),0))</f>
        <v>0</v>
      </c>
      <c r="CK143" s="318" cm="1">
        <f t="array" ref="CK143">+SUMPRODUCT(IF('Consolidado Costos'!$K$6:$K$158=$BX143,('Consolidado Costos'!AN$6:AN$158*'Consolidado Costos'!$G$6:$G$158),0))</f>
        <v>0</v>
      </c>
      <c r="CL143" s="318" cm="1">
        <f t="array" ref="CL143">+SUMPRODUCT(IF('Consolidado Costos'!$K$6:$K$158=$BX143,('Consolidado Costos'!AO$6:AO$158*'Consolidado Costos'!$G$6:$G$158),0))</f>
        <v>0</v>
      </c>
      <c r="CM143" s="318" cm="1">
        <f t="array" ref="CM143">+SUMPRODUCT(IF('Consolidado Costos'!$K$6:$K$158=$BX143,('Consolidado Costos'!AP$6:AP$158*'Consolidado Costos'!$G$6:$G$158),0))</f>
        <v>0</v>
      </c>
      <c r="CN143" s="357">
        <f t="shared" si="10"/>
        <v>1</v>
      </c>
    </row>
    <row r="144" spans="2:92" s="310" customFormat="1" outlineLevel="1">
      <c r="B144" s="327"/>
      <c r="C144" s="328" t="s">
        <v>538</v>
      </c>
      <c r="D144" s="328" t="s">
        <v>539</v>
      </c>
      <c r="E144" s="329"/>
      <c r="F144" s="318">
        <f>+SUMIF('Consolidado Costos'!$K$6:$K$158,$C144,'Consolidado Costos'!$AD$6:$AD$158)</f>
        <v>0</v>
      </c>
      <c r="G144" s="318">
        <f>+SUMIF('Consolidado Costos'!$K$6:$K$158,$C144,'Consolidado Costos'!AE$6:AE$158)</f>
        <v>0</v>
      </c>
      <c r="H144" s="318">
        <f>+SUMIF('Consolidado Costos'!$K$6:$K$158,$C144,'Consolidado Costos'!AF$6:AF$158)</f>
        <v>0</v>
      </c>
      <c r="I144" s="318">
        <f>+SUMIF('Consolidado Costos'!$K$6:$K$158,$C144,'Consolidado Costos'!AG$6:AG$158)</f>
        <v>0</v>
      </c>
      <c r="J144" s="318">
        <f>+SUMIF('Consolidado Costos'!$K$6:$K$158,$C144,'Consolidado Costos'!AH$6:AH$158)</f>
        <v>0</v>
      </c>
      <c r="K144" s="318">
        <f>+SUMIF('Consolidado Costos'!$K$6:$K$158,$C144,'Consolidado Costos'!AI$6:AI$158)</f>
        <v>0</v>
      </c>
      <c r="L144" s="318">
        <f>+SUMIF('Consolidado Costos'!$K$6:$K$158,$C144,'Consolidado Costos'!AJ$6:AJ$158)</f>
        <v>0</v>
      </c>
      <c r="M144" s="318">
        <f>+SUMIF('Consolidado Costos'!$K$6:$K$158,$C144,'Consolidado Costos'!AK$6:AK$158)</f>
        <v>0</v>
      </c>
      <c r="N144" s="318">
        <f>+SUMIF('Consolidado Costos'!$K$6:$K$158,$C144,'Consolidado Costos'!AL$6:AL$158)</f>
        <v>0</v>
      </c>
      <c r="O144" s="318">
        <f>+SUMIF('Consolidado Costos'!$K$6:$K$158,$C144,'Consolidado Costos'!AM$6:AM$158)</f>
        <v>0</v>
      </c>
      <c r="P144" s="318">
        <f>+SUMIF('Consolidado Costos'!$K$6:$K$158,$C144,'Consolidado Costos'!AN$6:AN$158)</f>
        <v>0</v>
      </c>
      <c r="Q144" s="318">
        <f>+SUMIF('Consolidado Costos'!$K$6:$K$158,$C144,'Consolidado Costos'!AO$6:AO$158)</f>
        <v>0</v>
      </c>
      <c r="R144" s="318">
        <f>+SUMIF('Consolidado Costos'!$K$6:$K$158,$C144,'Consolidado Costos'!AP$6:AP$158)</f>
        <v>0</v>
      </c>
      <c r="S144" s="357">
        <f t="shared" si="5"/>
        <v>1</v>
      </c>
      <c r="U144" s="327"/>
      <c r="V144" s="328" t="s">
        <v>538</v>
      </c>
      <c r="W144" s="328" t="s">
        <v>539</v>
      </c>
      <c r="X144" s="329"/>
      <c r="Y144" s="354">
        <f t="shared" si="29"/>
        <v>0</v>
      </c>
      <c r="Z144" s="318" cm="1">
        <f t="array" ref="Z144">+SUMPRODUCT(IF('Consolidado Costos'!$K$6:$K$158=$V144,('Consolidado Costos'!AE$6:AE$158*'Consolidado Costos'!$D$6:$D$158),0))</f>
        <v>0</v>
      </c>
      <c r="AA144" s="318" cm="1">
        <f t="array" ref="AA144">+SUMPRODUCT(IF('Consolidado Costos'!$K$6:$K$158=$V144,('Consolidado Costos'!AF$6:AF$158*'Consolidado Costos'!$D$6:$D$158),0))</f>
        <v>0</v>
      </c>
      <c r="AB144" s="318" cm="1">
        <f t="array" ref="AB144">+SUMPRODUCT(IF('Consolidado Costos'!$K$6:$K$158=$V144,('Consolidado Costos'!AG$6:AG$158*'Consolidado Costos'!$D$6:$D$158),0))</f>
        <v>0</v>
      </c>
      <c r="AC144" s="318" cm="1">
        <f t="array" ref="AC144">+SUMPRODUCT(IF('Consolidado Costos'!$K$6:$K$158=$V144,('Consolidado Costos'!AH$6:AH$158*'Consolidado Costos'!$D$6:$D$158),0))</f>
        <v>0</v>
      </c>
      <c r="AD144" s="318" cm="1">
        <f t="array" ref="AD144">+SUMPRODUCT(IF('Consolidado Costos'!$K$6:$K$158=$V144,('Consolidado Costos'!AI$6:AI$158*'Consolidado Costos'!$D$6:$D$158),0))</f>
        <v>0</v>
      </c>
      <c r="AE144" s="318" cm="1">
        <f t="array" ref="AE144">+SUMPRODUCT(IF('Consolidado Costos'!$K$6:$K$158=$V144,('Consolidado Costos'!AJ$6:AJ$158*'Consolidado Costos'!$D$6:$D$158),0))</f>
        <v>0</v>
      </c>
      <c r="AF144" s="318" cm="1">
        <f t="array" ref="AF144">+SUMPRODUCT(IF('Consolidado Costos'!$K$6:$K$158=$V144,('Consolidado Costos'!AK$6:AK$158*'Consolidado Costos'!$D$6:$D$158),0))</f>
        <v>0</v>
      </c>
      <c r="AG144" s="318" cm="1">
        <f t="array" ref="AG144">+SUMPRODUCT(IF('Consolidado Costos'!$K$6:$K$158=$V144,('Consolidado Costos'!AL$6:AL$158*'Consolidado Costos'!$D$6:$D$158),0))</f>
        <v>0</v>
      </c>
      <c r="AH144" s="318" cm="1">
        <f t="array" ref="AH144">+SUMPRODUCT(IF('Consolidado Costos'!$K$6:$K$158=$V144,('Consolidado Costos'!AM$6:AM$158*'Consolidado Costos'!$D$6:$D$158),0))</f>
        <v>0</v>
      </c>
      <c r="AI144" s="318" cm="1">
        <f t="array" ref="AI144">+SUMPRODUCT(IF('Consolidado Costos'!$K$6:$K$158=$V144,('Consolidado Costos'!AN$6:AN$158*'Consolidado Costos'!$D$6:$D$158),0))</f>
        <v>0</v>
      </c>
      <c r="AJ144" s="318" cm="1">
        <f t="array" ref="AJ144">+SUMPRODUCT(IF('Consolidado Costos'!$K$6:$K$158=$V144,('Consolidado Costos'!AO$6:AO$158*'Consolidado Costos'!$D$6:$D$158),0))</f>
        <v>0</v>
      </c>
      <c r="AK144" s="318" cm="1">
        <f t="array" ref="AK144">+SUMPRODUCT(IF('Consolidado Costos'!$K$6:$K$158=$V144,('Consolidado Costos'!AP$6:AP$158*'Consolidado Costos'!$D$6:$D$158),0))</f>
        <v>0</v>
      </c>
      <c r="AM144" s="327"/>
      <c r="AN144" s="328" t="s">
        <v>538</v>
      </c>
      <c r="AO144" s="328" t="s">
        <v>539</v>
      </c>
      <c r="AP144" s="329"/>
      <c r="AQ144" s="354">
        <f t="shared" si="21"/>
        <v>0</v>
      </c>
      <c r="AR144" s="318" cm="1">
        <f t="array" ref="AR144">+SUMPRODUCT(IF('Consolidado Costos'!$K$6:$K$158=$AN144,('Consolidado Costos'!AE$6:AE$158*'Consolidado Costos'!$E$6:$E$158),0))</f>
        <v>0</v>
      </c>
      <c r="AS144" s="318" cm="1">
        <f t="array" ref="AS144">+SUMPRODUCT(IF('Consolidado Costos'!$K$6:$K$158=$AN144,('Consolidado Costos'!AF$6:AF$158*'Consolidado Costos'!$E$6:$E$158),0))</f>
        <v>0</v>
      </c>
      <c r="AT144" s="318" cm="1">
        <f t="array" ref="AT144">+SUMPRODUCT(IF('Consolidado Costos'!$K$6:$K$158=$AN144,('Consolidado Costos'!AG$6:AG$158*'Consolidado Costos'!$E$6:$E$158),0))</f>
        <v>0</v>
      </c>
      <c r="AU144" s="318" cm="1">
        <f t="array" ref="AU144">+SUMPRODUCT(IF('Consolidado Costos'!$K$6:$K$158=$AN144,('Consolidado Costos'!AH$6:AH$158*'Consolidado Costos'!$E$6:$E$158),0))</f>
        <v>0</v>
      </c>
      <c r="AV144" s="318" cm="1">
        <f t="array" ref="AV144">+SUMPRODUCT(IF('Consolidado Costos'!$K$6:$K$158=$AN144,('Consolidado Costos'!AI$6:AI$158*'Consolidado Costos'!$E$6:$E$158),0))</f>
        <v>0</v>
      </c>
      <c r="AW144" s="318" cm="1">
        <f t="array" ref="AW144">+SUMPRODUCT(IF('Consolidado Costos'!$K$6:$K$158=$AN144,('Consolidado Costos'!AJ$6:AJ$158*'Consolidado Costos'!$E$6:$E$158),0))</f>
        <v>0</v>
      </c>
      <c r="AX144" s="318" cm="1">
        <f t="array" ref="AX144">+SUMPRODUCT(IF('Consolidado Costos'!$K$6:$K$158=$AN144,('Consolidado Costos'!AK$6:AK$158*'Consolidado Costos'!$E$6:$E$158),0))</f>
        <v>0</v>
      </c>
      <c r="AY144" s="318" cm="1">
        <f t="array" ref="AY144">+SUMPRODUCT(IF('Consolidado Costos'!$K$6:$K$158=$AN144,('Consolidado Costos'!AL$6:AL$158*'Consolidado Costos'!$E$6:$E$158),0))</f>
        <v>0</v>
      </c>
      <c r="AZ144" s="318" cm="1">
        <f t="array" ref="AZ144">+SUMPRODUCT(IF('Consolidado Costos'!$K$6:$K$158=$AN144,('Consolidado Costos'!AM$6:AM$158*'Consolidado Costos'!$E$6:$E$158),0))</f>
        <v>0</v>
      </c>
      <c r="BA144" s="318" cm="1">
        <f t="array" ref="BA144">+SUMPRODUCT(IF('Consolidado Costos'!$K$6:$K$158=$AN144,('Consolidado Costos'!AN$6:AN$158*'Consolidado Costos'!$E$6:$E$158),0))</f>
        <v>0</v>
      </c>
      <c r="BB144" s="318" cm="1">
        <f t="array" ref="BB144">+SUMPRODUCT(IF('Consolidado Costos'!$K$6:$K$158=$AN144,('Consolidado Costos'!AO$6:AO$158*'Consolidado Costos'!$E$6:$E$158),0))</f>
        <v>0</v>
      </c>
      <c r="BC144" s="318" cm="1">
        <f t="array" ref="BC144">+SUMPRODUCT(IF('Consolidado Costos'!$K$6:$K$158=$AN144,('Consolidado Costos'!AP$6:AP$158*'Consolidado Costos'!$E$6:$E$158),0))</f>
        <v>0</v>
      </c>
      <c r="BE144" s="327"/>
      <c r="BF144" s="328" t="s">
        <v>538</v>
      </c>
      <c r="BG144" s="328" t="s">
        <v>539</v>
      </c>
      <c r="BH144" s="329"/>
      <c r="BI144" s="354">
        <f t="shared" si="30"/>
        <v>0</v>
      </c>
      <c r="BJ144" s="318" cm="1">
        <f t="array" ref="BJ144">+SUMPRODUCT(IF('Consolidado Costos'!$K$6:$K$158=$BF144,('Consolidado Costos'!AE$6:AE$158*'Consolidado Costos'!$F$6:$F$158),0))</f>
        <v>0</v>
      </c>
      <c r="BK144" s="318" cm="1">
        <f t="array" ref="BK144">+SUMPRODUCT(IF('Consolidado Costos'!$K$6:$K$158=$BF144,('Consolidado Costos'!AF$6:AF$158*'Consolidado Costos'!$F$6:$F$158),0))</f>
        <v>0</v>
      </c>
      <c r="BL144" s="318" cm="1">
        <f t="array" ref="BL144">+SUMPRODUCT(IF('Consolidado Costos'!$K$6:$K$158=$BF144,('Consolidado Costos'!AG$6:AG$158*'Consolidado Costos'!$F$6:$F$158),0))</f>
        <v>0</v>
      </c>
      <c r="BM144" s="318" cm="1">
        <f t="array" ref="BM144">+SUMPRODUCT(IF('Consolidado Costos'!$K$6:$K$158=$BF144,('Consolidado Costos'!AH$6:AH$158*'Consolidado Costos'!$F$6:$F$158),0))</f>
        <v>0</v>
      </c>
      <c r="BN144" s="318" cm="1">
        <f t="array" ref="BN144">+SUMPRODUCT(IF('Consolidado Costos'!$K$6:$K$158=$BF144,('Consolidado Costos'!AI$6:AI$158*'Consolidado Costos'!$F$6:$F$158),0))</f>
        <v>0</v>
      </c>
      <c r="BO144" s="318" cm="1">
        <f t="array" ref="BO144">+SUMPRODUCT(IF('Consolidado Costos'!$K$6:$K$158=$BF144,('Consolidado Costos'!AJ$6:AJ$158*'Consolidado Costos'!$F$6:$F$158),0))</f>
        <v>0</v>
      </c>
      <c r="BP144" s="318" cm="1">
        <f t="array" ref="BP144">+SUMPRODUCT(IF('Consolidado Costos'!$K$6:$K$158=$BF144,('Consolidado Costos'!AK$6:AK$158*'Consolidado Costos'!$F$6:$F$158),0))</f>
        <v>0</v>
      </c>
      <c r="BQ144" s="318" cm="1">
        <f t="array" ref="BQ144">+SUMPRODUCT(IF('Consolidado Costos'!$K$6:$K$158=$BF144,('Consolidado Costos'!AL$6:AL$158*'Consolidado Costos'!$F$6:$F$158),0))</f>
        <v>0</v>
      </c>
      <c r="BR144" s="318" cm="1">
        <f t="array" ref="BR144">+SUMPRODUCT(IF('Consolidado Costos'!$K$6:$K$158=$BF144,('Consolidado Costos'!AM$6:AM$158*'Consolidado Costos'!$F$6:$F$158),0))</f>
        <v>0</v>
      </c>
      <c r="BS144" s="318" cm="1">
        <f t="array" ref="BS144">+SUMPRODUCT(IF('Consolidado Costos'!$K$6:$K$158=$BF144,('Consolidado Costos'!AN$6:AN$158*'Consolidado Costos'!$F$6:$F$158),0))</f>
        <v>0</v>
      </c>
      <c r="BT144" s="318" cm="1">
        <f t="array" ref="BT144">+SUMPRODUCT(IF('Consolidado Costos'!$K$6:$K$158=$BF144,('Consolidado Costos'!AO$6:AO$158*'Consolidado Costos'!$F$6:$F$158),0))</f>
        <v>0</v>
      </c>
      <c r="BU144" s="318" cm="1">
        <f t="array" ref="BU144">+SUMPRODUCT(IF('Consolidado Costos'!$K$6:$K$158=$BF144,('Consolidado Costos'!AP$6:AP$158*'Consolidado Costos'!$F$6:$F$158),0))</f>
        <v>0</v>
      </c>
      <c r="BW144" s="327"/>
      <c r="BX144" s="328" t="s">
        <v>538</v>
      </c>
      <c r="BY144" s="328" t="s">
        <v>539</v>
      </c>
      <c r="BZ144" s="329"/>
      <c r="CA144" s="354">
        <f t="shared" si="31"/>
        <v>0</v>
      </c>
      <c r="CB144" s="318" cm="1">
        <f t="array" ref="CB144">+SUMPRODUCT(IF('Consolidado Costos'!$K$6:$K$158=$BX144,('Consolidado Costos'!AE$6:AE$158*'Consolidado Costos'!$G$6:$G$158),0))</f>
        <v>0</v>
      </c>
      <c r="CC144" s="318" cm="1">
        <f t="array" ref="CC144">+SUMPRODUCT(IF('Consolidado Costos'!$K$6:$K$158=$BX144,('Consolidado Costos'!AF$6:AF$158*'Consolidado Costos'!$G$6:$G$158),0))</f>
        <v>0</v>
      </c>
      <c r="CD144" s="318" cm="1">
        <f t="array" ref="CD144">+SUMPRODUCT(IF('Consolidado Costos'!$K$6:$K$158=$BX144,('Consolidado Costos'!AG$6:AG$158*'Consolidado Costos'!$G$6:$G$158),0))</f>
        <v>0</v>
      </c>
      <c r="CE144" s="318" cm="1">
        <f t="array" ref="CE144">+SUMPRODUCT(IF('Consolidado Costos'!$K$6:$K$158=$BX144,('Consolidado Costos'!AH$6:AH$158*'Consolidado Costos'!$G$6:$G$158),0))</f>
        <v>0</v>
      </c>
      <c r="CF144" s="318" cm="1">
        <f t="array" ref="CF144">+SUMPRODUCT(IF('Consolidado Costos'!$K$6:$K$158=$BX144,('Consolidado Costos'!AI$6:AI$158*'Consolidado Costos'!$G$6:$G$158),0))</f>
        <v>0</v>
      </c>
      <c r="CG144" s="318" cm="1">
        <f t="array" ref="CG144">+SUMPRODUCT(IF('Consolidado Costos'!$K$6:$K$158=$BX144,('Consolidado Costos'!AJ$6:AJ$158*'Consolidado Costos'!$G$6:$G$158),0))</f>
        <v>0</v>
      </c>
      <c r="CH144" s="318" cm="1">
        <f t="array" ref="CH144">+SUMPRODUCT(IF('Consolidado Costos'!$K$6:$K$158=$BX144,('Consolidado Costos'!AK$6:AK$158*'Consolidado Costos'!$G$6:$G$158),0))</f>
        <v>0</v>
      </c>
      <c r="CI144" s="318" cm="1">
        <f t="array" ref="CI144">+SUMPRODUCT(IF('Consolidado Costos'!$K$6:$K$158=$BX144,('Consolidado Costos'!AL$6:AL$158*'Consolidado Costos'!$G$6:$G$158),0))</f>
        <v>0</v>
      </c>
      <c r="CJ144" s="318" cm="1">
        <f t="array" ref="CJ144">+SUMPRODUCT(IF('Consolidado Costos'!$K$6:$K$158=$BX144,('Consolidado Costos'!AM$6:AM$158*'Consolidado Costos'!$G$6:$G$158),0))</f>
        <v>0</v>
      </c>
      <c r="CK144" s="318" cm="1">
        <f t="array" ref="CK144">+SUMPRODUCT(IF('Consolidado Costos'!$K$6:$K$158=$BX144,('Consolidado Costos'!AN$6:AN$158*'Consolidado Costos'!$G$6:$G$158),0))</f>
        <v>0</v>
      </c>
      <c r="CL144" s="318" cm="1">
        <f t="array" ref="CL144">+SUMPRODUCT(IF('Consolidado Costos'!$K$6:$K$158=$BX144,('Consolidado Costos'!AO$6:AO$158*'Consolidado Costos'!$G$6:$G$158),0))</f>
        <v>0</v>
      </c>
      <c r="CM144" s="318" cm="1">
        <f t="array" ref="CM144">+SUMPRODUCT(IF('Consolidado Costos'!$K$6:$K$158=$BX144,('Consolidado Costos'!AP$6:AP$158*'Consolidado Costos'!$G$6:$G$158),0))</f>
        <v>0</v>
      </c>
      <c r="CN144" s="357">
        <f t="shared" si="10"/>
        <v>1</v>
      </c>
    </row>
    <row r="145" spans="2:92" s="310" customFormat="1" outlineLevel="1">
      <c r="B145" s="327"/>
      <c r="C145" s="328" t="s">
        <v>540</v>
      </c>
      <c r="D145" s="328" t="s">
        <v>541</v>
      </c>
      <c r="E145" s="329"/>
      <c r="F145" s="318">
        <f>+SUMIF('Consolidado Costos'!$K$6:$K$158,$C145,'Consolidado Costos'!$AD$6:$AD$158)</f>
        <v>0</v>
      </c>
      <c r="G145" s="318">
        <f>+SUMIF('Consolidado Costos'!$K$6:$K$158,$C145,'Consolidado Costos'!AE$6:AE$158)</f>
        <v>0</v>
      </c>
      <c r="H145" s="318">
        <f>+SUMIF('Consolidado Costos'!$K$6:$K$158,$C145,'Consolidado Costos'!AF$6:AF$158)</f>
        <v>0</v>
      </c>
      <c r="I145" s="318">
        <f>+SUMIF('Consolidado Costos'!$K$6:$K$158,$C145,'Consolidado Costos'!AG$6:AG$158)</f>
        <v>0</v>
      </c>
      <c r="J145" s="318">
        <f>+SUMIF('Consolidado Costos'!$K$6:$K$158,$C145,'Consolidado Costos'!AH$6:AH$158)</f>
        <v>0</v>
      </c>
      <c r="K145" s="318">
        <f>+SUMIF('Consolidado Costos'!$K$6:$K$158,$C145,'Consolidado Costos'!AI$6:AI$158)</f>
        <v>0</v>
      </c>
      <c r="L145" s="318">
        <f>+SUMIF('Consolidado Costos'!$K$6:$K$158,$C145,'Consolidado Costos'!AJ$6:AJ$158)</f>
        <v>0</v>
      </c>
      <c r="M145" s="318">
        <f>+SUMIF('Consolidado Costos'!$K$6:$K$158,$C145,'Consolidado Costos'!AK$6:AK$158)</f>
        <v>0</v>
      </c>
      <c r="N145" s="318">
        <f>+SUMIF('Consolidado Costos'!$K$6:$K$158,$C145,'Consolidado Costos'!AL$6:AL$158)</f>
        <v>0</v>
      </c>
      <c r="O145" s="318">
        <f>+SUMIF('Consolidado Costos'!$K$6:$K$158,$C145,'Consolidado Costos'!AM$6:AM$158)</f>
        <v>0</v>
      </c>
      <c r="P145" s="318">
        <f>+SUMIF('Consolidado Costos'!$K$6:$K$158,$C145,'Consolidado Costos'!AN$6:AN$158)</f>
        <v>0</v>
      </c>
      <c r="Q145" s="318">
        <f>+SUMIF('Consolidado Costos'!$K$6:$K$158,$C145,'Consolidado Costos'!AO$6:AO$158)</f>
        <v>0</v>
      </c>
      <c r="R145" s="318">
        <f>+SUMIF('Consolidado Costos'!$K$6:$K$158,$C145,'Consolidado Costos'!AP$6:AP$158)</f>
        <v>0</v>
      </c>
      <c r="S145" s="357">
        <f t="shared" si="5"/>
        <v>1</v>
      </c>
      <c r="U145" s="327"/>
      <c r="V145" s="328" t="s">
        <v>540</v>
      </c>
      <c r="W145" s="328" t="s">
        <v>541</v>
      </c>
      <c r="X145" s="329"/>
      <c r="Y145" s="354">
        <f t="shared" si="29"/>
        <v>0</v>
      </c>
      <c r="Z145" s="318" cm="1">
        <f t="array" ref="Z145">+SUMPRODUCT(IF('Consolidado Costos'!$K$6:$K$158=$V145,('Consolidado Costos'!AE$6:AE$158*'Consolidado Costos'!$D$6:$D$158),0))</f>
        <v>0</v>
      </c>
      <c r="AA145" s="318" cm="1">
        <f t="array" ref="AA145">+SUMPRODUCT(IF('Consolidado Costos'!$K$6:$K$158=$V145,('Consolidado Costos'!AF$6:AF$158*'Consolidado Costos'!$D$6:$D$158),0))</f>
        <v>0</v>
      </c>
      <c r="AB145" s="318" cm="1">
        <f t="array" ref="AB145">+SUMPRODUCT(IF('Consolidado Costos'!$K$6:$K$158=$V145,('Consolidado Costos'!AG$6:AG$158*'Consolidado Costos'!$D$6:$D$158),0))</f>
        <v>0</v>
      </c>
      <c r="AC145" s="318" cm="1">
        <f t="array" ref="AC145">+SUMPRODUCT(IF('Consolidado Costos'!$K$6:$K$158=$V145,('Consolidado Costos'!AH$6:AH$158*'Consolidado Costos'!$D$6:$D$158),0))</f>
        <v>0</v>
      </c>
      <c r="AD145" s="318" cm="1">
        <f t="array" ref="AD145">+SUMPRODUCT(IF('Consolidado Costos'!$K$6:$K$158=$V145,('Consolidado Costos'!AI$6:AI$158*'Consolidado Costos'!$D$6:$D$158),0))</f>
        <v>0</v>
      </c>
      <c r="AE145" s="318" cm="1">
        <f t="array" ref="AE145">+SUMPRODUCT(IF('Consolidado Costos'!$K$6:$K$158=$V145,('Consolidado Costos'!AJ$6:AJ$158*'Consolidado Costos'!$D$6:$D$158),0))</f>
        <v>0</v>
      </c>
      <c r="AF145" s="318" cm="1">
        <f t="array" ref="AF145">+SUMPRODUCT(IF('Consolidado Costos'!$K$6:$K$158=$V145,('Consolidado Costos'!AK$6:AK$158*'Consolidado Costos'!$D$6:$D$158),0))</f>
        <v>0</v>
      </c>
      <c r="AG145" s="318" cm="1">
        <f t="array" ref="AG145">+SUMPRODUCT(IF('Consolidado Costos'!$K$6:$K$158=$V145,('Consolidado Costos'!AL$6:AL$158*'Consolidado Costos'!$D$6:$D$158),0))</f>
        <v>0</v>
      </c>
      <c r="AH145" s="318" cm="1">
        <f t="array" ref="AH145">+SUMPRODUCT(IF('Consolidado Costos'!$K$6:$K$158=$V145,('Consolidado Costos'!AM$6:AM$158*'Consolidado Costos'!$D$6:$D$158),0))</f>
        <v>0</v>
      </c>
      <c r="AI145" s="318" cm="1">
        <f t="array" ref="AI145">+SUMPRODUCT(IF('Consolidado Costos'!$K$6:$K$158=$V145,('Consolidado Costos'!AN$6:AN$158*'Consolidado Costos'!$D$6:$D$158),0))</f>
        <v>0</v>
      </c>
      <c r="AJ145" s="318" cm="1">
        <f t="array" ref="AJ145">+SUMPRODUCT(IF('Consolidado Costos'!$K$6:$K$158=$V145,('Consolidado Costos'!AO$6:AO$158*'Consolidado Costos'!$D$6:$D$158),0))</f>
        <v>0</v>
      </c>
      <c r="AK145" s="318" cm="1">
        <f t="array" ref="AK145">+SUMPRODUCT(IF('Consolidado Costos'!$K$6:$K$158=$V145,('Consolidado Costos'!AP$6:AP$158*'Consolidado Costos'!$D$6:$D$158),0))</f>
        <v>0</v>
      </c>
      <c r="AM145" s="327"/>
      <c r="AN145" s="328" t="s">
        <v>540</v>
      </c>
      <c r="AO145" s="328" t="s">
        <v>541</v>
      </c>
      <c r="AP145" s="329"/>
      <c r="AQ145" s="354">
        <f t="shared" si="21"/>
        <v>0</v>
      </c>
      <c r="AR145" s="318" cm="1">
        <f t="array" ref="AR145">+SUMPRODUCT(IF('Consolidado Costos'!$K$6:$K$158=$AN145,('Consolidado Costos'!AE$6:AE$158*'Consolidado Costos'!$E$6:$E$158),0))</f>
        <v>0</v>
      </c>
      <c r="AS145" s="318" cm="1">
        <f t="array" ref="AS145">+SUMPRODUCT(IF('Consolidado Costos'!$K$6:$K$158=$AN145,('Consolidado Costos'!AF$6:AF$158*'Consolidado Costos'!$E$6:$E$158),0))</f>
        <v>0</v>
      </c>
      <c r="AT145" s="318" cm="1">
        <f t="array" ref="AT145">+SUMPRODUCT(IF('Consolidado Costos'!$K$6:$K$158=$AN145,('Consolidado Costos'!AG$6:AG$158*'Consolidado Costos'!$E$6:$E$158),0))</f>
        <v>0</v>
      </c>
      <c r="AU145" s="318" cm="1">
        <f t="array" ref="AU145">+SUMPRODUCT(IF('Consolidado Costos'!$K$6:$K$158=$AN145,('Consolidado Costos'!AH$6:AH$158*'Consolidado Costos'!$E$6:$E$158),0))</f>
        <v>0</v>
      </c>
      <c r="AV145" s="318" cm="1">
        <f t="array" ref="AV145">+SUMPRODUCT(IF('Consolidado Costos'!$K$6:$K$158=$AN145,('Consolidado Costos'!AI$6:AI$158*'Consolidado Costos'!$E$6:$E$158),0))</f>
        <v>0</v>
      </c>
      <c r="AW145" s="318" cm="1">
        <f t="array" ref="AW145">+SUMPRODUCT(IF('Consolidado Costos'!$K$6:$K$158=$AN145,('Consolidado Costos'!AJ$6:AJ$158*'Consolidado Costos'!$E$6:$E$158),0))</f>
        <v>0</v>
      </c>
      <c r="AX145" s="318" cm="1">
        <f t="array" ref="AX145">+SUMPRODUCT(IF('Consolidado Costos'!$K$6:$K$158=$AN145,('Consolidado Costos'!AK$6:AK$158*'Consolidado Costos'!$E$6:$E$158),0))</f>
        <v>0</v>
      </c>
      <c r="AY145" s="318" cm="1">
        <f t="array" ref="AY145">+SUMPRODUCT(IF('Consolidado Costos'!$K$6:$K$158=$AN145,('Consolidado Costos'!AL$6:AL$158*'Consolidado Costos'!$E$6:$E$158),0))</f>
        <v>0</v>
      </c>
      <c r="AZ145" s="318" cm="1">
        <f t="array" ref="AZ145">+SUMPRODUCT(IF('Consolidado Costos'!$K$6:$K$158=$AN145,('Consolidado Costos'!AM$6:AM$158*'Consolidado Costos'!$E$6:$E$158),0))</f>
        <v>0</v>
      </c>
      <c r="BA145" s="318" cm="1">
        <f t="array" ref="BA145">+SUMPRODUCT(IF('Consolidado Costos'!$K$6:$K$158=$AN145,('Consolidado Costos'!AN$6:AN$158*'Consolidado Costos'!$E$6:$E$158),0))</f>
        <v>0</v>
      </c>
      <c r="BB145" s="318" cm="1">
        <f t="array" ref="BB145">+SUMPRODUCT(IF('Consolidado Costos'!$K$6:$K$158=$AN145,('Consolidado Costos'!AO$6:AO$158*'Consolidado Costos'!$E$6:$E$158),0))</f>
        <v>0</v>
      </c>
      <c r="BC145" s="318" cm="1">
        <f t="array" ref="BC145">+SUMPRODUCT(IF('Consolidado Costos'!$K$6:$K$158=$AN145,('Consolidado Costos'!AP$6:AP$158*'Consolidado Costos'!$E$6:$E$158),0))</f>
        <v>0</v>
      </c>
      <c r="BE145" s="327"/>
      <c r="BF145" s="328" t="s">
        <v>540</v>
      </c>
      <c r="BG145" s="328" t="s">
        <v>541</v>
      </c>
      <c r="BH145" s="329"/>
      <c r="BI145" s="354">
        <f t="shared" si="30"/>
        <v>0</v>
      </c>
      <c r="BJ145" s="318" cm="1">
        <f t="array" ref="BJ145">+SUMPRODUCT(IF('Consolidado Costos'!$K$6:$K$158=$BF145,('Consolidado Costos'!AE$6:AE$158*'Consolidado Costos'!$F$6:$F$158),0))</f>
        <v>0</v>
      </c>
      <c r="BK145" s="318" cm="1">
        <f t="array" ref="BK145">+SUMPRODUCT(IF('Consolidado Costos'!$K$6:$K$158=$BF145,('Consolidado Costos'!AF$6:AF$158*'Consolidado Costos'!$F$6:$F$158),0))</f>
        <v>0</v>
      </c>
      <c r="BL145" s="318" cm="1">
        <f t="array" ref="BL145">+SUMPRODUCT(IF('Consolidado Costos'!$K$6:$K$158=$BF145,('Consolidado Costos'!AG$6:AG$158*'Consolidado Costos'!$F$6:$F$158),0))</f>
        <v>0</v>
      </c>
      <c r="BM145" s="318" cm="1">
        <f t="array" ref="BM145">+SUMPRODUCT(IF('Consolidado Costos'!$K$6:$K$158=$BF145,('Consolidado Costos'!AH$6:AH$158*'Consolidado Costos'!$F$6:$F$158),0))</f>
        <v>0</v>
      </c>
      <c r="BN145" s="318" cm="1">
        <f t="array" ref="BN145">+SUMPRODUCT(IF('Consolidado Costos'!$K$6:$K$158=$BF145,('Consolidado Costos'!AI$6:AI$158*'Consolidado Costos'!$F$6:$F$158),0))</f>
        <v>0</v>
      </c>
      <c r="BO145" s="318" cm="1">
        <f t="array" ref="BO145">+SUMPRODUCT(IF('Consolidado Costos'!$K$6:$K$158=$BF145,('Consolidado Costos'!AJ$6:AJ$158*'Consolidado Costos'!$F$6:$F$158),0))</f>
        <v>0</v>
      </c>
      <c r="BP145" s="318" cm="1">
        <f t="array" ref="BP145">+SUMPRODUCT(IF('Consolidado Costos'!$K$6:$K$158=$BF145,('Consolidado Costos'!AK$6:AK$158*'Consolidado Costos'!$F$6:$F$158),0))</f>
        <v>0</v>
      </c>
      <c r="BQ145" s="318" cm="1">
        <f t="array" ref="BQ145">+SUMPRODUCT(IF('Consolidado Costos'!$K$6:$K$158=$BF145,('Consolidado Costos'!AL$6:AL$158*'Consolidado Costos'!$F$6:$F$158),0))</f>
        <v>0</v>
      </c>
      <c r="BR145" s="318" cm="1">
        <f t="array" ref="BR145">+SUMPRODUCT(IF('Consolidado Costos'!$K$6:$K$158=$BF145,('Consolidado Costos'!AM$6:AM$158*'Consolidado Costos'!$F$6:$F$158),0))</f>
        <v>0</v>
      </c>
      <c r="BS145" s="318" cm="1">
        <f t="array" ref="BS145">+SUMPRODUCT(IF('Consolidado Costos'!$K$6:$K$158=$BF145,('Consolidado Costos'!AN$6:AN$158*'Consolidado Costos'!$F$6:$F$158),0))</f>
        <v>0</v>
      </c>
      <c r="BT145" s="318" cm="1">
        <f t="array" ref="BT145">+SUMPRODUCT(IF('Consolidado Costos'!$K$6:$K$158=$BF145,('Consolidado Costos'!AO$6:AO$158*'Consolidado Costos'!$F$6:$F$158),0))</f>
        <v>0</v>
      </c>
      <c r="BU145" s="318" cm="1">
        <f t="array" ref="BU145">+SUMPRODUCT(IF('Consolidado Costos'!$K$6:$K$158=$BF145,('Consolidado Costos'!AP$6:AP$158*'Consolidado Costos'!$F$6:$F$158),0))</f>
        <v>0</v>
      </c>
      <c r="BW145" s="327"/>
      <c r="BX145" s="328" t="s">
        <v>540</v>
      </c>
      <c r="BY145" s="328" t="s">
        <v>541</v>
      </c>
      <c r="BZ145" s="329"/>
      <c r="CA145" s="354">
        <f t="shared" si="31"/>
        <v>0</v>
      </c>
      <c r="CB145" s="318" cm="1">
        <f t="array" ref="CB145">+SUMPRODUCT(IF('Consolidado Costos'!$K$6:$K$158=$BX145,('Consolidado Costos'!AE$6:AE$158*'Consolidado Costos'!$G$6:$G$158),0))</f>
        <v>0</v>
      </c>
      <c r="CC145" s="318" cm="1">
        <f t="array" ref="CC145">+SUMPRODUCT(IF('Consolidado Costos'!$K$6:$K$158=$BX145,('Consolidado Costos'!AF$6:AF$158*'Consolidado Costos'!$G$6:$G$158),0))</f>
        <v>0</v>
      </c>
      <c r="CD145" s="318" cm="1">
        <f t="array" ref="CD145">+SUMPRODUCT(IF('Consolidado Costos'!$K$6:$K$158=$BX145,('Consolidado Costos'!AG$6:AG$158*'Consolidado Costos'!$G$6:$G$158),0))</f>
        <v>0</v>
      </c>
      <c r="CE145" s="318" cm="1">
        <f t="array" ref="CE145">+SUMPRODUCT(IF('Consolidado Costos'!$K$6:$K$158=$BX145,('Consolidado Costos'!AH$6:AH$158*'Consolidado Costos'!$G$6:$G$158),0))</f>
        <v>0</v>
      </c>
      <c r="CF145" s="318" cm="1">
        <f t="array" ref="CF145">+SUMPRODUCT(IF('Consolidado Costos'!$K$6:$K$158=$BX145,('Consolidado Costos'!AI$6:AI$158*'Consolidado Costos'!$G$6:$G$158),0))</f>
        <v>0</v>
      </c>
      <c r="CG145" s="318" cm="1">
        <f t="array" ref="CG145">+SUMPRODUCT(IF('Consolidado Costos'!$K$6:$K$158=$BX145,('Consolidado Costos'!AJ$6:AJ$158*'Consolidado Costos'!$G$6:$G$158),0))</f>
        <v>0</v>
      </c>
      <c r="CH145" s="318" cm="1">
        <f t="array" ref="CH145">+SUMPRODUCT(IF('Consolidado Costos'!$K$6:$K$158=$BX145,('Consolidado Costos'!AK$6:AK$158*'Consolidado Costos'!$G$6:$G$158),0))</f>
        <v>0</v>
      </c>
      <c r="CI145" s="318" cm="1">
        <f t="array" ref="CI145">+SUMPRODUCT(IF('Consolidado Costos'!$K$6:$K$158=$BX145,('Consolidado Costos'!AL$6:AL$158*'Consolidado Costos'!$G$6:$G$158),0))</f>
        <v>0</v>
      </c>
      <c r="CJ145" s="318" cm="1">
        <f t="array" ref="CJ145">+SUMPRODUCT(IF('Consolidado Costos'!$K$6:$K$158=$BX145,('Consolidado Costos'!AM$6:AM$158*'Consolidado Costos'!$G$6:$G$158),0))</f>
        <v>0</v>
      </c>
      <c r="CK145" s="318" cm="1">
        <f t="array" ref="CK145">+SUMPRODUCT(IF('Consolidado Costos'!$K$6:$K$158=$BX145,('Consolidado Costos'!AN$6:AN$158*'Consolidado Costos'!$G$6:$G$158),0))</f>
        <v>0</v>
      </c>
      <c r="CL145" s="318" cm="1">
        <f t="array" ref="CL145">+SUMPRODUCT(IF('Consolidado Costos'!$K$6:$K$158=$BX145,('Consolidado Costos'!AO$6:AO$158*'Consolidado Costos'!$G$6:$G$158),0))</f>
        <v>0</v>
      </c>
      <c r="CM145" s="318" cm="1">
        <f t="array" ref="CM145">+SUMPRODUCT(IF('Consolidado Costos'!$K$6:$K$158=$BX145,('Consolidado Costos'!AP$6:AP$158*'Consolidado Costos'!$G$6:$G$158),0))</f>
        <v>0</v>
      </c>
      <c r="CN145" s="357">
        <f t="shared" si="10"/>
        <v>1</v>
      </c>
    </row>
    <row r="146" spans="2:92" s="310" customFormat="1" outlineLevel="1">
      <c r="B146" s="327"/>
      <c r="C146" s="330" t="s">
        <v>542</v>
      </c>
      <c r="D146" s="330" t="s">
        <v>543</v>
      </c>
      <c r="E146" s="329"/>
      <c r="F146" s="318">
        <f>+SUMIF('Consolidado Costos'!$K$6:$K$158,$C146,'Consolidado Costos'!$AD$6:$AD$158)</f>
        <v>0</v>
      </c>
      <c r="G146" s="318">
        <f>+SUMIF('Consolidado Costos'!$K$6:$K$158,$C146,'Consolidado Costos'!AE$6:AE$158)</f>
        <v>0</v>
      </c>
      <c r="H146" s="318">
        <f>+SUMIF('Consolidado Costos'!$K$6:$K$158,$C146,'Consolidado Costos'!AF$6:AF$158)</f>
        <v>0</v>
      </c>
      <c r="I146" s="318">
        <f>+SUMIF('Consolidado Costos'!$K$6:$K$158,$C146,'Consolidado Costos'!AG$6:AG$158)</f>
        <v>0</v>
      </c>
      <c r="J146" s="318">
        <f>+SUMIF('Consolidado Costos'!$K$6:$K$158,$C146,'Consolidado Costos'!AH$6:AH$158)</f>
        <v>0</v>
      </c>
      <c r="K146" s="318">
        <f>+SUMIF('Consolidado Costos'!$K$6:$K$158,$C146,'Consolidado Costos'!AI$6:AI$158)</f>
        <v>0</v>
      </c>
      <c r="L146" s="318">
        <f>+SUMIF('Consolidado Costos'!$K$6:$K$158,$C146,'Consolidado Costos'!AJ$6:AJ$158)</f>
        <v>0</v>
      </c>
      <c r="M146" s="318">
        <f>+SUMIF('Consolidado Costos'!$K$6:$K$158,$C146,'Consolidado Costos'!AK$6:AK$158)</f>
        <v>0</v>
      </c>
      <c r="N146" s="318">
        <f>+SUMIF('Consolidado Costos'!$K$6:$K$158,$C146,'Consolidado Costos'!AL$6:AL$158)</f>
        <v>0</v>
      </c>
      <c r="O146" s="318">
        <f>+SUMIF('Consolidado Costos'!$K$6:$K$158,$C146,'Consolidado Costos'!AM$6:AM$158)</f>
        <v>0</v>
      </c>
      <c r="P146" s="318">
        <f>+SUMIF('Consolidado Costos'!$K$6:$K$158,$C146,'Consolidado Costos'!AN$6:AN$158)</f>
        <v>0</v>
      </c>
      <c r="Q146" s="318">
        <f>+SUMIF('Consolidado Costos'!$K$6:$K$158,$C146,'Consolidado Costos'!AO$6:AO$158)</f>
        <v>0</v>
      </c>
      <c r="R146" s="318">
        <f>+SUMIF('Consolidado Costos'!$K$6:$K$158,$C146,'Consolidado Costos'!AP$6:AP$158)</f>
        <v>0</v>
      </c>
      <c r="S146" s="357">
        <f t="shared" si="5"/>
        <v>1</v>
      </c>
      <c r="U146" s="327"/>
      <c r="V146" s="330" t="s">
        <v>542</v>
      </c>
      <c r="W146" s="330" t="s">
        <v>543</v>
      </c>
      <c r="X146" s="329"/>
      <c r="Y146" s="354">
        <f t="shared" si="29"/>
        <v>0</v>
      </c>
      <c r="Z146" s="318" cm="1">
        <f t="array" ref="Z146">+SUMPRODUCT(IF('Consolidado Costos'!$K$6:$K$158=$V146,('Consolidado Costos'!AE$6:AE$158*'Consolidado Costos'!$D$6:$D$158),0))</f>
        <v>0</v>
      </c>
      <c r="AA146" s="318" cm="1">
        <f t="array" ref="AA146">+SUMPRODUCT(IF('Consolidado Costos'!$K$6:$K$158=$V146,('Consolidado Costos'!AF$6:AF$158*'Consolidado Costos'!$D$6:$D$158),0))</f>
        <v>0</v>
      </c>
      <c r="AB146" s="318" cm="1">
        <f t="array" ref="AB146">+SUMPRODUCT(IF('Consolidado Costos'!$K$6:$K$158=$V146,('Consolidado Costos'!AG$6:AG$158*'Consolidado Costos'!$D$6:$D$158),0))</f>
        <v>0</v>
      </c>
      <c r="AC146" s="318" cm="1">
        <f t="array" ref="AC146">+SUMPRODUCT(IF('Consolidado Costos'!$K$6:$K$158=$V146,('Consolidado Costos'!AH$6:AH$158*'Consolidado Costos'!$D$6:$D$158),0))</f>
        <v>0</v>
      </c>
      <c r="AD146" s="318" cm="1">
        <f t="array" ref="AD146">+SUMPRODUCT(IF('Consolidado Costos'!$K$6:$K$158=$V146,('Consolidado Costos'!AI$6:AI$158*'Consolidado Costos'!$D$6:$D$158),0))</f>
        <v>0</v>
      </c>
      <c r="AE146" s="318" cm="1">
        <f t="array" ref="AE146">+SUMPRODUCT(IF('Consolidado Costos'!$K$6:$K$158=$V146,('Consolidado Costos'!AJ$6:AJ$158*'Consolidado Costos'!$D$6:$D$158),0))</f>
        <v>0</v>
      </c>
      <c r="AF146" s="318" cm="1">
        <f t="array" ref="AF146">+SUMPRODUCT(IF('Consolidado Costos'!$K$6:$K$158=$V146,('Consolidado Costos'!AK$6:AK$158*'Consolidado Costos'!$D$6:$D$158),0))</f>
        <v>0</v>
      </c>
      <c r="AG146" s="318" cm="1">
        <f t="array" ref="AG146">+SUMPRODUCT(IF('Consolidado Costos'!$K$6:$K$158=$V146,('Consolidado Costos'!AL$6:AL$158*'Consolidado Costos'!$D$6:$D$158),0))</f>
        <v>0</v>
      </c>
      <c r="AH146" s="318" cm="1">
        <f t="array" ref="AH146">+SUMPRODUCT(IF('Consolidado Costos'!$K$6:$K$158=$V146,('Consolidado Costos'!AM$6:AM$158*'Consolidado Costos'!$D$6:$D$158),0))</f>
        <v>0</v>
      </c>
      <c r="AI146" s="318" cm="1">
        <f t="array" ref="AI146">+SUMPRODUCT(IF('Consolidado Costos'!$K$6:$K$158=$V146,('Consolidado Costos'!AN$6:AN$158*'Consolidado Costos'!$D$6:$D$158),0))</f>
        <v>0</v>
      </c>
      <c r="AJ146" s="318" cm="1">
        <f t="array" ref="AJ146">+SUMPRODUCT(IF('Consolidado Costos'!$K$6:$K$158=$V146,('Consolidado Costos'!AO$6:AO$158*'Consolidado Costos'!$D$6:$D$158),0))</f>
        <v>0</v>
      </c>
      <c r="AK146" s="318" cm="1">
        <f t="array" ref="AK146">+SUMPRODUCT(IF('Consolidado Costos'!$K$6:$K$158=$V146,('Consolidado Costos'!AP$6:AP$158*'Consolidado Costos'!$D$6:$D$158),0))</f>
        <v>0</v>
      </c>
      <c r="AM146" s="327"/>
      <c r="AN146" s="330" t="s">
        <v>542</v>
      </c>
      <c r="AO146" s="330" t="s">
        <v>543</v>
      </c>
      <c r="AP146" s="329"/>
      <c r="AQ146" s="354">
        <f t="shared" si="21"/>
        <v>0</v>
      </c>
      <c r="AR146" s="318" cm="1">
        <f t="array" ref="AR146">+SUMPRODUCT(IF('Consolidado Costos'!$K$6:$K$158=$AN146,('Consolidado Costos'!AE$6:AE$158*'Consolidado Costos'!$E$6:$E$158),0))</f>
        <v>0</v>
      </c>
      <c r="AS146" s="318" cm="1">
        <f t="array" ref="AS146">+SUMPRODUCT(IF('Consolidado Costos'!$K$6:$K$158=$AN146,('Consolidado Costos'!AF$6:AF$158*'Consolidado Costos'!$E$6:$E$158),0))</f>
        <v>0</v>
      </c>
      <c r="AT146" s="318" cm="1">
        <f t="array" ref="AT146">+SUMPRODUCT(IF('Consolidado Costos'!$K$6:$K$158=$AN146,('Consolidado Costos'!AG$6:AG$158*'Consolidado Costos'!$E$6:$E$158),0))</f>
        <v>0</v>
      </c>
      <c r="AU146" s="318" cm="1">
        <f t="array" ref="AU146">+SUMPRODUCT(IF('Consolidado Costos'!$K$6:$K$158=$AN146,('Consolidado Costos'!AH$6:AH$158*'Consolidado Costos'!$E$6:$E$158),0))</f>
        <v>0</v>
      </c>
      <c r="AV146" s="318" cm="1">
        <f t="array" ref="AV146">+SUMPRODUCT(IF('Consolidado Costos'!$K$6:$K$158=$AN146,('Consolidado Costos'!AI$6:AI$158*'Consolidado Costos'!$E$6:$E$158),0))</f>
        <v>0</v>
      </c>
      <c r="AW146" s="318" cm="1">
        <f t="array" ref="AW146">+SUMPRODUCT(IF('Consolidado Costos'!$K$6:$K$158=$AN146,('Consolidado Costos'!AJ$6:AJ$158*'Consolidado Costos'!$E$6:$E$158),0))</f>
        <v>0</v>
      </c>
      <c r="AX146" s="318" cm="1">
        <f t="array" ref="AX146">+SUMPRODUCT(IF('Consolidado Costos'!$K$6:$K$158=$AN146,('Consolidado Costos'!AK$6:AK$158*'Consolidado Costos'!$E$6:$E$158),0))</f>
        <v>0</v>
      </c>
      <c r="AY146" s="318" cm="1">
        <f t="array" ref="AY146">+SUMPRODUCT(IF('Consolidado Costos'!$K$6:$K$158=$AN146,('Consolidado Costos'!AL$6:AL$158*'Consolidado Costos'!$E$6:$E$158),0))</f>
        <v>0</v>
      </c>
      <c r="AZ146" s="318" cm="1">
        <f t="array" ref="AZ146">+SUMPRODUCT(IF('Consolidado Costos'!$K$6:$K$158=$AN146,('Consolidado Costos'!AM$6:AM$158*'Consolidado Costos'!$E$6:$E$158),0))</f>
        <v>0</v>
      </c>
      <c r="BA146" s="318" cm="1">
        <f t="array" ref="BA146">+SUMPRODUCT(IF('Consolidado Costos'!$K$6:$K$158=$AN146,('Consolidado Costos'!AN$6:AN$158*'Consolidado Costos'!$E$6:$E$158),0))</f>
        <v>0</v>
      </c>
      <c r="BB146" s="318" cm="1">
        <f t="array" ref="BB146">+SUMPRODUCT(IF('Consolidado Costos'!$K$6:$K$158=$AN146,('Consolidado Costos'!AO$6:AO$158*'Consolidado Costos'!$E$6:$E$158),0))</f>
        <v>0</v>
      </c>
      <c r="BC146" s="318" cm="1">
        <f t="array" ref="BC146">+SUMPRODUCT(IF('Consolidado Costos'!$K$6:$K$158=$AN146,('Consolidado Costos'!AP$6:AP$158*'Consolidado Costos'!$E$6:$E$158),0))</f>
        <v>0</v>
      </c>
      <c r="BE146" s="327"/>
      <c r="BF146" s="330" t="s">
        <v>542</v>
      </c>
      <c r="BG146" s="330" t="s">
        <v>543</v>
      </c>
      <c r="BH146" s="329"/>
      <c r="BI146" s="354">
        <f t="shared" si="30"/>
        <v>0</v>
      </c>
      <c r="BJ146" s="318" cm="1">
        <f t="array" ref="BJ146">+SUMPRODUCT(IF('Consolidado Costos'!$K$6:$K$158=$BF146,('Consolidado Costos'!AE$6:AE$158*'Consolidado Costos'!$F$6:$F$158),0))</f>
        <v>0</v>
      </c>
      <c r="BK146" s="318" cm="1">
        <f t="array" ref="BK146">+SUMPRODUCT(IF('Consolidado Costos'!$K$6:$K$158=$BF146,('Consolidado Costos'!AF$6:AF$158*'Consolidado Costos'!$F$6:$F$158),0))</f>
        <v>0</v>
      </c>
      <c r="BL146" s="318" cm="1">
        <f t="array" ref="BL146">+SUMPRODUCT(IF('Consolidado Costos'!$K$6:$K$158=$BF146,('Consolidado Costos'!AG$6:AG$158*'Consolidado Costos'!$F$6:$F$158),0))</f>
        <v>0</v>
      </c>
      <c r="BM146" s="318" cm="1">
        <f t="array" ref="BM146">+SUMPRODUCT(IF('Consolidado Costos'!$K$6:$K$158=$BF146,('Consolidado Costos'!AH$6:AH$158*'Consolidado Costos'!$F$6:$F$158),0))</f>
        <v>0</v>
      </c>
      <c r="BN146" s="318" cm="1">
        <f t="array" ref="BN146">+SUMPRODUCT(IF('Consolidado Costos'!$K$6:$K$158=$BF146,('Consolidado Costos'!AI$6:AI$158*'Consolidado Costos'!$F$6:$F$158),0))</f>
        <v>0</v>
      </c>
      <c r="BO146" s="318" cm="1">
        <f t="array" ref="BO146">+SUMPRODUCT(IF('Consolidado Costos'!$K$6:$K$158=$BF146,('Consolidado Costos'!AJ$6:AJ$158*'Consolidado Costos'!$F$6:$F$158),0))</f>
        <v>0</v>
      </c>
      <c r="BP146" s="318" cm="1">
        <f t="array" ref="BP146">+SUMPRODUCT(IF('Consolidado Costos'!$K$6:$K$158=$BF146,('Consolidado Costos'!AK$6:AK$158*'Consolidado Costos'!$F$6:$F$158),0))</f>
        <v>0</v>
      </c>
      <c r="BQ146" s="318" cm="1">
        <f t="array" ref="BQ146">+SUMPRODUCT(IF('Consolidado Costos'!$K$6:$K$158=$BF146,('Consolidado Costos'!AL$6:AL$158*'Consolidado Costos'!$F$6:$F$158),0))</f>
        <v>0</v>
      </c>
      <c r="BR146" s="318" cm="1">
        <f t="array" ref="BR146">+SUMPRODUCT(IF('Consolidado Costos'!$K$6:$K$158=$BF146,('Consolidado Costos'!AM$6:AM$158*'Consolidado Costos'!$F$6:$F$158),0))</f>
        <v>0</v>
      </c>
      <c r="BS146" s="318" cm="1">
        <f t="array" ref="BS146">+SUMPRODUCT(IF('Consolidado Costos'!$K$6:$K$158=$BF146,('Consolidado Costos'!AN$6:AN$158*'Consolidado Costos'!$F$6:$F$158),0))</f>
        <v>0</v>
      </c>
      <c r="BT146" s="318" cm="1">
        <f t="array" ref="BT146">+SUMPRODUCT(IF('Consolidado Costos'!$K$6:$K$158=$BF146,('Consolidado Costos'!AO$6:AO$158*'Consolidado Costos'!$F$6:$F$158),0))</f>
        <v>0</v>
      </c>
      <c r="BU146" s="318" cm="1">
        <f t="array" ref="BU146">+SUMPRODUCT(IF('Consolidado Costos'!$K$6:$K$158=$BF146,('Consolidado Costos'!AP$6:AP$158*'Consolidado Costos'!$F$6:$F$158),0))</f>
        <v>0</v>
      </c>
      <c r="BW146" s="327"/>
      <c r="BX146" s="330" t="s">
        <v>542</v>
      </c>
      <c r="BY146" s="330" t="s">
        <v>543</v>
      </c>
      <c r="BZ146" s="329"/>
      <c r="CA146" s="354">
        <f t="shared" si="31"/>
        <v>0</v>
      </c>
      <c r="CB146" s="318" cm="1">
        <f t="array" ref="CB146">+SUMPRODUCT(IF('Consolidado Costos'!$K$6:$K$158=$BX146,('Consolidado Costos'!AE$6:AE$158*'Consolidado Costos'!$G$6:$G$158),0))</f>
        <v>0</v>
      </c>
      <c r="CC146" s="318" cm="1">
        <f t="array" ref="CC146">+SUMPRODUCT(IF('Consolidado Costos'!$K$6:$K$158=$BX146,('Consolidado Costos'!AF$6:AF$158*'Consolidado Costos'!$G$6:$G$158),0))</f>
        <v>0</v>
      </c>
      <c r="CD146" s="318" cm="1">
        <f t="array" ref="CD146">+SUMPRODUCT(IF('Consolidado Costos'!$K$6:$K$158=$BX146,('Consolidado Costos'!AG$6:AG$158*'Consolidado Costos'!$G$6:$G$158),0))</f>
        <v>0</v>
      </c>
      <c r="CE146" s="318" cm="1">
        <f t="array" ref="CE146">+SUMPRODUCT(IF('Consolidado Costos'!$K$6:$K$158=$BX146,('Consolidado Costos'!AH$6:AH$158*'Consolidado Costos'!$G$6:$G$158),0))</f>
        <v>0</v>
      </c>
      <c r="CF146" s="318" cm="1">
        <f t="array" ref="CF146">+SUMPRODUCT(IF('Consolidado Costos'!$K$6:$K$158=$BX146,('Consolidado Costos'!AI$6:AI$158*'Consolidado Costos'!$G$6:$G$158),0))</f>
        <v>0</v>
      </c>
      <c r="CG146" s="318" cm="1">
        <f t="array" ref="CG146">+SUMPRODUCT(IF('Consolidado Costos'!$K$6:$K$158=$BX146,('Consolidado Costos'!AJ$6:AJ$158*'Consolidado Costos'!$G$6:$G$158),0))</f>
        <v>0</v>
      </c>
      <c r="CH146" s="318" cm="1">
        <f t="array" ref="CH146">+SUMPRODUCT(IF('Consolidado Costos'!$K$6:$K$158=$BX146,('Consolidado Costos'!AK$6:AK$158*'Consolidado Costos'!$G$6:$G$158),0))</f>
        <v>0</v>
      </c>
      <c r="CI146" s="318" cm="1">
        <f t="array" ref="CI146">+SUMPRODUCT(IF('Consolidado Costos'!$K$6:$K$158=$BX146,('Consolidado Costos'!AL$6:AL$158*'Consolidado Costos'!$G$6:$G$158),0))</f>
        <v>0</v>
      </c>
      <c r="CJ146" s="318" cm="1">
        <f t="array" ref="CJ146">+SUMPRODUCT(IF('Consolidado Costos'!$K$6:$K$158=$BX146,('Consolidado Costos'!AM$6:AM$158*'Consolidado Costos'!$G$6:$G$158),0))</f>
        <v>0</v>
      </c>
      <c r="CK146" s="318" cm="1">
        <f t="array" ref="CK146">+SUMPRODUCT(IF('Consolidado Costos'!$K$6:$K$158=$BX146,('Consolidado Costos'!AN$6:AN$158*'Consolidado Costos'!$G$6:$G$158),0))</f>
        <v>0</v>
      </c>
      <c r="CL146" s="318" cm="1">
        <f t="array" ref="CL146">+SUMPRODUCT(IF('Consolidado Costos'!$K$6:$K$158=$BX146,('Consolidado Costos'!AO$6:AO$158*'Consolidado Costos'!$G$6:$G$158),0))</f>
        <v>0</v>
      </c>
      <c r="CM146" s="318" cm="1">
        <f t="array" ref="CM146">+SUMPRODUCT(IF('Consolidado Costos'!$K$6:$K$158=$BX146,('Consolidado Costos'!AP$6:AP$158*'Consolidado Costos'!$G$6:$G$158),0))</f>
        <v>0</v>
      </c>
      <c r="CN146" s="357">
        <f t="shared" si="10"/>
        <v>1</v>
      </c>
    </row>
    <row r="147" spans="2:92" s="310" customFormat="1" outlineLevel="1">
      <c r="B147" s="327"/>
      <c r="C147" s="330" t="s">
        <v>544</v>
      </c>
      <c r="D147" s="330" t="s">
        <v>545</v>
      </c>
      <c r="E147" s="329"/>
      <c r="F147" s="318">
        <f>+SUMIF('Consolidado Costos'!$K$6:$K$158,$C147,'Consolidado Costos'!$AD$6:$AD$158)</f>
        <v>0</v>
      </c>
      <c r="G147" s="318">
        <f>+SUMIF('Consolidado Costos'!$K$6:$K$158,$C147,'Consolidado Costos'!AE$6:AE$158)</f>
        <v>0</v>
      </c>
      <c r="H147" s="318">
        <f>+SUMIF('Consolidado Costos'!$K$6:$K$158,$C147,'Consolidado Costos'!AF$6:AF$158)</f>
        <v>0</v>
      </c>
      <c r="I147" s="318">
        <f>+SUMIF('Consolidado Costos'!$K$6:$K$158,$C147,'Consolidado Costos'!AG$6:AG$158)</f>
        <v>0</v>
      </c>
      <c r="J147" s="318">
        <f>+SUMIF('Consolidado Costos'!$K$6:$K$158,$C147,'Consolidado Costos'!AH$6:AH$158)</f>
        <v>0</v>
      </c>
      <c r="K147" s="318">
        <f>+SUMIF('Consolidado Costos'!$K$6:$K$158,$C147,'Consolidado Costos'!AI$6:AI$158)</f>
        <v>0</v>
      </c>
      <c r="L147" s="318">
        <f>+SUMIF('Consolidado Costos'!$K$6:$K$158,$C147,'Consolidado Costos'!AJ$6:AJ$158)</f>
        <v>0</v>
      </c>
      <c r="M147" s="318">
        <f>+SUMIF('Consolidado Costos'!$K$6:$K$158,$C147,'Consolidado Costos'!AK$6:AK$158)</f>
        <v>0</v>
      </c>
      <c r="N147" s="318">
        <f>+SUMIF('Consolidado Costos'!$K$6:$K$158,$C147,'Consolidado Costos'!AL$6:AL$158)</f>
        <v>0</v>
      </c>
      <c r="O147" s="318">
        <f>+SUMIF('Consolidado Costos'!$K$6:$K$158,$C147,'Consolidado Costos'!AM$6:AM$158)</f>
        <v>0</v>
      </c>
      <c r="P147" s="318">
        <f>+SUMIF('Consolidado Costos'!$K$6:$K$158,$C147,'Consolidado Costos'!AN$6:AN$158)</f>
        <v>0</v>
      </c>
      <c r="Q147" s="318">
        <f>+SUMIF('Consolidado Costos'!$K$6:$K$158,$C147,'Consolidado Costos'!AO$6:AO$158)</f>
        <v>0</v>
      </c>
      <c r="R147" s="318">
        <f>+SUMIF('Consolidado Costos'!$K$6:$K$158,$C147,'Consolidado Costos'!AP$6:AP$158)</f>
        <v>0</v>
      </c>
      <c r="S147" s="357">
        <f t="shared" si="5"/>
        <v>1</v>
      </c>
      <c r="U147" s="327"/>
      <c r="V147" s="330" t="s">
        <v>544</v>
      </c>
      <c r="W147" s="330" t="s">
        <v>545</v>
      </c>
      <c r="X147" s="329"/>
      <c r="Y147" s="354">
        <f t="shared" si="29"/>
        <v>0</v>
      </c>
      <c r="Z147" s="318" cm="1">
        <f t="array" ref="Z147">+SUMPRODUCT(IF('Consolidado Costos'!$K$6:$K$158=$V147,('Consolidado Costos'!AE$6:AE$158*'Consolidado Costos'!$D$6:$D$158),0))</f>
        <v>0</v>
      </c>
      <c r="AA147" s="318" cm="1">
        <f t="array" ref="AA147">+SUMPRODUCT(IF('Consolidado Costos'!$K$6:$K$158=$V147,('Consolidado Costos'!AF$6:AF$158*'Consolidado Costos'!$D$6:$D$158),0))</f>
        <v>0</v>
      </c>
      <c r="AB147" s="318" cm="1">
        <f t="array" ref="AB147">+SUMPRODUCT(IF('Consolidado Costos'!$K$6:$K$158=$V147,('Consolidado Costos'!AG$6:AG$158*'Consolidado Costos'!$D$6:$D$158),0))</f>
        <v>0</v>
      </c>
      <c r="AC147" s="318" cm="1">
        <f t="array" ref="AC147">+SUMPRODUCT(IF('Consolidado Costos'!$K$6:$K$158=$V147,('Consolidado Costos'!AH$6:AH$158*'Consolidado Costos'!$D$6:$D$158),0))</f>
        <v>0</v>
      </c>
      <c r="AD147" s="318" cm="1">
        <f t="array" ref="AD147">+SUMPRODUCT(IF('Consolidado Costos'!$K$6:$K$158=$V147,('Consolidado Costos'!AI$6:AI$158*'Consolidado Costos'!$D$6:$D$158),0))</f>
        <v>0</v>
      </c>
      <c r="AE147" s="318" cm="1">
        <f t="array" ref="AE147">+SUMPRODUCT(IF('Consolidado Costos'!$K$6:$K$158=$V147,('Consolidado Costos'!AJ$6:AJ$158*'Consolidado Costos'!$D$6:$D$158),0))</f>
        <v>0</v>
      </c>
      <c r="AF147" s="318" cm="1">
        <f t="array" ref="AF147">+SUMPRODUCT(IF('Consolidado Costos'!$K$6:$K$158=$V147,('Consolidado Costos'!AK$6:AK$158*'Consolidado Costos'!$D$6:$D$158),0))</f>
        <v>0</v>
      </c>
      <c r="AG147" s="318" cm="1">
        <f t="array" ref="AG147">+SUMPRODUCT(IF('Consolidado Costos'!$K$6:$K$158=$V147,('Consolidado Costos'!AL$6:AL$158*'Consolidado Costos'!$D$6:$D$158),0))</f>
        <v>0</v>
      </c>
      <c r="AH147" s="318" cm="1">
        <f t="array" ref="AH147">+SUMPRODUCT(IF('Consolidado Costos'!$K$6:$K$158=$V147,('Consolidado Costos'!AM$6:AM$158*'Consolidado Costos'!$D$6:$D$158),0))</f>
        <v>0</v>
      </c>
      <c r="AI147" s="318" cm="1">
        <f t="array" ref="AI147">+SUMPRODUCT(IF('Consolidado Costos'!$K$6:$K$158=$V147,('Consolidado Costos'!AN$6:AN$158*'Consolidado Costos'!$D$6:$D$158),0))</f>
        <v>0</v>
      </c>
      <c r="AJ147" s="318" cm="1">
        <f t="array" ref="AJ147">+SUMPRODUCT(IF('Consolidado Costos'!$K$6:$K$158=$V147,('Consolidado Costos'!AO$6:AO$158*'Consolidado Costos'!$D$6:$D$158),0))</f>
        <v>0</v>
      </c>
      <c r="AK147" s="318" cm="1">
        <f t="array" ref="AK147">+SUMPRODUCT(IF('Consolidado Costos'!$K$6:$K$158=$V147,('Consolidado Costos'!AP$6:AP$158*'Consolidado Costos'!$D$6:$D$158),0))</f>
        <v>0</v>
      </c>
      <c r="AM147" s="327"/>
      <c r="AN147" s="330" t="s">
        <v>544</v>
      </c>
      <c r="AO147" s="330" t="s">
        <v>545</v>
      </c>
      <c r="AP147" s="329"/>
      <c r="AQ147" s="354">
        <f t="shared" si="21"/>
        <v>0</v>
      </c>
      <c r="AR147" s="318" cm="1">
        <f t="array" ref="AR147">+SUMPRODUCT(IF('Consolidado Costos'!$K$6:$K$158=$AN147,('Consolidado Costos'!AE$6:AE$158*'Consolidado Costos'!$E$6:$E$158),0))</f>
        <v>0</v>
      </c>
      <c r="AS147" s="318" cm="1">
        <f t="array" ref="AS147">+SUMPRODUCT(IF('Consolidado Costos'!$K$6:$K$158=$AN147,('Consolidado Costos'!AF$6:AF$158*'Consolidado Costos'!$E$6:$E$158),0))</f>
        <v>0</v>
      </c>
      <c r="AT147" s="318" cm="1">
        <f t="array" ref="AT147">+SUMPRODUCT(IF('Consolidado Costos'!$K$6:$K$158=$AN147,('Consolidado Costos'!AG$6:AG$158*'Consolidado Costos'!$E$6:$E$158),0))</f>
        <v>0</v>
      </c>
      <c r="AU147" s="318" cm="1">
        <f t="array" ref="AU147">+SUMPRODUCT(IF('Consolidado Costos'!$K$6:$K$158=$AN147,('Consolidado Costos'!AH$6:AH$158*'Consolidado Costos'!$E$6:$E$158),0))</f>
        <v>0</v>
      </c>
      <c r="AV147" s="318" cm="1">
        <f t="array" ref="AV147">+SUMPRODUCT(IF('Consolidado Costos'!$K$6:$K$158=$AN147,('Consolidado Costos'!AI$6:AI$158*'Consolidado Costos'!$E$6:$E$158),0))</f>
        <v>0</v>
      </c>
      <c r="AW147" s="318" cm="1">
        <f t="array" ref="AW147">+SUMPRODUCT(IF('Consolidado Costos'!$K$6:$K$158=$AN147,('Consolidado Costos'!AJ$6:AJ$158*'Consolidado Costos'!$E$6:$E$158),0))</f>
        <v>0</v>
      </c>
      <c r="AX147" s="318" cm="1">
        <f t="array" ref="AX147">+SUMPRODUCT(IF('Consolidado Costos'!$K$6:$K$158=$AN147,('Consolidado Costos'!AK$6:AK$158*'Consolidado Costos'!$E$6:$E$158),0))</f>
        <v>0</v>
      </c>
      <c r="AY147" s="318" cm="1">
        <f t="array" ref="AY147">+SUMPRODUCT(IF('Consolidado Costos'!$K$6:$K$158=$AN147,('Consolidado Costos'!AL$6:AL$158*'Consolidado Costos'!$E$6:$E$158),0))</f>
        <v>0</v>
      </c>
      <c r="AZ147" s="318" cm="1">
        <f t="array" ref="AZ147">+SUMPRODUCT(IF('Consolidado Costos'!$K$6:$K$158=$AN147,('Consolidado Costos'!AM$6:AM$158*'Consolidado Costos'!$E$6:$E$158),0))</f>
        <v>0</v>
      </c>
      <c r="BA147" s="318" cm="1">
        <f t="array" ref="BA147">+SUMPRODUCT(IF('Consolidado Costos'!$K$6:$K$158=$AN147,('Consolidado Costos'!AN$6:AN$158*'Consolidado Costos'!$E$6:$E$158),0))</f>
        <v>0</v>
      </c>
      <c r="BB147" s="318" cm="1">
        <f t="array" ref="BB147">+SUMPRODUCT(IF('Consolidado Costos'!$K$6:$K$158=$AN147,('Consolidado Costos'!AO$6:AO$158*'Consolidado Costos'!$E$6:$E$158),0))</f>
        <v>0</v>
      </c>
      <c r="BC147" s="318" cm="1">
        <f t="array" ref="BC147">+SUMPRODUCT(IF('Consolidado Costos'!$K$6:$K$158=$AN147,('Consolidado Costos'!AP$6:AP$158*'Consolidado Costos'!$E$6:$E$158),0))</f>
        <v>0</v>
      </c>
      <c r="BE147" s="327"/>
      <c r="BF147" s="330" t="s">
        <v>544</v>
      </c>
      <c r="BG147" s="330" t="s">
        <v>545</v>
      </c>
      <c r="BH147" s="329"/>
      <c r="BI147" s="354">
        <f t="shared" si="30"/>
        <v>0</v>
      </c>
      <c r="BJ147" s="318" cm="1">
        <f t="array" ref="BJ147">+SUMPRODUCT(IF('Consolidado Costos'!$K$6:$K$158=$BF147,('Consolidado Costos'!AE$6:AE$158*'Consolidado Costos'!$F$6:$F$158),0))</f>
        <v>0</v>
      </c>
      <c r="BK147" s="318" cm="1">
        <f t="array" ref="BK147">+SUMPRODUCT(IF('Consolidado Costos'!$K$6:$K$158=$BF147,('Consolidado Costos'!AF$6:AF$158*'Consolidado Costos'!$F$6:$F$158),0))</f>
        <v>0</v>
      </c>
      <c r="BL147" s="318" cm="1">
        <f t="array" ref="BL147">+SUMPRODUCT(IF('Consolidado Costos'!$K$6:$K$158=$BF147,('Consolidado Costos'!AG$6:AG$158*'Consolidado Costos'!$F$6:$F$158),0))</f>
        <v>0</v>
      </c>
      <c r="BM147" s="318" cm="1">
        <f t="array" ref="BM147">+SUMPRODUCT(IF('Consolidado Costos'!$K$6:$K$158=$BF147,('Consolidado Costos'!AH$6:AH$158*'Consolidado Costos'!$F$6:$F$158),0))</f>
        <v>0</v>
      </c>
      <c r="BN147" s="318" cm="1">
        <f t="array" ref="BN147">+SUMPRODUCT(IF('Consolidado Costos'!$K$6:$K$158=$BF147,('Consolidado Costos'!AI$6:AI$158*'Consolidado Costos'!$F$6:$F$158),0))</f>
        <v>0</v>
      </c>
      <c r="BO147" s="318" cm="1">
        <f t="array" ref="BO147">+SUMPRODUCT(IF('Consolidado Costos'!$K$6:$K$158=$BF147,('Consolidado Costos'!AJ$6:AJ$158*'Consolidado Costos'!$F$6:$F$158),0))</f>
        <v>0</v>
      </c>
      <c r="BP147" s="318" cm="1">
        <f t="array" ref="BP147">+SUMPRODUCT(IF('Consolidado Costos'!$K$6:$K$158=$BF147,('Consolidado Costos'!AK$6:AK$158*'Consolidado Costos'!$F$6:$F$158),0))</f>
        <v>0</v>
      </c>
      <c r="BQ147" s="318" cm="1">
        <f t="array" ref="BQ147">+SUMPRODUCT(IF('Consolidado Costos'!$K$6:$K$158=$BF147,('Consolidado Costos'!AL$6:AL$158*'Consolidado Costos'!$F$6:$F$158),0))</f>
        <v>0</v>
      </c>
      <c r="BR147" s="318" cm="1">
        <f t="array" ref="BR147">+SUMPRODUCT(IF('Consolidado Costos'!$K$6:$K$158=$BF147,('Consolidado Costos'!AM$6:AM$158*'Consolidado Costos'!$F$6:$F$158),0))</f>
        <v>0</v>
      </c>
      <c r="BS147" s="318" cm="1">
        <f t="array" ref="BS147">+SUMPRODUCT(IF('Consolidado Costos'!$K$6:$K$158=$BF147,('Consolidado Costos'!AN$6:AN$158*'Consolidado Costos'!$F$6:$F$158),0))</f>
        <v>0</v>
      </c>
      <c r="BT147" s="318" cm="1">
        <f t="array" ref="BT147">+SUMPRODUCT(IF('Consolidado Costos'!$K$6:$K$158=$BF147,('Consolidado Costos'!AO$6:AO$158*'Consolidado Costos'!$F$6:$F$158),0))</f>
        <v>0</v>
      </c>
      <c r="BU147" s="318" cm="1">
        <f t="array" ref="BU147">+SUMPRODUCT(IF('Consolidado Costos'!$K$6:$K$158=$BF147,('Consolidado Costos'!AP$6:AP$158*'Consolidado Costos'!$F$6:$F$158),0))</f>
        <v>0</v>
      </c>
      <c r="BW147" s="327"/>
      <c r="BX147" s="330" t="s">
        <v>544</v>
      </c>
      <c r="BY147" s="330" t="s">
        <v>545</v>
      </c>
      <c r="BZ147" s="329"/>
      <c r="CA147" s="354">
        <f t="shared" si="31"/>
        <v>0</v>
      </c>
      <c r="CB147" s="318" cm="1">
        <f t="array" ref="CB147">+SUMPRODUCT(IF('Consolidado Costos'!$K$6:$K$158=$BX147,('Consolidado Costos'!AE$6:AE$158*'Consolidado Costos'!$G$6:$G$158),0))</f>
        <v>0</v>
      </c>
      <c r="CC147" s="318" cm="1">
        <f t="array" ref="CC147">+SUMPRODUCT(IF('Consolidado Costos'!$K$6:$K$158=$BX147,('Consolidado Costos'!AF$6:AF$158*'Consolidado Costos'!$G$6:$G$158),0))</f>
        <v>0</v>
      </c>
      <c r="CD147" s="318" cm="1">
        <f t="array" ref="CD147">+SUMPRODUCT(IF('Consolidado Costos'!$K$6:$K$158=$BX147,('Consolidado Costos'!AG$6:AG$158*'Consolidado Costos'!$G$6:$G$158),0))</f>
        <v>0</v>
      </c>
      <c r="CE147" s="318" cm="1">
        <f t="array" ref="CE147">+SUMPRODUCT(IF('Consolidado Costos'!$K$6:$K$158=$BX147,('Consolidado Costos'!AH$6:AH$158*'Consolidado Costos'!$G$6:$G$158),0))</f>
        <v>0</v>
      </c>
      <c r="CF147" s="318" cm="1">
        <f t="array" ref="CF147">+SUMPRODUCT(IF('Consolidado Costos'!$K$6:$K$158=$BX147,('Consolidado Costos'!AI$6:AI$158*'Consolidado Costos'!$G$6:$G$158),0))</f>
        <v>0</v>
      </c>
      <c r="CG147" s="318" cm="1">
        <f t="array" ref="CG147">+SUMPRODUCT(IF('Consolidado Costos'!$K$6:$K$158=$BX147,('Consolidado Costos'!AJ$6:AJ$158*'Consolidado Costos'!$G$6:$G$158),0))</f>
        <v>0</v>
      </c>
      <c r="CH147" s="318" cm="1">
        <f t="array" ref="CH147">+SUMPRODUCT(IF('Consolidado Costos'!$K$6:$K$158=$BX147,('Consolidado Costos'!AK$6:AK$158*'Consolidado Costos'!$G$6:$G$158),0))</f>
        <v>0</v>
      </c>
      <c r="CI147" s="318" cm="1">
        <f t="array" ref="CI147">+SUMPRODUCT(IF('Consolidado Costos'!$K$6:$K$158=$BX147,('Consolidado Costos'!AL$6:AL$158*'Consolidado Costos'!$G$6:$G$158),0))</f>
        <v>0</v>
      </c>
      <c r="CJ147" s="318" cm="1">
        <f t="array" ref="CJ147">+SUMPRODUCT(IF('Consolidado Costos'!$K$6:$K$158=$BX147,('Consolidado Costos'!AM$6:AM$158*'Consolidado Costos'!$G$6:$G$158),0))</f>
        <v>0</v>
      </c>
      <c r="CK147" s="318" cm="1">
        <f t="array" ref="CK147">+SUMPRODUCT(IF('Consolidado Costos'!$K$6:$K$158=$BX147,('Consolidado Costos'!AN$6:AN$158*'Consolidado Costos'!$G$6:$G$158),0))</f>
        <v>0</v>
      </c>
      <c r="CL147" s="318" cm="1">
        <f t="array" ref="CL147">+SUMPRODUCT(IF('Consolidado Costos'!$K$6:$K$158=$BX147,('Consolidado Costos'!AO$6:AO$158*'Consolidado Costos'!$G$6:$G$158),0))</f>
        <v>0</v>
      </c>
      <c r="CM147" s="318" cm="1">
        <f t="array" ref="CM147">+SUMPRODUCT(IF('Consolidado Costos'!$K$6:$K$158=$BX147,('Consolidado Costos'!AP$6:AP$158*'Consolidado Costos'!$G$6:$G$158),0))</f>
        <v>0</v>
      </c>
      <c r="CN147" s="357">
        <f t="shared" si="10"/>
        <v>1</v>
      </c>
    </row>
    <row r="148" spans="2:92" s="310" customFormat="1" outlineLevel="1">
      <c r="B148" s="327"/>
      <c r="C148" s="330" t="s">
        <v>546</v>
      </c>
      <c r="D148" s="330" t="s">
        <v>547</v>
      </c>
      <c r="E148" s="329"/>
      <c r="F148" s="318">
        <f>+SUMIF('Consolidado Costos'!$K$6:$K$158,$C148,'Consolidado Costos'!$AD$6:$AD$158)</f>
        <v>0</v>
      </c>
      <c r="G148" s="318">
        <f>+SUMIF('Consolidado Costos'!$K$6:$K$158,$C148,'Consolidado Costos'!AE$6:AE$158)</f>
        <v>0</v>
      </c>
      <c r="H148" s="318">
        <f>+SUMIF('Consolidado Costos'!$K$6:$K$158,$C148,'Consolidado Costos'!AF$6:AF$158)</f>
        <v>0</v>
      </c>
      <c r="I148" s="318">
        <f>+SUMIF('Consolidado Costos'!$K$6:$K$158,$C148,'Consolidado Costos'!AG$6:AG$158)</f>
        <v>0</v>
      </c>
      <c r="J148" s="318">
        <f>+SUMIF('Consolidado Costos'!$K$6:$K$158,$C148,'Consolidado Costos'!AH$6:AH$158)</f>
        <v>0</v>
      </c>
      <c r="K148" s="318">
        <f>+SUMIF('Consolidado Costos'!$K$6:$K$158,$C148,'Consolidado Costos'!AI$6:AI$158)</f>
        <v>0</v>
      </c>
      <c r="L148" s="318">
        <f>+SUMIF('Consolidado Costos'!$K$6:$K$158,$C148,'Consolidado Costos'!AJ$6:AJ$158)</f>
        <v>0</v>
      </c>
      <c r="M148" s="318">
        <f>+SUMIF('Consolidado Costos'!$K$6:$K$158,$C148,'Consolidado Costos'!AK$6:AK$158)</f>
        <v>0</v>
      </c>
      <c r="N148" s="318">
        <f>+SUMIF('Consolidado Costos'!$K$6:$K$158,$C148,'Consolidado Costos'!AL$6:AL$158)</f>
        <v>0</v>
      </c>
      <c r="O148" s="318">
        <f>+SUMIF('Consolidado Costos'!$K$6:$K$158,$C148,'Consolidado Costos'!AM$6:AM$158)</f>
        <v>0</v>
      </c>
      <c r="P148" s="318">
        <f>+SUMIF('Consolidado Costos'!$K$6:$K$158,$C148,'Consolidado Costos'!AN$6:AN$158)</f>
        <v>0</v>
      </c>
      <c r="Q148" s="318">
        <f>+SUMIF('Consolidado Costos'!$K$6:$K$158,$C148,'Consolidado Costos'!AO$6:AO$158)</f>
        <v>0</v>
      </c>
      <c r="R148" s="318">
        <f>+SUMIF('Consolidado Costos'!$K$6:$K$158,$C148,'Consolidado Costos'!AP$6:AP$158)</f>
        <v>0</v>
      </c>
      <c r="S148" s="357">
        <f t="shared" si="5"/>
        <v>1</v>
      </c>
      <c r="U148" s="327"/>
      <c r="V148" s="330" t="s">
        <v>546</v>
      </c>
      <c r="W148" s="330" t="s">
        <v>547</v>
      </c>
      <c r="X148" s="329"/>
      <c r="Y148" s="354">
        <f t="shared" si="29"/>
        <v>0</v>
      </c>
      <c r="Z148" s="318" cm="1">
        <f t="array" ref="Z148">+SUMPRODUCT(IF('Consolidado Costos'!$K$6:$K$158=$V148,('Consolidado Costos'!AE$6:AE$158*'Consolidado Costos'!$D$6:$D$158),0))</f>
        <v>0</v>
      </c>
      <c r="AA148" s="318" cm="1">
        <f t="array" ref="AA148">+SUMPRODUCT(IF('Consolidado Costos'!$K$6:$K$158=$V148,('Consolidado Costos'!AF$6:AF$158*'Consolidado Costos'!$D$6:$D$158),0))</f>
        <v>0</v>
      </c>
      <c r="AB148" s="318" cm="1">
        <f t="array" ref="AB148">+SUMPRODUCT(IF('Consolidado Costos'!$K$6:$K$158=$V148,('Consolidado Costos'!AG$6:AG$158*'Consolidado Costos'!$D$6:$D$158),0))</f>
        <v>0</v>
      </c>
      <c r="AC148" s="318" cm="1">
        <f t="array" ref="AC148">+SUMPRODUCT(IF('Consolidado Costos'!$K$6:$K$158=$V148,('Consolidado Costos'!AH$6:AH$158*'Consolidado Costos'!$D$6:$D$158),0))</f>
        <v>0</v>
      </c>
      <c r="AD148" s="318" cm="1">
        <f t="array" ref="AD148">+SUMPRODUCT(IF('Consolidado Costos'!$K$6:$K$158=$V148,('Consolidado Costos'!AI$6:AI$158*'Consolidado Costos'!$D$6:$D$158),0))</f>
        <v>0</v>
      </c>
      <c r="AE148" s="318" cm="1">
        <f t="array" ref="AE148">+SUMPRODUCT(IF('Consolidado Costos'!$K$6:$K$158=$V148,('Consolidado Costos'!AJ$6:AJ$158*'Consolidado Costos'!$D$6:$D$158),0))</f>
        <v>0</v>
      </c>
      <c r="AF148" s="318" cm="1">
        <f t="array" ref="AF148">+SUMPRODUCT(IF('Consolidado Costos'!$K$6:$K$158=$V148,('Consolidado Costos'!AK$6:AK$158*'Consolidado Costos'!$D$6:$D$158),0))</f>
        <v>0</v>
      </c>
      <c r="AG148" s="318" cm="1">
        <f t="array" ref="AG148">+SUMPRODUCT(IF('Consolidado Costos'!$K$6:$K$158=$V148,('Consolidado Costos'!AL$6:AL$158*'Consolidado Costos'!$D$6:$D$158),0))</f>
        <v>0</v>
      </c>
      <c r="AH148" s="318" cm="1">
        <f t="array" ref="AH148">+SUMPRODUCT(IF('Consolidado Costos'!$K$6:$K$158=$V148,('Consolidado Costos'!AM$6:AM$158*'Consolidado Costos'!$D$6:$D$158),0))</f>
        <v>0</v>
      </c>
      <c r="AI148" s="318" cm="1">
        <f t="array" ref="AI148">+SUMPRODUCT(IF('Consolidado Costos'!$K$6:$K$158=$V148,('Consolidado Costos'!AN$6:AN$158*'Consolidado Costos'!$D$6:$D$158),0))</f>
        <v>0</v>
      </c>
      <c r="AJ148" s="318" cm="1">
        <f t="array" ref="AJ148">+SUMPRODUCT(IF('Consolidado Costos'!$K$6:$K$158=$V148,('Consolidado Costos'!AO$6:AO$158*'Consolidado Costos'!$D$6:$D$158),0))</f>
        <v>0</v>
      </c>
      <c r="AK148" s="318" cm="1">
        <f t="array" ref="AK148">+SUMPRODUCT(IF('Consolidado Costos'!$K$6:$K$158=$V148,('Consolidado Costos'!AP$6:AP$158*'Consolidado Costos'!$D$6:$D$158),0))</f>
        <v>0</v>
      </c>
      <c r="AM148" s="327"/>
      <c r="AN148" s="330" t="s">
        <v>546</v>
      </c>
      <c r="AO148" s="330" t="s">
        <v>547</v>
      </c>
      <c r="AP148" s="329"/>
      <c r="AQ148" s="354">
        <f t="shared" si="21"/>
        <v>0</v>
      </c>
      <c r="AR148" s="318" cm="1">
        <f t="array" ref="AR148">+SUMPRODUCT(IF('Consolidado Costos'!$K$6:$K$158=$AN148,('Consolidado Costos'!AE$6:AE$158*'Consolidado Costos'!$E$6:$E$158),0))</f>
        <v>0</v>
      </c>
      <c r="AS148" s="318" cm="1">
        <f t="array" ref="AS148">+SUMPRODUCT(IF('Consolidado Costos'!$K$6:$K$158=$AN148,('Consolidado Costos'!AF$6:AF$158*'Consolidado Costos'!$E$6:$E$158),0))</f>
        <v>0</v>
      </c>
      <c r="AT148" s="318" cm="1">
        <f t="array" ref="AT148">+SUMPRODUCT(IF('Consolidado Costos'!$K$6:$K$158=$AN148,('Consolidado Costos'!AG$6:AG$158*'Consolidado Costos'!$E$6:$E$158),0))</f>
        <v>0</v>
      </c>
      <c r="AU148" s="318" cm="1">
        <f t="array" ref="AU148">+SUMPRODUCT(IF('Consolidado Costos'!$K$6:$K$158=$AN148,('Consolidado Costos'!AH$6:AH$158*'Consolidado Costos'!$E$6:$E$158),0))</f>
        <v>0</v>
      </c>
      <c r="AV148" s="318" cm="1">
        <f t="array" ref="AV148">+SUMPRODUCT(IF('Consolidado Costos'!$K$6:$K$158=$AN148,('Consolidado Costos'!AI$6:AI$158*'Consolidado Costos'!$E$6:$E$158),0))</f>
        <v>0</v>
      </c>
      <c r="AW148" s="318" cm="1">
        <f t="array" ref="AW148">+SUMPRODUCT(IF('Consolidado Costos'!$K$6:$K$158=$AN148,('Consolidado Costos'!AJ$6:AJ$158*'Consolidado Costos'!$E$6:$E$158),0))</f>
        <v>0</v>
      </c>
      <c r="AX148" s="318" cm="1">
        <f t="array" ref="AX148">+SUMPRODUCT(IF('Consolidado Costos'!$K$6:$K$158=$AN148,('Consolidado Costos'!AK$6:AK$158*'Consolidado Costos'!$E$6:$E$158),0))</f>
        <v>0</v>
      </c>
      <c r="AY148" s="318" cm="1">
        <f t="array" ref="AY148">+SUMPRODUCT(IF('Consolidado Costos'!$K$6:$K$158=$AN148,('Consolidado Costos'!AL$6:AL$158*'Consolidado Costos'!$E$6:$E$158),0))</f>
        <v>0</v>
      </c>
      <c r="AZ148" s="318" cm="1">
        <f t="array" ref="AZ148">+SUMPRODUCT(IF('Consolidado Costos'!$K$6:$K$158=$AN148,('Consolidado Costos'!AM$6:AM$158*'Consolidado Costos'!$E$6:$E$158),0))</f>
        <v>0</v>
      </c>
      <c r="BA148" s="318" cm="1">
        <f t="array" ref="BA148">+SUMPRODUCT(IF('Consolidado Costos'!$K$6:$K$158=$AN148,('Consolidado Costos'!AN$6:AN$158*'Consolidado Costos'!$E$6:$E$158),0))</f>
        <v>0</v>
      </c>
      <c r="BB148" s="318" cm="1">
        <f t="array" ref="BB148">+SUMPRODUCT(IF('Consolidado Costos'!$K$6:$K$158=$AN148,('Consolidado Costos'!AO$6:AO$158*'Consolidado Costos'!$E$6:$E$158),0))</f>
        <v>0</v>
      </c>
      <c r="BC148" s="318" cm="1">
        <f t="array" ref="BC148">+SUMPRODUCT(IF('Consolidado Costos'!$K$6:$K$158=$AN148,('Consolidado Costos'!AP$6:AP$158*'Consolidado Costos'!$E$6:$E$158),0))</f>
        <v>0</v>
      </c>
      <c r="BE148" s="327"/>
      <c r="BF148" s="330" t="s">
        <v>546</v>
      </c>
      <c r="BG148" s="330" t="s">
        <v>547</v>
      </c>
      <c r="BH148" s="329"/>
      <c r="BI148" s="354">
        <f t="shared" si="30"/>
        <v>0</v>
      </c>
      <c r="BJ148" s="318" cm="1">
        <f t="array" ref="BJ148">+SUMPRODUCT(IF('Consolidado Costos'!$K$6:$K$158=$BF148,('Consolidado Costos'!AE$6:AE$158*'Consolidado Costos'!$F$6:$F$158),0))</f>
        <v>0</v>
      </c>
      <c r="BK148" s="318" cm="1">
        <f t="array" ref="BK148">+SUMPRODUCT(IF('Consolidado Costos'!$K$6:$K$158=$BF148,('Consolidado Costos'!AF$6:AF$158*'Consolidado Costos'!$F$6:$F$158),0))</f>
        <v>0</v>
      </c>
      <c r="BL148" s="318" cm="1">
        <f t="array" ref="BL148">+SUMPRODUCT(IF('Consolidado Costos'!$K$6:$K$158=$BF148,('Consolidado Costos'!AG$6:AG$158*'Consolidado Costos'!$F$6:$F$158),0))</f>
        <v>0</v>
      </c>
      <c r="BM148" s="318" cm="1">
        <f t="array" ref="BM148">+SUMPRODUCT(IF('Consolidado Costos'!$K$6:$K$158=$BF148,('Consolidado Costos'!AH$6:AH$158*'Consolidado Costos'!$F$6:$F$158),0))</f>
        <v>0</v>
      </c>
      <c r="BN148" s="318" cm="1">
        <f t="array" ref="BN148">+SUMPRODUCT(IF('Consolidado Costos'!$K$6:$K$158=$BF148,('Consolidado Costos'!AI$6:AI$158*'Consolidado Costos'!$F$6:$F$158),0))</f>
        <v>0</v>
      </c>
      <c r="BO148" s="318" cm="1">
        <f t="array" ref="BO148">+SUMPRODUCT(IF('Consolidado Costos'!$K$6:$K$158=$BF148,('Consolidado Costos'!AJ$6:AJ$158*'Consolidado Costos'!$F$6:$F$158),0))</f>
        <v>0</v>
      </c>
      <c r="BP148" s="318" cm="1">
        <f t="array" ref="BP148">+SUMPRODUCT(IF('Consolidado Costos'!$K$6:$K$158=$BF148,('Consolidado Costos'!AK$6:AK$158*'Consolidado Costos'!$F$6:$F$158),0))</f>
        <v>0</v>
      </c>
      <c r="BQ148" s="318" cm="1">
        <f t="array" ref="BQ148">+SUMPRODUCT(IF('Consolidado Costos'!$K$6:$K$158=$BF148,('Consolidado Costos'!AL$6:AL$158*'Consolidado Costos'!$F$6:$F$158),0))</f>
        <v>0</v>
      </c>
      <c r="BR148" s="318" cm="1">
        <f t="array" ref="BR148">+SUMPRODUCT(IF('Consolidado Costos'!$K$6:$K$158=$BF148,('Consolidado Costos'!AM$6:AM$158*'Consolidado Costos'!$F$6:$F$158),0))</f>
        <v>0</v>
      </c>
      <c r="BS148" s="318" cm="1">
        <f t="array" ref="BS148">+SUMPRODUCT(IF('Consolidado Costos'!$K$6:$K$158=$BF148,('Consolidado Costos'!AN$6:AN$158*'Consolidado Costos'!$F$6:$F$158),0))</f>
        <v>0</v>
      </c>
      <c r="BT148" s="318" cm="1">
        <f t="array" ref="BT148">+SUMPRODUCT(IF('Consolidado Costos'!$K$6:$K$158=$BF148,('Consolidado Costos'!AO$6:AO$158*'Consolidado Costos'!$F$6:$F$158),0))</f>
        <v>0</v>
      </c>
      <c r="BU148" s="318" cm="1">
        <f t="array" ref="BU148">+SUMPRODUCT(IF('Consolidado Costos'!$K$6:$K$158=$BF148,('Consolidado Costos'!AP$6:AP$158*'Consolidado Costos'!$F$6:$F$158),0))</f>
        <v>0</v>
      </c>
      <c r="BW148" s="327"/>
      <c r="BX148" s="330" t="s">
        <v>546</v>
      </c>
      <c r="BY148" s="330" t="s">
        <v>547</v>
      </c>
      <c r="BZ148" s="329"/>
      <c r="CA148" s="354">
        <f t="shared" si="31"/>
        <v>0</v>
      </c>
      <c r="CB148" s="318" cm="1">
        <f t="array" ref="CB148">+SUMPRODUCT(IF('Consolidado Costos'!$K$6:$K$158=$BX148,('Consolidado Costos'!AE$6:AE$158*'Consolidado Costos'!$G$6:$G$158),0))</f>
        <v>0</v>
      </c>
      <c r="CC148" s="318" cm="1">
        <f t="array" ref="CC148">+SUMPRODUCT(IF('Consolidado Costos'!$K$6:$K$158=$BX148,('Consolidado Costos'!AF$6:AF$158*'Consolidado Costos'!$G$6:$G$158),0))</f>
        <v>0</v>
      </c>
      <c r="CD148" s="318" cm="1">
        <f t="array" ref="CD148">+SUMPRODUCT(IF('Consolidado Costos'!$K$6:$K$158=$BX148,('Consolidado Costos'!AG$6:AG$158*'Consolidado Costos'!$G$6:$G$158),0))</f>
        <v>0</v>
      </c>
      <c r="CE148" s="318" cm="1">
        <f t="array" ref="CE148">+SUMPRODUCT(IF('Consolidado Costos'!$K$6:$K$158=$BX148,('Consolidado Costos'!AH$6:AH$158*'Consolidado Costos'!$G$6:$G$158),0))</f>
        <v>0</v>
      </c>
      <c r="CF148" s="318" cm="1">
        <f t="array" ref="CF148">+SUMPRODUCT(IF('Consolidado Costos'!$K$6:$K$158=$BX148,('Consolidado Costos'!AI$6:AI$158*'Consolidado Costos'!$G$6:$G$158),0))</f>
        <v>0</v>
      </c>
      <c r="CG148" s="318" cm="1">
        <f t="array" ref="CG148">+SUMPRODUCT(IF('Consolidado Costos'!$K$6:$K$158=$BX148,('Consolidado Costos'!AJ$6:AJ$158*'Consolidado Costos'!$G$6:$G$158),0))</f>
        <v>0</v>
      </c>
      <c r="CH148" s="318" cm="1">
        <f t="array" ref="CH148">+SUMPRODUCT(IF('Consolidado Costos'!$K$6:$K$158=$BX148,('Consolidado Costos'!AK$6:AK$158*'Consolidado Costos'!$G$6:$G$158),0))</f>
        <v>0</v>
      </c>
      <c r="CI148" s="318" cm="1">
        <f t="array" ref="CI148">+SUMPRODUCT(IF('Consolidado Costos'!$K$6:$K$158=$BX148,('Consolidado Costos'!AL$6:AL$158*'Consolidado Costos'!$G$6:$G$158),0))</f>
        <v>0</v>
      </c>
      <c r="CJ148" s="318" cm="1">
        <f t="array" ref="CJ148">+SUMPRODUCT(IF('Consolidado Costos'!$K$6:$K$158=$BX148,('Consolidado Costos'!AM$6:AM$158*'Consolidado Costos'!$G$6:$G$158),0))</f>
        <v>0</v>
      </c>
      <c r="CK148" s="318" cm="1">
        <f t="array" ref="CK148">+SUMPRODUCT(IF('Consolidado Costos'!$K$6:$K$158=$BX148,('Consolidado Costos'!AN$6:AN$158*'Consolidado Costos'!$G$6:$G$158),0))</f>
        <v>0</v>
      </c>
      <c r="CL148" s="318" cm="1">
        <f t="array" ref="CL148">+SUMPRODUCT(IF('Consolidado Costos'!$K$6:$K$158=$BX148,('Consolidado Costos'!AO$6:AO$158*'Consolidado Costos'!$G$6:$G$158),0))</f>
        <v>0</v>
      </c>
      <c r="CM148" s="318" cm="1">
        <f t="array" ref="CM148">+SUMPRODUCT(IF('Consolidado Costos'!$K$6:$K$158=$BX148,('Consolidado Costos'!AP$6:AP$158*'Consolidado Costos'!$G$6:$G$158),0))</f>
        <v>0</v>
      </c>
      <c r="CN148" s="357">
        <f t="shared" si="10"/>
        <v>1</v>
      </c>
    </row>
    <row r="149" spans="2:92" s="310" customFormat="1" outlineLevel="1">
      <c r="B149" s="327"/>
      <c r="C149" s="330" t="s">
        <v>548</v>
      </c>
      <c r="D149" s="330" t="s">
        <v>549</v>
      </c>
      <c r="E149" s="329"/>
      <c r="F149" s="318">
        <f>+SUMIF('Consolidado Costos'!$K$6:$K$158,$C149,'Consolidado Costos'!$AD$6:$AD$158)</f>
        <v>0</v>
      </c>
      <c r="G149" s="318">
        <f>+SUMIF('Consolidado Costos'!$K$6:$K$158,$C149,'Consolidado Costos'!AE$6:AE$158)</f>
        <v>0</v>
      </c>
      <c r="H149" s="318">
        <f>+SUMIF('Consolidado Costos'!$K$6:$K$158,$C149,'Consolidado Costos'!AF$6:AF$158)</f>
        <v>0</v>
      </c>
      <c r="I149" s="318">
        <f>+SUMIF('Consolidado Costos'!$K$6:$K$158,$C149,'Consolidado Costos'!AG$6:AG$158)</f>
        <v>0</v>
      </c>
      <c r="J149" s="318">
        <f>+SUMIF('Consolidado Costos'!$K$6:$K$158,$C149,'Consolidado Costos'!AH$6:AH$158)</f>
        <v>0</v>
      </c>
      <c r="K149" s="318">
        <f>+SUMIF('Consolidado Costos'!$K$6:$K$158,$C149,'Consolidado Costos'!AI$6:AI$158)</f>
        <v>0</v>
      </c>
      <c r="L149" s="318">
        <f>+SUMIF('Consolidado Costos'!$K$6:$K$158,$C149,'Consolidado Costos'!AJ$6:AJ$158)</f>
        <v>0</v>
      </c>
      <c r="M149" s="318">
        <f>+SUMIF('Consolidado Costos'!$K$6:$K$158,$C149,'Consolidado Costos'!AK$6:AK$158)</f>
        <v>0</v>
      </c>
      <c r="N149" s="318">
        <f>+SUMIF('Consolidado Costos'!$K$6:$K$158,$C149,'Consolidado Costos'!AL$6:AL$158)</f>
        <v>0</v>
      </c>
      <c r="O149" s="318">
        <f>+SUMIF('Consolidado Costos'!$K$6:$K$158,$C149,'Consolidado Costos'!AM$6:AM$158)</f>
        <v>0</v>
      </c>
      <c r="P149" s="318">
        <f>+SUMIF('Consolidado Costos'!$K$6:$K$158,$C149,'Consolidado Costos'!AN$6:AN$158)</f>
        <v>0</v>
      </c>
      <c r="Q149" s="318">
        <f>+SUMIF('Consolidado Costos'!$K$6:$K$158,$C149,'Consolidado Costos'!AO$6:AO$158)</f>
        <v>0</v>
      </c>
      <c r="R149" s="318">
        <f>+SUMIF('Consolidado Costos'!$K$6:$K$158,$C149,'Consolidado Costos'!AP$6:AP$158)</f>
        <v>0</v>
      </c>
      <c r="S149" s="357">
        <f t="shared" si="5"/>
        <v>1</v>
      </c>
      <c r="U149" s="327"/>
      <c r="V149" s="330" t="s">
        <v>548</v>
      </c>
      <c r="W149" s="330" t="s">
        <v>549</v>
      </c>
      <c r="X149" s="329"/>
      <c r="Y149" s="354">
        <f t="shared" si="29"/>
        <v>0</v>
      </c>
      <c r="Z149" s="318" cm="1">
        <f t="array" ref="Z149">+SUMPRODUCT(IF('Consolidado Costos'!$K$6:$K$158=$V149,('Consolidado Costos'!AE$6:AE$158*'Consolidado Costos'!$D$6:$D$158),0))</f>
        <v>0</v>
      </c>
      <c r="AA149" s="318" cm="1">
        <f t="array" ref="AA149">+SUMPRODUCT(IF('Consolidado Costos'!$K$6:$K$158=$V149,('Consolidado Costos'!AF$6:AF$158*'Consolidado Costos'!$D$6:$D$158),0))</f>
        <v>0</v>
      </c>
      <c r="AB149" s="318" cm="1">
        <f t="array" ref="AB149">+SUMPRODUCT(IF('Consolidado Costos'!$K$6:$K$158=$V149,('Consolidado Costos'!AG$6:AG$158*'Consolidado Costos'!$D$6:$D$158),0))</f>
        <v>0</v>
      </c>
      <c r="AC149" s="318" cm="1">
        <f t="array" ref="AC149">+SUMPRODUCT(IF('Consolidado Costos'!$K$6:$K$158=$V149,('Consolidado Costos'!AH$6:AH$158*'Consolidado Costos'!$D$6:$D$158),0))</f>
        <v>0</v>
      </c>
      <c r="AD149" s="318" cm="1">
        <f t="array" ref="AD149">+SUMPRODUCT(IF('Consolidado Costos'!$K$6:$K$158=$V149,('Consolidado Costos'!AI$6:AI$158*'Consolidado Costos'!$D$6:$D$158),0))</f>
        <v>0</v>
      </c>
      <c r="AE149" s="318" cm="1">
        <f t="array" ref="AE149">+SUMPRODUCT(IF('Consolidado Costos'!$K$6:$K$158=$V149,('Consolidado Costos'!AJ$6:AJ$158*'Consolidado Costos'!$D$6:$D$158),0))</f>
        <v>0</v>
      </c>
      <c r="AF149" s="318" cm="1">
        <f t="array" ref="AF149">+SUMPRODUCT(IF('Consolidado Costos'!$K$6:$K$158=$V149,('Consolidado Costos'!AK$6:AK$158*'Consolidado Costos'!$D$6:$D$158),0))</f>
        <v>0</v>
      </c>
      <c r="AG149" s="318" cm="1">
        <f t="array" ref="AG149">+SUMPRODUCT(IF('Consolidado Costos'!$K$6:$K$158=$V149,('Consolidado Costos'!AL$6:AL$158*'Consolidado Costos'!$D$6:$D$158),0))</f>
        <v>0</v>
      </c>
      <c r="AH149" s="318" cm="1">
        <f t="array" ref="AH149">+SUMPRODUCT(IF('Consolidado Costos'!$K$6:$K$158=$V149,('Consolidado Costos'!AM$6:AM$158*'Consolidado Costos'!$D$6:$D$158),0))</f>
        <v>0</v>
      </c>
      <c r="AI149" s="318" cm="1">
        <f t="array" ref="AI149">+SUMPRODUCT(IF('Consolidado Costos'!$K$6:$K$158=$V149,('Consolidado Costos'!AN$6:AN$158*'Consolidado Costos'!$D$6:$D$158),0))</f>
        <v>0</v>
      </c>
      <c r="AJ149" s="318" cm="1">
        <f t="array" ref="AJ149">+SUMPRODUCT(IF('Consolidado Costos'!$K$6:$K$158=$V149,('Consolidado Costos'!AO$6:AO$158*'Consolidado Costos'!$D$6:$D$158),0))</f>
        <v>0</v>
      </c>
      <c r="AK149" s="318" cm="1">
        <f t="array" ref="AK149">+SUMPRODUCT(IF('Consolidado Costos'!$K$6:$K$158=$V149,('Consolidado Costos'!AP$6:AP$158*'Consolidado Costos'!$D$6:$D$158),0))</f>
        <v>0</v>
      </c>
      <c r="AM149" s="327"/>
      <c r="AN149" s="330" t="s">
        <v>548</v>
      </c>
      <c r="AO149" s="330" t="s">
        <v>549</v>
      </c>
      <c r="AP149" s="329"/>
      <c r="AQ149" s="354">
        <f t="shared" si="21"/>
        <v>0</v>
      </c>
      <c r="AR149" s="318" cm="1">
        <f t="array" ref="AR149">+SUMPRODUCT(IF('Consolidado Costos'!$K$6:$K$158=$AN149,('Consolidado Costos'!AE$6:AE$158*'Consolidado Costos'!$E$6:$E$158),0))</f>
        <v>0</v>
      </c>
      <c r="AS149" s="318" cm="1">
        <f t="array" ref="AS149">+SUMPRODUCT(IF('Consolidado Costos'!$K$6:$K$158=$AN149,('Consolidado Costos'!AF$6:AF$158*'Consolidado Costos'!$E$6:$E$158),0))</f>
        <v>0</v>
      </c>
      <c r="AT149" s="318" cm="1">
        <f t="array" ref="AT149">+SUMPRODUCT(IF('Consolidado Costos'!$K$6:$K$158=$AN149,('Consolidado Costos'!AG$6:AG$158*'Consolidado Costos'!$E$6:$E$158),0))</f>
        <v>0</v>
      </c>
      <c r="AU149" s="318" cm="1">
        <f t="array" ref="AU149">+SUMPRODUCT(IF('Consolidado Costos'!$K$6:$K$158=$AN149,('Consolidado Costos'!AH$6:AH$158*'Consolidado Costos'!$E$6:$E$158),0))</f>
        <v>0</v>
      </c>
      <c r="AV149" s="318" cm="1">
        <f t="array" ref="AV149">+SUMPRODUCT(IF('Consolidado Costos'!$K$6:$K$158=$AN149,('Consolidado Costos'!AI$6:AI$158*'Consolidado Costos'!$E$6:$E$158),0))</f>
        <v>0</v>
      </c>
      <c r="AW149" s="318" cm="1">
        <f t="array" ref="AW149">+SUMPRODUCT(IF('Consolidado Costos'!$K$6:$K$158=$AN149,('Consolidado Costos'!AJ$6:AJ$158*'Consolidado Costos'!$E$6:$E$158),0))</f>
        <v>0</v>
      </c>
      <c r="AX149" s="318" cm="1">
        <f t="array" ref="AX149">+SUMPRODUCT(IF('Consolidado Costos'!$K$6:$K$158=$AN149,('Consolidado Costos'!AK$6:AK$158*'Consolidado Costos'!$E$6:$E$158),0))</f>
        <v>0</v>
      </c>
      <c r="AY149" s="318" cm="1">
        <f t="array" ref="AY149">+SUMPRODUCT(IF('Consolidado Costos'!$K$6:$K$158=$AN149,('Consolidado Costos'!AL$6:AL$158*'Consolidado Costos'!$E$6:$E$158),0))</f>
        <v>0</v>
      </c>
      <c r="AZ149" s="318" cm="1">
        <f t="array" ref="AZ149">+SUMPRODUCT(IF('Consolidado Costos'!$K$6:$K$158=$AN149,('Consolidado Costos'!AM$6:AM$158*'Consolidado Costos'!$E$6:$E$158),0))</f>
        <v>0</v>
      </c>
      <c r="BA149" s="318" cm="1">
        <f t="array" ref="BA149">+SUMPRODUCT(IF('Consolidado Costos'!$K$6:$K$158=$AN149,('Consolidado Costos'!AN$6:AN$158*'Consolidado Costos'!$E$6:$E$158),0))</f>
        <v>0</v>
      </c>
      <c r="BB149" s="318" cm="1">
        <f t="array" ref="BB149">+SUMPRODUCT(IF('Consolidado Costos'!$K$6:$K$158=$AN149,('Consolidado Costos'!AO$6:AO$158*'Consolidado Costos'!$E$6:$E$158),0))</f>
        <v>0</v>
      </c>
      <c r="BC149" s="318" cm="1">
        <f t="array" ref="BC149">+SUMPRODUCT(IF('Consolidado Costos'!$K$6:$K$158=$AN149,('Consolidado Costos'!AP$6:AP$158*'Consolidado Costos'!$E$6:$E$158),0))</f>
        <v>0</v>
      </c>
      <c r="BE149" s="327"/>
      <c r="BF149" s="330" t="s">
        <v>548</v>
      </c>
      <c r="BG149" s="330" t="s">
        <v>549</v>
      </c>
      <c r="BH149" s="329"/>
      <c r="BI149" s="354">
        <f t="shared" si="30"/>
        <v>0</v>
      </c>
      <c r="BJ149" s="318" cm="1">
        <f t="array" ref="BJ149">+SUMPRODUCT(IF('Consolidado Costos'!$K$6:$K$158=$BF149,('Consolidado Costos'!AE$6:AE$158*'Consolidado Costos'!$F$6:$F$158),0))</f>
        <v>0</v>
      </c>
      <c r="BK149" s="318" cm="1">
        <f t="array" ref="BK149">+SUMPRODUCT(IF('Consolidado Costos'!$K$6:$K$158=$BF149,('Consolidado Costos'!AF$6:AF$158*'Consolidado Costos'!$F$6:$F$158),0))</f>
        <v>0</v>
      </c>
      <c r="BL149" s="318" cm="1">
        <f t="array" ref="BL149">+SUMPRODUCT(IF('Consolidado Costos'!$K$6:$K$158=$BF149,('Consolidado Costos'!AG$6:AG$158*'Consolidado Costos'!$F$6:$F$158),0))</f>
        <v>0</v>
      </c>
      <c r="BM149" s="318" cm="1">
        <f t="array" ref="BM149">+SUMPRODUCT(IF('Consolidado Costos'!$K$6:$K$158=$BF149,('Consolidado Costos'!AH$6:AH$158*'Consolidado Costos'!$F$6:$F$158),0))</f>
        <v>0</v>
      </c>
      <c r="BN149" s="318" cm="1">
        <f t="array" ref="BN149">+SUMPRODUCT(IF('Consolidado Costos'!$K$6:$K$158=$BF149,('Consolidado Costos'!AI$6:AI$158*'Consolidado Costos'!$F$6:$F$158),0))</f>
        <v>0</v>
      </c>
      <c r="BO149" s="318" cm="1">
        <f t="array" ref="BO149">+SUMPRODUCT(IF('Consolidado Costos'!$K$6:$K$158=$BF149,('Consolidado Costos'!AJ$6:AJ$158*'Consolidado Costos'!$F$6:$F$158),0))</f>
        <v>0</v>
      </c>
      <c r="BP149" s="318" cm="1">
        <f t="array" ref="BP149">+SUMPRODUCT(IF('Consolidado Costos'!$K$6:$K$158=$BF149,('Consolidado Costos'!AK$6:AK$158*'Consolidado Costos'!$F$6:$F$158),0))</f>
        <v>0</v>
      </c>
      <c r="BQ149" s="318" cm="1">
        <f t="array" ref="BQ149">+SUMPRODUCT(IF('Consolidado Costos'!$K$6:$K$158=$BF149,('Consolidado Costos'!AL$6:AL$158*'Consolidado Costos'!$F$6:$F$158),0))</f>
        <v>0</v>
      </c>
      <c r="BR149" s="318" cm="1">
        <f t="array" ref="BR149">+SUMPRODUCT(IF('Consolidado Costos'!$K$6:$K$158=$BF149,('Consolidado Costos'!AM$6:AM$158*'Consolidado Costos'!$F$6:$F$158),0))</f>
        <v>0</v>
      </c>
      <c r="BS149" s="318" cm="1">
        <f t="array" ref="BS149">+SUMPRODUCT(IF('Consolidado Costos'!$K$6:$K$158=$BF149,('Consolidado Costos'!AN$6:AN$158*'Consolidado Costos'!$F$6:$F$158),0))</f>
        <v>0</v>
      </c>
      <c r="BT149" s="318" cm="1">
        <f t="array" ref="BT149">+SUMPRODUCT(IF('Consolidado Costos'!$K$6:$K$158=$BF149,('Consolidado Costos'!AO$6:AO$158*'Consolidado Costos'!$F$6:$F$158),0))</f>
        <v>0</v>
      </c>
      <c r="BU149" s="318" cm="1">
        <f t="array" ref="BU149">+SUMPRODUCT(IF('Consolidado Costos'!$K$6:$K$158=$BF149,('Consolidado Costos'!AP$6:AP$158*'Consolidado Costos'!$F$6:$F$158),0))</f>
        <v>0</v>
      </c>
      <c r="BW149" s="327"/>
      <c r="BX149" s="330" t="s">
        <v>548</v>
      </c>
      <c r="BY149" s="330" t="s">
        <v>549</v>
      </c>
      <c r="BZ149" s="329"/>
      <c r="CA149" s="354">
        <f t="shared" si="31"/>
        <v>0</v>
      </c>
      <c r="CB149" s="318" cm="1">
        <f t="array" ref="CB149">+SUMPRODUCT(IF('Consolidado Costos'!$K$6:$K$158=$BX149,('Consolidado Costos'!AE$6:AE$158*'Consolidado Costos'!$G$6:$G$158),0))</f>
        <v>0</v>
      </c>
      <c r="CC149" s="318" cm="1">
        <f t="array" ref="CC149">+SUMPRODUCT(IF('Consolidado Costos'!$K$6:$K$158=$BX149,('Consolidado Costos'!AF$6:AF$158*'Consolidado Costos'!$G$6:$G$158),0))</f>
        <v>0</v>
      </c>
      <c r="CD149" s="318" cm="1">
        <f t="array" ref="CD149">+SUMPRODUCT(IF('Consolidado Costos'!$K$6:$K$158=$BX149,('Consolidado Costos'!AG$6:AG$158*'Consolidado Costos'!$G$6:$G$158),0))</f>
        <v>0</v>
      </c>
      <c r="CE149" s="318" cm="1">
        <f t="array" ref="CE149">+SUMPRODUCT(IF('Consolidado Costos'!$K$6:$K$158=$BX149,('Consolidado Costos'!AH$6:AH$158*'Consolidado Costos'!$G$6:$G$158),0))</f>
        <v>0</v>
      </c>
      <c r="CF149" s="318" cm="1">
        <f t="array" ref="CF149">+SUMPRODUCT(IF('Consolidado Costos'!$K$6:$K$158=$BX149,('Consolidado Costos'!AI$6:AI$158*'Consolidado Costos'!$G$6:$G$158),0))</f>
        <v>0</v>
      </c>
      <c r="CG149" s="318" cm="1">
        <f t="array" ref="CG149">+SUMPRODUCT(IF('Consolidado Costos'!$K$6:$K$158=$BX149,('Consolidado Costos'!AJ$6:AJ$158*'Consolidado Costos'!$G$6:$G$158),0))</f>
        <v>0</v>
      </c>
      <c r="CH149" s="318" cm="1">
        <f t="array" ref="CH149">+SUMPRODUCT(IF('Consolidado Costos'!$K$6:$K$158=$BX149,('Consolidado Costos'!AK$6:AK$158*'Consolidado Costos'!$G$6:$G$158),0))</f>
        <v>0</v>
      </c>
      <c r="CI149" s="318" cm="1">
        <f t="array" ref="CI149">+SUMPRODUCT(IF('Consolidado Costos'!$K$6:$K$158=$BX149,('Consolidado Costos'!AL$6:AL$158*'Consolidado Costos'!$G$6:$G$158),0))</f>
        <v>0</v>
      </c>
      <c r="CJ149" s="318" cm="1">
        <f t="array" ref="CJ149">+SUMPRODUCT(IF('Consolidado Costos'!$K$6:$K$158=$BX149,('Consolidado Costos'!AM$6:AM$158*'Consolidado Costos'!$G$6:$G$158),0))</f>
        <v>0</v>
      </c>
      <c r="CK149" s="318" cm="1">
        <f t="array" ref="CK149">+SUMPRODUCT(IF('Consolidado Costos'!$K$6:$K$158=$BX149,('Consolidado Costos'!AN$6:AN$158*'Consolidado Costos'!$G$6:$G$158),0))</f>
        <v>0</v>
      </c>
      <c r="CL149" s="318" cm="1">
        <f t="array" ref="CL149">+SUMPRODUCT(IF('Consolidado Costos'!$K$6:$K$158=$BX149,('Consolidado Costos'!AO$6:AO$158*'Consolidado Costos'!$G$6:$G$158),0))</f>
        <v>0</v>
      </c>
      <c r="CM149" s="318" cm="1">
        <f t="array" ref="CM149">+SUMPRODUCT(IF('Consolidado Costos'!$K$6:$K$158=$BX149,('Consolidado Costos'!AP$6:AP$158*'Consolidado Costos'!$G$6:$G$158),0))</f>
        <v>0</v>
      </c>
      <c r="CN149" s="357">
        <f t="shared" si="10"/>
        <v>1</v>
      </c>
    </row>
    <row r="150" spans="2:92" s="310" customFormat="1" outlineLevel="1">
      <c r="B150" s="327"/>
      <c r="C150" s="328" t="s">
        <v>162</v>
      </c>
      <c r="D150" s="328" t="s">
        <v>163</v>
      </c>
      <c r="E150" s="329"/>
      <c r="F150" s="318">
        <f>+SUMIF('Consolidado Costos'!$K$6:$K$158,$C150,'Consolidado Costos'!$AD$6:$AD$158)</f>
        <v>143340.77661538462</v>
      </c>
      <c r="G150" s="318">
        <f>+SUMIF('Consolidado Costos'!$K$6:$K$158,$C150,'Consolidado Costos'!AE$6:AE$158)</f>
        <v>44246.147282051279</v>
      </c>
      <c r="H150" s="318">
        <f>+SUMIF('Consolidado Costos'!$K$6:$K$158,$C150,'Consolidado Costos'!AF$6:AF$158)</f>
        <v>39836.659589743584</v>
      </c>
      <c r="I150" s="318">
        <f>+SUMIF('Consolidado Costos'!$K$6:$K$158,$C150,'Consolidado Costos'!AG$6:AG$158)</f>
        <v>4876.1472820512827</v>
      </c>
      <c r="J150" s="318">
        <f>+SUMIF('Consolidado Costos'!$K$6:$K$158,$C150,'Consolidado Costos'!AH$6:AH$158)</f>
        <v>3958.1472820512822</v>
      </c>
      <c r="K150" s="318">
        <f>+SUMIF('Consolidado Costos'!$K$6:$K$158,$C150,'Consolidado Costos'!AI$6:AI$158)</f>
        <v>4058.1472820512822</v>
      </c>
      <c r="L150" s="318">
        <f>+SUMIF('Consolidado Costos'!$K$6:$K$158,$C150,'Consolidado Costos'!AJ$6:AJ$158)</f>
        <v>3958.1472820512822</v>
      </c>
      <c r="M150" s="318">
        <f>+SUMIF('Consolidado Costos'!$K$6:$K$158,$C150,'Consolidado Costos'!AK$6:AK$158)</f>
        <v>7037.1472820512827</v>
      </c>
      <c r="N150" s="318">
        <f>+SUMIF('Consolidado Costos'!$K$6:$K$158,$C150,'Consolidado Costos'!AL$6:AL$158)</f>
        <v>11267.147282051283</v>
      </c>
      <c r="O150" s="318">
        <f>+SUMIF('Consolidado Costos'!$K$6:$K$158,$C150,'Consolidado Costos'!AM$6:AM$158)</f>
        <v>10138.767282051282</v>
      </c>
      <c r="P150" s="318">
        <f>+SUMIF('Consolidado Costos'!$K$6:$K$158,$C150,'Consolidado Costos'!AN$6:AN$158)</f>
        <v>5155.0242051282057</v>
      </c>
      <c r="Q150" s="318">
        <f>+SUMIF('Consolidado Costos'!$K$6:$K$158,$C150,'Consolidado Costos'!AO$6:AO$158)</f>
        <v>3968.1472820512822</v>
      </c>
      <c r="R150" s="318">
        <f>+SUMIF('Consolidado Costos'!$K$6:$K$158,$C150,'Consolidado Costos'!AP$6:AP$158)</f>
        <v>4841.1472820512827</v>
      </c>
      <c r="S150" s="357">
        <f t="shared" si="5"/>
        <v>1</v>
      </c>
      <c r="U150" s="327"/>
      <c r="V150" s="328" t="s">
        <v>162</v>
      </c>
      <c r="W150" s="328" t="s">
        <v>163</v>
      </c>
      <c r="X150" s="329"/>
      <c r="Y150" s="354">
        <f t="shared" si="29"/>
        <v>84852.985261538473</v>
      </c>
      <c r="Z150" s="318" cm="1">
        <f t="array" ref="Z150">+SUMPRODUCT(IF('Consolidado Costos'!$K$6:$K$158=$V150,('Consolidado Costos'!AE$6:AE$158*'Consolidado Costos'!$D$6:$D$158),0))</f>
        <v>33857.466143589743</v>
      </c>
      <c r="AA150" s="318" cm="1">
        <f t="array" ref="AA150">+SUMPRODUCT(IF('Consolidado Costos'!$K$6:$K$158=$V150,('Consolidado Costos'!AF$6:AF$158*'Consolidado Costos'!$D$6:$D$158),0))</f>
        <v>22959.266143589746</v>
      </c>
      <c r="AB150" s="318" cm="1">
        <f t="array" ref="AB150">+SUMPRODUCT(IF('Consolidado Costos'!$K$6:$K$158=$V150,('Consolidado Costos'!AG$6:AG$158*'Consolidado Costos'!$D$6:$D$158),0))</f>
        <v>2352.4661435897438</v>
      </c>
      <c r="AC150" s="318" cm="1">
        <f t="array" ref="AC150">+SUMPRODUCT(IF('Consolidado Costos'!$K$6:$K$158=$V150,('Consolidado Costos'!AH$6:AH$158*'Consolidado Costos'!$D$6:$D$158),0))</f>
        <v>1598.2661435897435</v>
      </c>
      <c r="AD150" s="318" cm="1">
        <f t="array" ref="AD150">+SUMPRODUCT(IF('Consolidado Costos'!$K$6:$K$158=$V150,('Consolidado Costos'!AI$6:AI$158*'Consolidado Costos'!$D$6:$D$158),0))</f>
        <v>1598.2661435897435</v>
      </c>
      <c r="AE150" s="318" cm="1">
        <f t="array" ref="AE150">+SUMPRODUCT(IF('Consolidado Costos'!$K$6:$K$158=$V150,('Consolidado Costos'!AJ$6:AJ$158*'Consolidado Costos'!$D$6:$D$158),0))</f>
        <v>1598.2661435897435</v>
      </c>
      <c r="AF150" s="318" cm="1">
        <f t="array" ref="AF150">+SUMPRODUCT(IF('Consolidado Costos'!$K$6:$K$158=$V150,('Consolidado Costos'!AK$6:AK$158*'Consolidado Costos'!$D$6:$D$158),0))</f>
        <v>4445.8661435897438</v>
      </c>
      <c r="AG150" s="318" cm="1">
        <f t="array" ref="AG150">+SUMPRODUCT(IF('Consolidado Costos'!$K$6:$K$158=$V150,('Consolidado Costos'!AL$6:AL$158*'Consolidado Costos'!$D$6:$D$158),0))</f>
        <v>8872.666143589744</v>
      </c>
      <c r="AH150" s="318" cm="1">
        <f t="array" ref="AH150">+SUMPRODUCT(IF('Consolidado Costos'!$K$6:$K$158=$V150,('Consolidado Costos'!AM$6:AM$158*'Consolidado Costos'!$D$6:$D$158),0))</f>
        <v>1751.1761435897438</v>
      </c>
      <c r="AI150" s="318" cm="1">
        <f t="array" ref="AI150">+SUMPRODUCT(IF('Consolidado Costos'!$K$6:$K$158=$V150,('Consolidado Costos'!AN$6:AN$158*'Consolidado Costos'!$D$6:$D$158),0))</f>
        <v>2604.747682051282</v>
      </c>
      <c r="AJ150" s="318" cm="1">
        <f t="array" ref="AJ150">+SUMPRODUCT(IF('Consolidado Costos'!$K$6:$K$158=$V150,('Consolidado Costos'!AO$6:AO$158*'Consolidado Costos'!$D$6:$D$158),0))</f>
        <v>1607.2661435897435</v>
      </c>
      <c r="AK150" s="318" cm="1">
        <f t="array" ref="AK150">+SUMPRODUCT(IF('Consolidado Costos'!$K$6:$K$158=$V150,('Consolidado Costos'!AP$6:AP$158*'Consolidado Costos'!$D$6:$D$158),0))</f>
        <v>1607.2661435897435</v>
      </c>
      <c r="AM150" s="327"/>
      <c r="AN150" s="328" t="s">
        <v>162</v>
      </c>
      <c r="AO150" s="328" t="s">
        <v>163</v>
      </c>
      <c r="AP150" s="329"/>
      <c r="AQ150" s="354">
        <f t="shared" si="21"/>
        <v>28669.49904615384</v>
      </c>
      <c r="AR150" s="318" cm="1">
        <f t="array" ref="AR150">+SUMPRODUCT(IF('Consolidado Costos'!$K$6:$K$158=$AN150,('Consolidado Costos'!AE$6:AE$158*'Consolidado Costos'!$E$6:$E$158),0))</f>
        <v>8413.0501128205124</v>
      </c>
      <c r="AS150" s="318" cm="1">
        <f t="array" ref="AS150">+SUMPRODUCT(IF('Consolidado Costos'!$K$6:$K$158=$AN150,('Consolidado Costos'!AF$6:AF$158*'Consolidado Costos'!$E$6:$E$158),0))</f>
        <v>14901.762420512821</v>
      </c>
      <c r="AT150" s="318" cm="1">
        <f t="array" ref="AT150">+SUMPRODUCT(IF('Consolidado Costos'!$K$6:$K$158=$AN150,('Consolidado Costos'!AG$6:AG$158*'Consolidado Costos'!$E$6:$E$158),0))</f>
        <v>548.05011282051282</v>
      </c>
      <c r="AU150" s="318" cm="1">
        <f t="array" ref="AU150">+SUMPRODUCT(IF('Consolidado Costos'!$K$6:$K$158=$AN150,('Consolidado Costos'!AH$6:AH$158*'Consolidado Costos'!$E$6:$E$158),0))</f>
        <v>384.25011282051287</v>
      </c>
      <c r="AV150" s="318" cm="1">
        <f t="array" ref="AV150">+SUMPRODUCT(IF('Consolidado Costos'!$K$6:$K$158=$AN150,('Consolidado Costos'!AI$6:AI$158*'Consolidado Costos'!$E$6:$E$158),0))</f>
        <v>384.25011282051287</v>
      </c>
      <c r="AW150" s="318" cm="1">
        <f t="array" ref="AW150">+SUMPRODUCT(IF('Consolidado Costos'!$K$6:$K$158=$AN150,('Consolidado Costos'!AJ$6:AJ$158*'Consolidado Costos'!$E$6:$E$158),0))</f>
        <v>384.25011282051287</v>
      </c>
      <c r="AX150" s="318" cm="1">
        <f t="array" ref="AX150">+SUMPRODUCT(IF('Consolidado Costos'!$K$6:$K$158=$AN150,('Consolidado Costos'!AK$6:AK$158*'Consolidado Costos'!$E$6:$E$158),0))</f>
        <v>615.65011282051273</v>
      </c>
      <c r="AY150" s="318" cm="1">
        <f t="array" ref="AY150">+SUMPRODUCT(IF('Consolidado Costos'!$K$6:$K$158=$AN150,('Consolidado Costos'!AL$6:AL$158*'Consolidado Costos'!$E$6:$E$158),0))</f>
        <v>418.85011282051289</v>
      </c>
      <c r="AZ150" s="318" cm="1">
        <f t="array" ref="AZ150">+SUMPRODUCT(IF('Consolidado Costos'!$K$6:$K$158=$AN150,('Consolidado Costos'!AM$6:AM$158*'Consolidado Costos'!$E$6:$E$158),0))</f>
        <v>401.24011282051282</v>
      </c>
      <c r="BA150" s="318" cm="1">
        <f t="array" ref="BA150">+SUMPRODUCT(IF('Consolidado Costos'!$K$6:$K$158=$AN150,('Consolidado Costos'!AN$6:AN$158*'Consolidado Costos'!$E$6:$E$158),0))</f>
        <v>574.64549743589737</v>
      </c>
      <c r="BB150" s="318" cm="1">
        <f t="array" ref="BB150">+SUMPRODUCT(IF('Consolidado Costos'!$K$6:$K$158=$AN150,('Consolidado Costos'!AO$6:AO$158*'Consolidado Costos'!$E$6:$E$158),0))</f>
        <v>385.25011282051287</v>
      </c>
      <c r="BC150" s="318" cm="1">
        <f t="array" ref="BC150">+SUMPRODUCT(IF('Consolidado Costos'!$K$6:$K$158=$AN150,('Consolidado Costos'!AP$6:AP$158*'Consolidado Costos'!$E$6:$E$158),0))</f>
        <v>1258.2501128205129</v>
      </c>
      <c r="BE150" s="327"/>
      <c r="BF150" s="328" t="s">
        <v>162</v>
      </c>
      <c r="BG150" s="328" t="s">
        <v>163</v>
      </c>
      <c r="BH150" s="329"/>
      <c r="BI150" s="354">
        <f t="shared" si="30"/>
        <v>191.88000000000002</v>
      </c>
      <c r="BJ150" s="318" cm="1">
        <f t="array" ref="BJ150">+SUMPRODUCT(IF('Consolidado Costos'!$K$6:$K$158=$BF150,('Consolidado Costos'!AE$6:AE$158*'Consolidado Costos'!$F$6:$F$158),0))</f>
        <v>15.99</v>
      </c>
      <c r="BK150" s="318" cm="1">
        <f t="array" ref="BK150">+SUMPRODUCT(IF('Consolidado Costos'!$K$6:$K$158=$BF150,('Consolidado Costos'!AF$6:AF$158*'Consolidado Costos'!$F$6:$F$158),0))</f>
        <v>15.99</v>
      </c>
      <c r="BL150" s="318" cm="1">
        <f t="array" ref="BL150">+SUMPRODUCT(IF('Consolidado Costos'!$K$6:$K$158=$BF150,('Consolidado Costos'!AG$6:AG$158*'Consolidado Costos'!$F$6:$F$158),0))</f>
        <v>15.99</v>
      </c>
      <c r="BM150" s="318" cm="1">
        <f t="array" ref="BM150">+SUMPRODUCT(IF('Consolidado Costos'!$K$6:$K$158=$BF150,('Consolidado Costos'!AH$6:AH$158*'Consolidado Costos'!$F$6:$F$158),0))</f>
        <v>15.99</v>
      </c>
      <c r="BN150" s="318" cm="1">
        <f t="array" ref="BN150">+SUMPRODUCT(IF('Consolidado Costos'!$K$6:$K$158=$BF150,('Consolidado Costos'!AI$6:AI$158*'Consolidado Costos'!$F$6:$F$158),0))</f>
        <v>15.99</v>
      </c>
      <c r="BO150" s="318" cm="1">
        <f t="array" ref="BO150">+SUMPRODUCT(IF('Consolidado Costos'!$K$6:$K$158=$BF150,('Consolidado Costos'!AJ$6:AJ$158*'Consolidado Costos'!$F$6:$F$158),0))</f>
        <v>15.99</v>
      </c>
      <c r="BP150" s="318" cm="1">
        <f t="array" ref="BP150">+SUMPRODUCT(IF('Consolidado Costos'!$K$6:$K$158=$BF150,('Consolidado Costos'!AK$6:AK$158*'Consolidado Costos'!$F$6:$F$158),0))</f>
        <v>15.99</v>
      </c>
      <c r="BQ150" s="318" cm="1">
        <f t="array" ref="BQ150">+SUMPRODUCT(IF('Consolidado Costos'!$K$6:$K$158=$BF150,('Consolidado Costos'!AL$6:AL$158*'Consolidado Costos'!$F$6:$F$158),0))</f>
        <v>15.99</v>
      </c>
      <c r="BR150" s="318" cm="1">
        <f t="array" ref="BR150">+SUMPRODUCT(IF('Consolidado Costos'!$K$6:$K$158=$BF150,('Consolidado Costos'!AM$6:AM$158*'Consolidado Costos'!$F$6:$F$158),0))</f>
        <v>15.99</v>
      </c>
      <c r="BS150" s="318" cm="1">
        <f t="array" ref="BS150">+SUMPRODUCT(IF('Consolidado Costos'!$K$6:$K$158=$BF150,('Consolidado Costos'!AN$6:AN$158*'Consolidado Costos'!$F$6:$F$158),0))</f>
        <v>15.99</v>
      </c>
      <c r="BT150" s="318" cm="1">
        <f t="array" ref="BT150">+SUMPRODUCT(IF('Consolidado Costos'!$K$6:$K$158=$BF150,('Consolidado Costos'!AO$6:AO$158*'Consolidado Costos'!$F$6:$F$158),0))</f>
        <v>15.99</v>
      </c>
      <c r="BU150" s="318" cm="1">
        <f t="array" ref="BU150">+SUMPRODUCT(IF('Consolidado Costos'!$K$6:$K$158=$BF150,('Consolidado Costos'!AP$6:AP$158*'Consolidado Costos'!$F$6:$F$158),0))</f>
        <v>15.99</v>
      </c>
      <c r="BW150" s="327"/>
      <c r="BX150" s="328" t="s">
        <v>162</v>
      </c>
      <c r="BY150" s="328" t="s">
        <v>163</v>
      </c>
      <c r="BZ150" s="329"/>
      <c r="CA150" s="354">
        <f t="shared" si="31"/>
        <v>29626.412307692313</v>
      </c>
      <c r="CB150" s="318" cm="1">
        <f t="array" ref="CB150">+SUMPRODUCT(IF('Consolidado Costos'!$K$6:$K$158=$BX150,('Consolidado Costos'!AE$6:AE$158*'Consolidado Costos'!$G$6:$G$158),0))</f>
        <v>1959.6410256410256</v>
      </c>
      <c r="CC150" s="318" cm="1">
        <f t="array" ref="CC150">+SUMPRODUCT(IF('Consolidado Costos'!$K$6:$K$158=$BX150,('Consolidado Costos'!AF$6:AF$158*'Consolidado Costos'!$G$6:$G$158),0))</f>
        <v>1959.6410256410256</v>
      </c>
      <c r="CD150" s="318" cm="1">
        <f t="array" ref="CD150">+SUMPRODUCT(IF('Consolidado Costos'!$K$6:$K$158=$BX150,('Consolidado Costos'!AG$6:AG$158*'Consolidado Costos'!$G$6:$G$158),0))</f>
        <v>1959.6410256410256</v>
      </c>
      <c r="CE150" s="318" cm="1">
        <f t="array" ref="CE150">+SUMPRODUCT(IF('Consolidado Costos'!$K$6:$K$158=$BX150,('Consolidado Costos'!AH$6:AH$158*'Consolidado Costos'!$G$6:$G$158),0))</f>
        <v>1959.6410256410256</v>
      </c>
      <c r="CF150" s="318" cm="1">
        <f t="array" ref="CF150">+SUMPRODUCT(IF('Consolidado Costos'!$K$6:$K$158=$BX150,('Consolidado Costos'!AI$6:AI$158*'Consolidado Costos'!$G$6:$G$158),0))</f>
        <v>2059.6410256410254</v>
      </c>
      <c r="CG150" s="318" cm="1">
        <f t="array" ref="CG150">+SUMPRODUCT(IF('Consolidado Costos'!$K$6:$K$158=$BX150,('Consolidado Costos'!AJ$6:AJ$158*'Consolidado Costos'!$G$6:$G$158),0))</f>
        <v>1959.6410256410256</v>
      </c>
      <c r="CH150" s="318" cm="1">
        <f t="array" ref="CH150">+SUMPRODUCT(IF('Consolidado Costos'!$K$6:$K$158=$BX150,('Consolidado Costos'!AK$6:AK$158*'Consolidado Costos'!$G$6:$G$158),0))</f>
        <v>1959.6410256410256</v>
      </c>
      <c r="CI150" s="318" cm="1">
        <f t="array" ref="CI150">+SUMPRODUCT(IF('Consolidado Costos'!$K$6:$K$158=$BX150,('Consolidado Costos'!AL$6:AL$158*'Consolidado Costos'!$G$6:$G$158),0))</f>
        <v>1959.6410256410256</v>
      </c>
      <c r="CJ150" s="318" cm="1">
        <f t="array" ref="CJ150">+SUMPRODUCT(IF('Consolidado Costos'!$K$6:$K$158=$BX150,('Consolidado Costos'!AM$6:AM$158*'Consolidado Costos'!$G$6:$G$158),0))</f>
        <v>7970.3610256410257</v>
      </c>
      <c r="CK150" s="318" cm="1">
        <f t="array" ref="CK150">+SUMPRODUCT(IF('Consolidado Costos'!$K$6:$K$158=$BX150,('Consolidado Costos'!AN$6:AN$158*'Consolidado Costos'!$G$6:$G$158),0))</f>
        <v>1959.6410256410256</v>
      </c>
      <c r="CL150" s="318" cm="1">
        <f t="array" ref="CL150">+SUMPRODUCT(IF('Consolidado Costos'!$K$6:$K$158=$BX150,('Consolidado Costos'!AO$6:AO$158*'Consolidado Costos'!$G$6:$G$158),0))</f>
        <v>1959.6410256410256</v>
      </c>
      <c r="CM150" s="318" cm="1">
        <f t="array" ref="CM150">+SUMPRODUCT(IF('Consolidado Costos'!$K$6:$K$158=$BX150,('Consolidado Costos'!AP$6:AP$158*'Consolidado Costos'!$G$6:$G$158),0))</f>
        <v>1959.6410256410256</v>
      </c>
      <c r="CN150" s="357">
        <f t="shared" si="10"/>
        <v>1</v>
      </c>
    </row>
    <row r="151" spans="2:92" s="310" customFormat="1" outlineLevel="1">
      <c r="B151" s="327"/>
      <c r="C151" s="328" t="s">
        <v>550</v>
      </c>
      <c r="D151" s="328" t="s">
        <v>551</v>
      </c>
      <c r="E151" s="329"/>
      <c r="F151" s="318">
        <f>+SUMIF('Consolidado Costos'!$K$6:$K$158,$C151,'Consolidado Costos'!$AD$6:$AD$158)</f>
        <v>0</v>
      </c>
      <c r="G151" s="318">
        <f>+SUMIF('Consolidado Costos'!$K$6:$K$158,$C151,'Consolidado Costos'!AE$6:AE$158)</f>
        <v>0</v>
      </c>
      <c r="H151" s="318">
        <f>+SUMIF('Consolidado Costos'!$K$6:$K$158,$C151,'Consolidado Costos'!AF$6:AF$158)</f>
        <v>0</v>
      </c>
      <c r="I151" s="318">
        <f>+SUMIF('Consolidado Costos'!$K$6:$K$158,$C151,'Consolidado Costos'!AG$6:AG$158)</f>
        <v>0</v>
      </c>
      <c r="J151" s="318">
        <f>+SUMIF('Consolidado Costos'!$K$6:$K$158,$C151,'Consolidado Costos'!AH$6:AH$158)</f>
        <v>0</v>
      </c>
      <c r="K151" s="318">
        <f>+SUMIF('Consolidado Costos'!$K$6:$K$158,$C151,'Consolidado Costos'!AI$6:AI$158)</f>
        <v>0</v>
      </c>
      <c r="L151" s="318">
        <f>+SUMIF('Consolidado Costos'!$K$6:$K$158,$C151,'Consolidado Costos'!AJ$6:AJ$158)</f>
        <v>0</v>
      </c>
      <c r="M151" s="318">
        <f>+SUMIF('Consolidado Costos'!$K$6:$K$158,$C151,'Consolidado Costos'!AK$6:AK$158)</f>
        <v>0</v>
      </c>
      <c r="N151" s="318">
        <f>+SUMIF('Consolidado Costos'!$K$6:$K$158,$C151,'Consolidado Costos'!AL$6:AL$158)</f>
        <v>0</v>
      </c>
      <c r="O151" s="318">
        <f>+SUMIF('Consolidado Costos'!$K$6:$K$158,$C151,'Consolidado Costos'!AM$6:AM$158)</f>
        <v>0</v>
      </c>
      <c r="P151" s="318">
        <f>+SUMIF('Consolidado Costos'!$K$6:$K$158,$C151,'Consolidado Costos'!AN$6:AN$158)</f>
        <v>0</v>
      </c>
      <c r="Q151" s="318">
        <f>+SUMIF('Consolidado Costos'!$K$6:$K$158,$C151,'Consolidado Costos'!AO$6:AO$158)</f>
        <v>0</v>
      </c>
      <c r="R151" s="318">
        <f>+SUMIF('Consolidado Costos'!$K$6:$K$158,$C151,'Consolidado Costos'!AP$6:AP$158)</f>
        <v>0</v>
      </c>
      <c r="S151" s="357">
        <f t="shared" si="5"/>
        <v>1</v>
      </c>
      <c r="U151" s="327"/>
      <c r="V151" s="328" t="s">
        <v>550</v>
      </c>
      <c r="W151" s="328" t="s">
        <v>551</v>
      </c>
      <c r="X151" s="329"/>
      <c r="Y151" s="354">
        <f t="shared" si="29"/>
        <v>0</v>
      </c>
      <c r="Z151" s="318" cm="1">
        <f t="array" ref="Z151">+SUMPRODUCT(IF('Consolidado Costos'!$K$6:$K$158=$V151,('Consolidado Costos'!AE$6:AE$158*'Consolidado Costos'!$D$6:$D$158),0))</f>
        <v>0</v>
      </c>
      <c r="AA151" s="318" cm="1">
        <f t="array" ref="AA151">+SUMPRODUCT(IF('Consolidado Costos'!$K$6:$K$158=$V151,('Consolidado Costos'!AF$6:AF$158*'Consolidado Costos'!$D$6:$D$158),0))</f>
        <v>0</v>
      </c>
      <c r="AB151" s="318" cm="1">
        <f t="array" ref="AB151">+SUMPRODUCT(IF('Consolidado Costos'!$K$6:$K$158=$V151,('Consolidado Costos'!AG$6:AG$158*'Consolidado Costos'!$D$6:$D$158),0))</f>
        <v>0</v>
      </c>
      <c r="AC151" s="318" cm="1">
        <f t="array" ref="AC151">+SUMPRODUCT(IF('Consolidado Costos'!$K$6:$K$158=$V151,('Consolidado Costos'!AH$6:AH$158*'Consolidado Costos'!$D$6:$D$158),0))</f>
        <v>0</v>
      </c>
      <c r="AD151" s="318" cm="1">
        <f t="array" ref="AD151">+SUMPRODUCT(IF('Consolidado Costos'!$K$6:$K$158=$V151,('Consolidado Costos'!AI$6:AI$158*'Consolidado Costos'!$D$6:$D$158),0))</f>
        <v>0</v>
      </c>
      <c r="AE151" s="318" cm="1">
        <f t="array" ref="AE151">+SUMPRODUCT(IF('Consolidado Costos'!$K$6:$K$158=$V151,('Consolidado Costos'!AJ$6:AJ$158*'Consolidado Costos'!$D$6:$D$158),0))</f>
        <v>0</v>
      </c>
      <c r="AF151" s="318" cm="1">
        <f t="array" ref="AF151">+SUMPRODUCT(IF('Consolidado Costos'!$K$6:$K$158=$V151,('Consolidado Costos'!AK$6:AK$158*'Consolidado Costos'!$D$6:$D$158),0))</f>
        <v>0</v>
      </c>
      <c r="AG151" s="318" cm="1">
        <f t="array" ref="AG151">+SUMPRODUCT(IF('Consolidado Costos'!$K$6:$K$158=$V151,('Consolidado Costos'!AL$6:AL$158*'Consolidado Costos'!$D$6:$D$158),0))</f>
        <v>0</v>
      </c>
      <c r="AH151" s="318" cm="1">
        <f t="array" ref="AH151">+SUMPRODUCT(IF('Consolidado Costos'!$K$6:$K$158=$V151,('Consolidado Costos'!AM$6:AM$158*'Consolidado Costos'!$D$6:$D$158),0))</f>
        <v>0</v>
      </c>
      <c r="AI151" s="318" cm="1">
        <f t="array" ref="AI151">+SUMPRODUCT(IF('Consolidado Costos'!$K$6:$K$158=$V151,('Consolidado Costos'!AN$6:AN$158*'Consolidado Costos'!$D$6:$D$158),0))</f>
        <v>0</v>
      </c>
      <c r="AJ151" s="318" cm="1">
        <f t="array" ref="AJ151">+SUMPRODUCT(IF('Consolidado Costos'!$K$6:$K$158=$V151,('Consolidado Costos'!AO$6:AO$158*'Consolidado Costos'!$D$6:$D$158),0))</f>
        <v>0</v>
      </c>
      <c r="AK151" s="318" cm="1">
        <f t="array" ref="AK151">+SUMPRODUCT(IF('Consolidado Costos'!$K$6:$K$158=$V151,('Consolidado Costos'!AP$6:AP$158*'Consolidado Costos'!$D$6:$D$158),0))</f>
        <v>0</v>
      </c>
      <c r="AM151" s="327"/>
      <c r="AN151" s="328" t="s">
        <v>550</v>
      </c>
      <c r="AO151" s="328" t="s">
        <v>551</v>
      </c>
      <c r="AP151" s="329"/>
      <c r="AQ151" s="354">
        <f t="shared" si="21"/>
        <v>0</v>
      </c>
      <c r="AR151" s="318" cm="1">
        <f t="array" ref="AR151">+SUMPRODUCT(IF('Consolidado Costos'!$K$6:$K$158=$AN151,('Consolidado Costos'!AE$6:AE$158*'Consolidado Costos'!$E$6:$E$158),0))</f>
        <v>0</v>
      </c>
      <c r="AS151" s="318" cm="1">
        <f t="array" ref="AS151">+SUMPRODUCT(IF('Consolidado Costos'!$K$6:$K$158=$AN151,('Consolidado Costos'!AF$6:AF$158*'Consolidado Costos'!$E$6:$E$158),0))</f>
        <v>0</v>
      </c>
      <c r="AT151" s="318" cm="1">
        <f t="array" ref="AT151">+SUMPRODUCT(IF('Consolidado Costos'!$K$6:$K$158=$AN151,('Consolidado Costos'!AG$6:AG$158*'Consolidado Costos'!$E$6:$E$158),0))</f>
        <v>0</v>
      </c>
      <c r="AU151" s="318" cm="1">
        <f t="array" ref="AU151">+SUMPRODUCT(IF('Consolidado Costos'!$K$6:$K$158=$AN151,('Consolidado Costos'!AH$6:AH$158*'Consolidado Costos'!$E$6:$E$158),0))</f>
        <v>0</v>
      </c>
      <c r="AV151" s="318" cm="1">
        <f t="array" ref="AV151">+SUMPRODUCT(IF('Consolidado Costos'!$K$6:$K$158=$AN151,('Consolidado Costos'!AI$6:AI$158*'Consolidado Costos'!$E$6:$E$158),0))</f>
        <v>0</v>
      </c>
      <c r="AW151" s="318" cm="1">
        <f t="array" ref="AW151">+SUMPRODUCT(IF('Consolidado Costos'!$K$6:$K$158=$AN151,('Consolidado Costos'!AJ$6:AJ$158*'Consolidado Costos'!$E$6:$E$158),0))</f>
        <v>0</v>
      </c>
      <c r="AX151" s="318" cm="1">
        <f t="array" ref="AX151">+SUMPRODUCT(IF('Consolidado Costos'!$K$6:$K$158=$AN151,('Consolidado Costos'!AK$6:AK$158*'Consolidado Costos'!$E$6:$E$158),0))</f>
        <v>0</v>
      </c>
      <c r="AY151" s="318" cm="1">
        <f t="array" ref="AY151">+SUMPRODUCT(IF('Consolidado Costos'!$K$6:$K$158=$AN151,('Consolidado Costos'!AL$6:AL$158*'Consolidado Costos'!$E$6:$E$158),0))</f>
        <v>0</v>
      </c>
      <c r="AZ151" s="318" cm="1">
        <f t="array" ref="AZ151">+SUMPRODUCT(IF('Consolidado Costos'!$K$6:$K$158=$AN151,('Consolidado Costos'!AM$6:AM$158*'Consolidado Costos'!$E$6:$E$158),0))</f>
        <v>0</v>
      </c>
      <c r="BA151" s="318" cm="1">
        <f t="array" ref="BA151">+SUMPRODUCT(IF('Consolidado Costos'!$K$6:$K$158=$AN151,('Consolidado Costos'!AN$6:AN$158*'Consolidado Costos'!$E$6:$E$158),0))</f>
        <v>0</v>
      </c>
      <c r="BB151" s="318" cm="1">
        <f t="array" ref="BB151">+SUMPRODUCT(IF('Consolidado Costos'!$K$6:$K$158=$AN151,('Consolidado Costos'!AO$6:AO$158*'Consolidado Costos'!$E$6:$E$158),0))</f>
        <v>0</v>
      </c>
      <c r="BC151" s="318" cm="1">
        <f t="array" ref="BC151">+SUMPRODUCT(IF('Consolidado Costos'!$K$6:$K$158=$AN151,('Consolidado Costos'!AP$6:AP$158*'Consolidado Costos'!$E$6:$E$158),0))</f>
        <v>0</v>
      </c>
      <c r="BE151" s="327"/>
      <c r="BF151" s="328" t="s">
        <v>550</v>
      </c>
      <c r="BG151" s="328" t="s">
        <v>551</v>
      </c>
      <c r="BH151" s="329"/>
      <c r="BI151" s="354">
        <f t="shared" si="30"/>
        <v>0</v>
      </c>
      <c r="BJ151" s="318" cm="1">
        <f t="array" ref="BJ151">+SUMPRODUCT(IF('Consolidado Costos'!$K$6:$K$158=$BF151,('Consolidado Costos'!AE$6:AE$158*'Consolidado Costos'!$F$6:$F$158),0))</f>
        <v>0</v>
      </c>
      <c r="BK151" s="318" cm="1">
        <f t="array" ref="BK151">+SUMPRODUCT(IF('Consolidado Costos'!$K$6:$K$158=$BF151,('Consolidado Costos'!AF$6:AF$158*'Consolidado Costos'!$F$6:$F$158),0))</f>
        <v>0</v>
      </c>
      <c r="BL151" s="318" cm="1">
        <f t="array" ref="BL151">+SUMPRODUCT(IF('Consolidado Costos'!$K$6:$K$158=$BF151,('Consolidado Costos'!AG$6:AG$158*'Consolidado Costos'!$F$6:$F$158),0))</f>
        <v>0</v>
      </c>
      <c r="BM151" s="318" cm="1">
        <f t="array" ref="BM151">+SUMPRODUCT(IF('Consolidado Costos'!$K$6:$K$158=$BF151,('Consolidado Costos'!AH$6:AH$158*'Consolidado Costos'!$F$6:$F$158),0))</f>
        <v>0</v>
      </c>
      <c r="BN151" s="318" cm="1">
        <f t="array" ref="BN151">+SUMPRODUCT(IF('Consolidado Costos'!$K$6:$K$158=$BF151,('Consolidado Costos'!AI$6:AI$158*'Consolidado Costos'!$F$6:$F$158),0))</f>
        <v>0</v>
      </c>
      <c r="BO151" s="318" cm="1">
        <f t="array" ref="BO151">+SUMPRODUCT(IF('Consolidado Costos'!$K$6:$K$158=$BF151,('Consolidado Costos'!AJ$6:AJ$158*'Consolidado Costos'!$F$6:$F$158),0))</f>
        <v>0</v>
      </c>
      <c r="BP151" s="318" cm="1">
        <f t="array" ref="BP151">+SUMPRODUCT(IF('Consolidado Costos'!$K$6:$K$158=$BF151,('Consolidado Costos'!AK$6:AK$158*'Consolidado Costos'!$F$6:$F$158),0))</f>
        <v>0</v>
      </c>
      <c r="BQ151" s="318" cm="1">
        <f t="array" ref="BQ151">+SUMPRODUCT(IF('Consolidado Costos'!$K$6:$K$158=$BF151,('Consolidado Costos'!AL$6:AL$158*'Consolidado Costos'!$F$6:$F$158),0))</f>
        <v>0</v>
      </c>
      <c r="BR151" s="318" cm="1">
        <f t="array" ref="BR151">+SUMPRODUCT(IF('Consolidado Costos'!$K$6:$K$158=$BF151,('Consolidado Costos'!AM$6:AM$158*'Consolidado Costos'!$F$6:$F$158),0))</f>
        <v>0</v>
      </c>
      <c r="BS151" s="318" cm="1">
        <f t="array" ref="BS151">+SUMPRODUCT(IF('Consolidado Costos'!$K$6:$K$158=$BF151,('Consolidado Costos'!AN$6:AN$158*'Consolidado Costos'!$F$6:$F$158),0))</f>
        <v>0</v>
      </c>
      <c r="BT151" s="318" cm="1">
        <f t="array" ref="BT151">+SUMPRODUCT(IF('Consolidado Costos'!$K$6:$K$158=$BF151,('Consolidado Costos'!AO$6:AO$158*'Consolidado Costos'!$F$6:$F$158),0))</f>
        <v>0</v>
      </c>
      <c r="BU151" s="318" cm="1">
        <f t="array" ref="BU151">+SUMPRODUCT(IF('Consolidado Costos'!$K$6:$K$158=$BF151,('Consolidado Costos'!AP$6:AP$158*'Consolidado Costos'!$F$6:$F$158),0))</f>
        <v>0</v>
      </c>
      <c r="BW151" s="327"/>
      <c r="BX151" s="328" t="s">
        <v>550</v>
      </c>
      <c r="BY151" s="328" t="s">
        <v>551</v>
      </c>
      <c r="BZ151" s="329"/>
      <c r="CA151" s="354">
        <f t="shared" si="31"/>
        <v>0</v>
      </c>
      <c r="CB151" s="318" cm="1">
        <f t="array" ref="CB151">+SUMPRODUCT(IF('Consolidado Costos'!$K$6:$K$158=$BX151,('Consolidado Costos'!AE$6:AE$158*'Consolidado Costos'!$G$6:$G$158),0))</f>
        <v>0</v>
      </c>
      <c r="CC151" s="318" cm="1">
        <f t="array" ref="CC151">+SUMPRODUCT(IF('Consolidado Costos'!$K$6:$K$158=$BX151,('Consolidado Costos'!AF$6:AF$158*'Consolidado Costos'!$G$6:$G$158),0))</f>
        <v>0</v>
      </c>
      <c r="CD151" s="318" cm="1">
        <f t="array" ref="CD151">+SUMPRODUCT(IF('Consolidado Costos'!$K$6:$K$158=$BX151,('Consolidado Costos'!AG$6:AG$158*'Consolidado Costos'!$G$6:$G$158),0))</f>
        <v>0</v>
      </c>
      <c r="CE151" s="318" cm="1">
        <f t="array" ref="CE151">+SUMPRODUCT(IF('Consolidado Costos'!$K$6:$K$158=$BX151,('Consolidado Costos'!AH$6:AH$158*'Consolidado Costos'!$G$6:$G$158),0))</f>
        <v>0</v>
      </c>
      <c r="CF151" s="318" cm="1">
        <f t="array" ref="CF151">+SUMPRODUCT(IF('Consolidado Costos'!$K$6:$K$158=$BX151,('Consolidado Costos'!AI$6:AI$158*'Consolidado Costos'!$G$6:$G$158),0))</f>
        <v>0</v>
      </c>
      <c r="CG151" s="318" cm="1">
        <f t="array" ref="CG151">+SUMPRODUCT(IF('Consolidado Costos'!$K$6:$K$158=$BX151,('Consolidado Costos'!AJ$6:AJ$158*'Consolidado Costos'!$G$6:$G$158),0))</f>
        <v>0</v>
      </c>
      <c r="CH151" s="318" cm="1">
        <f t="array" ref="CH151">+SUMPRODUCT(IF('Consolidado Costos'!$K$6:$K$158=$BX151,('Consolidado Costos'!AK$6:AK$158*'Consolidado Costos'!$G$6:$G$158),0))</f>
        <v>0</v>
      </c>
      <c r="CI151" s="318" cm="1">
        <f t="array" ref="CI151">+SUMPRODUCT(IF('Consolidado Costos'!$K$6:$K$158=$BX151,('Consolidado Costos'!AL$6:AL$158*'Consolidado Costos'!$G$6:$G$158),0))</f>
        <v>0</v>
      </c>
      <c r="CJ151" s="318" cm="1">
        <f t="array" ref="CJ151">+SUMPRODUCT(IF('Consolidado Costos'!$K$6:$K$158=$BX151,('Consolidado Costos'!AM$6:AM$158*'Consolidado Costos'!$G$6:$G$158),0))</f>
        <v>0</v>
      </c>
      <c r="CK151" s="318" cm="1">
        <f t="array" ref="CK151">+SUMPRODUCT(IF('Consolidado Costos'!$K$6:$K$158=$BX151,('Consolidado Costos'!AN$6:AN$158*'Consolidado Costos'!$G$6:$G$158),0))</f>
        <v>0</v>
      </c>
      <c r="CL151" s="318" cm="1">
        <f t="array" ref="CL151">+SUMPRODUCT(IF('Consolidado Costos'!$K$6:$K$158=$BX151,('Consolidado Costos'!AO$6:AO$158*'Consolidado Costos'!$G$6:$G$158),0))</f>
        <v>0</v>
      </c>
      <c r="CM151" s="318" cm="1">
        <f t="array" ref="CM151">+SUMPRODUCT(IF('Consolidado Costos'!$K$6:$K$158=$BX151,('Consolidado Costos'!AP$6:AP$158*'Consolidado Costos'!$G$6:$G$158),0))</f>
        <v>0</v>
      </c>
      <c r="CN151" s="357">
        <f t="shared" si="10"/>
        <v>1</v>
      </c>
    </row>
    <row r="152" spans="2:92" s="337" customFormat="1">
      <c r="B152" s="331" t="s">
        <v>552</v>
      </c>
      <c r="C152" s="332"/>
      <c r="D152" s="333" t="s">
        <v>486</v>
      </c>
      <c r="E152" s="334"/>
      <c r="F152" s="335">
        <f>+SUM(F141:F151)</f>
        <v>230048.46892307693</v>
      </c>
      <c r="G152" s="335">
        <f t="shared" ref="G152:R152" si="32">+SUM(G141:G151)</f>
        <v>44246.147282051279</v>
      </c>
      <c r="H152" s="335">
        <f t="shared" si="32"/>
        <v>39836.659589743584</v>
      </c>
      <c r="I152" s="335">
        <f t="shared" si="32"/>
        <v>4876.1472820512827</v>
      </c>
      <c r="J152" s="335">
        <f t="shared" si="32"/>
        <v>3958.1472820512822</v>
      </c>
      <c r="K152" s="335">
        <f t="shared" si="32"/>
        <v>4058.1472820512822</v>
      </c>
      <c r="L152" s="335">
        <f t="shared" si="32"/>
        <v>3958.1472820512822</v>
      </c>
      <c r="M152" s="335">
        <f t="shared" si="32"/>
        <v>7037.1472820512827</v>
      </c>
      <c r="N152" s="335">
        <f t="shared" si="32"/>
        <v>11267.147282051283</v>
      </c>
      <c r="O152" s="335">
        <f t="shared" si="32"/>
        <v>10138.767282051282</v>
      </c>
      <c r="P152" s="335">
        <f t="shared" si="32"/>
        <v>5155.0242051282057</v>
      </c>
      <c r="Q152" s="335">
        <f t="shared" si="32"/>
        <v>3968.1472820512822</v>
      </c>
      <c r="R152" s="335">
        <f t="shared" si="32"/>
        <v>4841.1472820512827</v>
      </c>
      <c r="S152" s="357">
        <f t="shared" si="5"/>
        <v>0</v>
      </c>
      <c r="U152" s="331" t="s">
        <v>552</v>
      </c>
      <c r="V152" s="332"/>
      <c r="W152" s="333" t="s">
        <v>486</v>
      </c>
      <c r="X152" s="334"/>
      <c r="Y152" s="335">
        <f>+SUM(Y141:Y151)</f>
        <v>171560.67756923079</v>
      </c>
      <c r="Z152" s="335">
        <f t="shared" ref="Z152:AK152" si="33">+SUM(Z141:Z151)</f>
        <v>41083.107169230767</v>
      </c>
      <c r="AA152" s="335">
        <f t="shared" si="33"/>
        <v>30184.90716923077</v>
      </c>
      <c r="AB152" s="335">
        <f t="shared" si="33"/>
        <v>9578.1071692307687</v>
      </c>
      <c r="AC152" s="335">
        <f t="shared" si="33"/>
        <v>8823.9071692307698</v>
      </c>
      <c r="AD152" s="335">
        <f t="shared" si="33"/>
        <v>8823.9071692307698</v>
      </c>
      <c r="AE152" s="335">
        <f t="shared" si="33"/>
        <v>8823.9071692307698</v>
      </c>
      <c r="AF152" s="335">
        <f t="shared" si="33"/>
        <v>11671.507169230768</v>
      </c>
      <c r="AG152" s="335">
        <f t="shared" si="33"/>
        <v>16098.307169230769</v>
      </c>
      <c r="AH152" s="335">
        <f t="shared" si="33"/>
        <v>8976.8171692307697</v>
      </c>
      <c r="AI152" s="335">
        <f t="shared" si="33"/>
        <v>9830.3887076923074</v>
      </c>
      <c r="AJ152" s="335">
        <f t="shared" si="33"/>
        <v>8832.9071692307698</v>
      </c>
      <c r="AK152" s="335">
        <f t="shared" si="33"/>
        <v>8832.9071692307698</v>
      </c>
      <c r="AM152" s="331" t="s">
        <v>552</v>
      </c>
      <c r="AN152" s="332"/>
      <c r="AO152" s="332"/>
      <c r="AP152" s="334"/>
      <c r="AQ152" s="335">
        <f t="shared" ref="AQ152:BC152" si="34">+SUM(AQ141:AQ151)</f>
        <v>28669.49904615384</v>
      </c>
      <c r="AR152" s="335">
        <f t="shared" si="34"/>
        <v>8413.0501128205124</v>
      </c>
      <c r="AS152" s="335">
        <f t="shared" si="34"/>
        <v>14901.762420512821</v>
      </c>
      <c r="AT152" s="335">
        <f t="shared" si="34"/>
        <v>548.05011282051282</v>
      </c>
      <c r="AU152" s="335">
        <f t="shared" si="34"/>
        <v>384.25011282051287</v>
      </c>
      <c r="AV152" s="335">
        <f t="shared" si="34"/>
        <v>384.25011282051287</v>
      </c>
      <c r="AW152" s="335">
        <f t="shared" si="34"/>
        <v>384.25011282051287</v>
      </c>
      <c r="AX152" s="335">
        <f t="shared" si="34"/>
        <v>615.65011282051273</v>
      </c>
      <c r="AY152" s="335">
        <f t="shared" si="34"/>
        <v>418.85011282051289</v>
      </c>
      <c r="AZ152" s="335">
        <f t="shared" si="34"/>
        <v>401.24011282051282</v>
      </c>
      <c r="BA152" s="335">
        <f t="shared" si="34"/>
        <v>574.64549743589737</v>
      </c>
      <c r="BB152" s="335">
        <f t="shared" si="34"/>
        <v>385.25011282051287</v>
      </c>
      <c r="BC152" s="335">
        <f t="shared" si="34"/>
        <v>1258.2501128205129</v>
      </c>
      <c r="BE152" s="331" t="s">
        <v>552</v>
      </c>
      <c r="BF152" s="332"/>
      <c r="BG152" s="332"/>
      <c r="BH152" s="334"/>
      <c r="BI152" s="335">
        <f t="shared" ref="BI152:BU152" si="35">+SUM(BI141:BI151)</f>
        <v>191.88000000000002</v>
      </c>
      <c r="BJ152" s="335">
        <f t="shared" si="35"/>
        <v>15.99</v>
      </c>
      <c r="BK152" s="335">
        <f t="shared" si="35"/>
        <v>15.99</v>
      </c>
      <c r="BL152" s="335">
        <f t="shared" si="35"/>
        <v>15.99</v>
      </c>
      <c r="BM152" s="335">
        <f t="shared" si="35"/>
        <v>15.99</v>
      </c>
      <c r="BN152" s="335">
        <f t="shared" si="35"/>
        <v>15.99</v>
      </c>
      <c r="BO152" s="335">
        <f t="shared" si="35"/>
        <v>15.99</v>
      </c>
      <c r="BP152" s="335">
        <f t="shared" si="35"/>
        <v>15.99</v>
      </c>
      <c r="BQ152" s="335">
        <f t="shared" si="35"/>
        <v>15.99</v>
      </c>
      <c r="BR152" s="335">
        <f t="shared" si="35"/>
        <v>15.99</v>
      </c>
      <c r="BS152" s="335">
        <f t="shared" si="35"/>
        <v>15.99</v>
      </c>
      <c r="BT152" s="335">
        <f t="shared" si="35"/>
        <v>15.99</v>
      </c>
      <c r="BU152" s="335">
        <f t="shared" si="35"/>
        <v>15.99</v>
      </c>
      <c r="BW152" s="331" t="s">
        <v>552</v>
      </c>
      <c r="BX152" s="332"/>
      <c r="BY152" s="332"/>
      <c r="BZ152" s="334"/>
      <c r="CA152" s="335">
        <f t="shared" ref="CA152:CM152" si="36">+SUM(CA141:CA151)</f>
        <v>29626.412307692313</v>
      </c>
      <c r="CB152" s="335">
        <f t="shared" si="36"/>
        <v>1959.6410256410256</v>
      </c>
      <c r="CC152" s="335">
        <f t="shared" si="36"/>
        <v>1959.6410256410256</v>
      </c>
      <c r="CD152" s="335">
        <f t="shared" si="36"/>
        <v>1959.6410256410256</v>
      </c>
      <c r="CE152" s="335">
        <f t="shared" si="36"/>
        <v>1959.6410256410256</v>
      </c>
      <c r="CF152" s="335">
        <f t="shared" si="36"/>
        <v>2059.6410256410254</v>
      </c>
      <c r="CG152" s="335">
        <f t="shared" si="36"/>
        <v>1959.6410256410256</v>
      </c>
      <c r="CH152" s="335">
        <f t="shared" si="36"/>
        <v>1959.6410256410256</v>
      </c>
      <c r="CI152" s="335">
        <f t="shared" si="36"/>
        <v>1959.6410256410256</v>
      </c>
      <c r="CJ152" s="335">
        <f t="shared" si="36"/>
        <v>7970.3610256410257</v>
      </c>
      <c r="CK152" s="335">
        <f t="shared" si="36"/>
        <v>1959.6410256410256</v>
      </c>
      <c r="CL152" s="335">
        <f t="shared" si="36"/>
        <v>1959.6410256410256</v>
      </c>
      <c r="CM152" s="335">
        <f t="shared" si="36"/>
        <v>1959.6410256410256</v>
      </c>
      <c r="CN152" s="357">
        <f t="shared" si="10"/>
        <v>1</v>
      </c>
    </row>
    <row r="153" spans="2:92" s="310" customFormat="1" outlineLevel="1">
      <c r="B153" s="327"/>
      <c r="C153" s="330" t="s">
        <v>246</v>
      </c>
      <c r="D153" s="330" t="s">
        <v>247</v>
      </c>
      <c r="E153" s="329"/>
      <c r="F153" s="318">
        <f>+SUMIF('Consolidado Costos'!$K$6:$K$158,$C153,'Consolidado Costos'!$AD$6:$AD$158)</f>
        <v>0</v>
      </c>
      <c r="G153" s="318">
        <f>+SUMIF('Consolidado Costos'!$K$6:$K$158,$C153,'Consolidado Costos'!AE$6:AE$158)</f>
        <v>0</v>
      </c>
      <c r="H153" s="318">
        <f>+SUMIF('Consolidado Costos'!$K$6:$K$158,$C153,'Consolidado Costos'!AF$6:AF$158)</f>
        <v>0</v>
      </c>
      <c r="I153" s="318">
        <f>+SUMIF('Consolidado Costos'!$K$6:$K$158,$C153,'Consolidado Costos'!AG$6:AG$158)</f>
        <v>0</v>
      </c>
      <c r="J153" s="318">
        <f>+SUMIF('Consolidado Costos'!$K$6:$K$158,$C153,'Consolidado Costos'!AH$6:AH$158)</f>
        <v>0</v>
      </c>
      <c r="K153" s="318">
        <f>+SUMIF('Consolidado Costos'!$K$6:$K$158,$C153,'Consolidado Costos'!AI$6:AI$158)</f>
        <v>0</v>
      </c>
      <c r="L153" s="318">
        <f>+SUMIF('Consolidado Costos'!$K$6:$K$158,$C153,'Consolidado Costos'!AJ$6:AJ$158)</f>
        <v>0</v>
      </c>
      <c r="M153" s="318">
        <f>+SUMIF('Consolidado Costos'!$K$6:$K$158,$C153,'Consolidado Costos'!AK$6:AK$158)</f>
        <v>0</v>
      </c>
      <c r="N153" s="318">
        <f>+SUMIF('Consolidado Costos'!$K$6:$K$158,$C153,'Consolidado Costos'!AL$6:AL$158)</f>
        <v>0</v>
      </c>
      <c r="O153" s="318">
        <f>+SUMIF('Consolidado Costos'!$K$6:$K$158,$C153,'Consolidado Costos'!AM$6:AM$158)</f>
        <v>0</v>
      </c>
      <c r="P153" s="318">
        <f>+SUMIF('Consolidado Costos'!$K$6:$K$158,$C153,'Consolidado Costos'!AN$6:AN$158)</f>
        <v>0</v>
      </c>
      <c r="Q153" s="318">
        <f>+SUMIF('Consolidado Costos'!$K$6:$K$158,$C153,'Consolidado Costos'!AO$6:AO$158)</f>
        <v>0</v>
      </c>
      <c r="R153" s="318">
        <f>+SUMIF('Consolidado Costos'!$K$6:$K$158,$C153,'Consolidado Costos'!AP$6:AP$158)</f>
        <v>0</v>
      </c>
      <c r="S153" s="357">
        <f t="shared" si="5"/>
        <v>1</v>
      </c>
      <c r="U153" s="327"/>
      <c r="V153" s="330" t="s">
        <v>246</v>
      </c>
      <c r="W153" s="330" t="s">
        <v>247</v>
      </c>
      <c r="X153" s="329"/>
      <c r="Y153" s="354">
        <f t="shared" ref="Y153:Y158" si="37">+SUM(Z153:AK153)</f>
        <v>0</v>
      </c>
      <c r="Z153" s="318" cm="1">
        <f t="array" ref="Z153">+SUMPRODUCT(IF('Consolidado Costos'!$K$6:$K$158=$V153,('Consolidado Costos'!AE$6:AE$158*'Consolidado Costos'!$D$6:$D$158),0))</f>
        <v>0</v>
      </c>
      <c r="AA153" s="318" cm="1">
        <f t="array" ref="AA153">+SUMPRODUCT(IF('Consolidado Costos'!$K$6:$K$158=$V153,('Consolidado Costos'!AF$6:AF$158*'Consolidado Costos'!$D$6:$D$158),0))</f>
        <v>0</v>
      </c>
      <c r="AB153" s="318" cm="1">
        <f t="array" ref="AB153">+SUMPRODUCT(IF('Consolidado Costos'!$K$6:$K$158=$V153,('Consolidado Costos'!AG$6:AG$158*'Consolidado Costos'!$D$6:$D$158),0))</f>
        <v>0</v>
      </c>
      <c r="AC153" s="318" cm="1">
        <f t="array" ref="AC153">+SUMPRODUCT(IF('Consolidado Costos'!$K$6:$K$158=$V153,('Consolidado Costos'!AH$6:AH$158*'Consolidado Costos'!$D$6:$D$158),0))</f>
        <v>0</v>
      </c>
      <c r="AD153" s="318" cm="1">
        <f t="array" ref="AD153">+SUMPRODUCT(IF('Consolidado Costos'!$K$6:$K$158=$V153,('Consolidado Costos'!AI$6:AI$158*'Consolidado Costos'!$D$6:$D$158),0))</f>
        <v>0</v>
      </c>
      <c r="AE153" s="318" cm="1">
        <f t="array" ref="AE153">+SUMPRODUCT(IF('Consolidado Costos'!$K$6:$K$158=$V153,('Consolidado Costos'!AJ$6:AJ$158*'Consolidado Costos'!$D$6:$D$158),0))</f>
        <v>0</v>
      </c>
      <c r="AF153" s="318" cm="1">
        <f t="array" ref="AF153">+SUMPRODUCT(IF('Consolidado Costos'!$K$6:$K$158=$V153,('Consolidado Costos'!AK$6:AK$158*'Consolidado Costos'!$D$6:$D$158),0))</f>
        <v>0</v>
      </c>
      <c r="AG153" s="318" cm="1">
        <f t="array" ref="AG153">+SUMPRODUCT(IF('Consolidado Costos'!$K$6:$K$158=$V153,('Consolidado Costos'!AL$6:AL$158*'Consolidado Costos'!$D$6:$D$158),0))</f>
        <v>0</v>
      </c>
      <c r="AH153" s="318" cm="1">
        <f t="array" ref="AH153">+SUMPRODUCT(IF('Consolidado Costos'!$K$6:$K$158=$V153,('Consolidado Costos'!AM$6:AM$158*'Consolidado Costos'!$D$6:$D$158),0))</f>
        <v>0</v>
      </c>
      <c r="AI153" s="318" cm="1">
        <f t="array" ref="AI153">+SUMPRODUCT(IF('Consolidado Costos'!$K$6:$K$158=$V153,('Consolidado Costos'!AN$6:AN$158*'Consolidado Costos'!$D$6:$D$158),0))</f>
        <v>0</v>
      </c>
      <c r="AJ153" s="318" cm="1">
        <f t="array" ref="AJ153">+SUMPRODUCT(IF('Consolidado Costos'!$K$6:$K$158=$V153,('Consolidado Costos'!AO$6:AO$158*'Consolidado Costos'!$D$6:$D$158),0))</f>
        <v>0</v>
      </c>
      <c r="AK153" s="318" cm="1">
        <f t="array" ref="AK153">+SUMPRODUCT(IF('Consolidado Costos'!$K$6:$K$158=$V153,('Consolidado Costos'!AP$6:AP$158*'Consolidado Costos'!$D$6:$D$158),0))</f>
        <v>0</v>
      </c>
      <c r="AM153" s="327"/>
      <c r="AN153" s="330" t="s">
        <v>246</v>
      </c>
      <c r="AO153" s="330" t="s">
        <v>247</v>
      </c>
      <c r="AP153" s="329"/>
      <c r="AQ153" s="354">
        <f t="shared" ref="AQ153:AQ158" si="38">+SUM(AR153:BC153)</f>
        <v>0</v>
      </c>
      <c r="AR153" s="318" cm="1">
        <f t="array" ref="AR153">+SUMPRODUCT(IF('Consolidado Costos'!$K$6:$K$158=$AN153,('Consolidado Costos'!AE$6:AE$158*'Consolidado Costos'!$E$6:$E$158),0))</f>
        <v>0</v>
      </c>
      <c r="AS153" s="318" cm="1">
        <f t="array" ref="AS153">+SUMPRODUCT(IF('Consolidado Costos'!$K$6:$K$158=$AN153,('Consolidado Costos'!AF$6:AF$158*'Consolidado Costos'!$E$6:$E$158),0))</f>
        <v>0</v>
      </c>
      <c r="AT153" s="318" cm="1">
        <f t="array" ref="AT153">+SUMPRODUCT(IF('Consolidado Costos'!$K$6:$K$158=$AN153,('Consolidado Costos'!AG$6:AG$158*'Consolidado Costos'!$E$6:$E$158),0))</f>
        <v>0</v>
      </c>
      <c r="AU153" s="318" cm="1">
        <f t="array" ref="AU153">+SUMPRODUCT(IF('Consolidado Costos'!$K$6:$K$158=$AN153,('Consolidado Costos'!AH$6:AH$158*'Consolidado Costos'!$E$6:$E$158),0))</f>
        <v>0</v>
      </c>
      <c r="AV153" s="318" cm="1">
        <f t="array" ref="AV153">+SUMPRODUCT(IF('Consolidado Costos'!$K$6:$K$158=$AN153,('Consolidado Costos'!AI$6:AI$158*'Consolidado Costos'!$E$6:$E$158),0))</f>
        <v>0</v>
      </c>
      <c r="AW153" s="318" cm="1">
        <f t="array" ref="AW153">+SUMPRODUCT(IF('Consolidado Costos'!$K$6:$K$158=$AN153,('Consolidado Costos'!AJ$6:AJ$158*'Consolidado Costos'!$E$6:$E$158),0))</f>
        <v>0</v>
      </c>
      <c r="AX153" s="318" cm="1">
        <f t="array" ref="AX153">+SUMPRODUCT(IF('Consolidado Costos'!$K$6:$K$158=$AN153,('Consolidado Costos'!AK$6:AK$158*'Consolidado Costos'!$E$6:$E$158),0))</f>
        <v>0</v>
      </c>
      <c r="AY153" s="318" cm="1">
        <f t="array" ref="AY153">+SUMPRODUCT(IF('Consolidado Costos'!$K$6:$K$158=$AN153,('Consolidado Costos'!AL$6:AL$158*'Consolidado Costos'!$E$6:$E$158),0))</f>
        <v>0</v>
      </c>
      <c r="AZ153" s="318" cm="1">
        <f t="array" ref="AZ153">+SUMPRODUCT(IF('Consolidado Costos'!$K$6:$K$158=$AN153,('Consolidado Costos'!AM$6:AM$158*'Consolidado Costos'!$E$6:$E$158),0))</f>
        <v>0</v>
      </c>
      <c r="BA153" s="318" cm="1">
        <f t="array" ref="BA153">+SUMPRODUCT(IF('Consolidado Costos'!$K$6:$K$158=$AN153,('Consolidado Costos'!AN$6:AN$158*'Consolidado Costos'!$E$6:$E$158),0))</f>
        <v>0</v>
      </c>
      <c r="BB153" s="318" cm="1">
        <f t="array" ref="BB153">+SUMPRODUCT(IF('Consolidado Costos'!$K$6:$K$158=$AN153,('Consolidado Costos'!AO$6:AO$158*'Consolidado Costos'!$E$6:$E$158),0))</f>
        <v>0</v>
      </c>
      <c r="BC153" s="318" cm="1">
        <f t="array" ref="BC153">+SUMPRODUCT(IF('Consolidado Costos'!$K$6:$K$158=$AN153,('Consolidado Costos'!AP$6:AP$158*'Consolidado Costos'!$E$6:$E$158),0))</f>
        <v>0</v>
      </c>
      <c r="BE153" s="327"/>
      <c r="BF153" s="330" t="s">
        <v>246</v>
      </c>
      <c r="BG153" s="330" t="s">
        <v>247</v>
      </c>
      <c r="BH153" s="329"/>
      <c r="BI153" s="354">
        <f t="shared" ref="BI153:BI158" si="39">+SUM(BJ153:BU153)</f>
        <v>0</v>
      </c>
      <c r="BJ153" s="318" cm="1">
        <f t="array" ref="BJ153">+SUMPRODUCT(IF('Consolidado Costos'!$K$6:$K$158=$BF153,('Consolidado Costos'!AE$6:AE$158*'Consolidado Costos'!$F$6:$F$158),0))</f>
        <v>0</v>
      </c>
      <c r="BK153" s="318" cm="1">
        <f t="array" ref="BK153">+SUMPRODUCT(IF('Consolidado Costos'!$K$6:$K$158=$BF153,('Consolidado Costos'!AF$6:AF$158*'Consolidado Costos'!$F$6:$F$158),0))</f>
        <v>0</v>
      </c>
      <c r="BL153" s="318" cm="1">
        <f t="array" ref="BL153">+SUMPRODUCT(IF('Consolidado Costos'!$K$6:$K$158=$BF153,('Consolidado Costos'!AG$6:AG$158*'Consolidado Costos'!$F$6:$F$158),0))</f>
        <v>0</v>
      </c>
      <c r="BM153" s="318" cm="1">
        <f t="array" ref="BM153">+SUMPRODUCT(IF('Consolidado Costos'!$K$6:$K$158=$BF153,('Consolidado Costos'!AH$6:AH$158*'Consolidado Costos'!$F$6:$F$158),0))</f>
        <v>0</v>
      </c>
      <c r="BN153" s="318" cm="1">
        <f t="array" ref="BN153">+SUMPRODUCT(IF('Consolidado Costos'!$K$6:$K$158=$BF153,('Consolidado Costos'!AI$6:AI$158*'Consolidado Costos'!$F$6:$F$158),0))</f>
        <v>0</v>
      </c>
      <c r="BO153" s="318" cm="1">
        <f t="array" ref="BO153">+SUMPRODUCT(IF('Consolidado Costos'!$K$6:$K$158=$BF153,('Consolidado Costos'!AJ$6:AJ$158*'Consolidado Costos'!$F$6:$F$158),0))</f>
        <v>0</v>
      </c>
      <c r="BP153" s="318" cm="1">
        <f t="array" ref="BP153">+SUMPRODUCT(IF('Consolidado Costos'!$K$6:$K$158=$BF153,('Consolidado Costos'!AK$6:AK$158*'Consolidado Costos'!$F$6:$F$158),0))</f>
        <v>0</v>
      </c>
      <c r="BQ153" s="318" cm="1">
        <f t="array" ref="BQ153">+SUMPRODUCT(IF('Consolidado Costos'!$K$6:$K$158=$BF153,('Consolidado Costos'!AL$6:AL$158*'Consolidado Costos'!$F$6:$F$158),0))</f>
        <v>0</v>
      </c>
      <c r="BR153" s="318" cm="1">
        <f t="array" ref="BR153">+SUMPRODUCT(IF('Consolidado Costos'!$K$6:$K$158=$BF153,('Consolidado Costos'!AM$6:AM$158*'Consolidado Costos'!$F$6:$F$158),0))</f>
        <v>0</v>
      </c>
      <c r="BS153" s="318" cm="1">
        <f t="array" ref="BS153">+SUMPRODUCT(IF('Consolidado Costos'!$K$6:$K$158=$BF153,('Consolidado Costos'!AN$6:AN$158*'Consolidado Costos'!$F$6:$F$158),0))</f>
        <v>0</v>
      </c>
      <c r="BT153" s="318" cm="1">
        <f t="array" ref="BT153">+SUMPRODUCT(IF('Consolidado Costos'!$K$6:$K$158=$BF153,('Consolidado Costos'!AO$6:AO$158*'Consolidado Costos'!$F$6:$F$158),0))</f>
        <v>0</v>
      </c>
      <c r="BU153" s="318" cm="1">
        <f t="array" ref="BU153">+SUMPRODUCT(IF('Consolidado Costos'!$K$6:$K$158=$BF153,('Consolidado Costos'!AP$6:AP$158*'Consolidado Costos'!$F$6:$F$158),0))</f>
        <v>0</v>
      </c>
      <c r="BW153" s="327"/>
      <c r="BX153" s="330" t="s">
        <v>246</v>
      </c>
      <c r="BY153" s="330" t="s">
        <v>247</v>
      </c>
      <c r="BZ153" s="329"/>
      <c r="CA153" s="354">
        <f t="shared" ref="CA153:CA158" si="40">+SUM(CB153:CM153)</f>
        <v>0</v>
      </c>
      <c r="CB153" s="318" cm="1">
        <f t="array" ref="CB153">+SUMPRODUCT(IF('Consolidado Costos'!$K$6:$K$158=$BX153,('Consolidado Costos'!AE$6:AE$158*'Consolidado Costos'!$G$6:$G$158),0))</f>
        <v>0</v>
      </c>
      <c r="CC153" s="318" cm="1">
        <f t="array" ref="CC153">+SUMPRODUCT(IF('Consolidado Costos'!$K$6:$K$158=$BX153,('Consolidado Costos'!AF$6:AF$158*'Consolidado Costos'!$G$6:$G$158),0))</f>
        <v>0</v>
      </c>
      <c r="CD153" s="318" cm="1">
        <f t="array" ref="CD153">+SUMPRODUCT(IF('Consolidado Costos'!$K$6:$K$158=$BX153,('Consolidado Costos'!AG$6:AG$158*'Consolidado Costos'!$G$6:$G$158),0))</f>
        <v>0</v>
      </c>
      <c r="CE153" s="318" cm="1">
        <f t="array" ref="CE153">+SUMPRODUCT(IF('Consolidado Costos'!$K$6:$K$158=$BX153,('Consolidado Costos'!AH$6:AH$158*'Consolidado Costos'!$G$6:$G$158),0))</f>
        <v>0</v>
      </c>
      <c r="CF153" s="318" cm="1">
        <f t="array" ref="CF153">+SUMPRODUCT(IF('Consolidado Costos'!$K$6:$K$158=$BX153,('Consolidado Costos'!AI$6:AI$158*'Consolidado Costos'!$G$6:$G$158),0))</f>
        <v>0</v>
      </c>
      <c r="CG153" s="318" cm="1">
        <f t="array" ref="CG153">+SUMPRODUCT(IF('Consolidado Costos'!$K$6:$K$158=$BX153,('Consolidado Costos'!AJ$6:AJ$158*'Consolidado Costos'!$G$6:$G$158),0))</f>
        <v>0</v>
      </c>
      <c r="CH153" s="318" cm="1">
        <f t="array" ref="CH153">+SUMPRODUCT(IF('Consolidado Costos'!$K$6:$K$158=$BX153,('Consolidado Costos'!AK$6:AK$158*'Consolidado Costos'!$G$6:$G$158),0))</f>
        <v>0</v>
      </c>
      <c r="CI153" s="318" cm="1">
        <f t="array" ref="CI153">+SUMPRODUCT(IF('Consolidado Costos'!$K$6:$K$158=$BX153,('Consolidado Costos'!AL$6:AL$158*'Consolidado Costos'!$G$6:$G$158),0))</f>
        <v>0</v>
      </c>
      <c r="CJ153" s="318" cm="1">
        <f t="array" ref="CJ153">+SUMPRODUCT(IF('Consolidado Costos'!$K$6:$K$158=$BX153,('Consolidado Costos'!AM$6:AM$158*'Consolidado Costos'!$G$6:$G$158),0))</f>
        <v>0</v>
      </c>
      <c r="CK153" s="318" cm="1">
        <f t="array" ref="CK153">+SUMPRODUCT(IF('Consolidado Costos'!$K$6:$K$158=$BX153,('Consolidado Costos'!AN$6:AN$158*'Consolidado Costos'!$G$6:$G$158),0))</f>
        <v>0</v>
      </c>
      <c r="CL153" s="318" cm="1">
        <f t="array" ref="CL153">+SUMPRODUCT(IF('Consolidado Costos'!$K$6:$K$158=$BX153,('Consolidado Costos'!AO$6:AO$158*'Consolidado Costos'!$G$6:$G$158),0))</f>
        <v>0</v>
      </c>
      <c r="CM153" s="318" cm="1">
        <f t="array" ref="CM153">+SUMPRODUCT(IF('Consolidado Costos'!$K$6:$K$158=$BX153,('Consolidado Costos'!AP$6:AP$158*'Consolidado Costos'!$G$6:$G$158),0))</f>
        <v>0</v>
      </c>
      <c r="CN153" s="357">
        <f t="shared" si="10"/>
        <v>1</v>
      </c>
    </row>
    <row r="154" spans="2:92" s="310" customFormat="1" outlineLevel="1">
      <c r="B154" s="327"/>
      <c r="C154" s="330" t="s">
        <v>250</v>
      </c>
      <c r="D154" s="330" t="s">
        <v>251</v>
      </c>
      <c r="E154" s="329"/>
      <c r="F154" s="318">
        <f>+SUMIF('Consolidado Costos'!$K$6:$K$158,$C154,'Consolidado Costos'!$AD$6:$AD$158)</f>
        <v>0</v>
      </c>
      <c r="G154" s="318">
        <f>+SUMIF('Consolidado Costos'!$K$6:$K$158,$C154,'Consolidado Costos'!AE$6:AE$158)</f>
        <v>0</v>
      </c>
      <c r="H154" s="318">
        <f>+SUMIF('Consolidado Costos'!$K$6:$K$158,$C154,'Consolidado Costos'!AF$6:AF$158)</f>
        <v>0</v>
      </c>
      <c r="I154" s="318">
        <f>+SUMIF('Consolidado Costos'!$K$6:$K$158,$C154,'Consolidado Costos'!AG$6:AG$158)</f>
        <v>0</v>
      </c>
      <c r="J154" s="318">
        <f>+SUMIF('Consolidado Costos'!$K$6:$K$158,$C154,'Consolidado Costos'!AH$6:AH$158)</f>
        <v>0</v>
      </c>
      <c r="K154" s="318">
        <f>+SUMIF('Consolidado Costos'!$K$6:$K$158,$C154,'Consolidado Costos'!AI$6:AI$158)</f>
        <v>0</v>
      </c>
      <c r="L154" s="318">
        <f>+SUMIF('Consolidado Costos'!$K$6:$K$158,$C154,'Consolidado Costos'!AJ$6:AJ$158)</f>
        <v>0</v>
      </c>
      <c r="M154" s="318">
        <f>+SUMIF('Consolidado Costos'!$K$6:$K$158,$C154,'Consolidado Costos'!AK$6:AK$158)</f>
        <v>0</v>
      </c>
      <c r="N154" s="318">
        <f>+SUMIF('Consolidado Costos'!$K$6:$K$158,$C154,'Consolidado Costos'!AL$6:AL$158)</f>
        <v>0</v>
      </c>
      <c r="O154" s="318">
        <f>+SUMIF('Consolidado Costos'!$K$6:$K$158,$C154,'Consolidado Costos'!AM$6:AM$158)</f>
        <v>0</v>
      </c>
      <c r="P154" s="318">
        <f>+SUMIF('Consolidado Costos'!$K$6:$K$158,$C154,'Consolidado Costos'!AN$6:AN$158)</f>
        <v>0</v>
      </c>
      <c r="Q154" s="318">
        <f>+SUMIF('Consolidado Costos'!$K$6:$K$158,$C154,'Consolidado Costos'!AO$6:AO$158)</f>
        <v>0</v>
      </c>
      <c r="R154" s="318">
        <f>+SUMIF('Consolidado Costos'!$K$6:$K$158,$C154,'Consolidado Costos'!AP$6:AP$158)</f>
        <v>0</v>
      </c>
      <c r="S154" s="357">
        <f t="shared" si="5"/>
        <v>1</v>
      </c>
      <c r="U154" s="327"/>
      <c r="V154" s="330" t="s">
        <v>250</v>
      </c>
      <c r="W154" s="330" t="s">
        <v>251</v>
      </c>
      <c r="X154" s="329"/>
      <c r="Y154" s="354">
        <f t="shared" si="37"/>
        <v>0</v>
      </c>
      <c r="Z154" s="318" cm="1">
        <f t="array" ref="Z154">+SUMPRODUCT(IF('Consolidado Costos'!$K$6:$K$158=$V154,('Consolidado Costos'!AE$6:AE$158*'Consolidado Costos'!$D$6:$D$158),0))</f>
        <v>0</v>
      </c>
      <c r="AA154" s="318" cm="1">
        <f t="array" ref="AA154">+SUMPRODUCT(IF('Consolidado Costos'!$K$6:$K$158=$V154,('Consolidado Costos'!AF$6:AF$158*'Consolidado Costos'!$D$6:$D$158),0))</f>
        <v>0</v>
      </c>
      <c r="AB154" s="318" cm="1">
        <f t="array" ref="AB154">+SUMPRODUCT(IF('Consolidado Costos'!$K$6:$K$158=$V154,('Consolidado Costos'!AG$6:AG$158*'Consolidado Costos'!$D$6:$D$158),0))</f>
        <v>0</v>
      </c>
      <c r="AC154" s="318" cm="1">
        <f t="array" ref="AC154">+SUMPRODUCT(IF('Consolidado Costos'!$K$6:$K$158=$V154,('Consolidado Costos'!AH$6:AH$158*'Consolidado Costos'!$D$6:$D$158),0))</f>
        <v>0</v>
      </c>
      <c r="AD154" s="318" cm="1">
        <f t="array" ref="AD154">+SUMPRODUCT(IF('Consolidado Costos'!$K$6:$K$158=$V154,('Consolidado Costos'!AI$6:AI$158*'Consolidado Costos'!$D$6:$D$158),0))</f>
        <v>0</v>
      </c>
      <c r="AE154" s="318" cm="1">
        <f t="array" ref="AE154">+SUMPRODUCT(IF('Consolidado Costos'!$K$6:$K$158=$V154,('Consolidado Costos'!AJ$6:AJ$158*'Consolidado Costos'!$D$6:$D$158),0))</f>
        <v>0</v>
      </c>
      <c r="AF154" s="318" cm="1">
        <f t="array" ref="AF154">+SUMPRODUCT(IF('Consolidado Costos'!$K$6:$K$158=$V154,('Consolidado Costos'!AK$6:AK$158*'Consolidado Costos'!$D$6:$D$158),0))</f>
        <v>0</v>
      </c>
      <c r="AG154" s="318" cm="1">
        <f t="array" ref="AG154">+SUMPRODUCT(IF('Consolidado Costos'!$K$6:$K$158=$V154,('Consolidado Costos'!AL$6:AL$158*'Consolidado Costos'!$D$6:$D$158),0))</f>
        <v>0</v>
      </c>
      <c r="AH154" s="318" cm="1">
        <f t="array" ref="AH154">+SUMPRODUCT(IF('Consolidado Costos'!$K$6:$K$158=$V154,('Consolidado Costos'!AM$6:AM$158*'Consolidado Costos'!$D$6:$D$158),0))</f>
        <v>0</v>
      </c>
      <c r="AI154" s="318" cm="1">
        <f t="array" ref="AI154">+SUMPRODUCT(IF('Consolidado Costos'!$K$6:$K$158=$V154,('Consolidado Costos'!AN$6:AN$158*'Consolidado Costos'!$D$6:$D$158),0))</f>
        <v>0</v>
      </c>
      <c r="AJ154" s="318" cm="1">
        <f t="array" ref="AJ154">+SUMPRODUCT(IF('Consolidado Costos'!$K$6:$K$158=$V154,('Consolidado Costos'!AO$6:AO$158*'Consolidado Costos'!$D$6:$D$158),0))</f>
        <v>0</v>
      </c>
      <c r="AK154" s="318" cm="1">
        <f t="array" ref="AK154">+SUMPRODUCT(IF('Consolidado Costos'!$K$6:$K$158=$V154,('Consolidado Costos'!AP$6:AP$158*'Consolidado Costos'!$D$6:$D$158),0))</f>
        <v>0</v>
      </c>
      <c r="AM154" s="327"/>
      <c r="AN154" s="330" t="s">
        <v>250</v>
      </c>
      <c r="AO154" s="330" t="s">
        <v>251</v>
      </c>
      <c r="AP154" s="329"/>
      <c r="AQ154" s="354">
        <f t="shared" si="38"/>
        <v>0</v>
      </c>
      <c r="AR154" s="318" cm="1">
        <f t="array" ref="AR154">+SUMPRODUCT(IF('Consolidado Costos'!$K$6:$K$158=$AN154,('Consolidado Costos'!AE$6:AE$158*'Consolidado Costos'!$E$6:$E$158),0))</f>
        <v>0</v>
      </c>
      <c r="AS154" s="318" cm="1">
        <f t="array" ref="AS154">+SUMPRODUCT(IF('Consolidado Costos'!$K$6:$K$158=$AN154,('Consolidado Costos'!AF$6:AF$158*'Consolidado Costos'!$E$6:$E$158),0))</f>
        <v>0</v>
      </c>
      <c r="AT154" s="318" cm="1">
        <f t="array" ref="AT154">+SUMPRODUCT(IF('Consolidado Costos'!$K$6:$K$158=$AN154,('Consolidado Costos'!AG$6:AG$158*'Consolidado Costos'!$E$6:$E$158),0))</f>
        <v>0</v>
      </c>
      <c r="AU154" s="318" cm="1">
        <f t="array" ref="AU154">+SUMPRODUCT(IF('Consolidado Costos'!$K$6:$K$158=$AN154,('Consolidado Costos'!AH$6:AH$158*'Consolidado Costos'!$E$6:$E$158),0))</f>
        <v>0</v>
      </c>
      <c r="AV154" s="318" cm="1">
        <f t="array" ref="AV154">+SUMPRODUCT(IF('Consolidado Costos'!$K$6:$K$158=$AN154,('Consolidado Costos'!AI$6:AI$158*'Consolidado Costos'!$E$6:$E$158),0))</f>
        <v>0</v>
      </c>
      <c r="AW154" s="318" cm="1">
        <f t="array" ref="AW154">+SUMPRODUCT(IF('Consolidado Costos'!$K$6:$K$158=$AN154,('Consolidado Costos'!AJ$6:AJ$158*'Consolidado Costos'!$E$6:$E$158),0))</f>
        <v>0</v>
      </c>
      <c r="AX154" s="318" cm="1">
        <f t="array" ref="AX154">+SUMPRODUCT(IF('Consolidado Costos'!$K$6:$K$158=$AN154,('Consolidado Costos'!AK$6:AK$158*'Consolidado Costos'!$E$6:$E$158),0))</f>
        <v>0</v>
      </c>
      <c r="AY154" s="318" cm="1">
        <f t="array" ref="AY154">+SUMPRODUCT(IF('Consolidado Costos'!$K$6:$K$158=$AN154,('Consolidado Costos'!AL$6:AL$158*'Consolidado Costos'!$E$6:$E$158),0))</f>
        <v>0</v>
      </c>
      <c r="AZ154" s="318" cm="1">
        <f t="array" ref="AZ154">+SUMPRODUCT(IF('Consolidado Costos'!$K$6:$K$158=$AN154,('Consolidado Costos'!AM$6:AM$158*'Consolidado Costos'!$E$6:$E$158),0))</f>
        <v>0</v>
      </c>
      <c r="BA154" s="318" cm="1">
        <f t="array" ref="BA154">+SUMPRODUCT(IF('Consolidado Costos'!$K$6:$K$158=$AN154,('Consolidado Costos'!AN$6:AN$158*'Consolidado Costos'!$E$6:$E$158),0))</f>
        <v>0</v>
      </c>
      <c r="BB154" s="318" cm="1">
        <f t="array" ref="BB154">+SUMPRODUCT(IF('Consolidado Costos'!$K$6:$K$158=$AN154,('Consolidado Costos'!AO$6:AO$158*'Consolidado Costos'!$E$6:$E$158),0))</f>
        <v>0</v>
      </c>
      <c r="BC154" s="318" cm="1">
        <f t="array" ref="BC154">+SUMPRODUCT(IF('Consolidado Costos'!$K$6:$K$158=$AN154,('Consolidado Costos'!AP$6:AP$158*'Consolidado Costos'!$E$6:$E$158),0))</f>
        <v>0</v>
      </c>
      <c r="BE154" s="327"/>
      <c r="BF154" s="330" t="s">
        <v>250</v>
      </c>
      <c r="BG154" s="330" t="s">
        <v>251</v>
      </c>
      <c r="BH154" s="329"/>
      <c r="BI154" s="354">
        <f t="shared" si="39"/>
        <v>0</v>
      </c>
      <c r="BJ154" s="318" cm="1">
        <f t="array" ref="BJ154">+SUMPRODUCT(IF('Consolidado Costos'!$K$6:$K$158=$BF154,('Consolidado Costos'!AE$6:AE$158*'Consolidado Costos'!$F$6:$F$158),0))</f>
        <v>0</v>
      </c>
      <c r="BK154" s="318" cm="1">
        <f t="array" ref="BK154">+SUMPRODUCT(IF('Consolidado Costos'!$K$6:$K$158=$BF154,('Consolidado Costos'!AF$6:AF$158*'Consolidado Costos'!$F$6:$F$158),0))</f>
        <v>0</v>
      </c>
      <c r="BL154" s="318" cm="1">
        <f t="array" ref="BL154">+SUMPRODUCT(IF('Consolidado Costos'!$K$6:$K$158=$BF154,('Consolidado Costos'!AG$6:AG$158*'Consolidado Costos'!$F$6:$F$158),0))</f>
        <v>0</v>
      </c>
      <c r="BM154" s="318" cm="1">
        <f t="array" ref="BM154">+SUMPRODUCT(IF('Consolidado Costos'!$K$6:$K$158=$BF154,('Consolidado Costos'!AH$6:AH$158*'Consolidado Costos'!$F$6:$F$158),0))</f>
        <v>0</v>
      </c>
      <c r="BN154" s="318" cm="1">
        <f t="array" ref="BN154">+SUMPRODUCT(IF('Consolidado Costos'!$K$6:$K$158=$BF154,('Consolidado Costos'!AI$6:AI$158*'Consolidado Costos'!$F$6:$F$158),0))</f>
        <v>0</v>
      </c>
      <c r="BO154" s="318" cm="1">
        <f t="array" ref="BO154">+SUMPRODUCT(IF('Consolidado Costos'!$K$6:$K$158=$BF154,('Consolidado Costos'!AJ$6:AJ$158*'Consolidado Costos'!$F$6:$F$158),0))</f>
        <v>0</v>
      </c>
      <c r="BP154" s="318" cm="1">
        <f t="array" ref="BP154">+SUMPRODUCT(IF('Consolidado Costos'!$K$6:$K$158=$BF154,('Consolidado Costos'!AK$6:AK$158*'Consolidado Costos'!$F$6:$F$158),0))</f>
        <v>0</v>
      </c>
      <c r="BQ154" s="318" cm="1">
        <f t="array" ref="BQ154">+SUMPRODUCT(IF('Consolidado Costos'!$K$6:$K$158=$BF154,('Consolidado Costos'!AL$6:AL$158*'Consolidado Costos'!$F$6:$F$158),0))</f>
        <v>0</v>
      </c>
      <c r="BR154" s="318" cm="1">
        <f t="array" ref="BR154">+SUMPRODUCT(IF('Consolidado Costos'!$K$6:$K$158=$BF154,('Consolidado Costos'!AM$6:AM$158*'Consolidado Costos'!$F$6:$F$158),0))</f>
        <v>0</v>
      </c>
      <c r="BS154" s="318" cm="1">
        <f t="array" ref="BS154">+SUMPRODUCT(IF('Consolidado Costos'!$K$6:$K$158=$BF154,('Consolidado Costos'!AN$6:AN$158*'Consolidado Costos'!$F$6:$F$158),0))</f>
        <v>0</v>
      </c>
      <c r="BT154" s="318" cm="1">
        <f t="array" ref="BT154">+SUMPRODUCT(IF('Consolidado Costos'!$K$6:$K$158=$BF154,('Consolidado Costos'!AO$6:AO$158*'Consolidado Costos'!$F$6:$F$158),0))</f>
        <v>0</v>
      </c>
      <c r="BU154" s="318" cm="1">
        <f t="array" ref="BU154">+SUMPRODUCT(IF('Consolidado Costos'!$K$6:$K$158=$BF154,('Consolidado Costos'!AP$6:AP$158*'Consolidado Costos'!$F$6:$F$158),0))</f>
        <v>0</v>
      </c>
      <c r="BW154" s="327"/>
      <c r="BX154" s="330" t="s">
        <v>250</v>
      </c>
      <c r="BY154" s="330" t="s">
        <v>251</v>
      </c>
      <c r="BZ154" s="329"/>
      <c r="CA154" s="354">
        <f t="shared" si="40"/>
        <v>0</v>
      </c>
      <c r="CB154" s="318" cm="1">
        <f t="array" ref="CB154">+SUMPRODUCT(IF('Consolidado Costos'!$K$6:$K$158=$BX154,('Consolidado Costos'!AE$6:AE$158*'Consolidado Costos'!$G$6:$G$158),0))</f>
        <v>0</v>
      </c>
      <c r="CC154" s="318" cm="1">
        <f t="array" ref="CC154">+SUMPRODUCT(IF('Consolidado Costos'!$K$6:$K$158=$BX154,('Consolidado Costos'!AF$6:AF$158*'Consolidado Costos'!$G$6:$G$158),0))</f>
        <v>0</v>
      </c>
      <c r="CD154" s="318" cm="1">
        <f t="array" ref="CD154">+SUMPRODUCT(IF('Consolidado Costos'!$K$6:$K$158=$BX154,('Consolidado Costos'!AG$6:AG$158*'Consolidado Costos'!$G$6:$G$158),0))</f>
        <v>0</v>
      </c>
      <c r="CE154" s="318" cm="1">
        <f t="array" ref="CE154">+SUMPRODUCT(IF('Consolidado Costos'!$K$6:$K$158=$BX154,('Consolidado Costos'!AH$6:AH$158*'Consolidado Costos'!$G$6:$G$158),0))</f>
        <v>0</v>
      </c>
      <c r="CF154" s="318" cm="1">
        <f t="array" ref="CF154">+SUMPRODUCT(IF('Consolidado Costos'!$K$6:$K$158=$BX154,('Consolidado Costos'!AI$6:AI$158*'Consolidado Costos'!$G$6:$G$158),0))</f>
        <v>0</v>
      </c>
      <c r="CG154" s="318" cm="1">
        <f t="array" ref="CG154">+SUMPRODUCT(IF('Consolidado Costos'!$K$6:$K$158=$BX154,('Consolidado Costos'!AJ$6:AJ$158*'Consolidado Costos'!$G$6:$G$158),0))</f>
        <v>0</v>
      </c>
      <c r="CH154" s="318" cm="1">
        <f t="array" ref="CH154">+SUMPRODUCT(IF('Consolidado Costos'!$K$6:$K$158=$BX154,('Consolidado Costos'!AK$6:AK$158*'Consolidado Costos'!$G$6:$G$158),0))</f>
        <v>0</v>
      </c>
      <c r="CI154" s="318" cm="1">
        <f t="array" ref="CI154">+SUMPRODUCT(IF('Consolidado Costos'!$K$6:$K$158=$BX154,('Consolidado Costos'!AL$6:AL$158*'Consolidado Costos'!$G$6:$G$158),0))</f>
        <v>0</v>
      </c>
      <c r="CJ154" s="318" cm="1">
        <f t="array" ref="CJ154">+SUMPRODUCT(IF('Consolidado Costos'!$K$6:$K$158=$BX154,('Consolidado Costos'!AM$6:AM$158*'Consolidado Costos'!$G$6:$G$158),0))</f>
        <v>0</v>
      </c>
      <c r="CK154" s="318" cm="1">
        <f t="array" ref="CK154">+SUMPRODUCT(IF('Consolidado Costos'!$K$6:$K$158=$BX154,('Consolidado Costos'!AN$6:AN$158*'Consolidado Costos'!$G$6:$G$158),0))</f>
        <v>0</v>
      </c>
      <c r="CL154" s="318" cm="1">
        <f t="array" ref="CL154">+SUMPRODUCT(IF('Consolidado Costos'!$K$6:$K$158=$BX154,('Consolidado Costos'!AO$6:AO$158*'Consolidado Costos'!$G$6:$G$158),0))</f>
        <v>0</v>
      </c>
      <c r="CM154" s="318" cm="1">
        <f t="array" ref="CM154">+SUMPRODUCT(IF('Consolidado Costos'!$K$6:$K$158=$BX154,('Consolidado Costos'!AP$6:AP$158*'Consolidado Costos'!$G$6:$G$158),0))</f>
        <v>0</v>
      </c>
      <c r="CN154" s="357">
        <f t="shared" si="10"/>
        <v>1</v>
      </c>
    </row>
    <row r="155" spans="2:92" s="310" customFormat="1" outlineLevel="1">
      <c r="B155" s="327"/>
      <c r="C155" s="330" t="s">
        <v>253</v>
      </c>
      <c r="D155" s="330" t="s">
        <v>254</v>
      </c>
      <c r="E155" s="329"/>
      <c r="F155" s="318">
        <f>+SUMIF('Consolidado Costos'!$K$6:$K$158,$C155,'Consolidado Costos'!$AD$6:$AD$158)</f>
        <v>0</v>
      </c>
      <c r="G155" s="318">
        <f>+SUMIF('Consolidado Costos'!$K$6:$K$158,$C155,'Consolidado Costos'!AE$6:AE$158)</f>
        <v>0</v>
      </c>
      <c r="H155" s="318">
        <f>+SUMIF('Consolidado Costos'!$K$6:$K$158,$C155,'Consolidado Costos'!AF$6:AF$158)</f>
        <v>0</v>
      </c>
      <c r="I155" s="318">
        <f>+SUMIF('Consolidado Costos'!$K$6:$K$158,$C155,'Consolidado Costos'!AG$6:AG$158)</f>
        <v>0</v>
      </c>
      <c r="J155" s="318">
        <f>+SUMIF('Consolidado Costos'!$K$6:$K$158,$C155,'Consolidado Costos'!AH$6:AH$158)</f>
        <v>0</v>
      </c>
      <c r="K155" s="318">
        <f>+SUMIF('Consolidado Costos'!$K$6:$K$158,$C155,'Consolidado Costos'!AI$6:AI$158)</f>
        <v>0</v>
      </c>
      <c r="L155" s="318">
        <f>+SUMIF('Consolidado Costos'!$K$6:$K$158,$C155,'Consolidado Costos'!AJ$6:AJ$158)</f>
        <v>0</v>
      </c>
      <c r="M155" s="318">
        <f>+SUMIF('Consolidado Costos'!$K$6:$K$158,$C155,'Consolidado Costos'!AK$6:AK$158)</f>
        <v>0</v>
      </c>
      <c r="N155" s="318">
        <f>+SUMIF('Consolidado Costos'!$K$6:$K$158,$C155,'Consolidado Costos'!AL$6:AL$158)</f>
        <v>0</v>
      </c>
      <c r="O155" s="318">
        <f>+SUMIF('Consolidado Costos'!$K$6:$K$158,$C155,'Consolidado Costos'!AM$6:AM$158)</f>
        <v>0</v>
      </c>
      <c r="P155" s="318">
        <f>+SUMIF('Consolidado Costos'!$K$6:$K$158,$C155,'Consolidado Costos'!AN$6:AN$158)</f>
        <v>0</v>
      </c>
      <c r="Q155" s="318">
        <f>+SUMIF('Consolidado Costos'!$K$6:$K$158,$C155,'Consolidado Costos'!AO$6:AO$158)</f>
        <v>0</v>
      </c>
      <c r="R155" s="318">
        <f>+SUMIF('Consolidado Costos'!$K$6:$K$158,$C155,'Consolidado Costos'!AP$6:AP$158)</f>
        <v>0</v>
      </c>
      <c r="S155" s="357">
        <f t="shared" si="5"/>
        <v>1</v>
      </c>
      <c r="U155" s="327"/>
      <c r="V155" s="330" t="s">
        <v>253</v>
      </c>
      <c r="W155" s="330" t="s">
        <v>254</v>
      </c>
      <c r="X155" s="329"/>
      <c r="Y155" s="354">
        <f t="shared" si="37"/>
        <v>0</v>
      </c>
      <c r="Z155" s="318" cm="1">
        <f t="array" ref="Z155">+SUMPRODUCT(IF('Consolidado Costos'!$K$6:$K$158=$V155,('Consolidado Costos'!AE$6:AE$158*'Consolidado Costos'!$D$6:$D$158),0))</f>
        <v>0</v>
      </c>
      <c r="AA155" s="318" cm="1">
        <f t="array" ref="AA155">+SUMPRODUCT(IF('Consolidado Costos'!$K$6:$K$158=$V155,('Consolidado Costos'!AF$6:AF$158*'Consolidado Costos'!$D$6:$D$158),0))</f>
        <v>0</v>
      </c>
      <c r="AB155" s="318" cm="1">
        <f t="array" ref="AB155">+SUMPRODUCT(IF('Consolidado Costos'!$K$6:$K$158=$V155,('Consolidado Costos'!AG$6:AG$158*'Consolidado Costos'!$D$6:$D$158),0))</f>
        <v>0</v>
      </c>
      <c r="AC155" s="318" cm="1">
        <f t="array" ref="AC155">+SUMPRODUCT(IF('Consolidado Costos'!$K$6:$K$158=$V155,('Consolidado Costos'!AH$6:AH$158*'Consolidado Costos'!$D$6:$D$158),0))</f>
        <v>0</v>
      </c>
      <c r="AD155" s="318" cm="1">
        <f t="array" ref="AD155">+SUMPRODUCT(IF('Consolidado Costos'!$K$6:$K$158=$V155,('Consolidado Costos'!AI$6:AI$158*'Consolidado Costos'!$D$6:$D$158),0))</f>
        <v>0</v>
      </c>
      <c r="AE155" s="318" cm="1">
        <f t="array" ref="AE155">+SUMPRODUCT(IF('Consolidado Costos'!$K$6:$K$158=$V155,('Consolidado Costos'!AJ$6:AJ$158*'Consolidado Costos'!$D$6:$D$158),0))</f>
        <v>0</v>
      </c>
      <c r="AF155" s="318" cm="1">
        <f t="array" ref="AF155">+SUMPRODUCT(IF('Consolidado Costos'!$K$6:$K$158=$V155,('Consolidado Costos'!AK$6:AK$158*'Consolidado Costos'!$D$6:$D$158),0))</f>
        <v>0</v>
      </c>
      <c r="AG155" s="318" cm="1">
        <f t="array" ref="AG155">+SUMPRODUCT(IF('Consolidado Costos'!$K$6:$K$158=$V155,('Consolidado Costos'!AL$6:AL$158*'Consolidado Costos'!$D$6:$D$158),0))</f>
        <v>0</v>
      </c>
      <c r="AH155" s="318" cm="1">
        <f t="array" ref="AH155">+SUMPRODUCT(IF('Consolidado Costos'!$K$6:$K$158=$V155,('Consolidado Costos'!AM$6:AM$158*'Consolidado Costos'!$D$6:$D$158),0))</f>
        <v>0</v>
      </c>
      <c r="AI155" s="318" cm="1">
        <f t="array" ref="AI155">+SUMPRODUCT(IF('Consolidado Costos'!$K$6:$K$158=$V155,('Consolidado Costos'!AN$6:AN$158*'Consolidado Costos'!$D$6:$D$158),0))</f>
        <v>0</v>
      </c>
      <c r="AJ155" s="318" cm="1">
        <f t="array" ref="AJ155">+SUMPRODUCT(IF('Consolidado Costos'!$K$6:$K$158=$V155,('Consolidado Costos'!AO$6:AO$158*'Consolidado Costos'!$D$6:$D$158),0))</f>
        <v>0</v>
      </c>
      <c r="AK155" s="318" cm="1">
        <f t="array" ref="AK155">+SUMPRODUCT(IF('Consolidado Costos'!$K$6:$K$158=$V155,('Consolidado Costos'!AP$6:AP$158*'Consolidado Costos'!$D$6:$D$158),0))</f>
        <v>0</v>
      </c>
      <c r="AM155" s="327"/>
      <c r="AN155" s="330" t="s">
        <v>253</v>
      </c>
      <c r="AO155" s="330" t="s">
        <v>254</v>
      </c>
      <c r="AP155" s="329"/>
      <c r="AQ155" s="354">
        <f t="shared" si="38"/>
        <v>0</v>
      </c>
      <c r="AR155" s="318" cm="1">
        <f t="array" ref="AR155">+SUMPRODUCT(IF('Consolidado Costos'!$K$6:$K$158=$AN155,('Consolidado Costos'!AE$6:AE$158*'Consolidado Costos'!$E$6:$E$158),0))</f>
        <v>0</v>
      </c>
      <c r="AS155" s="318" cm="1">
        <f t="array" ref="AS155">+SUMPRODUCT(IF('Consolidado Costos'!$K$6:$K$158=$AN155,('Consolidado Costos'!AF$6:AF$158*'Consolidado Costos'!$E$6:$E$158),0))</f>
        <v>0</v>
      </c>
      <c r="AT155" s="318" cm="1">
        <f t="array" ref="AT155">+SUMPRODUCT(IF('Consolidado Costos'!$K$6:$K$158=$AN155,('Consolidado Costos'!AG$6:AG$158*'Consolidado Costos'!$E$6:$E$158),0))</f>
        <v>0</v>
      </c>
      <c r="AU155" s="318" cm="1">
        <f t="array" ref="AU155">+SUMPRODUCT(IF('Consolidado Costos'!$K$6:$K$158=$AN155,('Consolidado Costos'!AH$6:AH$158*'Consolidado Costos'!$E$6:$E$158),0))</f>
        <v>0</v>
      </c>
      <c r="AV155" s="318" cm="1">
        <f t="array" ref="AV155">+SUMPRODUCT(IF('Consolidado Costos'!$K$6:$K$158=$AN155,('Consolidado Costos'!AI$6:AI$158*'Consolidado Costos'!$E$6:$E$158),0))</f>
        <v>0</v>
      </c>
      <c r="AW155" s="318" cm="1">
        <f t="array" ref="AW155">+SUMPRODUCT(IF('Consolidado Costos'!$K$6:$K$158=$AN155,('Consolidado Costos'!AJ$6:AJ$158*'Consolidado Costos'!$E$6:$E$158),0))</f>
        <v>0</v>
      </c>
      <c r="AX155" s="318" cm="1">
        <f t="array" ref="AX155">+SUMPRODUCT(IF('Consolidado Costos'!$K$6:$K$158=$AN155,('Consolidado Costos'!AK$6:AK$158*'Consolidado Costos'!$E$6:$E$158),0))</f>
        <v>0</v>
      </c>
      <c r="AY155" s="318" cm="1">
        <f t="array" ref="AY155">+SUMPRODUCT(IF('Consolidado Costos'!$K$6:$K$158=$AN155,('Consolidado Costos'!AL$6:AL$158*'Consolidado Costos'!$E$6:$E$158),0))</f>
        <v>0</v>
      </c>
      <c r="AZ155" s="318" cm="1">
        <f t="array" ref="AZ155">+SUMPRODUCT(IF('Consolidado Costos'!$K$6:$K$158=$AN155,('Consolidado Costos'!AM$6:AM$158*'Consolidado Costos'!$E$6:$E$158),0))</f>
        <v>0</v>
      </c>
      <c r="BA155" s="318" cm="1">
        <f t="array" ref="BA155">+SUMPRODUCT(IF('Consolidado Costos'!$K$6:$K$158=$AN155,('Consolidado Costos'!AN$6:AN$158*'Consolidado Costos'!$E$6:$E$158),0))</f>
        <v>0</v>
      </c>
      <c r="BB155" s="318" cm="1">
        <f t="array" ref="BB155">+SUMPRODUCT(IF('Consolidado Costos'!$K$6:$K$158=$AN155,('Consolidado Costos'!AO$6:AO$158*'Consolidado Costos'!$E$6:$E$158),0))</f>
        <v>0</v>
      </c>
      <c r="BC155" s="318" cm="1">
        <f t="array" ref="BC155">+SUMPRODUCT(IF('Consolidado Costos'!$K$6:$K$158=$AN155,('Consolidado Costos'!AP$6:AP$158*'Consolidado Costos'!$E$6:$E$158),0))</f>
        <v>0</v>
      </c>
      <c r="BE155" s="327"/>
      <c r="BF155" s="330" t="s">
        <v>253</v>
      </c>
      <c r="BG155" s="330" t="s">
        <v>254</v>
      </c>
      <c r="BH155" s="329"/>
      <c r="BI155" s="354">
        <f t="shared" si="39"/>
        <v>0</v>
      </c>
      <c r="BJ155" s="318" cm="1">
        <f t="array" ref="BJ155">+SUMPRODUCT(IF('Consolidado Costos'!$K$6:$K$158=$BF155,('Consolidado Costos'!AE$6:AE$158*'Consolidado Costos'!$F$6:$F$158),0))</f>
        <v>0</v>
      </c>
      <c r="BK155" s="318" cm="1">
        <f t="array" ref="BK155">+SUMPRODUCT(IF('Consolidado Costos'!$K$6:$K$158=$BF155,('Consolidado Costos'!AF$6:AF$158*'Consolidado Costos'!$F$6:$F$158),0))</f>
        <v>0</v>
      </c>
      <c r="BL155" s="318" cm="1">
        <f t="array" ref="BL155">+SUMPRODUCT(IF('Consolidado Costos'!$K$6:$K$158=$BF155,('Consolidado Costos'!AG$6:AG$158*'Consolidado Costos'!$F$6:$F$158),0))</f>
        <v>0</v>
      </c>
      <c r="BM155" s="318" cm="1">
        <f t="array" ref="BM155">+SUMPRODUCT(IF('Consolidado Costos'!$K$6:$K$158=$BF155,('Consolidado Costos'!AH$6:AH$158*'Consolidado Costos'!$F$6:$F$158),0))</f>
        <v>0</v>
      </c>
      <c r="BN155" s="318" cm="1">
        <f t="array" ref="BN155">+SUMPRODUCT(IF('Consolidado Costos'!$K$6:$K$158=$BF155,('Consolidado Costos'!AI$6:AI$158*'Consolidado Costos'!$F$6:$F$158),0))</f>
        <v>0</v>
      </c>
      <c r="BO155" s="318" cm="1">
        <f t="array" ref="BO155">+SUMPRODUCT(IF('Consolidado Costos'!$K$6:$K$158=$BF155,('Consolidado Costos'!AJ$6:AJ$158*'Consolidado Costos'!$F$6:$F$158),0))</f>
        <v>0</v>
      </c>
      <c r="BP155" s="318" cm="1">
        <f t="array" ref="BP155">+SUMPRODUCT(IF('Consolidado Costos'!$K$6:$K$158=$BF155,('Consolidado Costos'!AK$6:AK$158*'Consolidado Costos'!$F$6:$F$158),0))</f>
        <v>0</v>
      </c>
      <c r="BQ155" s="318" cm="1">
        <f t="array" ref="BQ155">+SUMPRODUCT(IF('Consolidado Costos'!$K$6:$K$158=$BF155,('Consolidado Costos'!AL$6:AL$158*'Consolidado Costos'!$F$6:$F$158),0))</f>
        <v>0</v>
      </c>
      <c r="BR155" s="318" cm="1">
        <f t="array" ref="BR155">+SUMPRODUCT(IF('Consolidado Costos'!$K$6:$K$158=$BF155,('Consolidado Costos'!AM$6:AM$158*'Consolidado Costos'!$F$6:$F$158),0))</f>
        <v>0</v>
      </c>
      <c r="BS155" s="318" cm="1">
        <f t="array" ref="BS155">+SUMPRODUCT(IF('Consolidado Costos'!$K$6:$K$158=$BF155,('Consolidado Costos'!AN$6:AN$158*'Consolidado Costos'!$F$6:$F$158),0))</f>
        <v>0</v>
      </c>
      <c r="BT155" s="318" cm="1">
        <f t="array" ref="BT155">+SUMPRODUCT(IF('Consolidado Costos'!$K$6:$K$158=$BF155,('Consolidado Costos'!AO$6:AO$158*'Consolidado Costos'!$F$6:$F$158),0))</f>
        <v>0</v>
      </c>
      <c r="BU155" s="318" cm="1">
        <f t="array" ref="BU155">+SUMPRODUCT(IF('Consolidado Costos'!$K$6:$K$158=$BF155,('Consolidado Costos'!AP$6:AP$158*'Consolidado Costos'!$F$6:$F$158),0))</f>
        <v>0</v>
      </c>
      <c r="BW155" s="327"/>
      <c r="BX155" s="330" t="s">
        <v>253</v>
      </c>
      <c r="BY155" s="330" t="s">
        <v>254</v>
      </c>
      <c r="BZ155" s="329"/>
      <c r="CA155" s="354">
        <f t="shared" si="40"/>
        <v>0</v>
      </c>
      <c r="CB155" s="318" cm="1">
        <f t="array" ref="CB155">+SUMPRODUCT(IF('Consolidado Costos'!$K$6:$K$158=$BX155,('Consolidado Costos'!AE$6:AE$158*'Consolidado Costos'!$G$6:$G$158),0))</f>
        <v>0</v>
      </c>
      <c r="CC155" s="318" cm="1">
        <f t="array" ref="CC155">+SUMPRODUCT(IF('Consolidado Costos'!$K$6:$K$158=$BX155,('Consolidado Costos'!AF$6:AF$158*'Consolidado Costos'!$G$6:$G$158),0))</f>
        <v>0</v>
      </c>
      <c r="CD155" s="318" cm="1">
        <f t="array" ref="CD155">+SUMPRODUCT(IF('Consolidado Costos'!$K$6:$K$158=$BX155,('Consolidado Costos'!AG$6:AG$158*'Consolidado Costos'!$G$6:$G$158),0))</f>
        <v>0</v>
      </c>
      <c r="CE155" s="318" cm="1">
        <f t="array" ref="CE155">+SUMPRODUCT(IF('Consolidado Costos'!$K$6:$K$158=$BX155,('Consolidado Costos'!AH$6:AH$158*'Consolidado Costos'!$G$6:$G$158),0))</f>
        <v>0</v>
      </c>
      <c r="CF155" s="318" cm="1">
        <f t="array" ref="CF155">+SUMPRODUCT(IF('Consolidado Costos'!$K$6:$K$158=$BX155,('Consolidado Costos'!AI$6:AI$158*'Consolidado Costos'!$G$6:$G$158),0))</f>
        <v>0</v>
      </c>
      <c r="CG155" s="318" cm="1">
        <f t="array" ref="CG155">+SUMPRODUCT(IF('Consolidado Costos'!$K$6:$K$158=$BX155,('Consolidado Costos'!AJ$6:AJ$158*'Consolidado Costos'!$G$6:$G$158),0))</f>
        <v>0</v>
      </c>
      <c r="CH155" s="318" cm="1">
        <f t="array" ref="CH155">+SUMPRODUCT(IF('Consolidado Costos'!$K$6:$K$158=$BX155,('Consolidado Costos'!AK$6:AK$158*'Consolidado Costos'!$G$6:$G$158),0))</f>
        <v>0</v>
      </c>
      <c r="CI155" s="318" cm="1">
        <f t="array" ref="CI155">+SUMPRODUCT(IF('Consolidado Costos'!$K$6:$K$158=$BX155,('Consolidado Costos'!AL$6:AL$158*'Consolidado Costos'!$G$6:$G$158),0))</f>
        <v>0</v>
      </c>
      <c r="CJ155" s="318" cm="1">
        <f t="array" ref="CJ155">+SUMPRODUCT(IF('Consolidado Costos'!$K$6:$K$158=$BX155,('Consolidado Costos'!AM$6:AM$158*'Consolidado Costos'!$G$6:$G$158),0))</f>
        <v>0</v>
      </c>
      <c r="CK155" s="318" cm="1">
        <f t="array" ref="CK155">+SUMPRODUCT(IF('Consolidado Costos'!$K$6:$K$158=$BX155,('Consolidado Costos'!AN$6:AN$158*'Consolidado Costos'!$G$6:$G$158),0))</f>
        <v>0</v>
      </c>
      <c r="CL155" s="318" cm="1">
        <f t="array" ref="CL155">+SUMPRODUCT(IF('Consolidado Costos'!$K$6:$K$158=$BX155,('Consolidado Costos'!AO$6:AO$158*'Consolidado Costos'!$G$6:$G$158),0))</f>
        <v>0</v>
      </c>
      <c r="CM155" s="318" cm="1">
        <f t="array" ref="CM155">+SUMPRODUCT(IF('Consolidado Costos'!$K$6:$K$158=$BX155,('Consolidado Costos'!AP$6:AP$158*'Consolidado Costos'!$G$6:$G$158),0))</f>
        <v>0</v>
      </c>
      <c r="CN155" s="357">
        <f t="shared" si="10"/>
        <v>1</v>
      </c>
    </row>
    <row r="156" spans="2:92" s="310" customFormat="1" outlineLevel="1">
      <c r="B156" s="327"/>
      <c r="C156" s="330" t="s">
        <v>256</v>
      </c>
      <c r="D156" s="330" t="s">
        <v>257</v>
      </c>
      <c r="E156" s="329"/>
      <c r="F156" s="318">
        <f>+SUMIF('Consolidado Costos'!$K$6:$K$158,$C156,'Consolidado Costos'!$AD$6:$AD$158)</f>
        <v>0</v>
      </c>
      <c r="G156" s="318">
        <f>+SUMIF('Consolidado Costos'!$K$6:$K$158,$C156,'Consolidado Costos'!AE$6:AE$158)</f>
        <v>0</v>
      </c>
      <c r="H156" s="318">
        <f>+SUMIF('Consolidado Costos'!$K$6:$K$158,$C156,'Consolidado Costos'!AF$6:AF$158)</f>
        <v>0</v>
      </c>
      <c r="I156" s="318">
        <f>+SUMIF('Consolidado Costos'!$K$6:$K$158,$C156,'Consolidado Costos'!AG$6:AG$158)</f>
        <v>0</v>
      </c>
      <c r="J156" s="318">
        <f>+SUMIF('Consolidado Costos'!$K$6:$K$158,$C156,'Consolidado Costos'!AH$6:AH$158)</f>
        <v>0</v>
      </c>
      <c r="K156" s="318">
        <f>+SUMIF('Consolidado Costos'!$K$6:$K$158,$C156,'Consolidado Costos'!AI$6:AI$158)</f>
        <v>0</v>
      </c>
      <c r="L156" s="318">
        <f>+SUMIF('Consolidado Costos'!$K$6:$K$158,$C156,'Consolidado Costos'!AJ$6:AJ$158)</f>
        <v>0</v>
      </c>
      <c r="M156" s="318">
        <f>+SUMIF('Consolidado Costos'!$K$6:$K$158,$C156,'Consolidado Costos'!AK$6:AK$158)</f>
        <v>0</v>
      </c>
      <c r="N156" s="318">
        <f>+SUMIF('Consolidado Costos'!$K$6:$K$158,$C156,'Consolidado Costos'!AL$6:AL$158)</f>
        <v>0</v>
      </c>
      <c r="O156" s="318">
        <f>+SUMIF('Consolidado Costos'!$K$6:$K$158,$C156,'Consolidado Costos'!AM$6:AM$158)</f>
        <v>0</v>
      </c>
      <c r="P156" s="318">
        <f>+SUMIF('Consolidado Costos'!$K$6:$K$158,$C156,'Consolidado Costos'!AN$6:AN$158)</f>
        <v>0</v>
      </c>
      <c r="Q156" s="318">
        <f>+SUMIF('Consolidado Costos'!$K$6:$K$158,$C156,'Consolidado Costos'!AO$6:AO$158)</f>
        <v>0</v>
      </c>
      <c r="R156" s="318">
        <f>+SUMIF('Consolidado Costos'!$K$6:$K$158,$C156,'Consolidado Costos'!AP$6:AP$158)</f>
        <v>0</v>
      </c>
      <c r="S156" s="357">
        <f t="shared" si="5"/>
        <v>1</v>
      </c>
      <c r="U156" s="327"/>
      <c r="V156" s="330" t="s">
        <v>256</v>
      </c>
      <c r="W156" s="330" t="s">
        <v>257</v>
      </c>
      <c r="X156" s="329"/>
      <c r="Y156" s="354">
        <f t="shared" si="37"/>
        <v>0</v>
      </c>
      <c r="Z156" s="318" cm="1">
        <f t="array" ref="Z156">+SUMPRODUCT(IF('Consolidado Costos'!$K$6:$K$158=$V156,('Consolidado Costos'!AE$6:AE$158*'Consolidado Costos'!$D$6:$D$158),0))</f>
        <v>0</v>
      </c>
      <c r="AA156" s="318" cm="1">
        <f t="array" ref="AA156">+SUMPRODUCT(IF('Consolidado Costos'!$K$6:$K$158=$V156,('Consolidado Costos'!AF$6:AF$158*'Consolidado Costos'!$D$6:$D$158),0))</f>
        <v>0</v>
      </c>
      <c r="AB156" s="318" cm="1">
        <f t="array" ref="AB156">+SUMPRODUCT(IF('Consolidado Costos'!$K$6:$K$158=$V156,('Consolidado Costos'!AG$6:AG$158*'Consolidado Costos'!$D$6:$D$158),0))</f>
        <v>0</v>
      </c>
      <c r="AC156" s="318" cm="1">
        <f t="array" ref="AC156">+SUMPRODUCT(IF('Consolidado Costos'!$K$6:$K$158=$V156,('Consolidado Costos'!AH$6:AH$158*'Consolidado Costos'!$D$6:$D$158),0))</f>
        <v>0</v>
      </c>
      <c r="AD156" s="318" cm="1">
        <f t="array" ref="AD156">+SUMPRODUCT(IF('Consolidado Costos'!$K$6:$K$158=$V156,('Consolidado Costos'!AI$6:AI$158*'Consolidado Costos'!$D$6:$D$158),0))</f>
        <v>0</v>
      </c>
      <c r="AE156" s="318" cm="1">
        <f t="array" ref="AE156">+SUMPRODUCT(IF('Consolidado Costos'!$K$6:$K$158=$V156,('Consolidado Costos'!AJ$6:AJ$158*'Consolidado Costos'!$D$6:$D$158),0))</f>
        <v>0</v>
      </c>
      <c r="AF156" s="318" cm="1">
        <f t="array" ref="AF156">+SUMPRODUCT(IF('Consolidado Costos'!$K$6:$K$158=$V156,('Consolidado Costos'!AK$6:AK$158*'Consolidado Costos'!$D$6:$D$158),0))</f>
        <v>0</v>
      </c>
      <c r="AG156" s="318" cm="1">
        <f t="array" ref="AG156">+SUMPRODUCT(IF('Consolidado Costos'!$K$6:$K$158=$V156,('Consolidado Costos'!AL$6:AL$158*'Consolidado Costos'!$D$6:$D$158),0))</f>
        <v>0</v>
      </c>
      <c r="AH156" s="318" cm="1">
        <f t="array" ref="AH156">+SUMPRODUCT(IF('Consolidado Costos'!$K$6:$K$158=$V156,('Consolidado Costos'!AM$6:AM$158*'Consolidado Costos'!$D$6:$D$158),0))</f>
        <v>0</v>
      </c>
      <c r="AI156" s="318" cm="1">
        <f t="array" ref="AI156">+SUMPRODUCT(IF('Consolidado Costos'!$K$6:$K$158=$V156,('Consolidado Costos'!AN$6:AN$158*'Consolidado Costos'!$D$6:$D$158),0))</f>
        <v>0</v>
      </c>
      <c r="AJ156" s="318" cm="1">
        <f t="array" ref="AJ156">+SUMPRODUCT(IF('Consolidado Costos'!$K$6:$K$158=$V156,('Consolidado Costos'!AO$6:AO$158*'Consolidado Costos'!$D$6:$D$158),0))</f>
        <v>0</v>
      </c>
      <c r="AK156" s="318" cm="1">
        <f t="array" ref="AK156">+SUMPRODUCT(IF('Consolidado Costos'!$K$6:$K$158=$V156,('Consolidado Costos'!AP$6:AP$158*'Consolidado Costos'!$D$6:$D$158),0))</f>
        <v>0</v>
      </c>
      <c r="AM156" s="327"/>
      <c r="AN156" s="330" t="s">
        <v>256</v>
      </c>
      <c r="AO156" s="330" t="s">
        <v>257</v>
      </c>
      <c r="AP156" s="329"/>
      <c r="AQ156" s="354">
        <f t="shared" si="38"/>
        <v>0</v>
      </c>
      <c r="AR156" s="318" cm="1">
        <f t="array" ref="AR156">+SUMPRODUCT(IF('Consolidado Costos'!$K$6:$K$158=$AN156,('Consolidado Costos'!AE$6:AE$158*'Consolidado Costos'!$E$6:$E$158),0))</f>
        <v>0</v>
      </c>
      <c r="AS156" s="318" cm="1">
        <f t="array" ref="AS156">+SUMPRODUCT(IF('Consolidado Costos'!$K$6:$K$158=$AN156,('Consolidado Costos'!AF$6:AF$158*'Consolidado Costos'!$E$6:$E$158),0))</f>
        <v>0</v>
      </c>
      <c r="AT156" s="318" cm="1">
        <f t="array" ref="AT156">+SUMPRODUCT(IF('Consolidado Costos'!$K$6:$K$158=$AN156,('Consolidado Costos'!AG$6:AG$158*'Consolidado Costos'!$E$6:$E$158),0))</f>
        <v>0</v>
      </c>
      <c r="AU156" s="318" cm="1">
        <f t="array" ref="AU156">+SUMPRODUCT(IF('Consolidado Costos'!$K$6:$K$158=$AN156,('Consolidado Costos'!AH$6:AH$158*'Consolidado Costos'!$E$6:$E$158),0))</f>
        <v>0</v>
      </c>
      <c r="AV156" s="318" cm="1">
        <f t="array" ref="AV156">+SUMPRODUCT(IF('Consolidado Costos'!$K$6:$K$158=$AN156,('Consolidado Costos'!AI$6:AI$158*'Consolidado Costos'!$E$6:$E$158),0))</f>
        <v>0</v>
      </c>
      <c r="AW156" s="318" cm="1">
        <f t="array" ref="AW156">+SUMPRODUCT(IF('Consolidado Costos'!$K$6:$K$158=$AN156,('Consolidado Costos'!AJ$6:AJ$158*'Consolidado Costos'!$E$6:$E$158),0))</f>
        <v>0</v>
      </c>
      <c r="AX156" s="318" cm="1">
        <f t="array" ref="AX156">+SUMPRODUCT(IF('Consolidado Costos'!$K$6:$K$158=$AN156,('Consolidado Costos'!AK$6:AK$158*'Consolidado Costos'!$E$6:$E$158),0))</f>
        <v>0</v>
      </c>
      <c r="AY156" s="318" cm="1">
        <f t="array" ref="AY156">+SUMPRODUCT(IF('Consolidado Costos'!$K$6:$K$158=$AN156,('Consolidado Costos'!AL$6:AL$158*'Consolidado Costos'!$E$6:$E$158),0))</f>
        <v>0</v>
      </c>
      <c r="AZ156" s="318" cm="1">
        <f t="array" ref="AZ156">+SUMPRODUCT(IF('Consolidado Costos'!$K$6:$K$158=$AN156,('Consolidado Costos'!AM$6:AM$158*'Consolidado Costos'!$E$6:$E$158),0))</f>
        <v>0</v>
      </c>
      <c r="BA156" s="318" cm="1">
        <f t="array" ref="BA156">+SUMPRODUCT(IF('Consolidado Costos'!$K$6:$K$158=$AN156,('Consolidado Costos'!AN$6:AN$158*'Consolidado Costos'!$E$6:$E$158),0))</f>
        <v>0</v>
      </c>
      <c r="BB156" s="318" cm="1">
        <f t="array" ref="BB156">+SUMPRODUCT(IF('Consolidado Costos'!$K$6:$K$158=$AN156,('Consolidado Costos'!AO$6:AO$158*'Consolidado Costos'!$E$6:$E$158),0))</f>
        <v>0</v>
      </c>
      <c r="BC156" s="318" cm="1">
        <f t="array" ref="BC156">+SUMPRODUCT(IF('Consolidado Costos'!$K$6:$K$158=$AN156,('Consolidado Costos'!AP$6:AP$158*'Consolidado Costos'!$E$6:$E$158),0))</f>
        <v>0</v>
      </c>
      <c r="BE156" s="327"/>
      <c r="BF156" s="330" t="s">
        <v>256</v>
      </c>
      <c r="BG156" s="330" t="s">
        <v>257</v>
      </c>
      <c r="BH156" s="329"/>
      <c r="BI156" s="354">
        <f t="shared" si="39"/>
        <v>0</v>
      </c>
      <c r="BJ156" s="318" cm="1">
        <f t="array" ref="BJ156">+SUMPRODUCT(IF('Consolidado Costos'!$K$6:$K$158=$BF156,('Consolidado Costos'!AE$6:AE$158*'Consolidado Costos'!$F$6:$F$158),0))</f>
        <v>0</v>
      </c>
      <c r="BK156" s="318" cm="1">
        <f t="array" ref="BK156">+SUMPRODUCT(IF('Consolidado Costos'!$K$6:$K$158=$BF156,('Consolidado Costos'!AF$6:AF$158*'Consolidado Costos'!$F$6:$F$158),0))</f>
        <v>0</v>
      </c>
      <c r="BL156" s="318" cm="1">
        <f t="array" ref="BL156">+SUMPRODUCT(IF('Consolidado Costos'!$K$6:$K$158=$BF156,('Consolidado Costos'!AG$6:AG$158*'Consolidado Costos'!$F$6:$F$158),0))</f>
        <v>0</v>
      </c>
      <c r="BM156" s="318" cm="1">
        <f t="array" ref="BM156">+SUMPRODUCT(IF('Consolidado Costos'!$K$6:$K$158=$BF156,('Consolidado Costos'!AH$6:AH$158*'Consolidado Costos'!$F$6:$F$158),0))</f>
        <v>0</v>
      </c>
      <c r="BN156" s="318" cm="1">
        <f t="array" ref="BN156">+SUMPRODUCT(IF('Consolidado Costos'!$K$6:$K$158=$BF156,('Consolidado Costos'!AI$6:AI$158*'Consolidado Costos'!$F$6:$F$158),0))</f>
        <v>0</v>
      </c>
      <c r="BO156" s="318" cm="1">
        <f t="array" ref="BO156">+SUMPRODUCT(IF('Consolidado Costos'!$K$6:$K$158=$BF156,('Consolidado Costos'!AJ$6:AJ$158*'Consolidado Costos'!$F$6:$F$158),0))</f>
        <v>0</v>
      </c>
      <c r="BP156" s="318" cm="1">
        <f t="array" ref="BP156">+SUMPRODUCT(IF('Consolidado Costos'!$K$6:$K$158=$BF156,('Consolidado Costos'!AK$6:AK$158*'Consolidado Costos'!$F$6:$F$158),0))</f>
        <v>0</v>
      </c>
      <c r="BQ156" s="318" cm="1">
        <f t="array" ref="BQ156">+SUMPRODUCT(IF('Consolidado Costos'!$K$6:$K$158=$BF156,('Consolidado Costos'!AL$6:AL$158*'Consolidado Costos'!$F$6:$F$158),0))</f>
        <v>0</v>
      </c>
      <c r="BR156" s="318" cm="1">
        <f t="array" ref="BR156">+SUMPRODUCT(IF('Consolidado Costos'!$K$6:$K$158=$BF156,('Consolidado Costos'!AM$6:AM$158*'Consolidado Costos'!$F$6:$F$158),0))</f>
        <v>0</v>
      </c>
      <c r="BS156" s="318" cm="1">
        <f t="array" ref="BS156">+SUMPRODUCT(IF('Consolidado Costos'!$K$6:$K$158=$BF156,('Consolidado Costos'!AN$6:AN$158*'Consolidado Costos'!$F$6:$F$158),0))</f>
        <v>0</v>
      </c>
      <c r="BT156" s="318" cm="1">
        <f t="array" ref="BT156">+SUMPRODUCT(IF('Consolidado Costos'!$K$6:$K$158=$BF156,('Consolidado Costos'!AO$6:AO$158*'Consolidado Costos'!$F$6:$F$158),0))</f>
        <v>0</v>
      </c>
      <c r="BU156" s="318" cm="1">
        <f t="array" ref="BU156">+SUMPRODUCT(IF('Consolidado Costos'!$K$6:$K$158=$BF156,('Consolidado Costos'!AP$6:AP$158*'Consolidado Costos'!$F$6:$F$158),0))</f>
        <v>0</v>
      </c>
      <c r="BW156" s="327"/>
      <c r="BX156" s="330" t="s">
        <v>256</v>
      </c>
      <c r="BY156" s="330" t="s">
        <v>257</v>
      </c>
      <c r="BZ156" s="329"/>
      <c r="CA156" s="354">
        <f t="shared" si="40"/>
        <v>0</v>
      </c>
      <c r="CB156" s="318" cm="1">
        <f t="array" ref="CB156">+SUMPRODUCT(IF('Consolidado Costos'!$K$6:$K$158=$BX156,('Consolidado Costos'!AE$6:AE$158*'Consolidado Costos'!$G$6:$G$158),0))</f>
        <v>0</v>
      </c>
      <c r="CC156" s="318" cm="1">
        <f t="array" ref="CC156">+SUMPRODUCT(IF('Consolidado Costos'!$K$6:$K$158=$BX156,('Consolidado Costos'!AF$6:AF$158*'Consolidado Costos'!$G$6:$G$158),0))</f>
        <v>0</v>
      </c>
      <c r="CD156" s="318" cm="1">
        <f t="array" ref="CD156">+SUMPRODUCT(IF('Consolidado Costos'!$K$6:$K$158=$BX156,('Consolidado Costos'!AG$6:AG$158*'Consolidado Costos'!$G$6:$G$158),0))</f>
        <v>0</v>
      </c>
      <c r="CE156" s="318" cm="1">
        <f t="array" ref="CE156">+SUMPRODUCT(IF('Consolidado Costos'!$K$6:$K$158=$BX156,('Consolidado Costos'!AH$6:AH$158*'Consolidado Costos'!$G$6:$G$158),0))</f>
        <v>0</v>
      </c>
      <c r="CF156" s="318" cm="1">
        <f t="array" ref="CF156">+SUMPRODUCT(IF('Consolidado Costos'!$K$6:$K$158=$BX156,('Consolidado Costos'!AI$6:AI$158*'Consolidado Costos'!$G$6:$G$158),0))</f>
        <v>0</v>
      </c>
      <c r="CG156" s="318" cm="1">
        <f t="array" ref="CG156">+SUMPRODUCT(IF('Consolidado Costos'!$K$6:$K$158=$BX156,('Consolidado Costos'!AJ$6:AJ$158*'Consolidado Costos'!$G$6:$G$158),0))</f>
        <v>0</v>
      </c>
      <c r="CH156" s="318" cm="1">
        <f t="array" ref="CH156">+SUMPRODUCT(IF('Consolidado Costos'!$K$6:$K$158=$BX156,('Consolidado Costos'!AK$6:AK$158*'Consolidado Costos'!$G$6:$G$158),0))</f>
        <v>0</v>
      </c>
      <c r="CI156" s="318" cm="1">
        <f t="array" ref="CI156">+SUMPRODUCT(IF('Consolidado Costos'!$K$6:$K$158=$BX156,('Consolidado Costos'!AL$6:AL$158*'Consolidado Costos'!$G$6:$G$158),0))</f>
        <v>0</v>
      </c>
      <c r="CJ156" s="318" cm="1">
        <f t="array" ref="CJ156">+SUMPRODUCT(IF('Consolidado Costos'!$K$6:$K$158=$BX156,('Consolidado Costos'!AM$6:AM$158*'Consolidado Costos'!$G$6:$G$158),0))</f>
        <v>0</v>
      </c>
      <c r="CK156" s="318" cm="1">
        <f t="array" ref="CK156">+SUMPRODUCT(IF('Consolidado Costos'!$K$6:$K$158=$BX156,('Consolidado Costos'!AN$6:AN$158*'Consolidado Costos'!$G$6:$G$158),0))</f>
        <v>0</v>
      </c>
      <c r="CL156" s="318" cm="1">
        <f t="array" ref="CL156">+SUMPRODUCT(IF('Consolidado Costos'!$K$6:$K$158=$BX156,('Consolidado Costos'!AO$6:AO$158*'Consolidado Costos'!$G$6:$G$158),0))</f>
        <v>0</v>
      </c>
      <c r="CM156" s="318" cm="1">
        <f t="array" ref="CM156">+SUMPRODUCT(IF('Consolidado Costos'!$K$6:$K$158=$BX156,('Consolidado Costos'!AP$6:AP$158*'Consolidado Costos'!$G$6:$G$158),0))</f>
        <v>0</v>
      </c>
      <c r="CN156" s="357">
        <f t="shared" si="10"/>
        <v>1</v>
      </c>
    </row>
    <row r="157" spans="2:92" s="310" customFormat="1" outlineLevel="1">
      <c r="B157" s="327"/>
      <c r="C157" s="330" t="s">
        <v>553</v>
      </c>
      <c r="D157" s="330" t="s">
        <v>554</v>
      </c>
      <c r="E157" s="329"/>
      <c r="F157" s="318">
        <f>+SUMIF('Consolidado Costos'!$K$6:$K$158,$C157,'Consolidado Costos'!$AD$6:$AD$158)</f>
        <v>0</v>
      </c>
      <c r="G157" s="318">
        <f>+SUMIF('Consolidado Costos'!$K$6:$K$158,$C157,'Consolidado Costos'!AE$6:AE$158)</f>
        <v>0</v>
      </c>
      <c r="H157" s="318">
        <f>+SUMIF('Consolidado Costos'!$K$6:$K$158,$C157,'Consolidado Costos'!AF$6:AF$158)</f>
        <v>0</v>
      </c>
      <c r="I157" s="318">
        <f>+SUMIF('Consolidado Costos'!$K$6:$K$158,$C157,'Consolidado Costos'!AG$6:AG$158)</f>
        <v>0</v>
      </c>
      <c r="J157" s="318">
        <f>+SUMIF('Consolidado Costos'!$K$6:$K$158,$C157,'Consolidado Costos'!AH$6:AH$158)</f>
        <v>0</v>
      </c>
      <c r="K157" s="318">
        <f>+SUMIF('Consolidado Costos'!$K$6:$K$158,$C157,'Consolidado Costos'!AI$6:AI$158)</f>
        <v>0</v>
      </c>
      <c r="L157" s="318">
        <f>+SUMIF('Consolidado Costos'!$K$6:$K$158,$C157,'Consolidado Costos'!AJ$6:AJ$158)</f>
        <v>0</v>
      </c>
      <c r="M157" s="318">
        <f>+SUMIF('Consolidado Costos'!$K$6:$K$158,$C157,'Consolidado Costos'!AK$6:AK$158)</f>
        <v>0</v>
      </c>
      <c r="N157" s="318">
        <f>+SUMIF('Consolidado Costos'!$K$6:$K$158,$C157,'Consolidado Costos'!AL$6:AL$158)</f>
        <v>0</v>
      </c>
      <c r="O157" s="318">
        <f>+SUMIF('Consolidado Costos'!$K$6:$K$158,$C157,'Consolidado Costos'!AM$6:AM$158)</f>
        <v>0</v>
      </c>
      <c r="P157" s="318">
        <f>+SUMIF('Consolidado Costos'!$K$6:$K$158,$C157,'Consolidado Costos'!AN$6:AN$158)</f>
        <v>0</v>
      </c>
      <c r="Q157" s="318">
        <f>+SUMIF('Consolidado Costos'!$K$6:$K$158,$C157,'Consolidado Costos'!AO$6:AO$158)</f>
        <v>0</v>
      </c>
      <c r="R157" s="318">
        <f>+SUMIF('Consolidado Costos'!$K$6:$K$158,$C157,'Consolidado Costos'!AP$6:AP$158)</f>
        <v>0</v>
      </c>
      <c r="S157" s="357">
        <f t="shared" si="5"/>
        <v>1</v>
      </c>
      <c r="U157" s="327"/>
      <c r="V157" s="330" t="s">
        <v>553</v>
      </c>
      <c r="W157" s="330" t="s">
        <v>554</v>
      </c>
      <c r="X157" s="329"/>
      <c r="Y157" s="354">
        <f t="shared" si="37"/>
        <v>0</v>
      </c>
      <c r="Z157" s="318" cm="1">
        <f t="array" ref="Z157">+SUMPRODUCT(IF('Consolidado Costos'!$K$6:$K$158=$V157,('Consolidado Costos'!AE$6:AE$158*'Consolidado Costos'!$D$6:$D$158),0))</f>
        <v>0</v>
      </c>
      <c r="AA157" s="318" cm="1">
        <f t="array" ref="AA157">+SUMPRODUCT(IF('Consolidado Costos'!$K$6:$K$158=$V157,('Consolidado Costos'!AF$6:AF$158*'Consolidado Costos'!$D$6:$D$158),0))</f>
        <v>0</v>
      </c>
      <c r="AB157" s="318" cm="1">
        <f t="array" ref="AB157">+SUMPRODUCT(IF('Consolidado Costos'!$K$6:$K$158=$V157,('Consolidado Costos'!AG$6:AG$158*'Consolidado Costos'!$D$6:$D$158),0))</f>
        <v>0</v>
      </c>
      <c r="AC157" s="318" cm="1">
        <f t="array" ref="AC157">+SUMPRODUCT(IF('Consolidado Costos'!$K$6:$K$158=$V157,('Consolidado Costos'!AH$6:AH$158*'Consolidado Costos'!$D$6:$D$158),0))</f>
        <v>0</v>
      </c>
      <c r="AD157" s="318" cm="1">
        <f t="array" ref="AD157">+SUMPRODUCT(IF('Consolidado Costos'!$K$6:$K$158=$V157,('Consolidado Costos'!AI$6:AI$158*'Consolidado Costos'!$D$6:$D$158),0))</f>
        <v>0</v>
      </c>
      <c r="AE157" s="318" cm="1">
        <f t="array" ref="AE157">+SUMPRODUCT(IF('Consolidado Costos'!$K$6:$K$158=$V157,('Consolidado Costos'!AJ$6:AJ$158*'Consolidado Costos'!$D$6:$D$158),0))</f>
        <v>0</v>
      </c>
      <c r="AF157" s="318" cm="1">
        <f t="array" ref="AF157">+SUMPRODUCT(IF('Consolidado Costos'!$K$6:$K$158=$V157,('Consolidado Costos'!AK$6:AK$158*'Consolidado Costos'!$D$6:$D$158),0))</f>
        <v>0</v>
      </c>
      <c r="AG157" s="318" cm="1">
        <f t="array" ref="AG157">+SUMPRODUCT(IF('Consolidado Costos'!$K$6:$K$158=$V157,('Consolidado Costos'!AL$6:AL$158*'Consolidado Costos'!$D$6:$D$158),0))</f>
        <v>0</v>
      </c>
      <c r="AH157" s="318" cm="1">
        <f t="array" ref="AH157">+SUMPRODUCT(IF('Consolidado Costos'!$K$6:$K$158=$V157,('Consolidado Costos'!AM$6:AM$158*'Consolidado Costos'!$D$6:$D$158),0))</f>
        <v>0</v>
      </c>
      <c r="AI157" s="318" cm="1">
        <f t="array" ref="AI157">+SUMPRODUCT(IF('Consolidado Costos'!$K$6:$K$158=$V157,('Consolidado Costos'!AN$6:AN$158*'Consolidado Costos'!$D$6:$D$158),0))</f>
        <v>0</v>
      </c>
      <c r="AJ157" s="318" cm="1">
        <f t="array" ref="AJ157">+SUMPRODUCT(IF('Consolidado Costos'!$K$6:$K$158=$V157,('Consolidado Costos'!AO$6:AO$158*'Consolidado Costos'!$D$6:$D$158),0))</f>
        <v>0</v>
      </c>
      <c r="AK157" s="318" cm="1">
        <f t="array" ref="AK157">+SUMPRODUCT(IF('Consolidado Costos'!$K$6:$K$158=$V157,('Consolidado Costos'!AP$6:AP$158*'Consolidado Costos'!$D$6:$D$158),0))</f>
        <v>0</v>
      </c>
      <c r="AM157" s="327"/>
      <c r="AN157" s="330" t="s">
        <v>553</v>
      </c>
      <c r="AO157" s="330" t="s">
        <v>554</v>
      </c>
      <c r="AP157" s="329"/>
      <c r="AQ157" s="354">
        <f t="shared" si="38"/>
        <v>0</v>
      </c>
      <c r="AR157" s="318" cm="1">
        <f t="array" ref="AR157">+SUMPRODUCT(IF('Consolidado Costos'!$K$6:$K$158=$AN157,('Consolidado Costos'!AE$6:AE$158*'Consolidado Costos'!$E$6:$E$158),0))</f>
        <v>0</v>
      </c>
      <c r="AS157" s="318" cm="1">
        <f t="array" ref="AS157">+SUMPRODUCT(IF('Consolidado Costos'!$K$6:$K$158=$AN157,('Consolidado Costos'!AF$6:AF$158*'Consolidado Costos'!$E$6:$E$158),0))</f>
        <v>0</v>
      </c>
      <c r="AT157" s="318" cm="1">
        <f t="array" ref="AT157">+SUMPRODUCT(IF('Consolidado Costos'!$K$6:$K$158=$AN157,('Consolidado Costos'!AG$6:AG$158*'Consolidado Costos'!$E$6:$E$158),0))</f>
        <v>0</v>
      </c>
      <c r="AU157" s="318" cm="1">
        <f t="array" ref="AU157">+SUMPRODUCT(IF('Consolidado Costos'!$K$6:$K$158=$AN157,('Consolidado Costos'!AH$6:AH$158*'Consolidado Costos'!$E$6:$E$158),0))</f>
        <v>0</v>
      </c>
      <c r="AV157" s="318" cm="1">
        <f t="array" ref="AV157">+SUMPRODUCT(IF('Consolidado Costos'!$K$6:$K$158=$AN157,('Consolidado Costos'!AI$6:AI$158*'Consolidado Costos'!$E$6:$E$158),0))</f>
        <v>0</v>
      </c>
      <c r="AW157" s="318" cm="1">
        <f t="array" ref="AW157">+SUMPRODUCT(IF('Consolidado Costos'!$K$6:$K$158=$AN157,('Consolidado Costos'!AJ$6:AJ$158*'Consolidado Costos'!$E$6:$E$158),0))</f>
        <v>0</v>
      </c>
      <c r="AX157" s="318" cm="1">
        <f t="array" ref="AX157">+SUMPRODUCT(IF('Consolidado Costos'!$K$6:$K$158=$AN157,('Consolidado Costos'!AK$6:AK$158*'Consolidado Costos'!$E$6:$E$158),0))</f>
        <v>0</v>
      </c>
      <c r="AY157" s="318" cm="1">
        <f t="array" ref="AY157">+SUMPRODUCT(IF('Consolidado Costos'!$K$6:$K$158=$AN157,('Consolidado Costos'!AL$6:AL$158*'Consolidado Costos'!$E$6:$E$158),0))</f>
        <v>0</v>
      </c>
      <c r="AZ157" s="318" cm="1">
        <f t="array" ref="AZ157">+SUMPRODUCT(IF('Consolidado Costos'!$K$6:$K$158=$AN157,('Consolidado Costos'!AM$6:AM$158*'Consolidado Costos'!$E$6:$E$158),0))</f>
        <v>0</v>
      </c>
      <c r="BA157" s="318" cm="1">
        <f t="array" ref="BA157">+SUMPRODUCT(IF('Consolidado Costos'!$K$6:$K$158=$AN157,('Consolidado Costos'!AN$6:AN$158*'Consolidado Costos'!$E$6:$E$158),0))</f>
        <v>0</v>
      </c>
      <c r="BB157" s="318" cm="1">
        <f t="array" ref="BB157">+SUMPRODUCT(IF('Consolidado Costos'!$K$6:$K$158=$AN157,('Consolidado Costos'!AO$6:AO$158*'Consolidado Costos'!$E$6:$E$158),0))</f>
        <v>0</v>
      </c>
      <c r="BC157" s="318" cm="1">
        <f t="array" ref="BC157">+SUMPRODUCT(IF('Consolidado Costos'!$K$6:$K$158=$AN157,('Consolidado Costos'!AP$6:AP$158*'Consolidado Costos'!$E$6:$E$158),0))</f>
        <v>0</v>
      </c>
      <c r="BE157" s="327"/>
      <c r="BF157" s="330" t="s">
        <v>553</v>
      </c>
      <c r="BG157" s="330" t="s">
        <v>554</v>
      </c>
      <c r="BH157" s="329"/>
      <c r="BI157" s="354">
        <f t="shared" si="39"/>
        <v>0</v>
      </c>
      <c r="BJ157" s="318" cm="1">
        <f t="array" ref="BJ157">+SUMPRODUCT(IF('Consolidado Costos'!$K$6:$K$158=$BF157,('Consolidado Costos'!AE$6:AE$158*'Consolidado Costos'!$F$6:$F$158),0))</f>
        <v>0</v>
      </c>
      <c r="BK157" s="318" cm="1">
        <f t="array" ref="BK157">+SUMPRODUCT(IF('Consolidado Costos'!$K$6:$K$158=$BF157,('Consolidado Costos'!AF$6:AF$158*'Consolidado Costos'!$F$6:$F$158),0))</f>
        <v>0</v>
      </c>
      <c r="BL157" s="318" cm="1">
        <f t="array" ref="BL157">+SUMPRODUCT(IF('Consolidado Costos'!$K$6:$K$158=$BF157,('Consolidado Costos'!AG$6:AG$158*'Consolidado Costos'!$F$6:$F$158),0))</f>
        <v>0</v>
      </c>
      <c r="BM157" s="318" cm="1">
        <f t="array" ref="BM157">+SUMPRODUCT(IF('Consolidado Costos'!$K$6:$K$158=$BF157,('Consolidado Costos'!AH$6:AH$158*'Consolidado Costos'!$F$6:$F$158),0))</f>
        <v>0</v>
      </c>
      <c r="BN157" s="318" cm="1">
        <f t="array" ref="BN157">+SUMPRODUCT(IF('Consolidado Costos'!$K$6:$K$158=$BF157,('Consolidado Costos'!AI$6:AI$158*'Consolidado Costos'!$F$6:$F$158),0))</f>
        <v>0</v>
      </c>
      <c r="BO157" s="318" cm="1">
        <f t="array" ref="BO157">+SUMPRODUCT(IF('Consolidado Costos'!$K$6:$K$158=$BF157,('Consolidado Costos'!AJ$6:AJ$158*'Consolidado Costos'!$F$6:$F$158),0))</f>
        <v>0</v>
      </c>
      <c r="BP157" s="318" cm="1">
        <f t="array" ref="BP157">+SUMPRODUCT(IF('Consolidado Costos'!$K$6:$K$158=$BF157,('Consolidado Costos'!AK$6:AK$158*'Consolidado Costos'!$F$6:$F$158),0))</f>
        <v>0</v>
      </c>
      <c r="BQ157" s="318" cm="1">
        <f t="array" ref="BQ157">+SUMPRODUCT(IF('Consolidado Costos'!$K$6:$K$158=$BF157,('Consolidado Costos'!AL$6:AL$158*'Consolidado Costos'!$F$6:$F$158),0))</f>
        <v>0</v>
      </c>
      <c r="BR157" s="318" cm="1">
        <f t="array" ref="BR157">+SUMPRODUCT(IF('Consolidado Costos'!$K$6:$K$158=$BF157,('Consolidado Costos'!AM$6:AM$158*'Consolidado Costos'!$F$6:$F$158),0))</f>
        <v>0</v>
      </c>
      <c r="BS157" s="318" cm="1">
        <f t="array" ref="BS157">+SUMPRODUCT(IF('Consolidado Costos'!$K$6:$K$158=$BF157,('Consolidado Costos'!AN$6:AN$158*'Consolidado Costos'!$F$6:$F$158),0))</f>
        <v>0</v>
      </c>
      <c r="BT157" s="318" cm="1">
        <f t="array" ref="BT157">+SUMPRODUCT(IF('Consolidado Costos'!$K$6:$K$158=$BF157,('Consolidado Costos'!AO$6:AO$158*'Consolidado Costos'!$F$6:$F$158),0))</f>
        <v>0</v>
      </c>
      <c r="BU157" s="318" cm="1">
        <f t="array" ref="BU157">+SUMPRODUCT(IF('Consolidado Costos'!$K$6:$K$158=$BF157,('Consolidado Costos'!AP$6:AP$158*'Consolidado Costos'!$F$6:$F$158),0))</f>
        <v>0</v>
      </c>
      <c r="BW157" s="327"/>
      <c r="BX157" s="330" t="s">
        <v>553</v>
      </c>
      <c r="BY157" s="330" t="s">
        <v>554</v>
      </c>
      <c r="BZ157" s="329"/>
      <c r="CA157" s="354">
        <f t="shared" si="40"/>
        <v>0</v>
      </c>
      <c r="CB157" s="318" cm="1">
        <f t="array" ref="CB157">+SUMPRODUCT(IF('Consolidado Costos'!$K$6:$K$158=$BX157,('Consolidado Costos'!AE$6:AE$158*'Consolidado Costos'!$G$6:$G$158),0))</f>
        <v>0</v>
      </c>
      <c r="CC157" s="318" cm="1">
        <f t="array" ref="CC157">+SUMPRODUCT(IF('Consolidado Costos'!$K$6:$K$158=$BX157,('Consolidado Costos'!AF$6:AF$158*'Consolidado Costos'!$G$6:$G$158),0))</f>
        <v>0</v>
      </c>
      <c r="CD157" s="318" cm="1">
        <f t="array" ref="CD157">+SUMPRODUCT(IF('Consolidado Costos'!$K$6:$K$158=$BX157,('Consolidado Costos'!AG$6:AG$158*'Consolidado Costos'!$G$6:$G$158),0))</f>
        <v>0</v>
      </c>
      <c r="CE157" s="318" cm="1">
        <f t="array" ref="CE157">+SUMPRODUCT(IF('Consolidado Costos'!$K$6:$K$158=$BX157,('Consolidado Costos'!AH$6:AH$158*'Consolidado Costos'!$G$6:$G$158),0))</f>
        <v>0</v>
      </c>
      <c r="CF157" s="318" cm="1">
        <f t="array" ref="CF157">+SUMPRODUCT(IF('Consolidado Costos'!$K$6:$K$158=$BX157,('Consolidado Costos'!AI$6:AI$158*'Consolidado Costos'!$G$6:$G$158),0))</f>
        <v>0</v>
      </c>
      <c r="CG157" s="318" cm="1">
        <f t="array" ref="CG157">+SUMPRODUCT(IF('Consolidado Costos'!$K$6:$K$158=$BX157,('Consolidado Costos'!AJ$6:AJ$158*'Consolidado Costos'!$G$6:$G$158),0))</f>
        <v>0</v>
      </c>
      <c r="CH157" s="318" cm="1">
        <f t="array" ref="CH157">+SUMPRODUCT(IF('Consolidado Costos'!$K$6:$K$158=$BX157,('Consolidado Costos'!AK$6:AK$158*'Consolidado Costos'!$G$6:$G$158),0))</f>
        <v>0</v>
      </c>
      <c r="CI157" s="318" cm="1">
        <f t="array" ref="CI157">+SUMPRODUCT(IF('Consolidado Costos'!$K$6:$K$158=$BX157,('Consolidado Costos'!AL$6:AL$158*'Consolidado Costos'!$G$6:$G$158),0))</f>
        <v>0</v>
      </c>
      <c r="CJ157" s="318" cm="1">
        <f t="array" ref="CJ157">+SUMPRODUCT(IF('Consolidado Costos'!$K$6:$K$158=$BX157,('Consolidado Costos'!AM$6:AM$158*'Consolidado Costos'!$G$6:$G$158),0))</f>
        <v>0</v>
      </c>
      <c r="CK157" s="318" cm="1">
        <f t="array" ref="CK157">+SUMPRODUCT(IF('Consolidado Costos'!$K$6:$K$158=$BX157,('Consolidado Costos'!AN$6:AN$158*'Consolidado Costos'!$G$6:$G$158),0))</f>
        <v>0</v>
      </c>
      <c r="CL157" s="318" cm="1">
        <f t="array" ref="CL157">+SUMPRODUCT(IF('Consolidado Costos'!$K$6:$K$158=$BX157,('Consolidado Costos'!AO$6:AO$158*'Consolidado Costos'!$G$6:$G$158),0))</f>
        <v>0</v>
      </c>
      <c r="CM157" s="318" cm="1">
        <f t="array" ref="CM157">+SUMPRODUCT(IF('Consolidado Costos'!$K$6:$K$158=$BX157,('Consolidado Costos'!AP$6:AP$158*'Consolidado Costos'!$G$6:$G$158),0))</f>
        <v>0</v>
      </c>
      <c r="CN157" s="357">
        <f t="shared" si="10"/>
        <v>1</v>
      </c>
    </row>
    <row r="158" spans="2:92" s="310" customFormat="1" outlineLevel="1">
      <c r="B158" s="327"/>
      <c r="C158" s="328" t="s">
        <v>555</v>
      </c>
      <c r="D158" s="328" t="s">
        <v>556</v>
      </c>
      <c r="E158" s="329"/>
      <c r="F158" s="318">
        <f>+SUMIF('Consolidado Costos'!$K$6:$K$158,$C158,'Consolidado Costos'!$AD$6:$AD$158)</f>
        <v>0</v>
      </c>
      <c r="G158" s="318">
        <f>+SUMIF('Consolidado Costos'!$K$6:$K$158,$C158,'Consolidado Costos'!AE$6:AE$158)</f>
        <v>0</v>
      </c>
      <c r="H158" s="318">
        <f>+SUMIF('Consolidado Costos'!$K$6:$K$158,$C158,'Consolidado Costos'!AF$6:AF$158)</f>
        <v>0</v>
      </c>
      <c r="I158" s="318">
        <f>+SUMIF('Consolidado Costos'!$K$6:$K$158,$C158,'Consolidado Costos'!AG$6:AG$158)</f>
        <v>0</v>
      </c>
      <c r="J158" s="318">
        <f>+SUMIF('Consolidado Costos'!$K$6:$K$158,$C158,'Consolidado Costos'!AH$6:AH$158)</f>
        <v>0</v>
      </c>
      <c r="K158" s="318">
        <f>+SUMIF('Consolidado Costos'!$K$6:$K$158,$C158,'Consolidado Costos'!AI$6:AI$158)</f>
        <v>0</v>
      </c>
      <c r="L158" s="318">
        <f>+SUMIF('Consolidado Costos'!$K$6:$K$158,$C158,'Consolidado Costos'!AJ$6:AJ$158)</f>
        <v>0</v>
      </c>
      <c r="M158" s="318">
        <f>+SUMIF('Consolidado Costos'!$K$6:$K$158,$C158,'Consolidado Costos'!AK$6:AK$158)</f>
        <v>0</v>
      </c>
      <c r="N158" s="318">
        <f>+SUMIF('Consolidado Costos'!$K$6:$K$158,$C158,'Consolidado Costos'!AL$6:AL$158)</f>
        <v>0</v>
      </c>
      <c r="O158" s="318">
        <f>+SUMIF('Consolidado Costos'!$K$6:$K$158,$C158,'Consolidado Costos'!AM$6:AM$158)</f>
        <v>0</v>
      </c>
      <c r="P158" s="318">
        <f>+SUMIF('Consolidado Costos'!$K$6:$K$158,$C158,'Consolidado Costos'!AN$6:AN$158)</f>
        <v>0</v>
      </c>
      <c r="Q158" s="318">
        <f>+SUMIF('Consolidado Costos'!$K$6:$K$158,$C158,'Consolidado Costos'!AO$6:AO$158)</f>
        <v>0</v>
      </c>
      <c r="R158" s="318">
        <f>+SUMIF('Consolidado Costos'!$K$6:$K$158,$C158,'Consolidado Costos'!AP$6:AP$158)</f>
        <v>0</v>
      </c>
      <c r="S158" s="357">
        <f t="shared" si="5"/>
        <v>1</v>
      </c>
      <c r="U158" s="327"/>
      <c r="V158" s="328" t="s">
        <v>555</v>
      </c>
      <c r="W158" s="328" t="s">
        <v>556</v>
      </c>
      <c r="X158" s="329"/>
      <c r="Y158" s="354">
        <f t="shared" si="37"/>
        <v>0</v>
      </c>
      <c r="Z158" s="318" cm="1">
        <f t="array" ref="Z158">+SUMPRODUCT(IF('Consolidado Costos'!$K$6:$K$158=$V158,('Consolidado Costos'!AE$6:AE$158*'Consolidado Costos'!$D$6:$D$158),0))</f>
        <v>0</v>
      </c>
      <c r="AA158" s="318" cm="1">
        <f t="array" ref="AA158">+SUMPRODUCT(IF('Consolidado Costos'!$K$6:$K$158=$V158,('Consolidado Costos'!AF$6:AF$158*'Consolidado Costos'!$D$6:$D$158),0))</f>
        <v>0</v>
      </c>
      <c r="AB158" s="318" cm="1">
        <f t="array" ref="AB158">+SUMPRODUCT(IF('Consolidado Costos'!$K$6:$K$158=$V158,('Consolidado Costos'!AG$6:AG$158*'Consolidado Costos'!$D$6:$D$158),0))</f>
        <v>0</v>
      </c>
      <c r="AC158" s="318" cm="1">
        <f t="array" ref="AC158">+SUMPRODUCT(IF('Consolidado Costos'!$K$6:$K$158=$V158,('Consolidado Costos'!AH$6:AH$158*'Consolidado Costos'!$D$6:$D$158),0))</f>
        <v>0</v>
      </c>
      <c r="AD158" s="318" cm="1">
        <f t="array" ref="AD158">+SUMPRODUCT(IF('Consolidado Costos'!$K$6:$K$158=$V158,('Consolidado Costos'!AI$6:AI$158*'Consolidado Costos'!$D$6:$D$158),0))</f>
        <v>0</v>
      </c>
      <c r="AE158" s="318" cm="1">
        <f t="array" ref="AE158">+SUMPRODUCT(IF('Consolidado Costos'!$K$6:$K$158=$V158,('Consolidado Costos'!AJ$6:AJ$158*'Consolidado Costos'!$D$6:$D$158),0))</f>
        <v>0</v>
      </c>
      <c r="AF158" s="318" cm="1">
        <f t="array" ref="AF158">+SUMPRODUCT(IF('Consolidado Costos'!$K$6:$K$158=$V158,('Consolidado Costos'!AK$6:AK$158*'Consolidado Costos'!$D$6:$D$158),0))</f>
        <v>0</v>
      </c>
      <c r="AG158" s="318" cm="1">
        <f t="array" ref="AG158">+SUMPRODUCT(IF('Consolidado Costos'!$K$6:$K$158=$V158,('Consolidado Costos'!AL$6:AL$158*'Consolidado Costos'!$D$6:$D$158),0))</f>
        <v>0</v>
      </c>
      <c r="AH158" s="318" cm="1">
        <f t="array" ref="AH158">+SUMPRODUCT(IF('Consolidado Costos'!$K$6:$K$158=$V158,('Consolidado Costos'!AM$6:AM$158*'Consolidado Costos'!$D$6:$D$158),0))</f>
        <v>0</v>
      </c>
      <c r="AI158" s="318" cm="1">
        <f t="array" ref="AI158">+SUMPRODUCT(IF('Consolidado Costos'!$K$6:$K$158=$V158,('Consolidado Costos'!AN$6:AN$158*'Consolidado Costos'!$D$6:$D$158),0))</f>
        <v>0</v>
      </c>
      <c r="AJ158" s="318" cm="1">
        <f t="array" ref="AJ158">+SUMPRODUCT(IF('Consolidado Costos'!$K$6:$K$158=$V158,('Consolidado Costos'!AO$6:AO$158*'Consolidado Costos'!$D$6:$D$158),0))</f>
        <v>0</v>
      </c>
      <c r="AK158" s="318" cm="1">
        <f t="array" ref="AK158">+SUMPRODUCT(IF('Consolidado Costos'!$K$6:$K$158=$V158,('Consolidado Costos'!AP$6:AP$158*'Consolidado Costos'!$D$6:$D$158),0))</f>
        <v>0</v>
      </c>
      <c r="AM158" s="327"/>
      <c r="AN158" s="328" t="s">
        <v>555</v>
      </c>
      <c r="AO158" s="328" t="s">
        <v>556</v>
      </c>
      <c r="AP158" s="329"/>
      <c r="AQ158" s="354">
        <f t="shared" si="38"/>
        <v>0</v>
      </c>
      <c r="AR158" s="318" cm="1">
        <f t="array" ref="AR158">+SUMPRODUCT(IF('Consolidado Costos'!$K$6:$K$158=$AN158,('Consolidado Costos'!AE$6:AE$158*'Consolidado Costos'!$E$6:$E$158),0))</f>
        <v>0</v>
      </c>
      <c r="AS158" s="318" cm="1">
        <f t="array" ref="AS158">+SUMPRODUCT(IF('Consolidado Costos'!$K$6:$K$158=$AN158,('Consolidado Costos'!AF$6:AF$158*'Consolidado Costos'!$E$6:$E$158),0))</f>
        <v>0</v>
      </c>
      <c r="AT158" s="318" cm="1">
        <f t="array" ref="AT158">+SUMPRODUCT(IF('Consolidado Costos'!$K$6:$K$158=$AN158,('Consolidado Costos'!AG$6:AG$158*'Consolidado Costos'!$E$6:$E$158),0))</f>
        <v>0</v>
      </c>
      <c r="AU158" s="318" cm="1">
        <f t="array" ref="AU158">+SUMPRODUCT(IF('Consolidado Costos'!$K$6:$K$158=$AN158,('Consolidado Costos'!AH$6:AH$158*'Consolidado Costos'!$E$6:$E$158),0))</f>
        <v>0</v>
      </c>
      <c r="AV158" s="318" cm="1">
        <f t="array" ref="AV158">+SUMPRODUCT(IF('Consolidado Costos'!$K$6:$K$158=$AN158,('Consolidado Costos'!AI$6:AI$158*'Consolidado Costos'!$E$6:$E$158),0))</f>
        <v>0</v>
      </c>
      <c r="AW158" s="318" cm="1">
        <f t="array" ref="AW158">+SUMPRODUCT(IF('Consolidado Costos'!$K$6:$K$158=$AN158,('Consolidado Costos'!AJ$6:AJ$158*'Consolidado Costos'!$E$6:$E$158),0))</f>
        <v>0</v>
      </c>
      <c r="AX158" s="318" cm="1">
        <f t="array" ref="AX158">+SUMPRODUCT(IF('Consolidado Costos'!$K$6:$K$158=$AN158,('Consolidado Costos'!AK$6:AK$158*'Consolidado Costos'!$E$6:$E$158),0))</f>
        <v>0</v>
      </c>
      <c r="AY158" s="318" cm="1">
        <f t="array" ref="AY158">+SUMPRODUCT(IF('Consolidado Costos'!$K$6:$K$158=$AN158,('Consolidado Costos'!AL$6:AL$158*'Consolidado Costos'!$E$6:$E$158),0))</f>
        <v>0</v>
      </c>
      <c r="AZ158" s="318" cm="1">
        <f t="array" ref="AZ158">+SUMPRODUCT(IF('Consolidado Costos'!$K$6:$K$158=$AN158,('Consolidado Costos'!AM$6:AM$158*'Consolidado Costos'!$E$6:$E$158),0))</f>
        <v>0</v>
      </c>
      <c r="BA158" s="318" cm="1">
        <f t="array" ref="BA158">+SUMPRODUCT(IF('Consolidado Costos'!$K$6:$K$158=$AN158,('Consolidado Costos'!AN$6:AN$158*'Consolidado Costos'!$E$6:$E$158),0))</f>
        <v>0</v>
      </c>
      <c r="BB158" s="318" cm="1">
        <f t="array" ref="BB158">+SUMPRODUCT(IF('Consolidado Costos'!$K$6:$K$158=$AN158,('Consolidado Costos'!AO$6:AO$158*'Consolidado Costos'!$E$6:$E$158),0))</f>
        <v>0</v>
      </c>
      <c r="BC158" s="318" cm="1">
        <f t="array" ref="BC158">+SUMPRODUCT(IF('Consolidado Costos'!$K$6:$K$158=$AN158,('Consolidado Costos'!AP$6:AP$158*'Consolidado Costos'!$E$6:$E$158),0))</f>
        <v>0</v>
      </c>
      <c r="BE158" s="327"/>
      <c r="BF158" s="328" t="s">
        <v>555</v>
      </c>
      <c r="BG158" s="328" t="s">
        <v>556</v>
      </c>
      <c r="BH158" s="329"/>
      <c r="BI158" s="354">
        <f t="shared" si="39"/>
        <v>0</v>
      </c>
      <c r="BJ158" s="318" cm="1">
        <f t="array" ref="BJ158">+SUMPRODUCT(IF('Consolidado Costos'!$K$6:$K$158=$BF158,('Consolidado Costos'!AE$6:AE$158*'Consolidado Costos'!$F$6:$F$158),0))</f>
        <v>0</v>
      </c>
      <c r="BK158" s="318" cm="1">
        <f t="array" ref="BK158">+SUMPRODUCT(IF('Consolidado Costos'!$K$6:$K$158=$BF158,('Consolidado Costos'!AF$6:AF$158*'Consolidado Costos'!$F$6:$F$158),0))</f>
        <v>0</v>
      </c>
      <c r="BL158" s="318" cm="1">
        <f t="array" ref="BL158">+SUMPRODUCT(IF('Consolidado Costos'!$K$6:$K$158=$BF158,('Consolidado Costos'!AG$6:AG$158*'Consolidado Costos'!$F$6:$F$158),0))</f>
        <v>0</v>
      </c>
      <c r="BM158" s="318" cm="1">
        <f t="array" ref="BM158">+SUMPRODUCT(IF('Consolidado Costos'!$K$6:$K$158=$BF158,('Consolidado Costos'!AH$6:AH$158*'Consolidado Costos'!$F$6:$F$158),0))</f>
        <v>0</v>
      </c>
      <c r="BN158" s="318" cm="1">
        <f t="array" ref="BN158">+SUMPRODUCT(IF('Consolidado Costos'!$K$6:$K$158=$BF158,('Consolidado Costos'!AI$6:AI$158*'Consolidado Costos'!$F$6:$F$158),0))</f>
        <v>0</v>
      </c>
      <c r="BO158" s="318" cm="1">
        <f t="array" ref="BO158">+SUMPRODUCT(IF('Consolidado Costos'!$K$6:$K$158=$BF158,('Consolidado Costos'!AJ$6:AJ$158*'Consolidado Costos'!$F$6:$F$158),0))</f>
        <v>0</v>
      </c>
      <c r="BP158" s="318" cm="1">
        <f t="array" ref="BP158">+SUMPRODUCT(IF('Consolidado Costos'!$K$6:$K$158=$BF158,('Consolidado Costos'!AK$6:AK$158*'Consolidado Costos'!$F$6:$F$158),0))</f>
        <v>0</v>
      </c>
      <c r="BQ158" s="318" cm="1">
        <f t="array" ref="BQ158">+SUMPRODUCT(IF('Consolidado Costos'!$K$6:$K$158=$BF158,('Consolidado Costos'!AL$6:AL$158*'Consolidado Costos'!$F$6:$F$158),0))</f>
        <v>0</v>
      </c>
      <c r="BR158" s="318" cm="1">
        <f t="array" ref="BR158">+SUMPRODUCT(IF('Consolidado Costos'!$K$6:$K$158=$BF158,('Consolidado Costos'!AM$6:AM$158*'Consolidado Costos'!$F$6:$F$158),0))</f>
        <v>0</v>
      </c>
      <c r="BS158" s="318" cm="1">
        <f t="array" ref="BS158">+SUMPRODUCT(IF('Consolidado Costos'!$K$6:$K$158=$BF158,('Consolidado Costos'!AN$6:AN$158*'Consolidado Costos'!$F$6:$F$158),0))</f>
        <v>0</v>
      </c>
      <c r="BT158" s="318" cm="1">
        <f t="array" ref="BT158">+SUMPRODUCT(IF('Consolidado Costos'!$K$6:$K$158=$BF158,('Consolidado Costos'!AO$6:AO$158*'Consolidado Costos'!$F$6:$F$158),0))</f>
        <v>0</v>
      </c>
      <c r="BU158" s="318" cm="1">
        <f t="array" ref="BU158">+SUMPRODUCT(IF('Consolidado Costos'!$K$6:$K$158=$BF158,('Consolidado Costos'!AP$6:AP$158*'Consolidado Costos'!$F$6:$F$158),0))</f>
        <v>0</v>
      </c>
      <c r="BW158" s="327"/>
      <c r="BX158" s="328" t="s">
        <v>555</v>
      </c>
      <c r="BY158" s="328" t="s">
        <v>556</v>
      </c>
      <c r="BZ158" s="329"/>
      <c r="CA158" s="354">
        <f t="shared" si="40"/>
        <v>0</v>
      </c>
      <c r="CB158" s="318" cm="1">
        <f t="array" ref="CB158">+SUMPRODUCT(IF('Consolidado Costos'!$K$6:$K$158=$BX158,('Consolidado Costos'!AE$6:AE$158*'Consolidado Costos'!$G$6:$G$158),0))</f>
        <v>0</v>
      </c>
      <c r="CC158" s="318" cm="1">
        <f t="array" ref="CC158">+SUMPRODUCT(IF('Consolidado Costos'!$K$6:$K$158=$BX158,('Consolidado Costos'!AF$6:AF$158*'Consolidado Costos'!$G$6:$G$158),0))</f>
        <v>0</v>
      </c>
      <c r="CD158" s="318" cm="1">
        <f t="array" ref="CD158">+SUMPRODUCT(IF('Consolidado Costos'!$K$6:$K$158=$BX158,('Consolidado Costos'!AG$6:AG$158*'Consolidado Costos'!$G$6:$G$158),0))</f>
        <v>0</v>
      </c>
      <c r="CE158" s="318" cm="1">
        <f t="array" ref="CE158">+SUMPRODUCT(IF('Consolidado Costos'!$K$6:$K$158=$BX158,('Consolidado Costos'!AH$6:AH$158*'Consolidado Costos'!$G$6:$G$158),0))</f>
        <v>0</v>
      </c>
      <c r="CF158" s="318" cm="1">
        <f t="array" ref="CF158">+SUMPRODUCT(IF('Consolidado Costos'!$K$6:$K$158=$BX158,('Consolidado Costos'!AI$6:AI$158*'Consolidado Costos'!$G$6:$G$158),0))</f>
        <v>0</v>
      </c>
      <c r="CG158" s="318" cm="1">
        <f t="array" ref="CG158">+SUMPRODUCT(IF('Consolidado Costos'!$K$6:$K$158=$BX158,('Consolidado Costos'!AJ$6:AJ$158*'Consolidado Costos'!$G$6:$G$158),0))</f>
        <v>0</v>
      </c>
      <c r="CH158" s="318" cm="1">
        <f t="array" ref="CH158">+SUMPRODUCT(IF('Consolidado Costos'!$K$6:$K$158=$BX158,('Consolidado Costos'!AK$6:AK$158*'Consolidado Costos'!$G$6:$G$158),0))</f>
        <v>0</v>
      </c>
      <c r="CI158" s="318" cm="1">
        <f t="array" ref="CI158">+SUMPRODUCT(IF('Consolidado Costos'!$K$6:$K$158=$BX158,('Consolidado Costos'!AL$6:AL$158*'Consolidado Costos'!$G$6:$G$158),0))</f>
        <v>0</v>
      </c>
      <c r="CJ158" s="318" cm="1">
        <f t="array" ref="CJ158">+SUMPRODUCT(IF('Consolidado Costos'!$K$6:$K$158=$BX158,('Consolidado Costos'!AM$6:AM$158*'Consolidado Costos'!$G$6:$G$158),0))</f>
        <v>0</v>
      </c>
      <c r="CK158" s="318" cm="1">
        <f t="array" ref="CK158">+SUMPRODUCT(IF('Consolidado Costos'!$K$6:$K$158=$BX158,('Consolidado Costos'!AN$6:AN$158*'Consolidado Costos'!$G$6:$G$158),0))</f>
        <v>0</v>
      </c>
      <c r="CL158" s="318" cm="1">
        <f t="array" ref="CL158">+SUMPRODUCT(IF('Consolidado Costos'!$K$6:$K$158=$BX158,('Consolidado Costos'!AO$6:AO$158*'Consolidado Costos'!$G$6:$G$158),0))</f>
        <v>0</v>
      </c>
      <c r="CM158" s="318" cm="1">
        <f t="array" ref="CM158">+SUMPRODUCT(IF('Consolidado Costos'!$K$6:$K$158=$BX158,('Consolidado Costos'!AP$6:AP$158*'Consolidado Costos'!$G$6:$G$158),0))</f>
        <v>0</v>
      </c>
      <c r="CN158" s="357">
        <f t="shared" si="10"/>
        <v>1</v>
      </c>
    </row>
    <row r="159" spans="2:92" s="337" customFormat="1">
      <c r="B159" s="331" t="s">
        <v>557</v>
      </c>
      <c r="C159" s="332"/>
      <c r="D159" s="333" t="s">
        <v>486</v>
      </c>
      <c r="E159" s="334"/>
      <c r="F159" s="335">
        <f>+SUM(F153:F158)</f>
        <v>0</v>
      </c>
      <c r="G159" s="335">
        <f t="shared" ref="G159:R159" si="41">+SUM(G153:G158)</f>
        <v>0</v>
      </c>
      <c r="H159" s="335">
        <f t="shared" si="41"/>
        <v>0</v>
      </c>
      <c r="I159" s="335">
        <f t="shared" si="41"/>
        <v>0</v>
      </c>
      <c r="J159" s="335">
        <f t="shared" si="41"/>
        <v>0</v>
      </c>
      <c r="K159" s="335">
        <f t="shared" si="41"/>
        <v>0</v>
      </c>
      <c r="L159" s="335">
        <f t="shared" si="41"/>
        <v>0</v>
      </c>
      <c r="M159" s="335">
        <f t="shared" si="41"/>
        <v>0</v>
      </c>
      <c r="N159" s="335">
        <f t="shared" si="41"/>
        <v>0</v>
      </c>
      <c r="O159" s="335">
        <f t="shared" si="41"/>
        <v>0</v>
      </c>
      <c r="P159" s="335">
        <f t="shared" si="41"/>
        <v>0</v>
      </c>
      <c r="Q159" s="335">
        <f t="shared" si="41"/>
        <v>0</v>
      </c>
      <c r="R159" s="335">
        <f t="shared" si="41"/>
        <v>0</v>
      </c>
      <c r="S159" s="357">
        <f t="shared" si="5"/>
        <v>1</v>
      </c>
      <c r="U159" s="331" t="s">
        <v>557</v>
      </c>
      <c r="V159" s="332"/>
      <c r="W159" s="333" t="s">
        <v>486</v>
      </c>
      <c r="X159" s="334"/>
      <c r="Y159" s="335">
        <f>+SUM(Y153:Y158)</f>
        <v>0</v>
      </c>
      <c r="Z159" s="335">
        <f t="shared" ref="Z159:AK159" si="42">+SUM(Z153:Z158)</f>
        <v>0</v>
      </c>
      <c r="AA159" s="335">
        <f t="shared" si="42"/>
        <v>0</v>
      </c>
      <c r="AB159" s="335">
        <f t="shared" si="42"/>
        <v>0</v>
      </c>
      <c r="AC159" s="335">
        <f t="shared" si="42"/>
        <v>0</v>
      </c>
      <c r="AD159" s="335">
        <f t="shared" si="42"/>
        <v>0</v>
      </c>
      <c r="AE159" s="335">
        <f t="shared" si="42"/>
        <v>0</v>
      </c>
      <c r="AF159" s="335">
        <f t="shared" si="42"/>
        <v>0</v>
      </c>
      <c r="AG159" s="335">
        <f t="shared" si="42"/>
        <v>0</v>
      </c>
      <c r="AH159" s="335">
        <f t="shared" si="42"/>
        <v>0</v>
      </c>
      <c r="AI159" s="335">
        <f t="shared" si="42"/>
        <v>0</v>
      </c>
      <c r="AJ159" s="335">
        <f t="shared" si="42"/>
        <v>0</v>
      </c>
      <c r="AK159" s="335">
        <f t="shared" si="42"/>
        <v>0</v>
      </c>
      <c r="AM159" s="331" t="s">
        <v>557</v>
      </c>
      <c r="AN159" s="332"/>
      <c r="AO159" s="333" t="s">
        <v>486</v>
      </c>
      <c r="AP159" s="334"/>
      <c r="AQ159" s="335">
        <f t="shared" ref="AQ159:BC159" si="43">+SUM(AQ153:AQ158)</f>
        <v>0</v>
      </c>
      <c r="AR159" s="335">
        <f t="shared" si="43"/>
        <v>0</v>
      </c>
      <c r="AS159" s="335">
        <f t="shared" si="43"/>
        <v>0</v>
      </c>
      <c r="AT159" s="335">
        <f t="shared" si="43"/>
        <v>0</v>
      </c>
      <c r="AU159" s="335">
        <f t="shared" si="43"/>
        <v>0</v>
      </c>
      <c r="AV159" s="335">
        <f t="shared" si="43"/>
        <v>0</v>
      </c>
      <c r="AW159" s="335">
        <f t="shared" si="43"/>
        <v>0</v>
      </c>
      <c r="AX159" s="335">
        <f t="shared" si="43"/>
        <v>0</v>
      </c>
      <c r="AY159" s="335">
        <f t="shared" si="43"/>
        <v>0</v>
      </c>
      <c r="AZ159" s="335">
        <f t="shared" si="43"/>
        <v>0</v>
      </c>
      <c r="BA159" s="335">
        <f t="shared" si="43"/>
        <v>0</v>
      </c>
      <c r="BB159" s="335">
        <f t="shared" si="43"/>
        <v>0</v>
      </c>
      <c r="BC159" s="335">
        <f t="shared" si="43"/>
        <v>0</v>
      </c>
      <c r="BE159" s="331" t="s">
        <v>557</v>
      </c>
      <c r="BF159" s="332"/>
      <c r="BG159" s="333" t="s">
        <v>486</v>
      </c>
      <c r="BH159" s="334"/>
      <c r="BI159" s="335">
        <f t="shared" ref="BI159:BU159" si="44">+SUM(BI153:BI158)</f>
        <v>0</v>
      </c>
      <c r="BJ159" s="335">
        <f t="shared" si="44"/>
        <v>0</v>
      </c>
      <c r="BK159" s="335">
        <f t="shared" si="44"/>
        <v>0</v>
      </c>
      <c r="BL159" s="335">
        <f t="shared" si="44"/>
        <v>0</v>
      </c>
      <c r="BM159" s="335">
        <f t="shared" si="44"/>
        <v>0</v>
      </c>
      <c r="BN159" s="335">
        <f t="shared" si="44"/>
        <v>0</v>
      </c>
      <c r="BO159" s="335">
        <f t="shared" si="44"/>
        <v>0</v>
      </c>
      <c r="BP159" s="335">
        <f t="shared" si="44"/>
        <v>0</v>
      </c>
      <c r="BQ159" s="335">
        <f t="shared" si="44"/>
        <v>0</v>
      </c>
      <c r="BR159" s="335">
        <f t="shared" si="44"/>
        <v>0</v>
      </c>
      <c r="BS159" s="335">
        <f t="shared" si="44"/>
        <v>0</v>
      </c>
      <c r="BT159" s="335">
        <f t="shared" si="44"/>
        <v>0</v>
      </c>
      <c r="BU159" s="335">
        <f t="shared" si="44"/>
        <v>0</v>
      </c>
      <c r="BW159" s="331" t="s">
        <v>557</v>
      </c>
      <c r="BX159" s="332"/>
      <c r="BY159" s="333" t="s">
        <v>486</v>
      </c>
      <c r="BZ159" s="334"/>
      <c r="CA159" s="335">
        <f t="shared" ref="CA159:CM159" si="45">+SUM(CA153:CA158)</f>
        <v>0</v>
      </c>
      <c r="CB159" s="335">
        <f t="shared" si="45"/>
        <v>0</v>
      </c>
      <c r="CC159" s="335">
        <f t="shared" si="45"/>
        <v>0</v>
      </c>
      <c r="CD159" s="335">
        <f t="shared" si="45"/>
        <v>0</v>
      </c>
      <c r="CE159" s="335">
        <f t="shared" si="45"/>
        <v>0</v>
      </c>
      <c r="CF159" s="335">
        <f t="shared" si="45"/>
        <v>0</v>
      </c>
      <c r="CG159" s="335">
        <f t="shared" si="45"/>
        <v>0</v>
      </c>
      <c r="CH159" s="335">
        <f t="shared" si="45"/>
        <v>0</v>
      </c>
      <c r="CI159" s="335">
        <f t="shared" si="45"/>
        <v>0</v>
      </c>
      <c r="CJ159" s="335">
        <f t="shared" si="45"/>
        <v>0</v>
      </c>
      <c r="CK159" s="335">
        <f t="shared" si="45"/>
        <v>0</v>
      </c>
      <c r="CL159" s="335">
        <f t="shared" si="45"/>
        <v>0</v>
      </c>
      <c r="CM159" s="335">
        <f t="shared" si="45"/>
        <v>0</v>
      </c>
      <c r="CN159" s="357">
        <f t="shared" si="10"/>
        <v>1</v>
      </c>
    </row>
    <row r="160" spans="2:92" s="310" customFormat="1" outlineLevel="1">
      <c r="B160" s="327"/>
      <c r="C160" s="330" t="s">
        <v>558</v>
      </c>
      <c r="D160" s="330" t="s">
        <v>559</v>
      </c>
      <c r="E160" s="329"/>
      <c r="F160" s="318">
        <f>+SUMIF('Consolidado Costos'!$K$6:$K$158,$C160,'Consolidado Costos'!$AD$6:$AD$158)</f>
        <v>0</v>
      </c>
      <c r="G160" s="318">
        <f>+SUMIF('Consolidado Costos'!$K$6:$K$158,$C160,'Consolidado Costos'!AE$6:AE$158)</f>
        <v>0</v>
      </c>
      <c r="H160" s="318">
        <f>+SUMIF('Consolidado Costos'!$K$6:$K$158,$C160,'Consolidado Costos'!AF$6:AF$158)</f>
        <v>0</v>
      </c>
      <c r="I160" s="318">
        <f>+SUMIF('Consolidado Costos'!$K$6:$K$158,$C160,'Consolidado Costos'!AG$6:AG$158)</f>
        <v>0</v>
      </c>
      <c r="J160" s="318">
        <f>+SUMIF('Consolidado Costos'!$K$6:$K$158,$C160,'Consolidado Costos'!AH$6:AH$158)</f>
        <v>0</v>
      </c>
      <c r="K160" s="318">
        <f>+SUMIF('Consolidado Costos'!$K$6:$K$158,$C160,'Consolidado Costos'!AI$6:AI$158)</f>
        <v>0</v>
      </c>
      <c r="L160" s="318">
        <f>+SUMIF('Consolidado Costos'!$K$6:$K$158,$C160,'Consolidado Costos'!AJ$6:AJ$158)</f>
        <v>0</v>
      </c>
      <c r="M160" s="318">
        <f>+SUMIF('Consolidado Costos'!$K$6:$K$158,$C160,'Consolidado Costos'!AK$6:AK$158)</f>
        <v>0</v>
      </c>
      <c r="N160" s="318">
        <f>+SUMIF('Consolidado Costos'!$K$6:$K$158,$C160,'Consolidado Costos'!AL$6:AL$158)</f>
        <v>0</v>
      </c>
      <c r="O160" s="318">
        <f>+SUMIF('Consolidado Costos'!$K$6:$K$158,$C160,'Consolidado Costos'!AM$6:AM$158)</f>
        <v>0</v>
      </c>
      <c r="P160" s="318">
        <f>+SUMIF('Consolidado Costos'!$K$6:$K$158,$C160,'Consolidado Costos'!AN$6:AN$158)</f>
        <v>0</v>
      </c>
      <c r="Q160" s="318">
        <f>+SUMIF('Consolidado Costos'!$K$6:$K$158,$C160,'Consolidado Costos'!AO$6:AO$158)</f>
        <v>0</v>
      </c>
      <c r="R160" s="318">
        <f>+SUMIF('Consolidado Costos'!$K$6:$K$158,$C160,'Consolidado Costos'!AP$6:AP$158)</f>
        <v>0</v>
      </c>
      <c r="S160" s="357">
        <f t="shared" si="5"/>
        <v>1</v>
      </c>
      <c r="U160" s="327"/>
      <c r="V160" s="330" t="s">
        <v>558</v>
      </c>
      <c r="W160" s="330" t="s">
        <v>559</v>
      </c>
      <c r="X160" s="329"/>
      <c r="Y160" s="354">
        <f t="shared" ref="Y160:Y183" si="46">+SUM(Z160:AK160)</f>
        <v>0</v>
      </c>
      <c r="Z160" s="318" cm="1">
        <f t="array" ref="Z160">+SUMPRODUCT(IF('Consolidado Costos'!$K$6:$K$158=$V160,('Consolidado Costos'!AE$6:AE$158*'Consolidado Costos'!$D$6:$D$158),0))</f>
        <v>0</v>
      </c>
      <c r="AA160" s="318" cm="1">
        <f t="array" ref="AA160">+SUMPRODUCT(IF('Consolidado Costos'!$K$6:$K$158=$V160,('Consolidado Costos'!AF$6:AF$158*'Consolidado Costos'!$D$6:$D$158),0))</f>
        <v>0</v>
      </c>
      <c r="AB160" s="318" cm="1">
        <f t="array" ref="AB160">+SUMPRODUCT(IF('Consolidado Costos'!$K$6:$K$158=$V160,('Consolidado Costos'!AG$6:AG$158*'Consolidado Costos'!$D$6:$D$158),0))</f>
        <v>0</v>
      </c>
      <c r="AC160" s="318" cm="1">
        <f t="array" ref="AC160">+SUMPRODUCT(IF('Consolidado Costos'!$K$6:$K$158=$V160,('Consolidado Costos'!AH$6:AH$158*'Consolidado Costos'!$D$6:$D$158),0))</f>
        <v>0</v>
      </c>
      <c r="AD160" s="318" cm="1">
        <f t="array" ref="AD160">+SUMPRODUCT(IF('Consolidado Costos'!$K$6:$K$158=$V160,('Consolidado Costos'!AI$6:AI$158*'Consolidado Costos'!$D$6:$D$158),0))</f>
        <v>0</v>
      </c>
      <c r="AE160" s="318" cm="1">
        <f t="array" ref="AE160">+SUMPRODUCT(IF('Consolidado Costos'!$K$6:$K$158=$V160,('Consolidado Costos'!AJ$6:AJ$158*'Consolidado Costos'!$D$6:$D$158),0))</f>
        <v>0</v>
      </c>
      <c r="AF160" s="318" cm="1">
        <f t="array" ref="AF160">+SUMPRODUCT(IF('Consolidado Costos'!$K$6:$K$158=$V160,('Consolidado Costos'!AK$6:AK$158*'Consolidado Costos'!$D$6:$D$158),0))</f>
        <v>0</v>
      </c>
      <c r="AG160" s="318" cm="1">
        <f t="array" ref="AG160">+SUMPRODUCT(IF('Consolidado Costos'!$K$6:$K$158=$V160,('Consolidado Costos'!AL$6:AL$158*'Consolidado Costos'!$D$6:$D$158),0))</f>
        <v>0</v>
      </c>
      <c r="AH160" s="318" cm="1">
        <f t="array" ref="AH160">+SUMPRODUCT(IF('Consolidado Costos'!$K$6:$K$158=$V160,('Consolidado Costos'!AM$6:AM$158*'Consolidado Costos'!$D$6:$D$158),0))</f>
        <v>0</v>
      </c>
      <c r="AI160" s="318" cm="1">
        <f t="array" ref="AI160">+SUMPRODUCT(IF('Consolidado Costos'!$K$6:$K$158=$V160,('Consolidado Costos'!AN$6:AN$158*'Consolidado Costos'!$D$6:$D$158),0))</f>
        <v>0</v>
      </c>
      <c r="AJ160" s="318" cm="1">
        <f t="array" ref="AJ160">+SUMPRODUCT(IF('Consolidado Costos'!$K$6:$K$158=$V160,('Consolidado Costos'!AO$6:AO$158*'Consolidado Costos'!$D$6:$D$158),0))</f>
        <v>0</v>
      </c>
      <c r="AK160" s="318" cm="1">
        <f t="array" ref="AK160">+SUMPRODUCT(IF('Consolidado Costos'!$K$6:$K$158=$V160,('Consolidado Costos'!AP$6:AP$158*'Consolidado Costos'!$D$6:$D$158),0))</f>
        <v>0</v>
      </c>
      <c r="AM160" s="327"/>
      <c r="AN160" s="330" t="s">
        <v>558</v>
      </c>
      <c r="AO160" s="330" t="s">
        <v>559</v>
      </c>
      <c r="AP160" s="329"/>
      <c r="AQ160" s="354">
        <f t="shared" ref="AQ160:AQ183" si="47">+SUM(AR160:BC160)</f>
        <v>0</v>
      </c>
      <c r="AR160" s="318" cm="1">
        <f t="array" ref="AR160">+SUMPRODUCT(IF('Consolidado Costos'!$K$6:$K$158=$AN160,('Consolidado Costos'!AE$6:AE$158*'Consolidado Costos'!$E$6:$E$158),0))</f>
        <v>0</v>
      </c>
      <c r="AS160" s="318" cm="1">
        <f t="array" ref="AS160">+SUMPRODUCT(IF('Consolidado Costos'!$K$6:$K$158=$AN160,('Consolidado Costos'!AF$6:AF$158*'Consolidado Costos'!$E$6:$E$158),0))</f>
        <v>0</v>
      </c>
      <c r="AT160" s="318" cm="1">
        <f t="array" ref="AT160">+SUMPRODUCT(IF('Consolidado Costos'!$K$6:$K$158=$AN160,('Consolidado Costos'!AG$6:AG$158*'Consolidado Costos'!$E$6:$E$158),0))</f>
        <v>0</v>
      </c>
      <c r="AU160" s="318" cm="1">
        <f t="array" ref="AU160">+SUMPRODUCT(IF('Consolidado Costos'!$K$6:$K$158=$AN160,('Consolidado Costos'!AH$6:AH$158*'Consolidado Costos'!$E$6:$E$158),0))</f>
        <v>0</v>
      </c>
      <c r="AV160" s="318" cm="1">
        <f t="array" ref="AV160">+SUMPRODUCT(IF('Consolidado Costos'!$K$6:$K$158=$AN160,('Consolidado Costos'!AI$6:AI$158*'Consolidado Costos'!$E$6:$E$158),0))</f>
        <v>0</v>
      </c>
      <c r="AW160" s="318" cm="1">
        <f t="array" ref="AW160">+SUMPRODUCT(IF('Consolidado Costos'!$K$6:$K$158=$AN160,('Consolidado Costos'!AJ$6:AJ$158*'Consolidado Costos'!$E$6:$E$158),0))</f>
        <v>0</v>
      </c>
      <c r="AX160" s="318" cm="1">
        <f t="array" ref="AX160">+SUMPRODUCT(IF('Consolidado Costos'!$K$6:$K$158=$AN160,('Consolidado Costos'!AK$6:AK$158*'Consolidado Costos'!$E$6:$E$158),0))</f>
        <v>0</v>
      </c>
      <c r="AY160" s="318" cm="1">
        <f t="array" ref="AY160">+SUMPRODUCT(IF('Consolidado Costos'!$K$6:$K$158=$AN160,('Consolidado Costos'!AL$6:AL$158*'Consolidado Costos'!$E$6:$E$158),0))</f>
        <v>0</v>
      </c>
      <c r="AZ160" s="318" cm="1">
        <f t="array" ref="AZ160">+SUMPRODUCT(IF('Consolidado Costos'!$K$6:$K$158=$AN160,('Consolidado Costos'!AM$6:AM$158*'Consolidado Costos'!$E$6:$E$158),0))</f>
        <v>0</v>
      </c>
      <c r="BA160" s="318" cm="1">
        <f t="array" ref="BA160">+SUMPRODUCT(IF('Consolidado Costos'!$K$6:$K$158=$AN160,('Consolidado Costos'!AN$6:AN$158*'Consolidado Costos'!$E$6:$E$158),0))</f>
        <v>0</v>
      </c>
      <c r="BB160" s="318" cm="1">
        <f t="array" ref="BB160">+SUMPRODUCT(IF('Consolidado Costos'!$K$6:$K$158=$AN160,('Consolidado Costos'!AO$6:AO$158*'Consolidado Costos'!$E$6:$E$158),0))</f>
        <v>0</v>
      </c>
      <c r="BC160" s="318" cm="1">
        <f t="array" ref="BC160">+SUMPRODUCT(IF('Consolidado Costos'!$K$6:$K$158=$AN160,('Consolidado Costos'!AP$6:AP$158*'Consolidado Costos'!$E$6:$E$158),0))</f>
        <v>0</v>
      </c>
      <c r="BE160" s="327"/>
      <c r="BF160" s="330" t="s">
        <v>558</v>
      </c>
      <c r="BG160" s="330" t="s">
        <v>559</v>
      </c>
      <c r="BH160" s="329"/>
      <c r="BI160" s="354">
        <f t="shared" ref="BI160:BI183" si="48">+SUM(BJ160:BU160)</f>
        <v>0</v>
      </c>
      <c r="BJ160" s="318" cm="1">
        <f t="array" ref="BJ160">+SUMPRODUCT(IF('Consolidado Costos'!$K$6:$K$158=$BF160,('Consolidado Costos'!AE$6:AE$158*'Consolidado Costos'!$F$6:$F$158),0))</f>
        <v>0</v>
      </c>
      <c r="BK160" s="318" cm="1">
        <f t="array" ref="BK160">+SUMPRODUCT(IF('Consolidado Costos'!$K$6:$K$158=$BF160,('Consolidado Costos'!AF$6:AF$158*'Consolidado Costos'!$F$6:$F$158),0))</f>
        <v>0</v>
      </c>
      <c r="BL160" s="318" cm="1">
        <f t="array" ref="BL160">+SUMPRODUCT(IF('Consolidado Costos'!$K$6:$K$158=$BF160,('Consolidado Costos'!AG$6:AG$158*'Consolidado Costos'!$F$6:$F$158),0))</f>
        <v>0</v>
      </c>
      <c r="BM160" s="318" cm="1">
        <f t="array" ref="BM160">+SUMPRODUCT(IF('Consolidado Costos'!$K$6:$K$158=$BF160,('Consolidado Costos'!AH$6:AH$158*'Consolidado Costos'!$F$6:$F$158),0))</f>
        <v>0</v>
      </c>
      <c r="BN160" s="318" cm="1">
        <f t="array" ref="BN160">+SUMPRODUCT(IF('Consolidado Costos'!$K$6:$K$158=$BF160,('Consolidado Costos'!AI$6:AI$158*'Consolidado Costos'!$F$6:$F$158),0))</f>
        <v>0</v>
      </c>
      <c r="BO160" s="318" cm="1">
        <f t="array" ref="BO160">+SUMPRODUCT(IF('Consolidado Costos'!$K$6:$K$158=$BF160,('Consolidado Costos'!AJ$6:AJ$158*'Consolidado Costos'!$F$6:$F$158),0))</f>
        <v>0</v>
      </c>
      <c r="BP160" s="318" cm="1">
        <f t="array" ref="BP160">+SUMPRODUCT(IF('Consolidado Costos'!$K$6:$K$158=$BF160,('Consolidado Costos'!AK$6:AK$158*'Consolidado Costos'!$F$6:$F$158),0))</f>
        <v>0</v>
      </c>
      <c r="BQ160" s="318" cm="1">
        <f t="array" ref="BQ160">+SUMPRODUCT(IF('Consolidado Costos'!$K$6:$K$158=$BF160,('Consolidado Costos'!AL$6:AL$158*'Consolidado Costos'!$F$6:$F$158),0))</f>
        <v>0</v>
      </c>
      <c r="BR160" s="318" cm="1">
        <f t="array" ref="BR160">+SUMPRODUCT(IF('Consolidado Costos'!$K$6:$K$158=$BF160,('Consolidado Costos'!AM$6:AM$158*'Consolidado Costos'!$F$6:$F$158),0))</f>
        <v>0</v>
      </c>
      <c r="BS160" s="318" cm="1">
        <f t="array" ref="BS160">+SUMPRODUCT(IF('Consolidado Costos'!$K$6:$K$158=$BF160,('Consolidado Costos'!AN$6:AN$158*'Consolidado Costos'!$F$6:$F$158),0))</f>
        <v>0</v>
      </c>
      <c r="BT160" s="318" cm="1">
        <f t="array" ref="BT160">+SUMPRODUCT(IF('Consolidado Costos'!$K$6:$K$158=$BF160,('Consolidado Costos'!AO$6:AO$158*'Consolidado Costos'!$F$6:$F$158),0))</f>
        <v>0</v>
      </c>
      <c r="BU160" s="318" cm="1">
        <f t="array" ref="BU160">+SUMPRODUCT(IF('Consolidado Costos'!$K$6:$K$158=$BF160,('Consolidado Costos'!AP$6:AP$158*'Consolidado Costos'!$F$6:$F$158),0))</f>
        <v>0</v>
      </c>
      <c r="BW160" s="327"/>
      <c r="BX160" s="330" t="s">
        <v>558</v>
      </c>
      <c r="BY160" s="330" t="s">
        <v>559</v>
      </c>
      <c r="BZ160" s="329"/>
      <c r="CA160" s="354">
        <f t="shared" ref="CA160:CA183" si="49">+SUM(CB160:CM160)</f>
        <v>0</v>
      </c>
      <c r="CB160" s="318" cm="1">
        <f t="array" ref="CB160">+SUMPRODUCT(IF('Consolidado Costos'!$K$6:$K$158=$BX160,('Consolidado Costos'!AE$6:AE$158*'Consolidado Costos'!$G$6:$G$158),0))</f>
        <v>0</v>
      </c>
      <c r="CC160" s="318" cm="1">
        <f t="array" ref="CC160">+SUMPRODUCT(IF('Consolidado Costos'!$K$6:$K$158=$BX160,('Consolidado Costos'!AF$6:AF$158*'Consolidado Costos'!$G$6:$G$158),0))</f>
        <v>0</v>
      </c>
      <c r="CD160" s="318" cm="1">
        <f t="array" ref="CD160">+SUMPRODUCT(IF('Consolidado Costos'!$K$6:$K$158=$BX160,('Consolidado Costos'!AG$6:AG$158*'Consolidado Costos'!$G$6:$G$158),0))</f>
        <v>0</v>
      </c>
      <c r="CE160" s="318" cm="1">
        <f t="array" ref="CE160">+SUMPRODUCT(IF('Consolidado Costos'!$K$6:$K$158=$BX160,('Consolidado Costos'!AH$6:AH$158*'Consolidado Costos'!$G$6:$G$158),0))</f>
        <v>0</v>
      </c>
      <c r="CF160" s="318" cm="1">
        <f t="array" ref="CF160">+SUMPRODUCT(IF('Consolidado Costos'!$K$6:$K$158=$BX160,('Consolidado Costos'!AI$6:AI$158*'Consolidado Costos'!$G$6:$G$158),0))</f>
        <v>0</v>
      </c>
      <c r="CG160" s="318" cm="1">
        <f t="array" ref="CG160">+SUMPRODUCT(IF('Consolidado Costos'!$K$6:$K$158=$BX160,('Consolidado Costos'!AJ$6:AJ$158*'Consolidado Costos'!$G$6:$G$158),0))</f>
        <v>0</v>
      </c>
      <c r="CH160" s="318" cm="1">
        <f t="array" ref="CH160">+SUMPRODUCT(IF('Consolidado Costos'!$K$6:$K$158=$BX160,('Consolidado Costos'!AK$6:AK$158*'Consolidado Costos'!$G$6:$G$158),0))</f>
        <v>0</v>
      </c>
      <c r="CI160" s="318" cm="1">
        <f t="array" ref="CI160">+SUMPRODUCT(IF('Consolidado Costos'!$K$6:$K$158=$BX160,('Consolidado Costos'!AL$6:AL$158*'Consolidado Costos'!$G$6:$G$158),0))</f>
        <v>0</v>
      </c>
      <c r="CJ160" s="318" cm="1">
        <f t="array" ref="CJ160">+SUMPRODUCT(IF('Consolidado Costos'!$K$6:$K$158=$BX160,('Consolidado Costos'!AM$6:AM$158*'Consolidado Costos'!$G$6:$G$158),0))</f>
        <v>0</v>
      </c>
      <c r="CK160" s="318" cm="1">
        <f t="array" ref="CK160">+SUMPRODUCT(IF('Consolidado Costos'!$K$6:$K$158=$BX160,('Consolidado Costos'!AN$6:AN$158*'Consolidado Costos'!$G$6:$G$158),0))</f>
        <v>0</v>
      </c>
      <c r="CL160" s="318" cm="1">
        <f t="array" ref="CL160">+SUMPRODUCT(IF('Consolidado Costos'!$K$6:$K$158=$BX160,('Consolidado Costos'!AO$6:AO$158*'Consolidado Costos'!$G$6:$G$158),0))</f>
        <v>0</v>
      </c>
      <c r="CM160" s="318" cm="1">
        <f t="array" ref="CM160">+SUMPRODUCT(IF('Consolidado Costos'!$K$6:$K$158=$BX160,('Consolidado Costos'!AP$6:AP$158*'Consolidado Costos'!$G$6:$G$158),0))</f>
        <v>0</v>
      </c>
      <c r="CN160" s="357">
        <f t="shared" si="10"/>
        <v>1</v>
      </c>
    </row>
    <row r="161" spans="2:92" s="310" customFormat="1" outlineLevel="1">
      <c r="B161" s="327"/>
      <c r="C161" s="330" t="s">
        <v>280</v>
      </c>
      <c r="D161" s="330" t="s">
        <v>282</v>
      </c>
      <c r="E161" s="329"/>
      <c r="F161" s="318">
        <f>+SUMIF('Consolidado Costos'!$K$6:$K$158,$C161,'Consolidado Costos'!$AD$6:$AD$158)</f>
        <v>0</v>
      </c>
      <c r="G161" s="318">
        <f>+SUMIF('Consolidado Costos'!$K$6:$K$158,$C161,'Consolidado Costos'!AE$6:AE$158)</f>
        <v>0</v>
      </c>
      <c r="H161" s="318">
        <f>+SUMIF('Consolidado Costos'!$K$6:$K$158,$C161,'Consolidado Costos'!AF$6:AF$158)</f>
        <v>0</v>
      </c>
      <c r="I161" s="318">
        <f>+SUMIF('Consolidado Costos'!$K$6:$K$158,$C161,'Consolidado Costos'!AG$6:AG$158)</f>
        <v>0</v>
      </c>
      <c r="J161" s="318">
        <f>+SUMIF('Consolidado Costos'!$K$6:$K$158,$C161,'Consolidado Costos'!AH$6:AH$158)</f>
        <v>0</v>
      </c>
      <c r="K161" s="318">
        <f>+SUMIF('Consolidado Costos'!$K$6:$K$158,$C161,'Consolidado Costos'!AI$6:AI$158)</f>
        <v>0</v>
      </c>
      <c r="L161" s="318">
        <f>+SUMIF('Consolidado Costos'!$K$6:$K$158,$C161,'Consolidado Costos'!AJ$6:AJ$158)</f>
        <v>0</v>
      </c>
      <c r="M161" s="318">
        <f>+SUMIF('Consolidado Costos'!$K$6:$K$158,$C161,'Consolidado Costos'!AK$6:AK$158)</f>
        <v>0</v>
      </c>
      <c r="N161" s="318">
        <f>+SUMIF('Consolidado Costos'!$K$6:$K$158,$C161,'Consolidado Costos'!AL$6:AL$158)</f>
        <v>0</v>
      </c>
      <c r="O161" s="318">
        <f>+SUMIF('Consolidado Costos'!$K$6:$K$158,$C161,'Consolidado Costos'!AM$6:AM$158)</f>
        <v>0</v>
      </c>
      <c r="P161" s="318">
        <f>+SUMIF('Consolidado Costos'!$K$6:$K$158,$C161,'Consolidado Costos'!AN$6:AN$158)</f>
        <v>0</v>
      </c>
      <c r="Q161" s="318">
        <f>+SUMIF('Consolidado Costos'!$K$6:$K$158,$C161,'Consolidado Costos'!AO$6:AO$158)</f>
        <v>0</v>
      </c>
      <c r="R161" s="318">
        <f>+SUMIF('Consolidado Costos'!$K$6:$K$158,$C161,'Consolidado Costos'!AP$6:AP$158)</f>
        <v>0</v>
      </c>
      <c r="S161" s="357">
        <f t="shared" si="5"/>
        <v>1</v>
      </c>
      <c r="U161" s="327"/>
      <c r="V161" s="330" t="s">
        <v>280</v>
      </c>
      <c r="W161" s="330" t="s">
        <v>282</v>
      </c>
      <c r="X161" s="329"/>
      <c r="Y161" s="354">
        <f t="shared" si="46"/>
        <v>0</v>
      </c>
      <c r="Z161" s="318" cm="1">
        <f t="array" ref="Z161">+SUMPRODUCT(IF('Consolidado Costos'!$K$6:$K$158=$V161,('Consolidado Costos'!AE$6:AE$158*'Consolidado Costos'!$D$6:$D$158),0))</f>
        <v>0</v>
      </c>
      <c r="AA161" s="318" cm="1">
        <f t="array" ref="AA161">+SUMPRODUCT(IF('Consolidado Costos'!$K$6:$K$158=$V161,('Consolidado Costos'!AF$6:AF$158*'Consolidado Costos'!$D$6:$D$158),0))</f>
        <v>0</v>
      </c>
      <c r="AB161" s="318" cm="1">
        <f t="array" ref="AB161">+SUMPRODUCT(IF('Consolidado Costos'!$K$6:$K$158=$V161,('Consolidado Costos'!AG$6:AG$158*'Consolidado Costos'!$D$6:$D$158),0))</f>
        <v>0</v>
      </c>
      <c r="AC161" s="318" cm="1">
        <f t="array" ref="AC161">+SUMPRODUCT(IF('Consolidado Costos'!$K$6:$K$158=$V161,('Consolidado Costos'!AH$6:AH$158*'Consolidado Costos'!$D$6:$D$158),0))</f>
        <v>0</v>
      </c>
      <c r="AD161" s="318" cm="1">
        <f t="array" ref="AD161">+SUMPRODUCT(IF('Consolidado Costos'!$K$6:$K$158=$V161,('Consolidado Costos'!AI$6:AI$158*'Consolidado Costos'!$D$6:$D$158),0))</f>
        <v>0</v>
      </c>
      <c r="AE161" s="318" cm="1">
        <f t="array" ref="AE161">+SUMPRODUCT(IF('Consolidado Costos'!$K$6:$K$158=$V161,('Consolidado Costos'!AJ$6:AJ$158*'Consolidado Costos'!$D$6:$D$158),0))</f>
        <v>0</v>
      </c>
      <c r="AF161" s="318" cm="1">
        <f t="array" ref="AF161">+SUMPRODUCT(IF('Consolidado Costos'!$K$6:$K$158=$V161,('Consolidado Costos'!AK$6:AK$158*'Consolidado Costos'!$D$6:$D$158),0))</f>
        <v>0</v>
      </c>
      <c r="AG161" s="318" cm="1">
        <f t="array" ref="AG161">+SUMPRODUCT(IF('Consolidado Costos'!$K$6:$K$158=$V161,('Consolidado Costos'!AL$6:AL$158*'Consolidado Costos'!$D$6:$D$158),0))</f>
        <v>0</v>
      </c>
      <c r="AH161" s="318" cm="1">
        <f t="array" ref="AH161">+SUMPRODUCT(IF('Consolidado Costos'!$K$6:$K$158=$V161,('Consolidado Costos'!AM$6:AM$158*'Consolidado Costos'!$D$6:$D$158),0))</f>
        <v>0</v>
      </c>
      <c r="AI161" s="318" cm="1">
        <f t="array" ref="AI161">+SUMPRODUCT(IF('Consolidado Costos'!$K$6:$K$158=$V161,('Consolidado Costos'!AN$6:AN$158*'Consolidado Costos'!$D$6:$D$158),0))</f>
        <v>0</v>
      </c>
      <c r="AJ161" s="318" cm="1">
        <f t="array" ref="AJ161">+SUMPRODUCT(IF('Consolidado Costos'!$K$6:$K$158=$V161,('Consolidado Costos'!AO$6:AO$158*'Consolidado Costos'!$D$6:$D$158),0))</f>
        <v>0</v>
      </c>
      <c r="AK161" s="318" cm="1">
        <f t="array" ref="AK161">+SUMPRODUCT(IF('Consolidado Costos'!$K$6:$K$158=$V161,('Consolidado Costos'!AP$6:AP$158*'Consolidado Costos'!$D$6:$D$158),0))</f>
        <v>0</v>
      </c>
      <c r="AM161" s="327"/>
      <c r="AN161" s="330" t="s">
        <v>280</v>
      </c>
      <c r="AO161" s="330" t="s">
        <v>282</v>
      </c>
      <c r="AP161" s="329"/>
      <c r="AQ161" s="354">
        <f t="shared" si="47"/>
        <v>0</v>
      </c>
      <c r="AR161" s="318" cm="1">
        <f t="array" ref="AR161">+SUMPRODUCT(IF('Consolidado Costos'!$K$6:$K$158=$AN161,('Consolidado Costos'!AE$6:AE$158*'Consolidado Costos'!$E$6:$E$158),0))</f>
        <v>0</v>
      </c>
      <c r="AS161" s="318" cm="1">
        <f t="array" ref="AS161">+SUMPRODUCT(IF('Consolidado Costos'!$K$6:$K$158=$AN161,('Consolidado Costos'!AF$6:AF$158*'Consolidado Costos'!$E$6:$E$158),0))</f>
        <v>0</v>
      </c>
      <c r="AT161" s="318" cm="1">
        <f t="array" ref="AT161">+SUMPRODUCT(IF('Consolidado Costos'!$K$6:$K$158=$AN161,('Consolidado Costos'!AG$6:AG$158*'Consolidado Costos'!$E$6:$E$158),0))</f>
        <v>0</v>
      </c>
      <c r="AU161" s="318" cm="1">
        <f t="array" ref="AU161">+SUMPRODUCT(IF('Consolidado Costos'!$K$6:$K$158=$AN161,('Consolidado Costos'!AH$6:AH$158*'Consolidado Costos'!$E$6:$E$158),0))</f>
        <v>0</v>
      </c>
      <c r="AV161" s="318" cm="1">
        <f t="array" ref="AV161">+SUMPRODUCT(IF('Consolidado Costos'!$K$6:$K$158=$AN161,('Consolidado Costos'!AI$6:AI$158*'Consolidado Costos'!$E$6:$E$158),0))</f>
        <v>0</v>
      </c>
      <c r="AW161" s="318" cm="1">
        <f t="array" ref="AW161">+SUMPRODUCT(IF('Consolidado Costos'!$K$6:$K$158=$AN161,('Consolidado Costos'!AJ$6:AJ$158*'Consolidado Costos'!$E$6:$E$158),0))</f>
        <v>0</v>
      </c>
      <c r="AX161" s="318" cm="1">
        <f t="array" ref="AX161">+SUMPRODUCT(IF('Consolidado Costos'!$K$6:$K$158=$AN161,('Consolidado Costos'!AK$6:AK$158*'Consolidado Costos'!$E$6:$E$158),0))</f>
        <v>0</v>
      </c>
      <c r="AY161" s="318" cm="1">
        <f t="array" ref="AY161">+SUMPRODUCT(IF('Consolidado Costos'!$K$6:$K$158=$AN161,('Consolidado Costos'!AL$6:AL$158*'Consolidado Costos'!$E$6:$E$158),0))</f>
        <v>0</v>
      </c>
      <c r="AZ161" s="318" cm="1">
        <f t="array" ref="AZ161">+SUMPRODUCT(IF('Consolidado Costos'!$K$6:$K$158=$AN161,('Consolidado Costos'!AM$6:AM$158*'Consolidado Costos'!$E$6:$E$158),0))</f>
        <v>0</v>
      </c>
      <c r="BA161" s="318" cm="1">
        <f t="array" ref="BA161">+SUMPRODUCT(IF('Consolidado Costos'!$K$6:$K$158=$AN161,('Consolidado Costos'!AN$6:AN$158*'Consolidado Costos'!$E$6:$E$158),0))</f>
        <v>0</v>
      </c>
      <c r="BB161" s="318" cm="1">
        <f t="array" ref="BB161">+SUMPRODUCT(IF('Consolidado Costos'!$K$6:$K$158=$AN161,('Consolidado Costos'!AO$6:AO$158*'Consolidado Costos'!$E$6:$E$158),0))</f>
        <v>0</v>
      </c>
      <c r="BC161" s="318" cm="1">
        <f t="array" ref="BC161">+SUMPRODUCT(IF('Consolidado Costos'!$K$6:$K$158=$AN161,('Consolidado Costos'!AP$6:AP$158*'Consolidado Costos'!$E$6:$E$158),0))</f>
        <v>0</v>
      </c>
      <c r="BE161" s="327"/>
      <c r="BF161" s="330" t="s">
        <v>280</v>
      </c>
      <c r="BG161" s="330" t="s">
        <v>282</v>
      </c>
      <c r="BH161" s="329"/>
      <c r="BI161" s="354">
        <f t="shared" si="48"/>
        <v>0</v>
      </c>
      <c r="BJ161" s="318" cm="1">
        <f t="array" ref="BJ161">+SUMPRODUCT(IF('Consolidado Costos'!$K$6:$K$158=$BF161,('Consolidado Costos'!AE$6:AE$158*'Consolidado Costos'!$F$6:$F$158),0))</f>
        <v>0</v>
      </c>
      <c r="BK161" s="318" cm="1">
        <f t="array" ref="BK161">+SUMPRODUCT(IF('Consolidado Costos'!$K$6:$K$158=$BF161,('Consolidado Costos'!AF$6:AF$158*'Consolidado Costos'!$F$6:$F$158),0))</f>
        <v>0</v>
      </c>
      <c r="BL161" s="318" cm="1">
        <f t="array" ref="BL161">+SUMPRODUCT(IF('Consolidado Costos'!$K$6:$K$158=$BF161,('Consolidado Costos'!AG$6:AG$158*'Consolidado Costos'!$F$6:$F$158),0))</f>
        <v>0</v>
      </c>
      <c r="BM161" s="318" cm="1">
        <f t="array" ref="BM161">+SUMPRODUCT(IF('Consolidado Costos'!$K$6:$K$158=$BF161,('Consolidado Costos'!AH$6:AH$158*'Consolidado Costos'!$F$6:$F$158),0))</f>
        <v>0</v>
      </c>
      <c r="BN161" s="318" cm="1">
        <f t="array" ref="BN161">+SUMPRODUCT(IF('Consolidado Costos'!$K$6:$K$158=$BF161,('Consolidado Costos'!AI$6:AI$158*'Consolidado Costos'!$F$6:$F$158),0))</f>
        <v>0</v>
      </c>
      <c r="BO161" s="318" cm="1">
        <f t="array" ref="BO161">+SUMPRODUCT(IF('Consolidado Costos'!$K$6:$K$158=$BF161,('Consolidado Costos'!AJ$6:AJ$158*'Consolidado Costos'!$F$6:$F$158),0))</f>
        <v>0</v>
      </c>
      <c r="BP161" s="318" cm="1">
        <f t="array" ref="BP161">+SUMPRODUCT(IF('Consolidado Costos'!$K$6:$K$158=$BF161,('Consolidado Costos'!AK$6:AK$158*'Consolidado Costos'!$F$6:$F$158),0))</f>
        <v>0</v>
      </c>
      <c r="BQ161" s="318" cm="1">
        <f t="array" ref="BQ161">+SUMPRODUCT(IF('Consolidado Costos'!$K$6:$K$158=$BF161,('Consolidado Costos'!AL$6:AL$158*'Consolidado Costos'!$F$6:$F$158),0))</f>
        <v>0</v>
      </c>
      <c r="BR161" s="318" cm="1">
        <f t="array" ref="BR161">+SUMPRODUCT(IF('Consolidado Costos'!$K$6:$K$158=$BF161,('Consolidado Costos'!AM$6:AM$158*'Consolidado Costos'!$F$6:$F$158),0))</f>
        <v>0</v>
      </c>
      <c r="BS161" s="318" cm="1">
        <f t="array" ref="BS161">+SUMPRODUCT(IF('Consolidado Costos'!$K$6:$K$158=$BF161,('Consolidado Costos'!AN$6:AN$158*'Consolidado Costos'!$F$6:$F$158),0))</f>
        <v>0</v>
      </c>
      <c r="BT161" s="318" cm="1">
        <f t="array" ref="BT161">+SUMPRODUCT(IF('Consolidado Costos'!$K$6:$K$158=$BF161,('Consolidado Costos'!AO$6:AO$158*'Consolidado Costos'!$F$6:$F$158),0))</f>
        <v>0</v>
      </c>
      <c r="BU161" s="318" cm="1">
        <f t="array" ref="BU161">+SUMPRODUCT(IF('Consolidado Costos'!$K$6:$K$158=$BF161,('Consolidado Costos'!AP$6:AP$158*'Consolidado Costos'!$F$6:$F$158),0))</f>
        <v>0</v>
      </c>
      <c r="BW161" s="327"/>
      <c r="BX161" s="330" t="s">
        <v>280</v>
      </c>
      <c r="BY161" s="330" t="s">
        <v>282</v>
      </c>
      <c r="BZ161" s="329"/>
      <c r="CA161" s="354">
        <f t="shared" si="49"/>
        <v>0</v>
      </c>
      <c r="CB161" s="318" cm="1">
        <f t="array" ref="CB161">+SUMPRODUCT(IF('Consolidado Costos'!$K$6:$K$158=$BX161,('Consolidado Costos'!AE$6:AE$158*'Consolidado Costos'!$G$6:$G$158),0))</f>
        <v>0</v>
      </c>
      <c r="CC161" s="318" cm="1">
        <f t="array" ref="CC161">+SUMPRODUCT(IF('Consolidado Costos'!$K$6:$K$158=$BX161,('Consolidado Costos'!AF$6:AF$158*'Consolidado Costos'!$G$6:$G$158),0))</f>
        <v>0</v>
      </c>
      <c r="CD161" s="318" cm="1">
        <f t="array" ref="CD161">+SUMPRODUCT(IF('Consolidado Costos'!$K$6:$K$158=$BX161,('Consolidado Costos'!AG$6:AG$158*'Consolidado Costos'!$G$6:$G$158),0))</f>
        <v>0</v>
      </c>
      <c r="CE161" s="318" cm="1">
        <f t="array" ref="CE161">+SUMPRODUCT(IF('Consolidado Costos'!$K$6:$K$158=$BX161,('Consolidado Costos'!AH$6:AH$158*'Consolidado Costos'!$G$6:$G$158),0))</f>
        <v>0</v>
      </c>
      <c r="CF161" s="318" cm="1">
        <f t="array" ref="CF161">+SUMPRODUCT(IF('Consolidado Costos'!$K$6:$K$158=$BX161,('Consolidado Costos'!AI$6:AI$158*'Consolidado Costos'!$G$6:$G$158),0))</f>
        <v>0</v>
      </c>
      <c r="CG161" s="318" cm="1">
        <f t="array" ref="CG161">+SUMPRODUCT(IF('Consolidado Costos'!$K$6:$K$158=$BX161,('Consolidado Costos'!AJ$6:AJ$158*'Consolidado Costos'!$G$6:$G$158),0))</f>
        <v>0</v>
      </c>
      <c r="CH161" s="318" cm="1">
        <f t="array" ref="CH161">+SUMPRODUCT(IF('Consolidado Costos'!$K$6:$K$158=$BX161,('Consolidado Costos'!AK$6:AK$158*'Consolidado Costos'!$G$6:$G$158),0))</f>
        <v>0</v>
      </c>
      <c r="CI161" s="318" cm="1">
        <f t="array" ref="CI161">+SUMPRODUCT(IF('Consolidado Costos'!$K$6:$K$158=$BX161,('Consolidado Costos'!AL$6:AL$158*'Consolidado Costos'!$G$6:$G$158),0))</f>
        <v>0</v>
      </c>
      <c r="CJ161" s="318" cm="1">
        <f t="array" ref="CJ161">+SUMPRODUCT(IF('Consolidado Costos'!$K$6:$K$158=$BX161,('Consolidado Costos'!AM$6:AM$158*'Consolidado Costos'!$G$6:$G$158),0))</f>
        <v>0</v>
      </c>
      <c r="CK161" s="318" cm="1">
        <f t="array" ref="CK161">+SUMPRODUCT(IF('Consolidado Costos'!$K$6:$K$158=$BX161,('Consolidado Costos'!AN$6:AN$158*'Consolidado Costos'!$G$6:$G$158),0))</f>
        <v>0</v>
      </c>
      <c r="CL161" s="318" cm="1">
        <f t="array" ref="CL161">+SUMPRODUCT(IF('Consolidado Costos'!$K$6:$K$158=$BX161,('Consolidado Costos'!AO$6:AO$158*'Consolidado Costos'!$G$6:$G$158),0))</f>
        <v>0</v>
      </c>
      <c r="CM161" s="318" cm="1">
        <f t="array" ref="CM161">+SUMPRODUCT(IF('Consolidado Costos'!$K$6:$K$158=$BX161,('Consolidado Costos'!AP$6:AP$158*'Consolidado Costos'!$G$6:$G$158),0))</f>
        <v>0</v>
      </c>
      <c r="CN161" s="357">
        <f t="shared" si="10"/>
        <v>1</v>
      </c>
    </row>
    <row r="162" spans="2:92" s="310" customFormat="1" outlineLevel="1">
      <c r="B162" s="327"/>
      <c r="C162" s="328" t="s">
        <v>560</v>
      </c>
      <c r="D162" s="328" t="s">
        <v>561</v>
      </c>
      <c r="E162" s="329"/>
      <c r="F162" s="318">
        <f>+SUMIF('Consolidado Costos'!$K$6:$K$158,$C162,'Consolidado Costos'!$AD$6:$AD$158)</f>
        <v>0</v>
      </c>
      <c r="G162" s="318">
        <f>+SUMIF('Consolidado Costos'!$K$6:$K$158,$C162,'Consolidado Costos'!AE$6:AE$158)</f>
        <v>0</v>
      </c>
      <c r="H162" s="318">
        <f>+SUMIF('Consolidado Costos'!$K$6:$K$158,$C162,'Consolidado Costos'!AF$6:AF$158)</f>
        <v>0</v>
      </c>
      <c r="I162" s="318">
        <f>+SUMIF('Consolidado Costos'!$K$6:$K$158,$C162,'Consolidado Costos'!AG$6:AG$158)</f>
        <v>0</v>
      </c>
      <c r="J162" s="318">
        <f>+SUMIF('Consolidado Costos'!$K$6:$K$158,$C162,'Consolidado Costos'!AH$6:AH$158)</f>
        <v>0</v>
      </c>
      <c r="K162" s="318">
        <f>+SUMIF('Consolidado Costos'!$K$6:$K$158,$C162,'Consolidado Costos'!AI$6:AI$158)</f>
        <v>0</v>
      </c>
      <c r="L162" s="318">
        <f>+SUMIF('Consolidado Costos'!$K$6:$K$158,$C162,'Consolidado Costos'!AJ$6:AJ$158)</f>
        <v>0</v>
      </c>
      <c r="M162" s="318">
        <f>+SUMIF('Consolidado Costos'!$K$6:$K$158,$C162,'Consolidado Costos'!AK$6:AK$158)</f>
        <v>0</v>
      </c>
      <c r="N162" s="318">
        <f>+SUMIF('Consolidado Costos'!$K$6:$K$158,$C162,'Consolidado Costos'!AL$6:AL$158)</f>
        <v>0</v>
      </c>
      <c r="O162" s="318">
        <f>+SUMIF('Consolidado Costos'!$K$6:$K$158,$C162,'Consolidado Costos'!AM$6:AM$158)</f>
        <v>0</v>
      </c>
      <c r="P162" s="318">
        <f>+SUMIF('Consolidado Costos'!$K$6:$K$158,$C162,'Consolidado Costos'!AN$6:AN$158)</f>
        <v>0</v>
      </c>
      <c r="Q162" s="318">
        <f>+SUMIF('Consolidado Costos'!$K$6:$K$158,$C162,'Consolidado Costos'!AO$6:AO$158)</f>
        <v>0</v>
      </c>
      <c r="R162" s="318">
        <f>+SUMIF('Consolidado Costos'!$K$6:$K$158,$C162,'Consolidado Costos'!AP$6:AP$158)</f>
        <v>0</v>
      </c>
      <c r="S162" s="357">
        <f t="shared" si="5"/>
        <v>1</v>
      </c>
      <c r="U162" s="327"/>
      <c r="V162" s="328" t="s">
        <v>560</v>
      </c>
      <c r="W162" s="328" t="s">
        <v>561</v>
      </c>
      <c r="X162" s="329"/>
      <c r="Y162" s="354">
        <f t="shared" si="46"/>
        <v>0</v>
      </c>
      <c r="Z162" s="318" cm="1">
        <f t="array" ref="Z162">+SUMPRODUCT(IF('Consolidado Costos'!$K$6:$K$158=$V162,('Consolidado Costos'!AE$6:AE$158*'Consolidado Costos'!$D$6:$D$158),0))</f>
        <v>0</v>
      </c>
      <c r="AA162" s="318" cm="1">
        <f t="array" ref="AA162">+SUMPRODUCT(IF('Consolidado Costos'!$K$6:$K$158=$V162,('Consolidado Costos'!AF$6:AF$158*'Consolidado Costos'!$D$6:$D$158),0))</f>
        <v>0</v>
      </c>
      <c r="AB162" s="318" cm="1">
        <f t="array" ref="AB162">+SUMPRODUCT(IF('Consolidado Costos'!$K$6:$K$158=$V162,('Consolidado Costos'!AG$6:AG$158*'Consolidado Costos'!$D$6:$D$158),0))</f>
        <v>0</v>
      </c>
      <c r="AC162" s="318" cm="1">
        <f t="array" ref="AC162">+SUMPRODUCT(IF('Consolidado Costos'!$K$6:$K$158=$V162,('Consolidado Costos'!AH$6:AH$158*'Consolidado Costos'!$D$6:$D$158),0))</f>
        <v>0</v>
      </c>
      <c r="AD162" s="318" cm="1">
        <f t="array" ref="AD162">+SUMPRODUCT(IF('Consolidado Costos'!$K$6:$K$158=$V162,('Consolidado Costos'!AI$6:AI$158*'Consolidado Costos'!$D$6:$D$158),0))</f>
        <v>0</v>
      </c>
      <c r="AE162" s="318" cm="1">
        <f t="array" ref="AE162">+SUMPRODUCT(IF('Consolidado Costos'!$K$6:$K$158=$V162,('Consolidado Costos'!AJ$6:AJ$158*'Consolidado Costos'!$D$6:$D$158),0))</f>
        <v>0</v>
      </c>
      <c r="AF162" s="318" cm="1">
        <f t="array" ref="AF162">+SUMPRODUCT(IF('Consolidado Costos'!$K$6:$K$158=$V162,('Consolidado Costos'!AK$6:AK$158*'Consolidado Costos'!$D$6:$D$158),0))</f>
        <v>0</v>
      </c>
      <c r="AG162" s="318" cm="1">
        <f t="array" ref="AG162">+SUMPRODUCT(IF('Consolidado Costos'!$K$6:$K$158=$V162,('Consolidado Costos'!AL$6:AL$158*'Consolidado Costos'!$D$6:$D$158),0))</f>
        <v>0</v>
      </c>
      <c r="AH162" s="318" cm="1">
        <f t="array" ref="AH162">+SUMPRODUCT(IF('Consolidado Costos'!$K$6:$K$158=$V162,('Consolidado Costos'!AM$6:AM$158*'Consolidado Costos'!$D$6:$D$158),0))</f>
        <v>0</v>
      </c>
      <c r="AI162" s="318" cm="1">
        <f t="array" ref="AI162">+SUMPRODUCT(IF('Consolidado Costos'!$K$6:$K$158=$V162,('Consolidado Costos'!AN$6:AN$158*'Consolidado Costos'!$D$6:$D$158),0))</f>
        <v>0</v>
      </c>
      <c r="AJ162" s="318" cm="1">
        <f t="array" ref="AJ162">+SUMPRODUCT(IF('Consolidado Costos'!$K$6:$K$158=$V162,('Consolidado Costos'!AO$6:AO$158*'Consolidado Costos'!$D$6:$D$158),0))</f>
        <v>0</v>
      </c>
      <c r="AK162" s="318" cm="1">
        <f t="array" ref="AK162">+SUMPRODUCT(IF('Consolidado Costos'!$K$6:$K$158=$V162,('Consolidado Costos'!AP$6:AP$158*'Consolidado Costos'!$D$6:$D$158),0))</f>
        <v>0</v>
      </c>
      <c r="AM162" s="327"/>
      <c r="AN162" s="328" t="s">
        <v>560</v>
      </c>
      <c r="AO162" s="328" t="s">
        <v>561</v>
      </c>
      <c r="AP162" s="329"/>
      <c r="AQ162" s="354">
        <f t="shared" si="47"/>
        <v>0</v>
      </c>
      <c r="AR162" s="318" cm="1">
        <f t="array" ref="AR162">+SUMPRODUCT(IF('Consolidado Costos'!$K$6:$K$158=$AN162,('Consolidado Costos'!AE$6:AE$158*'Consolidado Costos'!$E$6:$E$158),0))</f>
        <v>0</v>
      </c>
      <c r="AS162" s="318" cm="1">
        <f t="array" ref="AS162">+SUMPRODUCT(IF('Consolidado Costos'!$K$6:$K$158=$AN162,('Consolidado Costos'!AF$6:AF$158*'Consolidado Costos'!$E$6:$E$158),0))</f>
        <v>0</v>
      </c>
      <c r="AT162" s="318" cm="1">
        <f t="array" ref="AT162">+SUMPRODUCT(IF('Consolidado Costos'!$K$6:$K$158=$AN162,('Consolidado Costos'!AG$6:AG$158*'Consolidado Costos'!$E$6:$E$158),0))</f>
        <v>0</v>
      </c>
      <c r="AU162" s="318" cm="1">
        <f t="array" ref="AU162">+SUMPRODUCT(IF('Consolidado Costos'!$K$6:$K$158=$AN162,('Consolidado Costos'!AH$6:AH$158*'Consolidado Costos'!$E$6:$E$158),0))</f>
        <v>0</v>
      </c>
      <c r="AV162" s="318" cm="1">
        <f t="array" ref="AV162">+SUMPRODUCT(IF('Consolidado Costos'!$K$6:$K$158=$AN162,('Consolidado Costos'!AI$6:AI$158*'Consolidado Costos'!$E$6:$E$158),0))</f>
        <v>0</v>
      </c>
      <c r="AW162" s="318" cm="1">
        <f t="array" ref="AW162">+SUMPRODUCT(IF('Consolidado Costos'!$K$6:$K$158=$AN162,('Consolidado Costos'!AJ$6:AJ$158*'Consolidado Costos'!$E$6:$E$158),0))</f>
        <v>0</v>
      </c>
      <c r="AX162" s="318" cm="1">
        <f t="array" ref="AX162">+SUMPRODUCT(IF('Consolidado Costos'!$K$6:$K$158=$AN162,('Consolidado Costos'!AK$6:AK$158*'Consolidado Costos'!$E$6:$E$158),0))</f>
        <v>0</v>
      </c>
      <c r="AY162" s="318" cm="1">
        <f t="array" ref="AY162">+SUMPRODUCT(IF('Consolidado Costos'!$K$6:$K$158=$AN162,('Consolidado Costos'!AL$6:AL$158*'Consolidado Costos'!$E$6:$E$158),0))</f>
        <v>0</v>
      </c>
      <c r="AZ162" s="318" cm="1">
        <f t="array" ref="AZ162">+SUMPRODUCT(IF('Consolidado Costos'!$K$6:$K$158=$AN162,('Consolidado Costos'!AM$6:AM$158*'Consolidado Costos'!$E$6:$E$158),0))</f>
        <v>0</v>
      </c>
      <c r="BA162" s="318" cm="1">
        <f t="array" ref="BA162">+SUMPRODUCT(IF('Consolidado Costos'!$K$6:$K$158=$AN162,('Consolidado Costos'!AN$6:AN$158*'Consolidado Costos'!$E$6:$E$158),0))</f>
        <v>0</v>
      </c>
      <c r="BB162" s="318" cm="1">
        <f t="array" ref="BB162">+SUMPRODUCT(IF('Consolidado Costos'!$K$6:$K$158=$AN162,('Consolidado Costos'!AO$6:AO$158*'Consolidado Costos'!$E$6:$E$158),0))</f>
        <v>0</v>
      </c>
      <c r="BC162" s="318" cm="1">
        <f t="array" ref="BC162">+SUMPRODUCT(IF('Consolidado Costos'!$K$6:$K$158=$AN162,('Consolidado Costos'!AP$6:AP$158*'Consolidado Costos'!$E$6:$E$158),0))</f>
        <v>0</v>
      </c>
      <c r="BE162" s="327"/>
      <c r="BF162" s="328" t="s">
        <v>560</v>
      </c>
      <c r="BG162" s="328" t="s">
        <v>561</v>
      </c>
      <c r="BH162" s="329"/>
      <c r="BI162" s="354">
        <f t="shared" si="48"/>
        <v>0</v>
      </c>
      <c r="BJ162" s="318" cm="1">
        <f t="array" ref="BJ162">+SUMPRODUCT(IF('Consolidado Costos'!$K$6:$K$158=$BF162,('Consolidado Costos'!AE$6:AE$158*'Consolidado Costos'!$F$6:$F$158),0))</f>
        <v>0</v>
      </c>
      <c r="BK162" s="318" cm="1">
        <f t="array" ref="BK162">+SUMPRODUCT(IF('Consolidado Costos'!$K$6:$K$158=$BF162,('Consolidado Costos'!AF$6:AF$158*'Consolidado Costos'!$F$6:$F$158),0))</f>
        <v>0</v>
      </c>
      <c r="BL162" s="318" cm="1">
        <f t="array" ref="BL162">+SUMPRODUCT(IF('Consolidado Costos'!$K$6:$K$158=$BF162,('Consolidado Costos'!AG$6:AG$158*'Consolidado Costos'!$F$6:$F$158),0))</f>
        <v>0</v>
      </c>
      <c r="BM162" s="318" cm="1">
        <f t="array" ref="BM162">+SUMPRODUCT(IF('Consolidado Costos'!$K$6:$K$158=$BF162,('Consolidado Costos'!AH$6:AH$158*'Consolidado Costos'!$F$6:$F$158),0))</f>
        <v>0</v>
      </c>
      <c r="BN162" s="318" cm="1">
        <f t="array" ref="BN162">+SUMPRODUCT(IF('Consolidado Costos'!$K$6:$K$158=$BF162,('Consolidado Costos'!AI$6:AI$158*'Consolidado Costos'!$F$6:$F$158),0))</f>
        <v>0</v>
      </c>
      <c r="BO162" s="318" cm="1">
        <f t="array" ref="BO162">+SUMPRODUCT(IF('Consolidado Costos'!$K$6:$K$158=$BF162,('Consolidado Costos'!AJ$6:AJ$158*'Consolidado Costos'!$F$6:$F$158),0))</f>
        <v>0</v>
      </c>
      <c r="BP162" s="318" cm="1">
        <f t="array" ref="BP162">+SUMPRODUCT(IF('Consolidado Costos'!$K$6:$K$158=$BF162,('Consolidado Costos'!AK$6:AK$158*'Consolidado Costos'!$F$6:$F$158),0))</f>
        <v>0</v>
      </c>
      <c r="BQ162" s="318" cm="1">
        <f t="array" ref="BQ162">+SUMPRODUCT(IF('Consolidado Costos'!$K$6:$K$158=$BF162,('Consolidado Costos'!AL$6:AL$158*'Consolidado Costos'!$F$6:$F$158),0))</f>
        <v>0</v>
      </c>
      <c r="BR162" s="318" cm="1">
        <f t="array" ref="BR162">+SUMPRODUCT(IF('Consolidado Costos'!$K$6:$K$158=$BF162,('Consolidado Costos'!AM$6:AM$158*'Consolidado Costos'!$F$6:$F$158),0))</f>
        <v>0</v>
      </c>
      <c r="BS162" s="318" cm="1">
        <f t="array" ref="BS162">+SUMPRODUCT(IF('Consolidado Costos'!$K$6:$K$158=$BF162,('Consolidado Costos'!AN$6:AN$158*'Consolidado Costos'!$F$6:$F$158),0))</f>
        <v>0</v>
      </c>
      <c r="BT162" s="318" cm="1">
        <f t="array" ref="BT162">+SUMPRODUCT(IF('Consolidado Costos'!$K$6:$K$158=$BF162,('Consolidado Costos'!AO$6:AO$158*'Consolidado Costos'!$F$6:$F$158),0))</f>
        <v>0</v>
      </c>
      <c r="BU162" s="318" cm="1">
        <f t="array" ref="BU162">+SUMPRODUCT(IF('Consolidado Costos'!$K$6:$K$158=$BF162,('Consolidado Costos'!AP$6:AP$158*'Consolidado Costos'!$F$6:$F$158),0))</f>
        <v>0</v>
      </c>
      <c r="BW162" s="327"/>
      <c r="BX162" s="328" t="s">
        <v>560</v>
      </c>
      <c r="BY162" s="328" t="s">
        <v>561</v>
      </c>
      <c r="BZ162" s="329"/>
      <c r="CA162" s="354">
        <f t="shared" si="49"/>
        <v>0</v>
      </c>
      <c r="CB162" s="318" cm="1">
        <f t="array" ref="CB162">+SUMPRODUCT(IF('Consolidado Costos'!$K$6:$K$158=$BX162,('Consolidado Costos'!AE$6:AE$158*'Consolidado Costos'!$G$6:$G$158),0))</f>
        <v>0</v>
      </c>
      <c r="CC162" s="318" cm="1">
        <f t="array" ref="CC162">+SUMPRODUCT(IF('Consolidado Costos'!$K$6:$K$158=$BX162,('Consolidado Costos'!AF$6:AF$158*'Consolidado Costos'!$G$6:$G$158),0))</f>
        <v>0</v>
      </c>
      <c r="CD162" s="318" cm="1">
        <f t="array" ref="CD162">+SUMPRODUCT(IF('Consolidado Costos'!$K$6:$K$158=$BX162,('Consolidado Costos'!AG$6:AG$158*'Consolidado Costos'!$G$6:$G$158),0))</f>
        <v>0</v>
      </c>
      <c r="CE162" s="318" cm="1">
        <f t="array" ref="CE162">+SUMPRODUCT(IF('Consolidado Costos'!$K$6:$K$158=$BX162,('Consolidado Costos'!AH$6:AH$158*'Consolidado Costos'!$G$6:$G$158),0))</f>
        <v>0</v>
      </c>
      <c r="CF162" s="318" cm="1">
        <f t="array" ref="CF162">+SUMPRODUCT(IF('Consolidado Costos'!$K$6:$K$158=$BX162,('Consolidado Costos'!AI$6:AI$158*'Consolidado Costos'!$G$6:$G$158),0))</f>
        <v>0</v>
      </c>
      <c r="CG162" s="318" cm="1">
        <f t="array" ref="CG162">+SUMPRODUCT(IF('Consolidado Costos'!$K$6:$K$158=$BX162,('Consolidado Costos'!AJ$6:AJ$158*'Consolidado Costos'!$G$6:$G$158),0))</f>
        <v>0</v>
      </c>
      <c r="CH162" s="318" cm="1">
        <f t="array" ref="CH162">+SUMPRODUCT(IF('Consolidado Costos'!$K$6:$K$158=$BX162,('Consolidado Costos'!AK$6:AK$158*'Consolidado Costos'!$G$6:$G$158),0))</f>
        <v>0</v>
      </c>
      <c r="CI162" s="318" cm="1">
        <f t="array" ref="CI162">+SUMPRODUCT(IF('Consolidado Costos'!$K$6:$K$158=$BX162,('Consolidado Costos'!AL$6:AL$158*'Consolidado Costos'!$G$6:$G$158),0))</f>
        <v>0</v>
      </c>
      <c r="CJ162" s="318" cm="1">
        <f t="array" ref="CJ162">+SUMPRODUCT(IF('Consolidado Costos'!$K$6:$K$158=$BX162,('Consolidado Costos'!AM$6:AM$158*'Consolidado Costos'!$G$6:$G$158),0))</f>
        <v>0</v>
      </c>
      <c r="CK162" s="318" cm="1">
        <f t="array" ref="CK162">+SUMPRODUCT(IF('Consolidado Costos'!$K$6:$K$158=$BX162,('Consolidado Costos'!AN$6:AN$158*'Consolidado Costos'!$G$6:$G$158),0))</f>
        <v>0</v>
      </c>
      <c r="CL162" s="318" cm="1">
        <f t="array" ref="CL162">+SUMPRODUCT(IF('Consolidado Costos'!$K$6:$K$158=$BX162,('Consolidado Costos'!AO$6:AO$158*'Consolidado Costos'!$G$6:$G$158),0))</f>
        <v>0</v>
      </c>
      <c r="CM162" s="318" cm="1">
        <f t="array" ref="CM162">+SUMPRODUCT(IF('Consolidado Costos'!$K$6:$K$158=$BX162,('Consolidado Costos'!AP$6:AP$158*'Consolidado Costos'!$G$6:$G$158),0))</f>
        <v>0</v>
      </c>
      <c r="CN162" s="357">
        <f t="shared" si="10"/>
        <v>1</v>
      </c>
    </row>
    <row r="163" spans="2:92" s="310" customFormat="1" outlineLevel="1">
      <c r="B163" s="327"/>
      <c r="C163" s="330" t="s">
        <v>562</v>
      </c>
      <c r="D163" s="330" t="s">
        <v>563</v>
      </c>
      <c r="E163" s="329"/>
      <c r="F163" s="318">
        <f>+SUMIF('Consolidado Costos'!$K$6:$K$158,$C163,'Consolidado Costos'!$AD$6:$AD$158)</f>
        <v>0</v>
      </c>
      <c r="G163" s="318">
        <f>+SUMIF('Consolidado Costos'!$K$6:$K$158,$C163,'Consolidado Costos'!AE$6:AE$158)</f>
        <v>0</v>
      </c>
      <c r="H163" s="318">
        <f>+SUMIF('Consolidado Costos'!$K$6:$K$158,$C163,'Consolidado Costos'!AF$6:AF$158)</f>
        <v>0</v>
      </c>
      <c r="I163" s="318">
        <f>+SUMIF('Consolidado Costos'!$K$6:$K$158,$C163,'Consolidado Costos'!AG$6:AG$158)</f>
        <v>0</v>
      </c>
      <c r="J163" s="318">
        <f>+SUMIF('Consolidado Costos'!$K$6:$K$158,$C163,'Consolidado Costos'!AH$6:AH$158)</f>
        <v>0</v>
      </c>
      <c r="K163" s="318">
        <f>+SUMIF('Consolidado Costos'!$K$6:$K$158,$C163,'Consolidado Costos'!AI$6:AI$158)</f>
        <v>0</v>
      </c>
      <c r="L163" s="318">
        <f>+SUMIF('Consolidado Costos'!$K$6:$K$158,$C163,'Consolidado Costos'!AJ$6:AJ$158)</f>
        <v>0</v>
      </c>
      <c r="M163" s="318">
        <f>+SUMIF('Consolidado Costos'!$K$6:$K$158,$C163,'Consolidado Costos'!AK$6:AK$158)</f>
        <v>0</v>
      </c>
      <c r="N163" s="318">
        <f>+SUMIF('Consolidado Costos'!$K$6:$K$158,$C163,'Consolidado Costos'!AL$6:AL$158)</f>
        <v>0</v>
      </c>
      <c r="O163" s="318">
        <f>+SUMIF('Consolidado Costos'!$K$6:$K$158,$C163,'Consolidado Costos'!AM$6:AM$158)</f>
        <v>0</v>
      </c>
      <c r="P163" s="318">
        <f>+SUMIF('Consolidado Costos'!$K$6:$K$158,$C163,'Consolidado Costos'!AN$6:AN$158)</f>
        <v>0</v>
      </c>
      <c r="Q163" s="318">
        <f>+SUMIF('Consolidado Costos'!$K$6:$K$158,$C163,'Consolidado Costos'!AO$6:AO$158)</f>
        <v>0</v>
      </c>
      <c r="R163" s="318">
        <f>+SUMIF('Consolidado Costos'!$K$6:$K$158,$C163,'Consolidado Costos'!AP$6:AP$158)</f>
        <v>0</v>
      </c>
      <c r="S163" s="357">
        <f t="shared" si="5"/>
        <v>1</v>
      </c>
      <c r="U163" s="327"/>
      <c r="V163" s="330" t="s">
        <v>562</v>
      </c>
      <c r="W163" s="330" t="s">
        <v>563</v>
      </c>
      <c r="X163" s="329"/>
      <c r="Y163" s="354">
        <f t="shared" si="46"/>
        <v>0</v>
      </c>
      <c r="Z163" s="318" cm="1">
        <f t="array" ref="Z163">+SUMPRODUCT(IF('Consolidado Costos'!$K$6:$K$158=$V163,('Consolidado Costos'!AE$6:AE$158*'Consolidado Costos'!$D$6:$D$158),0))</f>
        <v>0</v>
      </c>
      <c r="AA163" s="318" cm="1">
        <f t="array" ref="AA163">+SUMPRODUCT(IF('Consolidado Costos'!$K$6:$K$158=$V163,('Consolidado Costos'!AF$6:AF$158*'Consolidado Costos'!$D$6:$D$158),0))</f>
        <v>0</v>
      </c>
      <c r="AB163" s="318" cm="1">
        <f t="array" ref="AB163">+SUMPRODUCT(IF('Consolidado Costos'!$K$6:$K$158=$V163,('Consolidado Costos'!AG$6:AG$158*'Consolidado Costos'!$D$6:$D$158),0))</f>
        <v>0</v>
      </c>
      <c r="AC163" s="318" cm="1">
        <f t="array" ref="AC163">+SUMPRODUCT(IF('Consolidado Costos'!$K$6:$K$158=$V163,('Consolidado Costos'!AH$6:AH$158*'Consolidado Costos'!$D$6:$D$158),0))</f>
        <v>0</v>
      </c>
      <c r="AD163" s="318" cm="1">
        <f t="array" ref="AD163">+SUMPRODUCT(IF('Consolidado Costos'!$K$6:$K$158=$V163,('Consolidado Costos'!AI$6:AI$158*'Consolidado Costos'!$D$6:$D$158),0))</f>
        <v>0</v>
      </c>
      <c r="AE163" s="318" cm="1">
        <f t="array" ref="AE163">+SUMPRODUCT(IF('Consolidado Costos'!$K$6:$K$158=$V163,('Consolidado Costos'!AJ$6:AJ$158*'Consolidado Costos'!$D$6:$D$158),0))</f>
        <v>0</v>
      </c>
      <c r="AF163" s="318" cm="1">
        <f t="array" ref="AF163">+SUMPRODUCT(IF('Consolidado Costos'!$K$6:$K$158=$V163,('Consolidado Costos'!AK$6:AK$158*'Consolidado Costos'!$D$6:$D$158),0))</f>
        <v>0</v>
      </c>
      <c r="AG163" s="318" cm="1">
        <f t="array" ref="AG163">+SUMPRODUCT(IF('Consolidado Costos'!$K$6:$K$158=$V163,('Consolidado Costos'!AL$6:AL$158*'Consolidado Costos'!$D$6:$D$158),0))</f>
        <v>0</v>
      </c>
      <c r="AH163" s="318" cm="1">
        <f t="array" ref="AH163">+SUMPRODUCT(IF('Consolidado Costos'!$K$6:$K$158=$V163,('Consolidado Costos'!AM$6:AM$158*'Consolidado Costos'!$D$6:$D$158),0))</f>
        <v>0</v>
      </c>
      <c r="AI163" s="318" cm="1">
        <f t="array" ref="AI163">+SUMPRODUCT(IF('Consolidado Costos'!$K$6:$K$158=$V163,('Consolidado Costos'!AN$6:AN$158*'Consolidado Costos'!$D$6:$D$158),0))</f>
        <v>0</v>
      </c>
      <c r="AJ163" s="318" cm="1">
        <f t="array" ref="AJ163">+SUMPRODUCT(IF('Consolidado Costos'!$K$6:$K$158=$V163,('Consolidado Costos'!AO$6:AO$158*'Consolidado Costos'!$D$6:$D$158),0))</f>
        <v>0</v>
      </c>
      <c r="AK163" s="318" cm="1">
        <f t="array" ref="AK163">+SUMPRODUCT(IF('Consolidado Costos'!$K$6:$K$158=$V163,('Consolidado Costos'!AP$6:AP$158*'Consolidado Costos'!$D$6:$D$158),0))</f>
        <v>0</v>
      </c>
      <c r="AM163" s="327"/>
      <c r="AN163" s="330" t="s">
        <v>562</v>
      </c>
      <c r="AO163" s="330" t="s">
        <v>563</v>
      </c>
      <c r="AP163" s="329"/>
      <c r="AQ163" s="354">
        <f t="shared" si="47"/>
        <v>0</v>
      </c>
      <c r="AR163" s="318" cm="1">
        <f t="array" ref="AR163">+SUMPRODUCT(IF('Consolidado Costos'!$K$6:$K$158=$AN163,('Consolidado Costos'!AE$6:AE$158*'Consolidado Costos'!$E$6:$E$158),0))</f>
        <v>0</v>
      </c>
      <c r="AS163" s="318" cm="1">
        <f t="array" ref="AS163">+SUMPRODUCT(IF('Consolidado Costos'!$K$6:$K$158=$AN163,('Consolidado Costos'!AF$6:AF$158*'Consolidado Costos'!$E$6:$E$158),0))</f>
        <v>0</v>
      </c>
      <c r="AT163" s="318" cm="1">
        <f t="array" ref="AT163">+SUMPRODUCT(IF('Consolidado Costos'!$K$6:$K$158=$AN163,('Consolidado Costos'!AG$6:AG$158*'Consolidado Costos'!$E$6:$E$158),0))</f>
        <v>0</v>
      </c>
      <c r="AU163" s="318" cm="1">
        <f t="array" ref="AU163">+SUMPRODUCT(IF('Consolidado Costos'!$K$6:$K$158=$AN163,('Consolidado Costos'!AH$6:AH$158*'Consolidado Costos'!$E$6:$E$158),0))</f>
        <v>0</v>
      </c>
      <c r="AV163" s="318" cm="1">
        <f t="array" ref="AV163">+SUMPRODUCT(IF('Consolidado Costos'!$K$6:$K$158=$AN163,('Consolidado Costos'!AI$6:AI$158*'Consolidado Costos'!$E$6:$E$158),0))</f>
        <v>0</v>
      </c>
      <c r="AW163" s="318" cm="1">
        <f t="array" ref="AW163">+SUMPRODUCT(IF('Consolidado Costos'!$K$6:$K$158=$AN163,('Consolidado Costos'!AJ$6:AJ$158*'Consolidado Costos'!$E$6:$E$158),0))</f>
        <v>0</v>
      </c>
      <c r="AX163" s="318" cm="1">
        <f t="array" ref="AX163">+SUMPRODUCT(IF('Consolidado Costos'!$K$6:$K$158=$AN163,('Consolidado Costos'!AK$6:AK$158*'Consolidado Costos'!$E$6:$E$158),0))</f>
        <v>0</v>
      </c>
      <c r="AY163" s="318" cm="1">
        <f t="array" ref="AY163">+SUMPRODUCT(IF('Consolidado Costos'!$K$6:$K$158=$AN163,('Consolidado Costos'!AL$6:AL$158*'Consolidado Costos'!$E$6:$E$158),0))</f>
        <v>0</v>
      </c>
      <c r="AZ163" s="318" cm="1">
        <f t="array" ref="AZ163">+SUMPRODUCT(IF('Consolidado Costos'!$K$6:$K$158=$AN163,('Consolidado Costos'!AM$6:AM$158*'Consolidado Costos'!$E$6:$E$158),0))</f>
        <v>0</v>
      </c>
      <c r="BA163" s="318" cm="1">
        <f t="array" ref="BA163">+SUMPRODUCT(IF('Consolidado Costos'!$K$6:$K$158=$AN163,('Consolidado Costos'!AN$6:AN$158*'Consolidado Costos'!$E$6:$E$158),0))</f>
        <v>0</v>
      </c>
      <c r="BB163" s="318" cm="1">
        <f t="array" ref="BB163">+SUMPRODUCT(IF('Consolidado Costos'!$K$6:$K$158=$AN163,('Consolidado Costos'!AO$6:AO$158*'Consolidado Costos'!$E$6:$E$158),0))</f>
        <v>0</v>
      </c>
      <c r="BC163" s="318" cm="1">
        <f t="array" ref="BC163">+SUMPRODUCT(IF('Consolidado Costos'!$K$6:$K$158=$AN163,('Consolidado Costos'!AP$6:AP$158*'Consolidado Costos'!$E$6:$E$158),0))</f>
        <v>0</v>
      </c>
      <c r="BE163" s="327"/>
      <c r="BF163" s="330" t="s">
        <v>562</v>
      </c>
      <c r="BG163" s="330" t="s">
        <v>563</v>
      </c>
      <c r="BH163" s="329"/>
      <c r="BI163" s="354">
        <f t="shared" si="48"/>
        <v>0</v>
      </c>
      <c r="BJ163" s="318" cm="1">
        <f t="array" ref="BJ163">+SUMPRODUCT(IF('Consolidado Costos'!$K$6:$K$158=$BF163,('Consolidado Costos'!AE$6:AE$158*'Consolidado Costos'!$F$6:$F$158),0))</f>
        <v>0</v>
      </c>
      <c r="BK163" s="318" cm="1">
        <f t="array" ref="BK163">+SUMPRODUCT(IF('Consolidado Costos'!$K$6:$K$158=$BF163,('Consolidado Costos'!AF$6:AF$158*'Consolidado Costos'!$F$6:$F$158),0))</f>
        <v>0</v>
      </c>
      <c r="BL163" s="318" cm="1">
        <f t="array" ref="BL163">+SUMPRODUCT(IF('Consolidado Costos'!$K$6:$K$158=$BF163,('Consolidado Costos'!AG$6:AG$158*'Consolidado Costos'!$F$6:$F$158),0))</f>
        <v>0</v>
      </c>
      <c r="BM163" s="318" cm="1">
        <f t="array" ref="BM163">+SUMPRODUCT(IF('Consolidado Costos'!$K$6:$K$158=$BF163,('Consolidado Costos'!AH$6:AH$158*'Consolidado Costos'!$F$6:$F$158),0))</f>
        <v>0</v>
      </c>
      <c r="BN163" s="318" cm="1">
        <f t="array" ref="BN163">+SUMPRODUCT(IF('Consolidado Costos'!$K$6:$K$158=$BF163,('Consolidado Costos'!AI$6:AI$158*'Consolidado Costos'!$F$6:$F$158),0))</f>
        <v>0</v>
      </c>
      <c r="BO163" s="318" cm="1">
        <f t="array" ref="BO163">+SUMPRODUCT(IF('Consolidado Costos'!$K$6:$K$158=$BF163,('Consolidado Costos'!AJ$6:AJ$158*'Consolidado Costos'!$F$6:$F$158),0))</f>
        <v>0</v>
      </c>
      <c r="BP163" s="318" cm="1">
        <f t="array" ref="BP163">+SUMPRODUCT(IF('Consolidado Costos'!$K$6:$K$158=$BF163,('Consolidado Costos'!AK$6:AK$158*'Consolidado Costos'!$F$6:$F$158),0))</f>
        <v>0</v>
      </c>
      <c r="BQ163" s="318" cm="1">
        <f t="array" ref="BQ163">+SUMPRODUCT(IF('Consolidado Costos'!$K$6:$K$158=$BF163,('Consolidado Costos'!AL$6:AL$158*'Consolidado Costos'!$F$6:$F$158),0))</f>
        <v>0</v>
      </c>
      <c r="BR163" s="318" cm="1">
        <f t="array" ref="BR163">+SUMPRODUCT(IF('Consolidado Costos'!$K$6:$K$158=$BF163,('Consolidado Costos'!AM$6:AM$158*'Consolidado Costos'!$F$6:$F$158),0))</f>
        <v>0</v>
      </c>
      <c r="BS163" s="318" cm="1">
        <f t="array" ref="BS163">+SUMPRODUCT(IF('Consolidado Costos'!$K$6:$K$158=$BF163,('Consolidado Costos'!AN$6:AN$158*'Consolidado Costos'!$F$6:$F$158),0))</f>
        <v>0</v>
      </c>
      <c r="BT163" s="318" cm="1">
        <f t="array" ref="BT163">+SUMPRODUCT(IF('Consolidado Costos'!$K$6:$K$158=$BF163,('Consolidado Costos'!AO$6:AO$158*'Consolidado Costos'!$F$6:$F$158),0))</f>
        <v>0</v>
      </c>
      <c r="BU163" s="318" cm="1">
        <f t="array" ref="BU163">+SUMPRODUCT(IF('Consolidado Costos'!$K$6:$K$158=$BF163,('Consolidado Costos'!AP$6:AP$158*'Consolidado Costos'!$F$6:$F$158),0))</f>
        <v>0</v>
      </c>
      <c r="BW163" s="327"/>
      <c r="BX163" s="330" t="s">
        <v>562</v>
      </c>
      <c r="BY163" s="330" t="s">
        <v>563</v>
      </c>
      <c r="BZ163" s="329"/>
      <c r="CA163" s="354">
        <f t="shared" si="49"/>
        <v>0</v>
      </c>
      <c r="CB163" s="318" cm="1">
        <f t="array" ref="CB163">+SUMPRODUCT(IF('Consolidado Costos'!$K$6:$K$158=$BX163,('Consolidado Costos'!AE$6:AE$158*'Consolidado Costos'!$G$6:$G$158),0))</f>
        <v>0</v>
      </c>
      <c r="CC163" s="318" cm="1">
        <f t="array" ref="CC163">+SUMPRODUCT(IF('Consolidado Costos'!$K$6:$K$158=$BX163,('Consolidado Costos'!AF$6:AF$158*'Consolidado Costos'!$G$6:$G$158),0))</f>
        <v>0</v>
      </c>
      <c r="CD163" s="318" cm="1">
        <f t="array" ref="CD163">+SUMPRODUCT(IF('Consolidado Costos'!$K$6:$K$158=$BX163,('Consolidado Costos'!AG$6:AG$158*'Consolidado Costos'!$G$6:$G$158),0))</f>
        <v>0</v>
      </c>
      <c r="CE163" s="318" cm="1">
        <f t="array" ref="CE163">+SUMPRODUCT(IF('Consolidado Costos'!$K$6:$K$158=$BX163,('Consolidado Costos'!AH$6:AH$158*'Consolidado Costos'!$G$6:$G$158),0))</f>
        <v>0</v>
      </c>
      <c r="CF163" s="318" cm="1">
        <f t="array" ref="CF163">+SUMPRODUCT(IF('Consolidado Costos'!$K$6:$K$158=$BX163,('Consolidado Costos'!AI$6:AI$158*'Consolidado Costos'!$G$6:$G$158),0))</f>
        <v>0</v>
      </c>
      <c r="CG163" s="318" cm="1">
        <f t="array" ref="CG163">+SUMPRODUCT(IF('Consolidado Costos'!$K$6:$K$158=$BX163,('Consolidado Costos'!AJ$6:AJ$158*'Consolidado Costos'!$G$6:$G$158),0))</f>
        <v>0</v>
      </c>
      <c r="CH163" s="318" cm="1">
        <f t="array" ref="CH163">+SUMPRODUCT(IF('Consolidado Costos'!$K$6:$K$158=$BX163,('Consolidado Costos'!AK$6:AK$158*'Consolidado Costos'!$G$6:$G$158),0))</f>
        <v>0</v>
      </c>
      <c r="CI163" s="318" cm="1">
        <f t="array" ref="CI163">+SUMPRODUCT(IF('Consolidado Costos'!$K$6:$K$158=$BX163,('Consolidado Costos'!AL$6:AL$158*'Consolidado Costos'!$G$6:$G$158),0))</f>
        <v>0</v>
      </c>
      <c r="CJ163" s="318" cm="1">
        <f t="array" ref="CJ163">+SUMPRODUCT(IF('Consolidado Costos'!$K$6:$K$158=$BX163,('Consolidado Costos'!AM$6:AM$158*'Consolidado Costos'!$G$6:$G$158),0))</f>
        <v>0</v>
      </c>
      <c r="CK163" s="318" cm="1">
        <f t="array" ref="CK163">+SUMPRODUCT(IF('Consolidado Costos'!$K$6:$K$158=$BX163,('Consolidado Costos'!AN$6:AN$158*'Consolidado Costos'!$G$6:$G$158),0))</f>
        <v>0</v>
      </c>
      <c r="CL163" s="318" cm="1">
        <f t="array" ref="CL163">+SUMPRODUCT(IF('Consolidado Costos'!$K$6:$K$158=$BX163,('Consolidado Costos'!AO$6:AO$158*'Consolidado Costos'!$G$6:$G$158),0))</f>
        <v>0</v>
      </c>
      <c r="CM163" s="318" cm="1">
        <f t="array" ref="CM163">+SUMPRODUCT(IF('Consolidado Costos'!$K$6:$K$158=$BX163,('Consolidado Costos'!AP$6:AP$158*'Consolidado Costos'!$G$6:$G$158),0))</f>
        <v>0</v>
      </c>
      <c r="CN163" s="357">
        <f t="shared" si="10"/>
        <v>1</v>
      </c>
    </row>
    <row r="164" spans="2:92" s="310" customFormat="1" outlineLevel="1">
      <c r="B164" s="327"/>
      <c r="C164" s="328" t="s">
        <v>261</v>
      </c>
      <c r="D164" s="328" t="s">
        <v>259</v>
      </c>
      <c r="E164" s="329"/>
      <c r="F164" s="318">
        <f>+SUMIF('Consolidado Costos'!$K$6:$K$158,$C164,'Consolidado Costos'!$AD$6:$AD$158)</f>
        <v>3076.9230769230767</v>
      </c>
      <c r="G164" s="318">
        <f>+SUMIF('Consolidado Costos'!$K$6:$K$158,$C164,'Consolidado Costos'!AE$6:AE$158)</f>
        <v>256.41025641025641</v>
      </c>
      <c r="H164" s="318">
        <f>+SUMIF('Consolidado Costos'!$K$6:$K$158,$C164,'Consolidado Costos'!AF$6:AF$158)</f>
        <v>256.41025641025641</v>
      </c>
      <c r="I164" s="318">
        <f>+SUMIF('Consolidado Costos'!$K$6:$K$158,$C164,'Consolidado Costos'!AG$6:AG$158)</f>
        <v>256.41025641025641</v>
      </c>
      <c r="J164" s="318">
        <f>+SUMIF('Consolidado Costos'!$K$6:$K$158,$C164,'Consolidado Costos'!AH$6:AH$158)</f>
        <v>256.41025641025641</v>
      </c>
      <c r="K164" s="318">
        <f>+SUMIF('Consolidado Costos'!$K$6:$K$158,$C164,'Consolidado Costos'!AI$6:AI$158)</f>
        <v>256.41025641025641</v>
      </c>
      <c r="L164" s="318">
        <f>+SUMIF('Consolidado Costos'!$K$6:$K$158,$C164,'Consolidado Costos'!AJ$6:AJ$158)</f>
        <v>256.41025641025641</v>
      </c>
      <c r="M164" s="318">
        <f>+SUMIF('Consolidado Costos'!$K$6:$K$158,$C164,'Consolidado Costos'!AK$6:AK$158)</f>
        <v>256.41025641025641</v>
      </c>
      <c r="N164" s="318">
        <f>+SUMIF('Consolidado Costos'!$K$6:$K$158,$C164,'Consolidado Costos'!AL$6:AL$158)</f>
        <v>256.41025641025641</v>
      </c>
      <c r="O164" s="318">
        <f>+SUMIF('Consolidado Costos'!$K$6:$K$158,$C164,'Consolidado Costos'!AM$6:AM$158)</f>
        <v>256.41025641025641</v>
      </c>
      <c r="P164" s="318">
        <f>+SUMIF('Consolidado Costos'!$K$6:$K$158,$C164,'Consolidado Costos'!AN$6:AN$158)</f>
        <v>256.41025641025641</v>
      </c>
      <c r="Q164" s="318">
        <f>+SUMIF('Consolidado Costos'!$K$6:$K$158,$C164,'Consolidado Costos'!AO$6:AO$158)</f>
        <v>256.41025641025641</v>
      </c>
      <c r="R164" s="318">
        <f>+SUMIF('Consolidado Costos'!$K$6:$K$158,$C164,'Consolidado Costos'!AP$6:AP$158)</f>
        <v>256.41025641025641</v>
      </c>
      <c r="S164" s="357">
        <f t="shared" si="5"/>
        <v>1</v>
      </c>
      <c r="U164" s="327"/>
      <c r="V164" s="328" t="s">
        <v>261</v>
      </c>
      <c r="W164" s="328" t="s">
        <v>259</v>
      </c>
      <c r="X164" s="329"/>
      <c r="Y164" s="354">
        <f t="shared" si="46"/>
        <v>0</v>
      </c>
      <c r="Z164" s="318" cm="1">
        <f t="array" ref="Z164">+SUMPRODUCT(IF('Consolidado Costos'!$K$6:$K$158=$V164,('Consolidado Costos'!AE$6:AE$158*'Consolidado Costos'!$D$6:$D$158),0))</f>
        <v>0</v>
      </c>
      <c r="AA164" s="318" cm="1">
        <f t="array" ref="AA164">+SUMPRODUCT(IF('Consolidado Costos'!$K$6:$K$158=$V164,('Consolidado Costos'!AF$6:AF$158*'Consolidado Costos'!$D$6:$D$158),0))</f>
        <v>0</v>
      </c>
      <c r="AB164" s="318" cm="1">
        <f t="array" ref="AB164">+SUMPRODUCT(IF('Consolidado Costos'!$K$6:$K$158=$V164,('Consolidado Costos'!AG$6:AG$158*'Consolidado Costos'!$D$6:$D$158),0))</f>
        <v>0</v>
      </c>
      <c r="AC164" s="318" cm="1">
        <f t="array" ref="AC164">+SUMPRODUCT(IF('Consolidado Costos'!$K$6:$K$158=$V164,('Consolidado Costos'!AH$6:AH$158*'Consolidado Costos'!$D$6:$D$158),0))</f>
        <v>0</v>
      </c>
      <c r="AD164" s="318" cm="1">
        <f t="array" ref="AD164">+SUMPRODUCT(IF('Consolidado Costos'!$K$6:$K$158=$V164,('Consolidado Costos'!AI$6:AI$158*'Consolidado Costos'!$D$6:$D$158),0))</f>
        <v>0</v>
      </c>
      <c r="AE164" s="318" cm="1">
        <f t="array" ref="AE164">+SUMPRODUCT(IF('Consolidado Costos'!$K$6:$K$158=$V164,('Consolidado Costos'!AJ$6:AJ$158*'Consolidado Costos'!$D$6:$D$158),0))</f>
        <v>0</v>
      </c>
      <c r="AF164" s="318" cm="1">
        <f t="array" ref="AF164">+SUMPRODUCT(IF('Consolidado Costos'!$K$6:$K$158=$V164,('Consolidado Costos'!AK$6:AK$158*'Consolidado Costos'!$D$6:$D$158),0))</f>
        <v>0</v>
      </c>
      <c r="AG164" s="318" cm="1">
        <f t="array" ref="AG164">+SUMPRODUCT(IF('Consolidado Costos'!$K$6:$K$158=$V164,('Consolidado Costos'!AL$6:AL$158*'Consolidado Costos'!$D$6:$D$158),0))</f>
        <v>0</v>
      </c>
      <c r="AH164" s="318" cm="1">
        <f t="array" ref="AH164">+SUMPRODUCT(IF('Consolidado Costos'!$K$6:$K$158=$V164,('Consolidado Costos'!AM$6:AM$158*'Consolidado Costos'!$D$6:$D$158),0))</f>
        <v>0</v>
      </c>
      <c r="AI164" s="318" cm="1">
        <f t="array" ref="AI164">+SUMPRODUCT(IF('Consolidado Costos'!$K$6:$K$158=$V164,('Consolidado Costos'!AN$6:AN$158*'Consolidado Costos'!$D$6:$D$158),0))</f>
        <v>0</v>
      </c>
      <c r="AJ164" s="318" cm="1">
        <f t="array" ref="AJ164">+SUMPRODUCT(IF('Consolidado Costos'!$K$6:$K$158=$V164,('Consolidado Costos'!AO$6:AO$158*'Consolidado Costos'!$D$6:$D$158),0))</f>
        <v>0</v>
      </c>
      <c r="AK164" s="318" cm="1">
        <f t="array" ref="AK164">+SUMPRODUCT(IF('Consolidado Costos'!$K$6:$K$158=$V164,('Consolidado Costos'!AP$6:AP$158*'Consolidado Costos'!$D$6:$D$158),0))</f>
        <v>0</v>
      </c>
      <c r="AM164" s="327"/>
      <c r="AN164" s="328" t="s">
        <v>261</v>
      </c>
      <c r="AO164" s="328" t="s">
        <v>259</v>
      </c>
      <c r="AP164" s="329"/>
      <c r="AQ164" s="354">
        <f t="shared" si="47"/>
        <v>0</v>
      </c>
      <c r="AR164" s="318" cm="1">
        <f t="array" ref="AR164">+SUMPRODUCT(IF('Consolidado Costos'!$K$6:$K$158=$AN164,('Consolidado Costos'!AE$6:AE$158*'Consolidado Costos'!$E$6:$E$158),0))</f>
        <v>0</v>
      </c>
      <c r="AS164" s="318" cm="1">
        <f t="array" ref="AS164">+SUMPRODUCT(IF('Consolidado Costos'!$K$6:$K$158=$AN164,('Consolidado Costos'!AF$6:AF$158*'Consolidado Costos'!$E$6:$E$158),0))</f>
        <v>0</v>
      </c>
      <c r="AT164" s="318" cm="1">
        <f t="array" ref="AT164">+SUMPRODUCT(IF('Consolidado Costos'!$K$6:$K$158=$AN164,('Consolidado Costos'!AG$6:AG$158*'Consolidado Costos'!$E$6:$E$158),0))</f>
        <v>0</v>
      </c>
      <c r="AU164" s="318" cm="1">
        <f t="array" ref="AU164">+SUMPRODUCT(IF('Consolidado Costos'!$K$6:$K$158=$AN164,('Consolidado Costos'!AH$6:AH$158*'Consolidado Costos'!$E$6:$E$158),0))</f>
        <v>0</v>
      </c>
      <c r="AV164" s="318" cm="1">
        <f t="array" ref="AV164">+SUMPRODUCT(IF('Consolidado Costos'!$K$6:$K$158=$AN164,('Consolidado Costos'!AI$6:AI$158*'Consolidado Costos'!$E$6:$E$158),0))</f>
        <v>0</v>
      </c>
      <c r="AW164" s="318" cm="1">
        <f t="array" ref="AW164">+SUMPRODUCT(IF('Consolidado Costos'!$K$6:$K$158=$AN164,('Consolidado Costos'!AJ$6:AJ$158*'Consolidado Costos'!$E$6:$E$158),0))</f>
        <v>0</v>
      </c>
      <c r="AX164" s="318" cm="1">
        <f t="array" ref="AX164">+SUMPRODUCT(IF('Consolidado Costos'!$K$6:$K$158=$AN164,('Consolidado Costos'!AK$6:AK$158*'Consolidado Costos'!$E$6:$E$158),0))</f>
        <v>0</v>
      </c>
      <c r="AY164" s="318" cm="1">
        <f t="array" ref="AY164">+SUMPRODUCT(IF('Consolidado Costos'!$K$6:$K$158=$AN164,('Consolidado Costos'!AL$6:AL$158*'Consolidado Costos'!$E$6:$E$158),0))</f>
        <v>0</v>
      </c>
      <c r="AZ164" s="318" cm="1">
        <f t="array" ref="AZ164">+SUMPRODUCT(IF('Consolidado Costos'!$K$6:$K$158=$AN164,('Consolidado Costos'!AM$6:AM$158*'Consolidado Costos'!$E$6:$E$158),0))</f>
        <v>0</v>
      </c>
      <c r="BA164" s="318" cm="1">
        <f t="array" ref="BA164">+SUMPRODUCT(IF('Consolidado Costos'!$K$6:$K$158=$AN164,('Consolidado Costos'!AN$6:AN$158*'Consolidado Costos'!$E$6:$E$158),0))</f>
        <v>0</v>
      </c>
      <c r="BB164" s="318" cm="1">
        <f t="array" ref="BB164">+SUMPRODUCT(IF('Consolidado Costos'!$K$6:$K$158=$AN164,('Consolidado Costos'!AO$6:AO$158*'Consolidado Costos'!$E$6:$E$158),0))</f>
        <v>0</v>
      </c>
      <c r="BC164" s="318" cm="1">
        <f t="array" ref="BC164">+SUMPRODUCT(IF('Consolidado Costos'!$K$6:$K$158=$AN164,('Consolidado Costos'!AP$6:AP$158*'Consolidado Costos'!$E$6:$E$158),0))</f>
        <v>0</v>
      </c>
      <c r="BE164" s="327"/>
      <c r="BF164" s="328" t="s">
        <v>261</v>
      </c>
      <c r="BG164" s="328" t="s">
        <v>259</v>
      </c>
      <c r="BH164" s="329"/>
      <c r="BI164" s="354">
        <f t="shared" si="48"/>
        <v>0</v>
      </c>
      <c r="BJ164" s="318" cm="1">
        <f t="array" ref="BJ164">+SUMPRODUCT(IF('Consolidado Costos'!$K$6:$K$158=$BF164,('Consolidado Costos'!AE$6:AE$158*'Consolidado Costos'!$F$6:$F$158),0))</f>
        <v>0</v>
      </c>
      <c r="BK164" s="318" cm="1">
        <f t="array" ref="BK164">+SUMPRODUCT(IF('Consolidado Costos'!$K$6:$K$158=$BF164,('Consolidado Costos'!AF$6:AF$158*'Consolidado Costos'!$F$6:$F$158),0))</f>
        <v>0</v>
      </c>
      <c r="BL164" s="318" cm="1">
        <f t="array" ref="BL164">+SUMPRODUCT(IF('Consolidado Costos'!$K$6:$K$158=$BF164,('Consolidado Costos'!AG$6:AG$158*'Consolidado Costos'!$F$6:$F$158),0))</f>
        <v>0</v>
      </c>
      <c r="BM164" s="318" cm="1">
        <f t="array" ref="BM164">+SUMPRODUCT(IF('Consolidado Costos'!$K$6:$K$158=$BF164,('Consolidado Costos'!AH$6:AH$158*'Consolidado Costos'!$F$6:$F$158),0))</f>
        <v>0</v>
      </c>
      <c r="BN164" s="318" cm="1">
        <f t="array" ref="BN164">+SUMPRODUCT(IF('Consolidado Costos'!$K$6:$K$158=$BF164,('Consolidado Costos'!AI$6:AI$158*'Consolidado Costos'!$F$6:$F$158),0))</f>
        <v>0</v>
      </c>
      <c r="BO164" s="318" cm="1">
        <f t="array" ref="BO164">+SUMPRODUCT(IF('Consolidado Costos'!$K$6:$K$158=$BF164,('Consolidado Costos'!AJ$6:AJ$158*'Consolidado Costos'!$F$6:$F$158),0))</f>
        <v>0</v>
      </c>
      <c r="BP164" s="318" cm="1">
        <f t="array" ref="BP164">+SUMPRODUCT(IF('Consolidado Costos'!$K$6:$K$158=$BF164,('Consolidado Costos'!AK$6:AK$158*'Consolidado Costos'!$F$6:$F$158),0))</f>
        <v>0</v>
      </c>
      <c r="BQ164" s="318" cm="1">
        <f t="array" ref="BQ164">+SUMPRODUCT(IF('Consolidado Costos'!$K$6:$K$158=$BF164,('Consolidado Costos'!AL$6:AL$158*'Consolidado Costos'!$F$6:$F$158),0))</f>
        <v>0</v>
      </c>
      <c r="BR164" s="318" cm="1">
        <f t="array" ref="BR164">+SUMPRODUCT(IF('Consolidado Costos'!$K$6:$K$158=$BF164,('Consolidado Costos'!AM$6:AM$158*'Consolidado Costos'!$F$6:$F$158),0))</f>
        <v>0</v>
      </c>
      <c r="BS164" s="318" cm="1">
        <f t="array" ref="BS164">+SUMPRODUCT(IF('Consolidado Costos'!$K$6:$K$158=$BF164,('Consolidado Costos'!AN$6:AN$158*'Consolidado Costos'!$F$6:$F$158),0))</f>
        <v>0</v>
      </c>
      <c r="BT164" s="318" cm="1">
        <f t="array" ref="BT164">+SUMPRODUCT(IF('Consolidado Costos'!$K$6:$K$158=$BF164,('Consolidado Costos'!AO$6:AO$158*'Consolidado Costos'!$F$6:$F$158),0))</f>
        <v>0</v>
      </c>
      <c r="BU164" s="318" cm="1">
        <f t="array" ref="BU164">+SUMPRODUCT(IF('Consolidado Costos'!$K$6:$K$158=$BF164,('Consolidado Costos'!AP$6:AP$158*'Consolidado Costos'!$F$6:$F$158),0))</f>
        <v>0</v>
      </c>
      <c r="BW164" s="327"/>
      <c r="BX164" s="328" t="s">
        <v>261</v>
      </c>
      <c r="BY164" s="328" t="s">
        <v>259</v>
      </c>
      <c r="BZ164" s="329"/>
      <c r="CA164" s="354">
        <f t="shared" si="49"/>
        <v>3076.9230769230767</v>
      </c>
      <c r="CB164" s="318" cm="1">
        <f t="array" ref="CB164">+SUMPRODUCT(IF('Consolidado Costos'!$K$6:$K$158=$BX164,('Consolidado Costos'!AE$6:AE$158*'Consolidado Costos'!$G$6:$G$158),0))</f>
        <v>256.41025641025641</v>
      </c>
      <c r="CC164" s="318" cm="1">
        <f t="array" ref="CC164">+SUMPRODUCT(IF('Consolidado Costos'!$K$6:$K$158=$BX164,('Consolidado Costos'!AF$6:AF$158*'Consolidado Costos'!$G$6:$G$158),0))</f>
        <v>256.41025641025641</v>
      </c>
      <c r="CD164" s="318" cm="1">
        <f t="array" ref="CD164">+SUMPRODUCT(IF('Consolidado Costos'!$K$6:$K$158=$BX164,('Consolidado Costos'!AG$6:AG$158*'Consolidado Costos'!$G$6:$G$158),0))</f>
        <v>256.41025641025641</v>
      </c>
      <c r="CE164" s="318" cm="1">
        <f t="array" ref="CE164">+SUMPRODUCT(IF('Consolidado Costos'!$K$6:$K$158=$BX164,('Consolidado Costos'!AH$6:AH$158*'Consolidado Costos'!$G$6:$G$158),0))</f>
        <v>256.41025641025641</v>
      </c>
      <c r="CF164" s="318" cm="1">
        <f t="array" ref="CF164">+SUMPRODUCT(IF('Consolidado Costos'!$K$6:$K$158=$BX164,('Consolidado Costos'!AI$6:AI$158*'Consolidado Costos'!$G$6:$G$158),0))</f>
        <v>256.41025641025641</v>
      </c>
      <c r="CG164" s="318" cm="1">
        <f t="array" ref="CG164">+SUMPRODUCT(IF('Consolidado Costos'!$K$6:$K$158=$BX164,('Consolidado Costos'!AJ$6:AJ$158*'Consolidado Costos'!$G$6:$G$158),0))</f>
        <v>256.41025641025641</v>
      </c>
      <c r="CH164" s="318" cm="1">
        <f t="array" ref="CH164">+SUMPRODUCT(IF('Consolidado Costos'!$K$6:$K$158=$BX164,('Consolidado Costos'!AK$6:AK$158*'Consolidado Costos'!$G$6:$G$158),0))</f>
        <v>256.41025641025641</v>
      </c>
      <c r="CI164" s="318" cm="1">
        <f t="array" ref="CI164">+SUMPRODUCT(IF('Consolidado Costos'!$K$6:$K$158=$BX164,('Consolidado Costos'!AL$6:AL$158*'Consolidado Costos'!$G$6:$G$158),0))</f>
        <v>256.41025641025641</v>
      </c>
      <c r="CJ164" s="318" cm="1">
        <f t="array" ref="CJ164">+SUMPRODUCT(IF('Consolidado Costos'!$K$6:$K$158=$BX164,('Consolidado Costos'!AM$6:AM$158*'Consolidado Costos'!$G$6:$G$158),0))</f>
        <v>256.41025641025641</v>
      </c>
      <c r="CK164" s="318" cm="1">
        <f t="array" ref="CK164">+SUMPRODUCT(IF('Consolidado Costos'!$K$6:$K$158=$BX164,('Consolidado Costos'!AN$6:AN$158*'Consolidado Costos'!$G$6:$G$158),0))</f>
        <v>256.41025641025641</v>
      </c>
      <c r="CL164" s="318" cm="1">
        <f t="array" ref="CL164">+SUMPRODUCT(IF('Consolidado Costos'!$K$6:$K$158=$BX164,('Consolidado Costos'!AO$6:AO$158*'Consolidado Costos'!$G$6:$G$158),0))</f>
        <v>256.41025641025641</v>
      </c>
      <c r="CM164" s="318" cm="1">
        <f t="array" ref="CM164">+SUMPRODUCT(IF('Consolidado Costos'!$K$6:$K$158=$BX164,('Consolidado Costos'!AP$6:AP$158*'Consolidado Costos'!$G$6:$G$158),0))</f>
        <v>256.41025641025641</v>
      </c>
      <c r="CN164" s="357">
        <f t="shared" si="10"/>
        <v>1</v>
      </c>
    </row>
    <row r="165" spans="2:92" s="310" customFormat="1" outlineLevel="1">
      <c r="B165" s="327"/>
      <c r="C165" s="330" t="s">
        <v>564</v>
      </c>
      <c r="D165" s="330" t="s">
        <v>565</v>
      </c>
      <c r="E165" s="329"/>
      <c r="F165" s="318">
        <f>+SUMIF('Consolidado Costos'!$K$6:$K$158,$C165,'Consolidado Costos'!$AD$6:$AD$158)</f>
        <v>0</v>
      </c>
      <c r="G165" s="318">
        <f>+SUMIF('Consolidado Costos'!$K$6:$K$158,$C165,'Consolidado Costos'!AE$6:AE$158)</f>
        <v>0</v>
      </c>
      <c r="H165" s="318">
        <f>+SUMIF('Consolidado Costos'!$K$6:$K$158,$C165,'Consolidado Costos'!AF$6:AF$158)</f>
        <v>0</v>
      </c>
      <c r="I165" s="318">
        <f>+SUMIF('Consolidado Costos'!$K$6:$K$158,$C165,'Consolidado Costos'!AG$6:AG$158)</f>
        <v>0</v>
      </c>
      <c r="J165" s="318">
        <f>+SUMIF('Consolidado Costos'!$K$6:$K$158,$C165,'Consolidado Costos'!AH$6:AH$158)</f>
        <v>0</v>
      </c>
      <c r="K165" s="318">
        <f>+SUMIF('Consolidado Costos'!$K$6:$K$158,$C165,'Consolidado Costos'!AI$6:AI$158)</f>
        <v>0</v>
      </c>
      <c r="L165" s="318">
        <f>+SUMIF('Consolidado Costos'!$K$6:$K$158,$C165,'Consolidado Costos'!AJ$6:AJ$158)</f>
        <v>0</v>
      </c>
      <c r="M165" s="318">
        <f>+SUMIF('Consolidado Costos'!$K$6:$K$158,$C165,'Consolidado Costos'!AK$6:AK$158)</f>
        <v>0</v>
      </c>
      <c r="N165" s="318">
        <f>+SUMIF('Consolidado Costos'!$K$6:$K$158,$C165,'Consolidado Costos'!AL$6:AL$158)</f>
        <v>0</v>
      </c>
      <c r="O165" s="318">
        <f>+SUMIF('Consolidado Costos'!$K$6:$K$158,$C165,'Consolidado Costos'!AM$6:AM$158)</f>
        <v>0</v>
      </c>
      <c r="P165" s="318">
        <f>+SUMIF('Consolidado Costos'!$K$6:$K$158,$C165,'Consolidado Costos'!AN$6:AN$158)</f>
        <v>0</v>
      </c>
      <c r="Q165" s="318">
        <f>+SUMIF('Consolidado Costos'!$K$6:$K$158,$C165,'Consolidado Costos'!AO$6:AO$158)</f>
        <v>0</v>
      </c>
      <c r="R165" s="318">
        <f>+SUMIF('Consolidado Costos'!$K$6:$K$158,$C165,'Consolidado Costos'!AP$6:AP$158)</f>
        <v>0</v>
      </c>
      <c r="S165" s="357">
        <f t="shared" si="5"/>
        <v>1</v>
      </c>
      <c r="U165" s="327"/>
      <c r="V165" s="330" t="s">
        <v>564</v>
      </c>
      <c r="W165" s="330" t="s">
        <v>565</v>
      </c>
      <c r="X165" s="329"/>
      <c r="Y165" s="354">
        <f t="shared" si="46"/>
        <v>0</v>
      </c>
      <c r="Z165" s="318" cm="1">
        <f t="array" ref="Z165">+SUMPRODUCT(IF('Consolidado Costos'!$K$6:$K$158=$V165,('Consolidado Costos'!AE$6:AE$158*'Consolidado Costos'!$D$6:$D$158),0))</f>
        <v>0</v>
      </c>
      <c r="AA165" s="318" cm="1">
        <f t="array" ref="AA165">+SUMPRODUCT(IF('Consolidado Costos'!$K$6:$K$158=$V165,('Consolidado Costos'!AF$6:AF$158*'Consolidado Costos'!$D$6:$D$158),0))</f>
        <v>0</v>
      </c>
      <c r="AB165" s="318" cm="1">
        <f t="array" ref="AB165">+SUMPRODUCT(IF('Consolidado Costos'!$K$6:$K$158=$V165,('Consolidado Costos'!AG$6:AG$158*'Consolidado Costos'!$D$6:$D$158),0))</f>
        <v>0</v>
      </c>
      <c r="AC165" s="318" cm="1">
        <f t="array" ref="AC165">+SUMPRODUCT(IF('Consolidado Costos'!$K$6:$K$158=$V165,('Consolidado Costos'!AH$6:AH$158*'Consolidado Costos'!$D$6:$D$158),0))</f>
        <v>0</v>
      </c>
      <c r="AD165" s="318" cm="1">
        <f t="array" ref="AD165">+SUMPRODUCT(IF('Consolidado Costos'!$K$6:$K$158=$V165,('Consolidado Costos'!AI$6:AI$158*'Consolidado Costos'!$D$6:$D$158),0))</f>
        <v>0</v>
      </c>
      <c r="AE165" s="318" cm="1">
        <f t="array" ref="AE165">+SUMPRODUCT(IF('Consolidado Costos'!$K$6:$K$158=$V165,('Consolidado Costos'!AJ$6:AJ$158*'Consolidado Costos'!$D$6:$D$158),0))</f>
        <v>0</v>
      </c>
      <c r="AF165" s="318" cm="1">
        <f t="array" ref="AF165">+SUMPRODUCT(IF('Consolidado Costos'!$K$6:$K$158=$V165,('Consolidado Costos'!AK$6:AK$158*'Consolidado Costos'!$D$6:$D$158),0))</f>
        <v>0</v>
      </c>
      <c r="AG165" s="318" cm="1">
        <f t="array" ref="AG165">+SUMPRODUCT(IF('Consolidado Costos'!$K$6:$K$158=$V165,('Consolidado Costos'!AL$6:AL$158*'Consolidado Costos'!$D$6:$D$158),0))</f>
        <v>0</v>
      </c>
      <c r="AH165" s="318" cm="1">
        <f t="array" ref="AH165">+SUMPRODUCT(IF('Consolidado Costos'!$K$6:$K$158=$V165,('Consolidado Costos'!AM$6:AM$158*'Consolidado Costos'!$D$6:$D$158),0))</f>
        <v>0</v>
      </c>
      <c r="AI165" s="318" cm="1">
        <f t="array" ref="AI165">+SUMPRODUCT(IF('Consolidado Costos'!$K$6:$K$158=$V165,('Consolidado Costos'!AN$6:AN$158*'Consolidado Costos'!$D$6:$D$158),0))</f>
        <v>0</v>
      </c>
      <c r="AJ165" s="318" cm="1">
        <f t="array" ref="AJ165">+SUMPRODUCT(IF('Consolidado Costos'!$K$6:$K$158=$V165,('Consolidado Costos'!AO$6:AO$158*'Consolidado Costos'!$D$6:$D$158),0))</f>
        <v>0</v>
      </c>
      <c r="AK165" s="318" cm="1">
        <f t="array" ref="AK165">+SUMPRODUCT(IF('Consolidado Costos'!$K$6:$K$158=$V165,('Consolidado Costos'!AP$6:AP$158*'Consolidado Costos'!$D$6:$D$158),0))</f>
        <v>0</v>
      </c>
      <c r="AM165" s="327"/>
      <c r="AN165" s="330" t="s">
        <v>564</v>
      </c>
      <c r="AO165" s="330" t="s">
        <v>565</v>
      </c>
      <c r="AP165" s="329"/>
      <c r="AQ165" s="354">
        <f t="shared" si="47"/>
        <v>0</v>
      </c>
      <c r="AR165" s="318" cm="1">
        <f t="array" ref="AR165">+SUMPRODUCT(IF('Consolidado Costos'!$K$6:$K$158=$AN165,('Consolidado Costos'!AE$6:AE$158*'Consolidado Costos'!$E$6:$E$158),0))</f>
        <v>0</v>
      </c>
      <c r="AS165" s="318" cm="1">
        <f t="array" ref="AS165">+SUMPRODUCT(IF('Consolidado Costos'!$K$6:$K$158=$AN165,('Consolidado Costos'!AF$6:AF$158*'Consolidado Costos'!$E$6:$E$158),0))</f>
        <v>0</v>
      </c>
      <c r="AT165" s="318" cm="1">
        <f t="array" ref="AT165">+SUMPRODUCT(IF('Consolidado Costos'!$K$6:$K$158=$AN165,('Consolidado Costos'!AG$6:AG$158*'Consolidado Costos'!$E$6:$E$158),0))</f>
        <v>0</v>
      </c>
      <c r="AU165" s="318" cm="1">
        <f t="array" ref="AU165">+SUMPRODUCT(IF('Consolidado Costos'!$K$6:$K$158=$AN165,('Consolidado Costos'!AH$6:AH$158*'Consolidado Costos'!$E$6:$E$158),0))</f>
        <v>0</v>
      </c>
      <c r="AV165" s="318" cm="1">
        <f t="array" ref="AV165">+SUMPRODUCT(IF('Consolidado Costos'!$K$6:$K$158=$AN165,('Consolidado Costos'!AI$6:AI$158*'Consolidado Costos'!$E$6:$E$158),0))</f>
        <v>0</v>
      </c>
      <c r="AW165" s="318" cm="1">
        <f t="array" ref="AW165">+SUMPRODUCT(IF('Consolidado Costos'!$K$6:$K$158=$AN165,('Consolidado Costos'!AJ$6:AJ$158*'Consolidado Costos'!$E$6:$E$158),0))</f>
        <v>0</v>
      </c>
      <c r="AX165" s="318" cm="1">
        <f t="array" ref="AX165">+SUMPRODUCT(IF('Consolidado Costos'!$K$6:$K$158=$AN165,('Consolidado Costos'!AK$6:AK$158*'Consolidado Costos'!$E$6:$E$158),0))</f>
        <v>0</v>
      </c>
      <c r="AY165" s="318" cm="1">
        <f t="array" ref="AY165">+SUMPRODUCT(IF('Consolidado Costos'!$K$6:$K$158=$AN165,('Consolidado Costos'!AL$6:AL$158*'Consolidado Costos'!$E$6:$E$158),0))</f>
        <v>0</v>
      </c>
      <c r="AZ165" s="318" cm="1">
        <f t="array" ref="AZ165">+SUMPRODUCT(IF('Consolidado Costos'!$K$6:$K$158=$AN165,('Consolidado Costos'!AM$6:AM$158*'Consolidado Costos'!$E$6:$E$158),0))</f>
        <v>0</v>
      </c>
      <c r="BA165" s="318" cm="1">
        <f t="array" ref="BA165">+SUMPRODUCT(IF('Consolidado Costos'!$K$6:$K$158=$AN165,('Consolidado Costos'!AN$6:AN$158*'Consolidado Costos'!$E$6:$E$158),0))</f>
        <v>0</v>
      </c>
      <c r="BB165" s="318" cm="1">
        <f t="array" ref="BB165">+SUMPRODUCT(IF('Consolidado Costos'!$K$6:$K$158=$AN165,('Consolidado Costos'!AO$6:AO$158*'Consolidado Costos'!$E$6:$E$158),0))</f>
        <v>0</v>
      </c>
      <c r="BC165" s="318" cm="1">
        <f t="array" ref="BC165">+SUMPRODUCT(IF('Consolidado Costos'!$K$6:$K$158=$AN165,('Consolidado Costos'!AP$6:AP$158*'Consolidado Costos'!$E$6:$E$158),0))</f>
        <v>0</v>
      </c>
      <c r="BE165" s="327"/>
      <c r="BF165" s="330" t="s">
        <v>564</v>
      </c>
      <c r="BG165" s="330" t="s">
        <v>565</v>
      </c>
      <c r="BH165" s="329"/>
      <c r="BI165" s="354">
        <f t="shared" si="48"/>
        <v>0</v>
      </c>
      <c r="BJ165" s="318" cm="1">
        <f t="array" ref="BJ165">+SUMPRODUCT(IF('Consolidado Costos'!$K$6:$K$158=$BF165,('Consolidado Costos'!AE$6:AE$158*'Consolidado Costos'!$F$6:$F$158),0))</f>
        <v>0</v>
      </c>
      <c r="BK165" s="318" cm="1">
        <f t="array" ref="BK165">+SUMPRODUCT(IF('Consolidado Costos'!$K$6:$K$158=$BF165,('Consolidado Costos'!AF$6:AF$158*'Consolidado Costos'!$F$6:$F$158),0))</f>
        <v>0</v>
      </c>
      <c r="BL165" s="318" cm="1">
        <f t="array" ref="BL165">+SUMPRODUCT(IF('Consolidado Costos'!$K$6:$K$158=$BF165,('Consolidado Costos'!AG$6:AG$158*'Consolidado Costos'!$F$6:$F$158),0))</f>
        <v>0</v>
      </c>
      <c r="BM165" s="318" cm="1">
        <f t="array" ref="BM165">+SUMPRODUCT(IF('Consolidado Costos'!$K$6:$K$158=$BF165,('Consolidado Costos'!AH$6:AH$158*'Consolidado Costos'!$F$6:$F$158),0))</f>
        <v>0</v>
      </c>
      <c r="BN165" s="318" cm="1">
        <f t="array" ref="BN165">+SUMPRODUCT(IF('Consolidado Costos'!$K$6:$K$158=$BF165,('Consolidado Costos'!AI$6:AI$158*'Consolidado Costos'!$F$6:$F$158),0))</f>
        <v>0</v>
      </c>
      <c r="BO165" s="318" cm="1">
        <f t="array" ref="BO165">+SUMPRODUCT(IF('Consolidado Costos'!$K$6:$K$158=$BF165,('Consolidado Costos'!AJ$6:AJ$158*'Consolidado Costos'!$F$6:$F$158),0))</f>
        <v>0</v>
      </c>
      <c r="BP165" s="318" cm="1">
        <f t="array" ref="BP165">+SUMPRODUCT(IF('Consolidado Costos'!$K$6:$K$158=$BF165,('Consolidado Costos'!AK$6:AK$158*'Consolidado Costos'!$F$6:$F$158),0))</f>
        <v>0</v>
      </c>
      <c r="BQ165" s="318" cm="1">
        <f t="array" ref="BQ165">+SUMPRODUCT(IF('Consolidado Costos'!$K$6:$K$158=$BF165,('Consolidado Costos'!AL$6:AL$158*'Consolidado Costos'!$F$6:$F$158),0))</f>
        <v>0</v>
      </c>
      <c r="BR165" s="318" cm="1">
        <f t="array" ref="BR165">+SUMPRODUCT(IF('Consolidado Costos'!$K$6:$K$158=$BF165,('Consolidado Costos'!AM$6:AM$158*'Consolidado Costos'!$F$6:$F$158),0))</f>
        <v>0</v>
      </c>
      <c r="BS165" s="318" cm="1">
        <f t="array" ref="BS165">+SUMPRODUCT(IF('Consolidado Costos'!$K$6:$K$158=$BF165,('Consolidado Costos'!AN$6:AN$158*'Consolidado Costos'!$F$6:$F$158),0))</f>
        <v>0</v>
      </c>
      <c r="BT165" s="318" cm="1">
        <f t="array" ref="BT165">+SUMPRODUCT(IF('Consolidado Costos'!$K$6:$K$158=$BF165,('Consolidado Costos'!AO$6:AO$158*'Consolidado Costos'!$F$6:$F$158),0))</f>
        <v>0</v>
      </c>
      <c r="BU165" s="318" cm="1">
        <f t="array" ref="BU165">+SUMPRODUCT(IF('Consolidado Costos'!$K$6:$K$158=$BF165,('Consolidado Costos'!AP$6:AP$158*'Consolidado Costos'!$F$6:$F$158),0))</f>
        <v>0</v>
      </c>
      <c r="BW165" s="327"/>
      <c r="BX165" s="330" t="s">
        <v>564</v>
      </c>
      <c r="BY165" s="330" t="s">
        <v>565</v>
      </c>
      <c r="BZ165" s="329"/>
      <c r="CA165" s="354">
        <f t="shared" si="49"/>
        <v>0</v>
      </c>
      <c r="CB165" s="318" cm="1">
        <f t="array" ref="CB165">+SUMPRODUCT(IF('Consolidado Costos'!$K$6:$K$158=$BX165,('Consolidado Costos'!AE$6:AE$158*'Consolidado Costos'!$G$6:$G$158),0))</f>
        <v>0</v>
      </c>
      <c r="CC165" s="318" cm="1">
        <f t="array" ref="CC165">+SUMPRODUCT(IF('Consolidado Costos'!$K$6:$K$158=$BX165,('Consolidado Costos'!AF$6:AF$158*'Consolidado Costos'!$G$6:$G$158),0))</f>
        <v>0</v>
      </c>
      <c r="CD165" s="318" cm="1">
        <f t="array" ref="CD165">+SUMPRODUCT(IF('Consolidado Costos'!$K$6:$K$158=$BX165,('Consolidado Costos'!AG$6:AG$158*'Consolidado Costos'!$G$6:$G$158),0))</f>
        <v>0</v>
      </c>
      <c r="CE165" s="318" cm="1">
        <f t="array" ref="CE165">+SUMPRODUCT(IF('Consolidado Costos'!$K$6:$K$158=$BX165,('Consolidado Costos'!AH$6:AH$158*'Consolidado Costos'!$G$6:$G$158),0))</f>
        <v>0</v>
      </c>
      <c r="CF165" s="318" cm="1">
        <f t="array" ref="CF165">+SUMPRODUCT(IF('Consolidado Costos'!$K$6:$K$158=$BX165,('Consolidado Costos'!AI$6:AI$158*'Consolidado Costos'!$G$6:$G$158),0))</f>
        <v>0</v>
      </c>
      <c r="CG165" s="318" cm="1">
        <f t="array" ref="CG165">+SUMPRODUCT(IF('Consolidado Costos'!$K$6:$K$158=$BX165,('Consolidado Costos'!AJ$6:AJ$158*'Consolidado Costos'!$G$6:$G$158),0))</f>
        <v>0</v>
      </c>
      <c r="CH165" s="318" cm="1">
        <f t="array" ref="CH165">+SUMPRODUCT(IF('Consolidado Costos'!$K$6:$K$158=$BX165,('Consolidado Costos'!AK$6:AK$158*'Consolidado Costos'!$G$6:$G$158),0))</f>
        <v>0</v>
      </c>
      <c r="CI165" s="318" cm="1">
        <f t="array" ref="CI165">+SUMPRODUCT(IF('Consolidado Costos'!$K$6:$K$158=$BX165,('Consolidado Costos'!AL$6:AL$158*'Consolidado Costos'!$G$6:$G$158),0))</f>
        <v>0</v>
      </c>
      <c r="CJ165" s="318" cm="1">
        <f t="array" ref="CJ165">+SUMPRODUCT(IF('Consolidado Costos'!$K$6:$K$158=$BX165,('Consolidado Costos'!AM$6:AM$158*'Consolidado Costos'!$G$6:$G$158),0))</f>
        <v>0</v>
      </c>
      <c r="CK165" s="318" cm="1">
        <f t="array" ref="CK165">+SUMPRODUCT(IF('Consolidado Costos'!$K$6:$K$158=$BX165,('Consolidado Costos'!AN$6:AN$158*'Consolidado Costos'!$G$6:$G$158),0))</f>
        <v>0</v>
      </c>
      <c r="CL165" s="318" cm="1">
        <f t="array" ref="CL165">+SUMPRODUCT(IF('Consolidado Costos'!$K$6:$K$158=$BX165,('Consolidado Costos'!AO$6:AO$158*'Consolidado Costos'!$G$6:$G$158),0))</f>
        <v>0</v>
      </c>
      <c r="CM165" s="318" cm="1">
        <f t="array" ref="CM165">+SUMPRODUCT(IF('Consolidado Costos'!$K$6:$K$158=$BX165,('Consolidado Costos'!AP$6:AP$158*'Consolidado Costos'!$G$6:$G$158),0))</f>
        <v>0</v>
      </c>
      <c r="CN165" s="357">
        <f t="shared" si="10"/>
        <v>1</v>
      </c>
    </row>
    <row r="166" spans="2:92" s="310" customFormat="1" outlineLevel="1">
      <c r="B166" s="327"/>
      <c r="C166" s="330" t="s">
        <v>566</v>
      </c>
      <c r="D166" s="330" t="s">
        <v>567</v>
      </c>
      <c r="E166" s="329"/>
      <c r="F166" s="318">
        <f>+SUMIF('Consolidado Costos'!$K$6:$K$158,$C166,'Consolidado Costos'!$AD$6:$AD$158)</f>
        <v>0</v>
      </c>
      <c r="G166" s="318">
        <f>+SUMIF('Consolidado Costos'!$K$6:$K$158,$C166,'Consolidado Costos'!AE$6:AE$158)</f>
        <v>0</v>
      </c>
      <c r="H166" s="318">
        <f>+SUMIF('Consolidado Costos'!$K$6:$K$158,$C166,'Consolidado Costos'!AF$6:AF$158)</f>
        <v>0</v>
      </c>
      <c r="I166" s="318">
        <f>+SUMIF('Consolidado Costos'!$K$6:$K$158,$C166,'Consolidado Costos'!AG$6:AG$158)</f>
        <v>0</v>
      </c>
      <c r="J166" s="318">
        <f>+SUMIF('Consolidado Costos'!$K$6:$K$158,$C166,'Consolidado Costos'!AH$6:AH$158)</f>
        <v>0</v>
      </c>
      <c r="K166" s="318">
        <f>+SUMIF('Consolidado Costos'!$K$6:$K$158,$C166,'Consolidado Costos'!AI$6:AI$158)</f>
        <v>0</v>
      </c>
      <c r="L166" s="318">
        <f>+SUMIF('Consolidado Costos'!$K$6:$K$158,$C166,'Consolidado Costos'!AJ$6:AJ$158)</f>
        <v>0</v>
      </c>
      <c r="M166" s="318">
        <f>+SUMIF('Consolidado Costos'!$K$6:$K$158,$C166,'Consolidado Costos'!AK$6:AK$158)</f>
        <v>0</v>
      </c>
      <c r="N166" s="318">
        <f>+SUMIF('Consolidado Costos'!$K$6:$K$158,$C166,'Consolidado Costos'!AL$6:AL$158)</f>
        <v>0</v>
      </c>
      <c r="O166" s="318">
        <f>+SUMIF('Consolidado Costos'!$K$6:$K$158,$C166,'Consolidado Costos'!AM$6:AM$158)</f>
        <v>0</v>
      </c>
      <c r="P166" s="318">
        <f>+SUMIF('Consolidado Costos'!$K$6:$K$158,$C166,'Consolidado Costos'!AN$6:AN$158)</f>
        <v>0</v>
      </c>
      <c r="Q166" s="318">
        <f>+SUMIF('Consolidado Costos'!$K$6:$K$158,$C166,'Consolidado Costos'!AO$6:AO$158)</f>
        <v>0</v>
      </c>
      <c r="R166" s="318">
        <f>+SUMIF('Consolidado Costos'!$K$6:$K$158,$C166,'Consolidado Costos'!AP$6:AP$158)</f>
        <v>0</v>
      </c>
      <c r="S166" s="357">
        <f t="shared" si="5"/>
        <v>1</v>
      </c>
      <c r="U166" s="327"/>
      <c r="V166" s="330" t="s">
        <v>566</v>
      </c>
      <c r="W166" s="330" t="s">
        <v>567</v>
      </c>
      <c r="X166" s="329"/>
      <c r="Y166" s="354">
        <f t="shared" si="46"/>
        <v>0</v>
      </c>
      <c r="Z166" s="318" cm="1">
        <f t="array" ref="Z166">+SUMPRODUCT(IF('Consolidado Costos'!$K$6:$K$158=$V166,('Consolidado Costos'!AE$6:AE$158*'Consolidado Costos'!$D$6:$D$158),0))</f>
        <v>0</v>
      </c>
      <c r="AA166" s="318" cm="1">
        <f t="array" ref="AA166">+SUMPRODUCT(IF('Consolidado Costos'!$K$6:$K$158=$V166,('Consolidado Costos'!AF$6:AF$158*'Consolidado Costos'!$D$6:$D$158),0))</f>
        <v>0</v>
      </c>
      <c r="AB166" s="318" cm="1">
        <f t="array" ref="AB166">+SUMPRODUCT(IF('Consolidado Costos'!$K$6:$K$158=$V166,('Consolidado Costos'!AG$6:AG$158*'Consolidado Costos'!$D$6:$D$158),0))</f>
        <v>0</v>
      </c>
      <c r="AC166" s="318" cm="1">
        <f t="array" ref="AC166">+SUMPRODUCT(IF('Consolidado Costos'!$K$6:$K$158=$V166,('Consolidado Costos'!AH$6:AH$158*'Consolidado Costos'!$D$6:$D$158),0))</f>
        <v>0</v>
      </c>
      <c r="AD166" s="318" cm="1">
        <f t="array" ref="AD166">+SUMPRODUCT(IF('Consolidado Costos'!$K$6:$K$158=$V166,('Consolidado Costos'!AI$6:AI$158*'Consolidado Costos'!$D$6:$D$158),0))</f>
        <v>0</v>
      </c>
      <c r="AE166" s="318" cm="1">
        <f t="array" ref="AE166">+SUMPRODUCT(IF('Consolidado Costos'!$K$6:$K$158=$V166,('Consolidado Costos'!AJ$6:AJ$158*'Consolidado Costos'!$D$6:$D$158),0))</f>
        <v>0</v>
      </c>
      <c r="AF166" s="318" cm="1">
        <f t="array" ref="AF166">+SUMPRODUCT(IF('Consolidado Costos'!$K$6:$K$158=$V166,('Consolidado Costos'!AK$6:AK$158*'Consolidado Costos'!$D$6:$D$158),0))</f>
        <v>0</v>
      </c>
      <c r="AG166" s="318" cm="1">
        <f t="array" ref="AG166">+SUMPRODUCT(IF('Consolidado Costos'!$K$6:$K$158=$V166,('Consolidado Costos'!AL$6:AL$158*'Consolidado Costos'!$D$6:$D$158),0))</f>
        <v>0</v>
      </c>
      <c r="AH166" s="318" cm="1">
        <f t="array" ref="AH166">+SUMPRODUCT(IF('Consolidado Costos'!$K$6:$K$158=$V166,('Consolidado Costos'!AM$6:AM$158*'Consolidado Costos'!$D$6:$D$158),0))</f>
        <v>0</v>
      </c>
      <c r="AI166" s="318" cm="1">
        <f t="array" ref="AI166">+SUMPRODUCT(IF('Consolidado Costos'!$K$6:$K$158=$V166,('Consolidado Costos'!AN$6:AN$158*'Consolidado Costos'!$D$6:$D$158),0))</f>
        <v>0</v>
      </c>
      <c r="AJ166" s="318" cm="1">
        <f t="array" ref="AJ166">+SUMPRODUCT(IF('Consolidado Costos'!$K$6:$K$158=$V166,('Consolidado Costos'!AO$6:AO$158*'Consolidado Costos'!$D$6:$D$158),0))</f>
        <v>0</v>
      </c>
      <c r="AK166" s="318" cm="1">
        <f t="array" ref="AK166">+SUMPRODUCT(IF('Consolidado Costos'!$K$6:$K$158=$V166,('Consolidado Costos'!AP$6:AP$158*'Consolidado Costos'!$D$6:$D$158),0))</f>
        <v>0</v>
      </c>
      <c r="AM166" s="327"/>
      <c r="AN166" s="330" t="s">
        <v>566</v>
      </c>
      <c r="AO166" s="330" t="s">
        <v>567</v>
      </c>
      <c r="AP166" s="329"/>
      <c r="AQ166" s="354">
        <f t="shared" si="47"/>
        <v>0</v>
      </c>
      <c r="AR166" s="318" cm="1">
        <f t="array" ref="AR166">+SUMPRODUCT(IF('Consolidado Costos'!$K$6:$K$158=$AN166,('Consolidado Costos'!AE$6:AE$158*'Consolidado Costos'!$E$6:$E$158),0))</f>
        <v>0</v>
      </c>
      <c r="AS166" s="318" cm="1">
        <f t="array" ref="AS166">+SUMPRODUCT(IF('Consolidado Costos'!$K$6:$K$158=$AN166,('Consolidado Costos'!AF$6:AF$158*'Consolidado Costos'!$E$6:$E$158),0))</f>
        <v>0</v>
      </c>
      <c r="AT166" s="318" cm="1">
        <f t="array" ref="AT166">+SUMPRODUCT(IF('Consolidado Costos'!$K$6:$K$158=$AN166,('Consolidado Costos'!AG$6:AG$158*'Consolidado Costos'!$E$6:$E$158),0))</f>
        <v>0</v>
      </c>
      <c r="AU166" s="318" cm="1">
        <f t="array" ref="AU166">+SUMPRODUCT(IF('Consolidado Costos'!$K$6:$K$158=$AN166,('Consolidado Costos'!AH$6:AH$158*'Consolidado Costos'!$E$6:$E$158),0))</f>
        <v>0</v>
      </c>
      <c r="AV166" s="318" cm="1">
        <f t="array" ref="AV166">+SUMPRODUCT(IF('Consolidado Costos'!$K$6:$K$158=$AN166,('Consolidado Costos'!AI$6:AI$158*'Consolidado Costos'!$E$6:$E$158),0))</f>
        <v>0</v>
      </c>
      <c r="AW166" s="318" cm="1">
        <f t="array" ref="AW166">+SUMPRODUCT(IF('Consolidado Costos'!$K$6:$K$158=$AN166,('Consolidado Costos'!AJ$6:AJ$158*'Consolidado Costos'!$E$6:$E$158),0))</f>
        <v>0</v>
      </c>
      <c r="AX166" s="318" cm="1">
        <f t="array" ref="AX166">+SUMPRODUCT(IF('Consolidado Costos'!$K$6:$K$158=$AN166,('Consolidado Costos'!AK$6:AK$158*'Consolidado Costos'!$E$6:$E$158),0))</f>
        <v>0</v>
      </c>
      <c r="AY166" s="318" cm="1">
        <f t="array" ref="AY166">+SUMPRODUCT(IF('Consolidado Costos'!$K$6:$K$158=$AN166,('Consolidado Costos'!AL$6:AL$158*'Consolidado Costos'!$E$6:$E$158),0))</f>
        <v>0</v>
      </c>
      <c r="AZ166" s="318" cm="1">
        <f t="array" ref="AZ166">+SUMPRODUCT(IF('Consolidado Costos'!$K$6:$K$158=$AN166,('Consolidado Costos'!AM$6:AM$158*'Consolidado Costos'!$E$6:$E$158),0))</f>
        <v>0</v>
      </c>
      <c r="BA166" s="318" cm="1">
        <f t="array" ref="BA166">+SUMPRODUCT(IF('Consolidado Costos'!$K$6:$K$158=$AN166,('Consolidado Costos'!AN$6:AN$158*'Consolidado Costos'!$E$6:$E$158),0))</f>
        <v>0</v>
      </c>
      <c r="BB166" s="318" cm="1">
        <f t="array" ref="BB166">+SUMPRODUCT(IF('Consolidado Costos'!$K$6:$K$158=$AN166,('Consolidado Costos'!AO$6:AO$158*'Consolidado Costos'!$E$6:$E$158),0))</f>
        <v>0</v>
      </c>
      <c r="BC166" s="318" cm="1">
        <f t="array" ref="BC166">+SUMPRODUCT(IF('Consolidado Costos'!$K$6:$K$158=$AN166,('Consolidado Costos'!AP$6:AP$158*'Consolidado Costos'!$E$6:$E$158),0))</f>
        <v>0</v>
      </c>
      <c r="BE166" s="327"/>
      <c r="BF166" s="330" t="s">
        <v>566</v>
      </c>
      <c r="BG166" s="330" t="s">
        <v>567</v>
      </c>
      <c r="BH166" s="329"/>
      <c r="BI166" s="354">
        <f t="shared" si="48"/>
        <v>0</v>
      </c>
      <c r="BJ166" s="318" cm="1">
        <f t="array" ref="BJ166">+SUMPRODUCT(IF('Consolidado Costos'!$K$6:$K$158=$BF166,('Consolidado Costos'!AE$6:AE$158*'Consolidado Costos'!$F$6:$F$158),0))</f>
        <v>0</v>
      </c>
      <c r="BK166" s="318" cm="1">
        <f t="array" ref="BK166">+SUMPRODUCT(IF('Consolidado Costos'!$K$6:$K$158=$BF166,('Consolidado Costos'!AF$6:AF$158*'Consolidado Costos'!$F$6:$F$158),0))</f>
        <v>0</v>
      </c>
      <c r="BL166" s="318" cm="1">
        <f t="array" ref="BL166">+SUMPRODUCT(IF('Consolidado Costos'!$K$6:$K$158=$BF166,('Consolidado Costos'!AG$6:AG$158*'Consolidado Costos'!$F$6:$F$158),0))</f>
        <v>0</v>
      </c>
      <c r="BM166" s="318" cm="1">
        <f t="array" ref="BM166">+SUMPRODUCT(IF('Consolidado Costos'!$K$6:$K$158=$BF166,('Consolidado Costos'!AH$6:AH$158*'Consolidado Costos'!$F$6:$F$158),0))</f>
        <v>0</v>
      </c>
      <c r="BN166" s="318" cm="1">
        <f t="array" ref="BN166">+SUMPRODUCT(IF('Consolidado Costos'!$K$6:$K$158=$BF166,('Consolidado Costos'!AI$6:AI$158*'Consolidado Costos'!$F$6:$F$158),0))</f>
        <v>0</v>
      </c>
      <c r="BO166" s="318" cm="1">
        <f t="array" ref="BO166">+SUMPRODUCT(IF('Consolidado Costos'!$K$6:$K$158=$BF166,('Consolidado Costos'!AJ$6:AJ$158*'Consolidado Costos'!$F$6:$F$158),0))</f>
        <v>0</v>
      </c>
      <c r="BP166" s="318" cm="1">
        <f t="array" ref="BP166">+SUMPRODUCT(IF('Consolidado Costos'!$K$6:$K$158=$BF166,('Consolidado Costos'!AK$6:AK$158*'Consolidado Costos'!$F$6:$F$158),0))</f>
        <v>0</v>
      </c>
      <c r="BQ166" s="318" cm="1">
        <f t="array" ref="BQ166">+SUMPRODUCT(IF('Consolidado Costos'!$K$6:$K$158=$BF166,('Consolidado Costos'!AL$6:AL$158*'Consolidado Costos'!$F$6:$F$158),0))</f>
        <v>0</v>
      </c>
      <c r="BR166" s="318" cm="1">
        <f t="array" ref="BR166">+SUMPRODUCT(IF('Consolidado Costos'!$K$6:$K$158=$BF166,('Consolidado Costos'!AM$6:AM$158*'Consolidado Costos'!$F$6:$F$158),0))</f>
        <v>0</v>
      </c>
      <c r="BS166" s="318" cm="1">
        <f t="array" ref="BS166">+SUMPRODUCT(IF('Consolidado Costos'!$K$6:$K$158=$BF166,('Consolidado Costos'!AN$6:AN$158*'Consolidado Costos'!$F$6:$F$158),0))</f>
        <v>0</v>
      </c>
      <c r="BT166" s="318" cm="1">
        <f t="array" ref="BT166">+SUMPRODUCT(IF('Consolidado Costos'!$K$6:$K$158=$BF166,('Consolidado Costos'!AO$6:AO$158*'Consolidado Costos'!$F$6:$F$158),0))</f>
        <v>0</v>
      </c>
      <c r="BU166" s="318" cm="1">
        <f t="array" ref="BU166">+SUMPRODUCT(IF('Consolidado Costos'!$K$6:$K$158=$BF166,('Consolidado Costos'!AP$6:AP$158*'Consolidado Costos'!$F$6:$F$158),0))</f>
        <v>0</v>
      </c>
      <c r="BW166" s="327"/>
      <c r="BX166" s="330" t="s">
        <v>566</v>
      </c>
      <c r="BY166" s="330" t="s">
        <v>567</v>
      </c>
      <c r="BZ166" s="329"/>
      <c r="CA166" s="354">
        <f t="shared" si="49"/>
        <v>0</v>
      </c>
      <c r="CB166" s="318" cm="1">
        <f t="array" ref="CB166">+SUMPRODUCT(IF('Consolidado Costos'!$K$6:$K$158=$BX166,('Consolidado Costos'!AE$6:AE$158*'Consolidado Costos'!$G$6:$G$158),0))</f>
        <v>0</v>
      </c>
      <c r="CC166" s="318" cm="1">
        <f t="array" ref="CC166">+SUMPRODUCT(IF('Consolidado Costos'!$K$6:$K$158=$BX166,('Consolidado Costos'!AF$6:AF$158*'Consolidado Costos'!$G$6:$G$158),0))</f>
        <v>0</v>
      </c>
      <c r="CD166" s="318" cm="1">
        <f t="array" ref="CD166">+SUMPRODUCT(IF('Consolidado Costos'!$K$6:$K$158=$BX166,('Consolidado Costos'!AG$6:AG$158*'Consolidado Costos'!$G$6:$G$158),0))</f>
        <v>0</v>
      </c>
      <c r="CE166" s="318" cm="1">
        <f t="array" ref="CE166">+SUMPRODUCT(IF('Consolidado Costos'!$K$6:$K$158=$BX166,('Consolidado Costos'!AH$6:AH$158*'Consolidado Costos'!$G$6:$G$158),0))</f>
        <v>0</v>
      </c>
      <c r="CF166" s="318" cm="1">
        <f t="array" ref="CF166">+SUMPRODUCT(IF('Consolidado Costos'!$K$6:$K$158=$BX166,('Consolidado Costos'!AI$6:AI$158*'Consolidado Costos'!$G$6:$G$158),0))</f>
        <v>0</v>
      </c>
      <c r="CG166" s="318" cm="1">
        <f t="array" ref="CG166">+SUMPRODUCT(IF('Consolidado Costos'!$K$6:$K$158=$BX166,('Consolidado Costos'!AJ$6:AJ$158*'Consolidado Costos'!$G$6:$G$158),0))</f>
        <v>0</v>
      </c>
      <c r="CH166" s="318" cm="1">
        <f t="array" ref="CH166">+SUMPRODUCT(IF('Consolidado Costos'!$K$6:$K$158=$BX166,('Consolidado Costos'!AK$6:AK$158*'Consolidado Costos'!$G$6:$G$158),0))</f>
        <v>0</v>
      </c>
      <c r="CI166" s="318" cm="1">
        <f t="array" ref="CI166">+SUMPRODUCT(IF('Consolidado Costos'!$K$6:$K$158=$BX166,('Consolidado Costos'!AL$6:AL$158*'Consolidado Costos'!$G$6:$G$158),0))</f>
        <v>0</v>
      </c>
      <c r="CJ166" s="318" cm="1">
        <f t="array" ref="CJ166">+SUMPRODUCT(IF('Consolidado Costos'!$K$6:$K$158=$BX166,('Consolidado Costos'!AM$6:AM$158*'Consolidado Costos'!$G$6:$G$158),0))</f>
        <v>0</v>
      </c>
      <c r="CK166" s="318" cm="1">
        <f t="array" ref="CK166">+SUMPRODUCT(IF('Consolidado Costos'!$K$6:$K$158=$BX166,('Consolidado Costos'!AN$6:AN$158*'Consolidado Costos'!$G$6:$G$158),0))</f>
        <v>0</v>
      </c>
      <c r="CL166" s="318" cm="1">
        <f t="array" ref="CL166">+SUMPRODUCT(IF('Consolidado Costos'!$K$6:$K$158=$BX166,('Consolidado Costos'!AO$6:AO$158*'Consolidado Costos'!$G$6:$G$158),0))</f>
        <v>0</v>
      </c>
      <c r="CM166" s="318" cm="1">
        <f t="array" ref="CM166">+SUMPRODUCT(IF('Consolidado Costos'!$K$6:$K$158=$BX166,('Consolidado Costos'!AP$6:AP$158*'Consolidado Costos'!$G$6:$G$158),0))</f>
        <v>0</v>
      </c>
      <c r="CN166" s="357">
        <f t="shared" si="10"/>
        <v>1</v>
      </c>
    </row>
    <row r="167" spans="2:92" s="310" customFormat="1" outlineLevel="1">
      <c r="B167" s="327"/>
      <c r="C167" s="330" t="s">
        <v>568</v>
      </c>
      <c r="D167" s="330" t="s">
        <v>569</v>
      </c>
      <c r="E167" s="329"/>
      <c r="F167" s="318">
        <f>+SUMIF('Consolidado Costos'!$K$6:$K$158,$C167,'Consolidado Costos'!$AD$6:$AD$158)</f>
        <v>0</v>
      </c>
      <c r="G167" s="318">
        <f>+SUMIF('Consolidado Costos'!$K$6:$K$158,$C167,'Consolidado Costos'!AE$6:AE$158)</f>
        <v>0</v>
      </c>
      <c r="H167" s="318">
        <f>+SUMIF('Consolidado Costos'!$K$6:$K$158,$C167,'Consolidado Costos'!AF$6:AF$158)</f>
        <v>0</v>
      </c>
      <c r="I167" s="318">
        <f>+SUMIF('Consolidado Costos'!$K$6:$K$158,$C167,'Consolidado Costos'!AG$6:AG$158)</f>
        <v>0</v>
      </c>
      <c r="J167" s="318">
        <f>+SUMIF('Consolidado Costos'!$K$6:$K$158,$C167,'Consolidado Costos'!AH$6:AH$158)</f>
        <v>0</v>
      </c>
      <c r="K167" s="318">
        <f>+SUMIF('Consolidado Costos'!$K$6:$K$158,$C167,'Consolidado Costos'!AI$6:AI$158)</f>
        <v>0</v>
      </c>
      <c r="L167" s="318">
        <f>+SUMIF('Consolidado Costos'!$K$6:$K$158,$C167,'Consolidado Costos'!AJ$6:AJ$158)</f>
        <v>0</v>
      </c>
      <c r="M167" s="318">
        <f>+SUMIF('Consolidado Costos'!$K$6:$K$158,$C167,'Consolidado Costos'!AK$6:AK$158)</f>
        <v>0</v>
      </c>
      <c r="N167" s="318">
        <f>+SUMIF('Consolidado Costos'!$K$6:$K$158,$C167,'Consolidado Costos'!AL$6:AL$158)</f>
        <v>0</v>
      </c>
      <c r="O167" s="318">
        <f>+SUMIF('Consolidado Costos'!$K$6:$K$158,$C167,'Consolidado Costos'!AM$6:AM$158)</f>
        <v>0</v>
      </c>
      <c r="P167" s="318">
        <f>+SUMIF('Consolidado Costos'!$K$6:$K$158,$C167,'Consolidado Costos'!AN$6:AN$158)</f>
        <v>0</v>
      </c>
      <c r="Q167" s="318">
        <f>+SUMIF('Consolidado Costos'!$K$6:$K$158,$C167,'Consolidado Costos'!AO$6:AO$158)</f>
        <v>0</v>
      </c>
      <c r="R167" s="318">
        <f>+SUMIF('Consolidado Costos'!$K$6:$K$158,$C167,'Consolidado Costos'!AP$6:AP$158)</f>
        <v>0</v>
      </c>
      <c r="S167" s="357">
        <f t="shared" si="5"/>
        <v>1</v>
      </c>
      <c r="U167" s="327"/>
      <c r="V167" s="330" t="s">
        <v>568</v>
      </c>
      <c r="W167" s="330" t="s">
        <v>569</v>
      </c>
      <c r="X167" s="329"/>
      <c r="Y167" s="354">
        <f t="shared" si="46"/>
        <v>0</v>
      </c>
      <c r="Z167" s="318" cm="1">
        <f t="array" ref="Z167">+SUMPRODUCT(IF('Consolidado Costos'!$K$6:$K$158=$V167,('Consolidado Costos'!AE$6:AE$158*'Consolidado Costos'!$D$6:$D$158),0))</f>
        <v>0</v>
      </c>
      <c r="AA167" s="318" cm="1">
        <f t="array" ref="AA167">+SUMPRODUCT(IF('Consolidado Costos'!$K$6:$K$158=$V167,('Consolidado Costos'!AF$6:AF$158*'Consolidado Costos'!$D$6:$D$158),0))</f>
        <v>0</v>
      </c>
      <c r="AB167" s="318" cm="1">
        <f t="array" ref="AB167">+SUMPRODUCT(IF('Consolidado Costos'!$K$6:$K$158=$V167,('Consolidado Costos'!AG$6:AG$158*'Consolidado Costos'!$D$6:$D$158),0))</f>
        <v>0</v>
      </c>
      <c r="AC167" s="318" cm="1">
        <f t="array" ref="AC167">+SUMPRODUCT(IF('Consolidado Costos'!$K$6:$K$158=$V167,('Consolidado Costos'!AH$6:AH$158*'Consolidado Costos'!$D$6:$D$158),0))</f>
        <v>0</v>
      </c>
      <c r="AD167" s="318" cm="1">
        <f t="array" ref="AD167">+SUMPRODUCT(IF('Consolidado Costos'!$K$6:$K$158=$V167,('Consolidado Costos'!AI$6:AI$158*'Consolidado Costos'!$D$6:$D$158),0))</f>
        <v>0</v>
      </c>
      <c r="AE167" s="318" cm="1">
        <f t="array" ref="AE167">+SUMPRODUCT(IF('Consolidado Costos'!$K$6:$K$158=$V167,('Consolidado Costos'!AJ$6:AJ$158*'Consolidado Costos'!$D$6:$D$158),0))</f>
        <v>0</v>
      </c>
      <c r="AF167" s="318" cm="1">
        <f t="array" ref="AF167">+SUMPRODUCT(IF('Consolidado Costos'!$K$6:$K$158=$V167,('Consolidado Costos'!AK$6:AK$158*'Consolidado Costos'!$D$6:$D$158),0))</f>
        <v>0</v>
      </c>
      <c r="AG167" s="318" cm="1">
        <f t="array" ref="AG167">+SUMPRODUCT(IF('Consolidado Costos'!$K$6:$K$158=$V167,('Consolidado Costos'!AL$6:AL$158*'Consolidado Costos'!$D$6:$D$158),0))</f>
        <v>0</v>
      </c>
      <c r="AH167" s="318" cm="1">
        <f t="array" ref="AH167">+SUMPRODUCT(IF('Consolidado Costos'!$K$6:$K$158=$V167,('Consolidado Costos'!AM$6:AM$158*'Consolidado Costos'!$D$6:$D$158),0))</f>
        <v>0</v>
      </c>
      <c r="AI167" s="318" cm="1">
        <f t="array" ref="AI167">+SUMPRODUCT(IF('Consolidado Costos'!$K$6:$K$158=$V167,('Consolidado Costos'!AN$6:AN$158*'Consolidado Costos'!$D$6:$D$158),0))</f>
        <v>0</v>
      </c>
      <c r="AJ167" s="318" cm="1">
        <f t="array" ref="AJ167">+SUMPRODUCT(IF('Consolidado Costos'!$K$6:$K$158=$V167,('Consolidado Costos'!AO$6:AO$158*'Consolidado Costos'!$D$6:$D$158),0))</f>
        <v>0</v>
      </c>
      <c r="AK167" s="318" cm="1">
        <f t="array" ref="AK167">+SUMPRODUCT(IF('Consolidado Costos'!$K$6:$K$158=$V167,('Consolidado Costos'!AP$6:AP$158*'Consolidado Costos'!$D$6:$D$158),0))</f>
        <v>0</v>
      </c>
      <c r="AM167" s="327"/>
      <c r="AN167" s="330" t="s">
        <v>568</v>
      </c>
      <c r="AO167" s="330" t="s">
        <v>569</v>
      </c>
      <c r="AP167" s="329"/>
      <c r="AQ167" s="354">
        <f t="shared" si="47"/>
        <v>0</v>
      </c>
      <c r="AR167" s="318" cm="1">
        <f t="array" ref="AR167">+SUMPRODUCT(IF('Consolidado Costos'!$K$6:$K$158=$AN167,('Consolidado Costos'!AE$6:AE$158*'Consolidado Costos'!$E$6:$E$158),0))</f>
        <v>0</v>
      </c>
      <c r="AS167" s="318" cm="1">
        <f t="array" ref="AS167">+SUMPRODUCT(IF('Consolidado Costos'!$K$6:$K$158=$AN167,('Consolidado Costos'!AF$6:AF$158*'Consolidado Costos'!$E$6:$E$158),0))</f>
        <v>0</v>
      </c>
      <c r="AT167" s="318" cm="1">
        <f t="array" ref="AT167">+SUMPRODUCT(IF('Consolidado Costos'!$K$6:$K$158=$AN167,('Consolidado Costos'!AG$6:AG$158*'Consolidado Costos'!$E$6:$E$158),0))</f>
        <v>0</v>
      </c>
      <c r="AU167" s="318" cm="1">
        <f t="array" ref="AU167">+SUMPRODUCT(IF('Consolidado Costos'!$K$6:$K$158=$AN167,('Consolidado Costos'!AH$6:AH$158*'Consolidado Costos'!$E$6:$E$158),0))</f>
        <v>0</v>
      </c>
      <c r="AV167" s="318" cm="1">
        <f t="array" ref="AV167">+SUMPRODUCT(IF('Consolidado Costos'!$K$6:$K$158=$AN167,('Consolidado Costos'!AI$6:AI$158*'Consolidado Costos'!$E$6:$E$158),0))</f>
        <v>0</v>
      </c>
      <c r="AW167" s="318" cm="1">
        <f t="array" ref="AW167">+SUMPRODUCT(IF('Consolidado Costos'!$K$6:$K$158=$AN167,('Consolidado Costos'!AJ$6:AJ$158*'Consolidado Costos'!$E$6:$E$158),0))</f>
        <v>0</v>
      </c>
      <c r="AX167" s="318" cm="1">
        <f t="array" ref="AX167">+SUMPRODUCT(IF('Consolidado Costos'!$K$6:$K$158=$AN167,('Consolidado Costos'!AK$6:AK$158*'Consolidado Costos'!$E$6:$E$158),0))</f>
        <v>0</v>
      </c>
      <c r="AY167" s="318" cm="1">
        <f t="array" ref="AY167">+SUMPRODUCT(IF('Consolidado Costos'!$K$6:$K$158=$AN167,('Consolidado Costos'!AL$6:AL$158*'Consolidado Costos'!$E$6:$E$158),0))</f>
        <v>0</v>
      </c>
      <c r="AZ167" s="318" cm="1">
        <f t="array" ref="AZ167">+SUMPRODUCT(IF('Consolidado Costos'!$K$6:$K$158=$AN167,('Consolidado Costos'!AM$6:AM$158*'Consolidado Costos'!$E$6:$E$158),0))</f>
        <v>0</v>
      </c>
      <c r="BA167" s="318" cm="1">
        <f t="array" ref="BA167">+SUMPRODUCT(IF('Consolidado Costos'!$K$6:$K$158=$AN167,('Consolidado Costos'!AN$6:AN$158*'Consolidado Costos'!$E$6:$E$158),0))</f>
        <v>0</v>
      </c>
      <c r="BB167" s="318" cm="1">
        <f t="array" ref="BB167">+SUMPRODUCT(IF('Consolidado Costos'!$K$6:$K$158=$AN167,('Consolidado Costos'!AO$6:AO$158*'Consolidado Costos'!$E$6:$E$158),0))</f>
        <v>0</v>
      </c>
      <c r="BC167" s="318" cm="1">
        <f t="array" ref="BC167">+SUMPRODUCT(IF('Consolidado Costos'!$K$6:$K$158=$AN167,('Consolidado Costos'!AP$6:AP$158*'Consolidado Costos'!$E$6:$E$158),0))</f>
        <v>0</v>
      </c>
      <c r="BE167" s="327"/>
      <c r="BF167" s="330" t="s">
        <v>568</v>
      </c>
      <c r="BG167" s="330" t="s">
        <v>569</v>
      </c>
      <c r="BH167" s="329"/>
      <c r="BI167" s="354">
        <f t="shared" si="48"/>
        <v>0</v>
      </c>
      <c r="BJ167" s="318" cm="1">
        <f t="array" ref="BJ167">+SUMPRODUCT(IF('Consolidado Costos'!$K$6:$K$158=$BF167,('Consolidado Costos'!AE$6:AE$158*'Consolidado Costos'!$F$6:$F$158),0))</f>
        <v>0</v>
      </c>
      <c r="BK167" s="318" cm="1">
        <f t="array" ref="BK167">+SUMPRODUCT(IF('Consolidado Costos'!$K$6:$K$158=$BF167,('Consolidado Costos'!AF$6:AF$158*'Consolidado Costos'!$F$6:$F$158),0))</f>
        <v>0</v>
      </c>
      <c r="BL167" s="318" cm="1">
        <f t="array" ref="BL167">+SUMPRODUCT(IF('Consolidado Costos'!$K$6:$K$158=$BF167,('Consolidado Costos'!AG$6:AG$158*'Consolidado Costos'!$F$6:$F$158),0))</f>
        <v>0</v>
      </c>
      <c r="BM167" s="318" cm="1">
        <f t="array" ref="BM167">+SUMPRODUCT(IF('Consolidado Costos'!$K$6:$K$158=$BF167,('Consolidado Costos'!AH$6:AH$158*'Consolidado Costos'!$F$6:$F$158),0))</f>
        <v>0</v>
      </c>
      <c r="BN167" s="318" cm="1">
        <f t="array" ref="BN167">+SUMPRODUCT(IF('Consolidado Costos'!$K$6:$K$158=$BF167,('Consolidado Costos'!AI$6:AI$158*'Consolidado Costos'!$F$6:$F$158),0))</f>
        <v>0</v>
      </c>
      <c r="BO167" s="318" cm="1">
        <f t="array" ref="BO167">+SUMPRODUCT(IF('Consolidado Costos'!$K$6:$K$158=$BF167,('Consolidado Costos'!AJ$6:AJ$158*'Consolidado Costos'!$F$6:$F$158),0))</f>
        <v>0</v>
      </c>
      <c r="BP167" s="318" cm="1">
        <f t="array" ref="BP167">+SUMPRODUCT(IF('Consolidado Costos'!$K$6:$K$158=$BF167,('Consolidado Costos'!AK$6:AK$158*'Consolidado Costos'!$F$6:$F$158),0))</f>
        <v>0</v>
      </c>
      <c r="BQ167" s="318" cm="1">
        <f t="array" ref="BQ167">+SUMPRODUCT(IF('Consolidado Costos'!$K$6:$K$158=$BF167,('Consolidado Costos'!AL$6:AL$158*'Consolidado Costos'!$F$6:$F$158),0))</f>
        <v>0</v>
      </c>
      <c r="BR167" s="318" cm="1">
        <f t="array" ref="BR167">+SUMPRODUCT(IF('Consolidado Costos'!$K$6:$K$158=$BF167,('Consolidado Costos'!AM$6:AM$158*'Consolidado Costos'!$F$6:$F$158),0))</f>
        <v>0</v>
      </c>
      <c r="BS167" s="318" cm="1">
        <f t="array" ref="BS167">+SUMPRODUCT(IF('Consolidado Costos'!$K$6:$K$158=$BF167,('Consolidado Costos'!AN$6:AN$158*'Consolidado Costos'!$F$6:$F$158),0))</f>
        <v>0</v>
      </c>
      <c r="BT167" s="318" cm="1">
        <f t="array" ref="BT167">+SUMPRODUCT(IF('Consolidado Costos'!$K$6:$K$158=$BF167,('Consolidado Costos'!AO$6:AO$158*'Consolidado Costos'!$F$6:$F$158),0))</f>
        <v>0</v>
      </c>
      <c r="BU167" s="318" cm="1">
        <f t="array" ref="BU167">+SUMPRODUCT(IF('Consolidado Costos'!$K$6:$K$158=$BF167,('Consolidado Costos'!AP$6:AP$158*'Consolidado Costos'!$F$6:$F$158),0))</f>
        <v>0</v>
      </c>
      <c r="BW167" s="327"/>
      <c r="BX167" s="330" t="s">
        <v>568</v>
      </c>
      <c r="BY167" s="330" t="s">
        <v>569</v>
      </c>
      <c r="BZ167" s="329"/>
      <c r="CA167" s="354">
        <f t="shared" si="49"/>
        <v>0</v>
      </c>
      <c r="CB167" s="318" cm="1">
        <f t="array" ref="CB167">+SUMPRODUCT(IF('Consolidado Costos'!$K$6:$K$158=$BX167,('Consolidado Costos'!AE$6:AE$158*'Consolidado Costos'!$G$6:$G$158),0))</f>
        <v>0</v>
      </c>
      <c r="CC167" s="318" cm="1">
        <f t="array" ref="CC167">+SUMPRODUCT(IF('Consolidado Costos'!$K$6:$K$158=$BX167,('Consolidado Costos'!AF$6:AF$158*'Consolidado Costos'!$G$6:$G$158),0))</f>
        <v>0</v>
      </c>
      <c r="CD167" s="318" cm="1">
        <f t="array" ref="CD167">+SUMPRODUCT(IF('Consolidado Costos'!$K$6:$K$158=$BX167,('Consolidado Costos'!AG$6:AG$158*'Consolidado Costos'!$G$6:$G$158),0))</f>
        <v>0</v>
      </c>
      <c r="CE167" s="318" cm="1">
        <f t="array" ref="CE167">+SUMPRODUCT(IF('Consolidado Costos'!$K$6:$K$158=$BX167,('Consolidado Costos'!AH$6:AH$158*'Consolidado Costos'!$G$6:$G$158),0))</f>
        <v>0</v>
      </c>
      <c r="CF167" s="318" cm="1">
        <f t="array" ref="CF167">+SUMPRODUCT(IF('Consolidado Costos'!$K$6:$K$158=$BX167,('Consolidado Costos'!AI$6:AI$158*'Consolidado Costos'!$G$6:$G$158),0))</f>
        <v>0</v>
      </c>
      <c r="CG167" s="318" cm="1">
        <f t="array" ref="CG167">+SUMPRODUCT(IF('Consolidado Costos'!$K$6:$K$158=$BX167,('Consolidado Costos'!AJ$6:AJ$158*'Consolidado Costos'!$G$6:$G$158),0))</f>
        <v>0</v>
      </c>
      <c r="CH167" s="318" cm="1">
        <f t="array" ref="CH167">+SUMPRODUCT(IF('Consolidado Costos'!$K$6:$K$158=$BX167,('Consolidado Costos'!AK$6:AK$158*'Consolidado Costos'!$G$6:$G$158),0))</f>
        <v>0</v>
      </c>
      <c r="CI167" s="318" cm="1">
        <f t="array" ref="CI167">+SUMPRODUCT(IF('Consolidado Costos'!$K$6:$K$158=$BX167,('Consolidado Costos'!AL$6:AL$158*'Consolidado Costos'!$G$6:$G$158),0))</f>
        <v>0</v>
      </c>
      <c r="CJ167" s="318" cm="1">
        <f t="array" ref="CJ167">+SUMPRODUCT(IF('Consolidado Costos'!$K$6:$K$158=$BX167,('Consolidado Costos'!AM$6:AM$158*'Consolidado Costos'!$G$6:$G$158),0))</f>
        <v>0</v>
      </c>
      <c r="CK167" s="318" cm="1">
        <f t="array" ref="CK167">+SUMPRODUCT(IF('Consolidado Costos'!$K$6:$K$158=$BX167,('Consolidado Costos'!AN$6:AN$158*'Consolidado Costos'!$G$6:$G$158),0))</f>
        <v>0</v>
      </c>
      <c r="CL167" s="318" cm="1">
        <f t="array" ref="CL167">+SUMPRODUCT(IF('Consolidado Costos'!$K$6:$K$158=$BX167,('Consolidado Costos'!AO$6:AO$158*'Consolidado Costos'!$G$6:$G$158),0))</f>
        <v>0</v>
      </c>
      <c r="CM167" s="318" cm="1">
        <f t="array" ref="CM167">+SUMPRODUCT(IF('Consolidado Costos'!$K$6:$K$158=$BX167,('Consolidado Costos'!AP$6:AP$158*'Consolidado Costos'!$G$6:$G$158),0))</f>
        <v>0</v>
      </c>
      <c r="CN167" s="357">
        <f t="shared" si="10"/>
        <v>1</v>
      </c>
    </row>
    <row r="168" spans="2:92" s="310" customFormat="1" outlineLevel="1">
      <c r="B168" s="327"/>
      <c r="C168" s="330" t="s">
        <v>570</v>
      </c>
      <c r="D168" s="330" t="s">
        <v>571</v>
      </c>
      <c r="E168" s="329"/>
      <c r="F168" s="318">
        <f>+SUMIF('Consolidado Costos'!$K$6:$K$158,$C168,'Consolidado Costos'!$AD$6:$AD$158)</f>
        <v>0</v>
      </c>
      <c r="G168" s="318">
        <f>+SUMIF('Consolidado Costos'!$K$6:$K$158,$C168,'Consolidado Costos'!AE$6:AE$158)</f>
        <v>0</v>
      </c>
      <c r="H168" s="318">
        <f>+SUMIF('Consolidado Costos'!$K$6:$K$158,$C168,'Consolidado Costos'!AF$6:AF$158)</f>
        <v>0</v>
      </c>
      <c r="I168" s="318">
        <f>+SUMIF('Consolidado Costos'!$K$6:$K$158,$C168,'Consolidado Costos'!AG$6:AG$158)</f>
        <v>0</v>
      </c>
      <c r="J168" s="318">
        <f>+SUMIF('Consolidado Costos'!$K$6:$K$158,$C168,'Consolidado Costos'!AH$6:AH$158)</f>
        <v>0</v>
      </c>
      <c r="K168" s="318">
        <f>+SUMIF('Consolidado Costos'!$K$6:$K$158,$C168,'Consolidado Costos'!AI$6:AI$158)</f>
        <v>0</v>
      </c>
      <c r="L168" s="318">
        <f>+SUMIF('Consolidado Costos'!$K$6:$K$158,$C168,'Consolidado Costos'!AJ$6:AJ$158)</f>
        <v>0</v>
      </c>
      <c r="M168" s="318">
        <f>+SUMIF('Consolidado Costos'!$K$6:$K$158,$C168,'Consolidado Costos'!AK$6:AK$158)</f>
        <v>0</v>
      </c>
      <c r="N168" s="318">
        <f>+SUMIF('Consolidado Costos'!$K$6:$K$158,$C168,'Consolidado Costos'!AL$6:AL$158)</f>
        <v>0</v>
      </c>
      <c r="O168" s="318">
        <f>+SUMIF('Consolidado Costos'!$K$6:$K$158,$C168,'Consolidado Costos'!AM$6:AM$158)</f>
        <v>0</v>
      </c>
      <c r="P168" s="318">
        <f>+SUMIF('Consolidado Costos'!$K$6:$K$158,$C168,'Consolidado Costos'!AN$6:AN$158)</f>
        <v>0</v>
      </c>
      <c r="Q168" s="318">
        <f>+SUMIF('Consolidado Costos'!$K$6:$K$158,$C168,'Consolidado Costos'!AO$6:AO$158)</f>
        <v>0</v>
      </c>
      <c r="R168" s="318">
        <f>+SUMIF('Consolidado Costos'!$K$6:$K$158,$C168,'Consolidado Costos'!AP$6:AP$158)</f>
        <v>0</v>
      </c>
      <c r="S168" s="357">
        <f t="shared" si="5"/>
        <v>1</v>
      </c>
      <c r="U168" s="327"/>
      <c r="V168" s="330" t="s">
        <v>570</v>
      </c>
      <c r="W168" s="330" t="s">
        <v>571</v>
      </c>
      <c r="X168" s="329"/>
      <c r="Y168" s="354">
        <f t="shared" si="46"/>
        <v>0</v>
      </c>
      <c r="Z168" s="318" cm="1">
        <f t="array" ref="Z168">+SUMPRODUCT(IF('Consolidado Costos'!$K$6:$K$158=$V168,('Consolidado Costos'!AE$6:AE$158*'Consolidado Costos'!$D$6:$D$158),0))</f>
        <v>0</v>
      </c>
      <c r="AA168" s="318" cm="1">
        <f t="array" ref="AA168">+SUMPRODUCT(IF('Consolidado Costos'!$K$6:$K$158=$V168,('Consolidado Costos'!AF$6:AF$158*'Consolidado Costos'!$D$6:$D$158),0))</f>
        <v>0</v>
      </c>
      <c r="AB168" s="318" cm="1">
        <f t="array" ref="AB168">+SUMPRODUCT(IF('Consolidado Costos'!$K$6:$K$158=$V168,('Consolidado Costos'!AG$6:AG$158*'Consolidado Costos'!$D$6:$D$158),0))</f>
        <v>0</v>
      </c>
      <c r="AC168" s="318" cm="1">
        <f t="array" ref="AC168">+SUMPRODUCT(IF('Consolidado Costos'!$K$6:$K$158=$V168,('Consolidado Costos'!AH$6:AH$158*'Consolidado Costos'!$D$6:$D$158),0))</f>
        <v>0</v>
      </c>
      <c r="AD168" s="318" cm="1">
        <f t="array" ref="AD168">+SUMPRODUCT(IF('Consolidado Costos'!$K$6:$K$158=$V168,('Consolidado Costos'!AI$6:AI$158*'Consolidado Costos'!$D$6:$D$158),0))</f>
        <v>0</v>
      </c>
      <c r="AE168" s="318" cm="1">
        <f t="array" ref="AE168">+SUMPRODUCT(IF('Consolidado Costos'!$K$6:$K$158=$V168,('Consolidado Costos'!AJ$6:AJ$158*'Consolidado Costos'!$D$6:$D$158),0))</f>
        <v>0</v>
      </c>
      <c r="AF168" s="318" cm="1">
        <f t="array" ref="AF168">+SUMPRODUCT(IF('Consolidado Costos'!$K$6:$K$158=$V168,('Consolidado Costos'!AK$6:AK$158*'Consolidado Costos'!$D$6:$D$158),0))</f>
        <v>0</v>
      </c>
      <c r="AG168" s="318" cm="1">
        <f t="array" ref="AG168">+SUMPRODUCT(IF('Consolidado Costos'!$K$6:$K$158=$V168,('Consolidado Costos'!AL$6:AL$158*'Consolidado Costos'!$D$6:$D$158),0))</f>
        <v>0</v>
      </c>
      <c r="AH168" s="318" cm="1">
        <f t="array" ref="AH168">+SUMPRODUCT(IF('Consolidado Costos'!$K$6:$K$158=$V168,('Consolidado Costos'!AM$6:AM$158*'Consolidado Costos'!$D$6:$D$158),0))</f>
        <v>0</v>
      </c>
      <c r="AI168" s="318" cm="1">
        <f t="array" ref="AI168">+SUMPRODUCT(IF('Consolidado Costos'!$K$6:$K$158=$V168,('Consolidado Costos'!AN$6:AN$158*'Consolidado Costos'!$D$6:$D$158),0))</f>
        <v>0</v>
      </c>
      <c r="AJ168" s="318" cm="1">
        <f t="array" ref="AJ168">+SUMPRODUCT(IF('Consolidado Costos'!$K$6:$K$158=$V168,('Consolidado Costos'!AO$6:AO$158*'Consolidado Costos'!$D$6:$D$158),0))</f>
        <v>0</v>
      </c>
      <c r="AK168" s="318" cm="1">
        <f t="array" ref="AK168">+SUMPRODUCT(IF('Consolidado Costos'!$K$6:$K$158=$V168,('Consolidado Costos'!AP$6:AP$158*'Consolidado Costos'!$D$6:$D$158),0))</f>
        <v>0</v>
      </c>
      <c r="AM168" s="327"/>
      <c r="AN168" s="330" t="s">
        <v>570</v>
      </c>
      <c r="AO168" s="330" t="s">
        <v>571</v>
      </c>
      <c r="AP168" s="329"/>
      <c r="AQ168" s="354">
        <f t="shared" si="47"/>
        <v>0</v>
      </c>
      <c r="AR168" s="318" cm="1">
        <f t="array" ref="AR168">+SUMPRODUCT(IF('Consolidado Costos'!$K$6:$K$158=$AN168,('Consolidado Costos'!AE$6:AE$158*'Consolidado Costos'!$E$6:$E$158),0))</f>
        <v>0</v>
      </c>
      <c r="AS168" s="318" cm="1">
        <f t="array" ref="AS168">+SUMPRODUCT(IF('Consolidado Costos'!$K$6:$K$158=$AN168,('Consolidado Costos'!AF$6:AF$158*'Consolidado Costos'!$E$6:$E$158),0))</f>
        <v>0</v>
      </c>
      <c r="AT168" s="318" cm="1">
        <f t="array" ref="AT168">+SUMPRODUCT(IF('Consolidado Costos'!$K$6:$K$158=$AN168,('Consolidado Costos'!AG$6:AG$158*'Consolidado Costos'!$E$6:$E$158),0))</f>
        <v>0</v>
      </c>
      <c r="AU168" s="318" cm="1">
        <f t="array" ref="AU168">+SUMPRODUCT(IF('Consolidado Costos'!$K$6:$K$158=$AN168,('Consolidado Costos'!AH$6:AH$158*'Consolidado Costos'!$E$6:$E$158),0))</f>
        <v>0</v>
      </c>
      <c r="AV168" s="318" cm="1">
        <f t="array" ref="AV168">+SUMPRODUCT(IF('Consolidado Costos'!$K$6:$K$158=$AN168,('Consolidado Costos'!AI$6:AI$158*'Consolidado Costos'!$E$6:$E$158),0))</f>
        <v>0</v>
      </c>
      <c r="AW168" s="318" cm="1">
        <f t="array" ref="AW168">+SUMPRODUCT(IF('Consolidado Costos'!$K$6:$K$158=$AN168,('Consolidado Costos'!AJ$6:AJ$158*'Consolidado Costos'!$E$6:$E$158),0))</f>
        <v>0</v>
      </c>
      <c r="AX168" s="318" cm="1">
        <f t="array" ref="AX168">+SUMPRODUCT(IF('Consolidado Costos'!$K$6:$K$158=$AN168,('Consolidado Costos'!AK$6:AK$158*'Consolidado Costos'!$E$6:$E$158),0))</f>
        <v>0</v>
      </c>
      <c r="AY168" s="318" cm="1">
        <f t="array" ref="AY168">+SUMPRODUCT(IF('Consolidado Costos'!$K$6:$K$158=$AN168,('Consolidado Costos'!AL$6:AL$158*'Consolidado Costos'!$E$6:$E$158),0))</f>
        <v>0</v>
      </c>
      <c r="AZ168" s="318" cm="1">
        <f t="array" ref="AZ168">+SUMPRODUCT(IF('Consolidado Costos'!$K$6:$K$158=$AN168,('Consolidado Costos'!AM$6:AM$158*'Consolidado Costos'!$E$6:$E$158),0))</f>
        <v>0</v>
      </c>
      <c r="BA168" s="318" cm="1">
        <f t="array" ref="BA168">+SUMPRODUCT(IF('Consolidado Costos'!$K$6:$K$158=$AN168,('Consolidado Costos'!AN$6:AN$158*'Consolidado Costos'!$E$6:$E$158),0))</f>
        <v>0</v>
      </c>
      <c r="BB168" s="318" cm="1">
        <f t="array" ref="BB168">+SUMPRODUCT(IF('Consolidado Costos'!$K$6:$K$158=$AN168,('Consolidado Costos'!AO$6:AO$158*'Consolidado Costos'!$E$6:$E$158),0))</f>
        <v>0</v>
      </c>
      <c r="BC168" s="318" cm="1">
        <f t="array" ref="BC168">+SUMPRODUCT(IF('Consolidado Costos'!$K$6:$K$158=$AN168,('Consolidado Costos'!AP$6:AP$158*'Consolidado Costos'!$E$6:$E$158),0))</f>
        <v>0</v>
      </c>
      <c r="BE168" s="327"/>
      <c r="BF168" s="330" t="s">
        <v>570</v>
      </c>
      <c r="BG168" s="330" t="s">
        <v>571</v>
      </c>
      <c r="BH168" s="329"/>
      <c r="BI168" s="354">
        <f t="shared" si="48"/>
        <v>0</v>
      </c>
      <c r="BJ168" s="318" cm="1">
        <f t="array" ref="BJ168">+SUMPRODUCT(IF('Consolidado Costos'!$K$6:$K$158=$BF168,('Consolidado Costos'!AE$6:AE$158*'Consolidado Costos'!$F$6:$F$158),0))</f>
        <v>0</v>
      </c>
      <c r="BK168" s="318" cm="1">
        <f t="array" ref="BK168">+SUMPRODUCT(IF('Consolidado Costos'!$K$6:$K$158=$BF168,('Consolidado Costos'!AF$6:AF$158*'Consolidado Costos'!$F$6:$F$158),0))</f>
        <v>0</v>
      </c>
      <c r="BL168" s="318" cm="1">
        <f t="array" ref="BL168">+SUMPRODUCT(IF('Consolidado Costos'!$K$6:$K$158=$BF168,('Consolidado Costos'!AG$6:AG$158*'Consolidado Costos'!$F$6:$F$158),0))</f>
        <v>0</v>
      </c>
      <c r="BM168" s="318" cm="1">
        <f t="array" ref="BM168">+SUMPRODUCT(IF('Consolidado Costos'!$K$6:$K$158=$BF168,('Consolidado Costos'!AH$6:AH$158*'Consolidado Costos'!$F$6:$F$158),0))</f>
        <v>0</v>
      </c>
      <c r="BN168" s="318" cm="1">
        <f t="array" ref="BN168">+SUMPRODUCT(IF('Consolidado Costos'!$K$6:$K$158=$BF168,('Consolidado Costos'!AI$6:AI$158*'Consolidado Costos'!$F$6:$F$158),0))</f>
        <v>0</v>
      </c>
      <c r="BO168" s="318" cm="1">
        <f t="array" ref="BO168">+SUMPRODUCT(IF('Consolidado Costos'!$K$6:$K$158=$BF168,('Consolidado Costos'!AJ$6:AJ$158*'Consolidado Costos'!$F$6:$F$158),0))</f>
        <v>0</v>
      </c>
      <c r="BP168" s="318" cm="1">
        <f t="array" ref="BP168">+SUMPRODUCT(IF('Consolidado Costos'!$K$6:$K$158=$BF168,('Consolidado Costos'!AK$6:AK$158*'Consolidado Costos'!$F$6:$F$158),0))</f>
        <v>0</v>
      </c>
      <c r="BQ168" s="318" cm="1">
        <f t="array" ref="BQ168">+SUMPRODUCT(IF('Consolidado Costos'!$K$6:$K$158=$BF168,('Consolidado Costos'!AL$6:AL$158*'Consolidado Costos'!$F$6:$F$158),0))</f>
        <v>0</v>
      </c>
      <c r="BR168" s="318" cm="1">
        <f t="array" ref="BR168">+SUMPRODUCT(IF('Consolidado Costos'!$K$6:$K$158=$BF168,('Consolidado Costos'!AM$6:AM$158*'Consolidado Costos'!$F$6:$F$158),0))</f>
        <v>0</v>
      </c>
      <c r="BS168" s="318" cm="1">
        <f t="array" ref="BS168">+SUMPRODUCT(IF('Consolidado Costos'!$K$6:$K$158=$BF168,('Consolidado Costos'!AN$6:AN$158*'Consolidado Costos'!$F$6:$F$158),0))</f>
        <v>0</v>
      </c>
      <c r="BT168" s="318" cm="1">
        <f t="array" ref="BT168">+SUMPRODUCT(IF('Consolidado Costos'!$K$6:$K$158=$BF168,('Consolidado Costos'!AO$6:AO$158*'Consolidado Costos'!$F$6:$F$158),0))</f>
        <v>0</v>
      </c>
      <c r="BU168" s="318" cm="1">
        <f t="array" ref="BU168">+SUMPRODUCT(IF('Consolidado Costos'!$K$6:$K$158=$BF168,('Consolidado Costos'!AP$6:AP$158*'Consolidado Costos'!$F$6:$F$158),0))</f>
        <v>0</v>
      </c>
      <c r="BW168" s="327"/>
      <c r="BX168" s="330" t="s">
        <v>570</v>
      </c>
      <c r="BY168" s="330" t="s">
        <v>571</v>
      </c>
      <c r="BZ168" s="329"/>
      <c r="CA168" s="354">
        <f t="shared" si="49"/>
        <v>0</v>
      </c>
      <c r="CB168" s="318" cm="1">
        <f t="array" ref="CB168">+SUMPRODUCT(IF('Consolidado Costos'!$K$6:$K$158=$BX168,('Consolidado Costos'!AE$6:AE$158*'Consolidado Costos'!$G$6:$G$158),0))</f>
        <v>0</v>
      </c>
      <c r="CC168" s="318" cm="1">
        <f t="array" ref="CC168">+SUMPRODUCT(IF('Consolidado Costos'!$K$6:$K$158=$BX168,('Consolidado Costos'!AF$6:AF$158*'Consolidado Costos'!$G$6:$G$158),0))</f>
        <v>0</v>
      </c>
      <c r="CD168" s="318" cm="1">
        <f t="array" ref="CD168">+SUMPRODUCT(IF('Consolidado Costos'!$K$6:$K$158=$BX168,('Consolidado Costos'!AG$6:AG$158*'Consolidado Costos'!$G$6:$G$158),0))</f>
        <v>0</v>
      </c>
      <c r="CE168" s="318" cm="1">
        <f t="array" ref="CE168">+SUMPRODUCT(IF('Consolidado Costos'!$K$6:$K$158=$BX168,('Consolidado Costos'!AH$6:AH$158*'Consolidado Costos'!$G$6:$G$158),0))</f>
        <v>0</v>
      </c>
      <c r="CF168" s="318" cm="1">
        <f t="array" ref="CF168">+SUMPRODUCT(IF('Consolidado Costos'!$K$6:$K$158=$BX168,('Consolidado Costos'!AI$6:AI$158*'Consolidado Costos'!$G$6:$G$158),0))</f>
        <v>0</v>
      </c>
      <c r="CG168" s="318" cm="1">
        <f t="array" ref="CG168">+SUMPRODUCT(IF('Consolidado Costos'!$K$6:$K$158=$BX168,('Consolidado Costos'!AJ$6:AJ$158*'Consolidado Costos'!$G$6:$G$158),0))</f>
        <v>0</v>
      </c>
      <c r="CH168" s="318" cm="1">
        <f t="array" ref="CH168">+SUMPRODUCT(IF('Consolidado Costos'!$K$6:$K$158=$BX168,('Consolidado Costos'!AK$6:AK$158*'Consolidado Costos'!$G$6:$G$158),0))</f>
        <v>0</v>
      </c>
      <c r="CI168" s="318" cm="1">
        <f t="array" ref="CI168">+SUMPRODUCT(IF('Consolidado Costos'!$K$6:$K$158=$BX168,('Consolidado Costos'!AL$6:AL$158*'Consolidado Costos'!$G$6:$G$158),0))</f>
        <v>0</v>
      </c>
      <c r="CJ168" s="318" cm="1">
        <f t="array" ref="CJ168">+SUMPRODUCT(IF('Consolidado Costos'!$K$6:$K$158=$BX168,('Consolidado Costos'!AM$6:AM$158*'Consolidado Costos'!$G$6:$G$158),0))</f>
        <v>0</v>
      </c>
      <c r="CK168" s="318" cm="1">
        <f t="array" ref="CK168">+SUMPRODUCT(IF('Consolidado Costos'!$K$6:$K$158=$BX168,('Consolidado Costos'!AN$6:AN$158*'Consolidado Costos'!$G$6:$G$158),0))</f>
        <v>0</v>
      </c>
      <c r="CL168" s="318" cm="1">
        <f t="array" ref="CL168">+SUMPRODUCT(IF('Consolidado Costos'!$K$6:$K$158=$BX168,('Consolidado Costos'!AO$6:AO$158*'Consolidado Costos'!$G$6:$G$158),0))</f>
        <v>0</v>
      </c>
      <c r="CM168" s="318" cm="1">
        <f t="array" ref="CM168">+SUMPRODUCT(IF('Consolidado Costos'!$K$6:$K$158=$BX168,('Consolidado Costos'!AP$6:AP$158*'Consolidado Costos'!$G$6:$G$158),0))</f>
        <v>0</v>
      </c>
      <c r="CN168" s="357">
        <f t="shared" si="10"/>
        <v>1</v>
      </c>
    </row>
    <row r="169" spans="2:92" s="310" customFormat="1" outlineLevel="1">
      <c r="B169" s="327"/>
      <c r="C169" s="328" t="s">
        <v>237</v>
      </c>
      <c r="D169" s="328" t="s">
        <v>238</v>
      </c>
      <c r="E169" s="329"/>
      <c r="F169" s="318">
        <f>+SUMIF('Consolidado Costos'!$K$6:$K$158,$C169,'Consolidado Costos'!$AD$6:$AD$158)</f>
        <v>28307.692307692309</v>
      </c>
      <c r="G169" s="318">
        <f>+SUMIF('Consolidado Costos'!$K$6:$K$158,$C169,'Consolidado Costos'!AE$6:AE$158)</f>
        <v>512.82051282051282</v>
      </c>
      <c r="H169" s="318">
        <f>+SUMIF('Consolidado Costos'!$K$6:$K$158,$C169,'Consolidado Costos'!AF$6:AF$158)</f>
        <v>6051.2820512820517</v>
      </c>
      <c r="I169" s="318">
        <f>+SUMIF('Consolidado Costos'!$K$6:$K$158,$C169,'Consolidado Costos'!AG$6:AG$158)</f>
        <v>0</v>
      </c>
      <c r="J169" s="318">
        <f>+SUMIF('Consolidado Costos'!$K$6:$K$158,$C169,'Consolidado Costos'!AH$6:AH$158)</f>
        <v>6051.2820512820517</v>
      </c>
      <c r="K169" s="318">
        <f>+SUMIF('Consolidado Costos'!$K$6:$K$158,$C169,'Consolidado Costos'!AI$6:AI$158)</f>
        <v>0</v>
      </c>
      <c r="L169" s="318">
        <f>+SUMIF('Consolidado Costos'!$K$6:$K$158,$C169,'Consolidado Costos'!AJ$6:AJ$158)</f>
        <v>1794.8717948717949</v>
      </c>
      <c r="M169" s="318">
        <f>+SUMIF('Consolidado Costos'!$K$6:$K$158,$C169,'Consolidado Costos'!AK$6:AK$158)</f>
        <v>0</v>
      </c>
      <c r="N169" s="318">
        <f>+SUMIF('Consolidado Costos'!$K$6:$K$158,$C169,'Consolidado Costos'!AL$6:AL$158)</f>
        <v>6051.2820512820517</v>
      </c>
      <c r="O169" s="318">
        <f>+SUMIF('Consolidado Costos'!$K$6:$K$158,$C169,'Consolidado Costos'!AM$6:AM$158)</f>
        <v>0</v>
      </c>
      <c r="P169" s="318">
        <f>+SUMIF('Consolidado Costos'!$K$6:$K$158,$C169,'Consolidado Costos'!AN$6:AN$158)</f>
        <v>0</v>
      </c>
      <c r="Q169" s="318">
        <f>+SUMIF('Consolidado Costos'!$K$6:$K$158,$C169,'Consolidado Costos'!AO$6:AO$158)</f>
        <v>6051.2820512820517</v>
      </c>
      <c r="R169" s="318">
        <f>+SUMIF('Consolidado Costos'!$K$6:$K$158,$C169,'Consolidado Costos'!AP$6:AP$158)</f>
        <v>1794.8717948717949</v>
      </c>
      <c r="S169" s="357">
        <f t="shared" si="5"/>
        <v>1</v>
      </c>
      <c r="U169" s="327"/>
      <c r="V169" s="328" t="s">
        <v>237</v>
      </c>
      <c r="W169" s="328" t="s">
        <v>238</v>
      </c>
      <c r="X169" s="329"/>
      <c r="Y169" s="354">
        <f t="shared" si="46"/>
        <v>26043.076923076926</v>
      </c>
      <c r="Z169" s="318" cm="1">
        <f t="array" ref="Z169">+SUMPRODUCT(IF('Consolidado Costos'!$K$6:$K$158=$V169,('Consolidado Costos'!AE$6:AE$158*'Consolidado Costos'!$D$6:$D$158),0))</f>
        <v>471.79487179487182</v>
      </c>
      <c r="AA169" s="318" cm="1">
        <f t="array" ref="AA169">+SUMPRODUCT(IF('Consolidado Costos'!$K$6:$K$158=$V169,('Consolidado Costos'!AF$6:AF$158*'Consolidado Costos'!$D$6:$D$158),0))</f>
        <v>5567.1794871794882</v>
      </c>
      <c r="AB169" s="318" cm="1">
        <f t="array" ref="AB169">+SUMPRODUCT(IF('Consolidado Costos'!$K$6:$K$158=$V169,('Consolidado Costos'!AG$6:AG$158*'Consolidado Costos'!$D$6:$D$158),0))</f>
        <v>0</v>
      </c>
      <c r="AC169" s="318" cm="1">
        <f t="array" ref="AC169">+SUMPRODUCT(IF('Consolidado Costos'!$K$6:$K$158=$V169,('Consolidado Costos'!AH$6:AH$158*'Consolidado Costos'!$D$6:$D$158),0))</f>
        <v>5567.1794871794882</v>
      </c>
      <c r="AD169" s="318" cm="1">
        <f t="array" ref="AD169">+SUMPRODUCT(IF('Consolidado Costos'!$K$6:$K$158=$V169,('Consolidado Costos'!AI$6:AI$158*'Consolidado Costos'!$D$6:$D$158),0))</f>
        <v>0</v>
      </c>
      <c r="AE169" s="318" cm="1">
        <f t="array" ref="AE169">+SUMPRODUCT(IF('Consolidado Costos'!$K$6:$K$158=$V169,('Consolidado Costos'!AJ$6:AJ$158*'Consolidado Costos'!$D$6:$D$158),0))</f>
        <v>1651.2820512820515</v>
      </c>
      <c r="AF169" s="318" cm="1">
        <f t="array" ref="AF169">+SUMPRODUCT(IF('Consolidado Costos'!$K$6:$K$158=$V169,('Consolidado Costos'!AK$6:AK$158*'Consolidado Costos'!$D$6:$D$158),0))</f>
        <v>0</v>
      </c>
      <c r="AG169" s="318" cm="1">
        <f t="array" ref="AG169">+SUMPRODUCT(IF('Consolidado Costos'!$K$6:$K$158=$V169,('Consolidado Costos'!AL$6:AL$158*'Consolidado Costos'!$D$6:$D$158),0))</f>
        <v>5567.1794871794882</v>
      </c>
      <c r="AH169" s="318" cm="1">
        <f t="array" ref="AH169">+SUMPRODUCT(IF('Consolidado Costos'!$K$6:$K$158=$V169,('Consolidado Costos'!AM$6:AM$158*'Consolidado Costos'!$D$6:$D$158),0))</f>
        <v>0</v>
      </c>
      <c r="AI169" s="318" cm="1">
        <f t="array" ref="AI169">+SUMPRODUCT(IF('Consolidado Costos'!$K$6:$K$158=$V169,('Consolidado Costos'!AN$6:AN$158*'Consolidado Costos'!$D$6:$D$158),0))</f>
        <v>0</v>
      </c>
      <c r="AJ169" s="318" cm="1">
        <f t="array" ref="AJ169">+SUMPRODUCT(IF('Consolidado Costos'!$K$6:$K$158=$V169,('Consolidado Costos'!AO$6:AO$158*'Consolidado Costos'!$D$6:$D$158),0))</f>
        <v>5567.1794871794882</v>
      </c>
      <c r="AK169" s="318" cm="1">
        <f t="array" ref="AK169">+SUMPRODUCT(IF('Consolidado Costos'!$K$6:$K$158=$V169,('Consolidado Costos'!AP$6:AP$158*'Consolidado Costos'!$D$6:$D$158),0))</f>
        <v>1651.2820512820515</v>
      </c>
      <c r="AM169" s="327"/>
      <c r="AN169" s="328" t="s">
        <v>237</v>
      </c>
      <c r="AO169" s="328" t="s">
        <v>238</v>
      </c>
      <c r="AP169" s="329"/>
      <c r="AQ169" s="354">
        <f t="shared" si="47"/>
        <v>1698.4615384615383</v>
      </c>
      <c r="AR169" s="318" cm="1">
        <f t="array" ref="AR169">+SUMPRODUCT(IF('Consolidado Costos'!$K$6:$K$158=$AN169,('Consolidado Costos'!AE$6:AE$158*'Consolidado Costos'!$E$6:$E$158),0))</f>
        <v>30.769230769230766</v>
      </c>
      <c r="AS169" s="318" cm="1">
        <f t="array" ref="AS169">+SUMPRODUCT(IF('Consolidado Costos'!$K$6:$K$158=$AN169,('Consolidado Costos'!AF$6:AF$158*'Consolidado Costos'!$E$6:$E$158),0))</f>
        <v>363.07692307692309</v>
      </c>
      <c r="AT169" s="318" cm="1">
        <f t="array" ref="AT169">+SUMPRODUCT(IF('Consolidado Costos'!$K$6:$K$158=$AN169,('Consolidado Costos'!AG$6:AG$158*'Consolidado Costos'!$E$6:$E$158),0))</f>
        <v>0</v>
      </c>
      <c r="AU169" s="318" cm="1">
        <f t="array" ref="AU169">+SUMPRODUCT(IF('Consolidado Costos'!$K$6:$K$158=$AN169,('Consolidado Costos'!AH$6:AH$158*'Consolidado Costos'!$E$6:$E$158),0))</f>
        <v>363.07692307692309</v>
      </c>
      <c r="AV169" s="318" cm="1">
        <f t="array" ref="AV169">+SUMPRODUCT(IF('Consolidado Costos'!$K$6:$K$158=$AN169,('Consolidado Costos'!AI$6:AI$158*'Consolidado Costos'!$E$6:$E$158),0))</f>
        <v>0</v>
      </c>
      <c r="AW169" s="318" cm="1">
        <f t="array" ref="AW169">+SUMPRODUCT(IF('Consolidado Costos'!$K$6:$K$158=$AN169,('Consolidado Costos'!AJ$6:AJ$158*'Consolidado Costos'!$E$6:$E$158),0))</f>
        <v>107.69230769230769</v>
      </c>
      <c r="AX169" s="318" cm="1">
        <f t="array" ref="AX169">+SUMPRODUCT(IF('Consolidado Costos'!$K$6:$K$158=$AN169,('Consolidado Costos'!AK$6:AK$158*'Consolidado Costos'!$E$6:$E$158),0))</f>
        <v>0</v>
      </c>
      <c r="AY169" s="318" cm="1">
        <f t="array" ref="AY169">+SUMPRODUCT(IF('Consolidado Costos'!$K$6:$K$158=$AN169,('Consolidado Costos'!AL$6:AL$158*'Consolidado Costos'!$E$6:$E$158),0))</f>
        <v>363.07692307692309</v>
      </c>
      <c r="AZ169" s="318" cm="1">
        <f t="array" ref="AZ169">+SUMPRODUCT(IF('Consolidado Costos'!$K$6:$K$158=$AN169,('Consolidado Costos'!AM$6:AM$158*'Consolidado Costos'!$E$6:$E$158),0))</f>
        <v>0</v>
      </c>
      <c r="BA169" s="318" cm="1">
        <f t="array" ref="BA169">+SUMPRODUCT(IF('Consolidado Costos'!$K$6:$K$158=$AN169,('Consolidado Costos'!AN$6:AN$158*'Consolidado Costos'!$E$6:$E$158),0))</f>
        <v>0</v>
      </c>
      <c r="BB169" s="318" cm="1">
        <f t="array" ref="BB169">+SUMPRODUCT(IF('Consolidado Costos'!$K$6:$K$158=$AN169,('Consolidado Costos'!AO$6:AO$158*'Consolidado Costos'!$E$6:$E$158),0))</f>
        <v>363.07692307692309</v>
      </c>
      <c r="BC169" s="318" cm="1">
        <f t="array" ref="BC169">+SUMPRODUCT(IF('Consolidado Costos'!$K$6:$K$158=$AN169,('Consolidado Costos'!AP$6:AP$158*'Consolidado Costos'!$E$6:$E$158),0))</f>
        <v>107.69230769230769</v>
      </c>
      <c r="BE169" s="327"/>
      <c r="BF169" s="328" t="s">
        <v>237</v>
      </c>
      <c r="BG169" s="328" t="s">
        <v>238</v>
      </c>
      <c r="BH169" s="329"/>
      <c r="BI169" s="354">
        <f t="shared" si="48"/>
        <v>566.15384615384619</v>
      </c>
      <c r="BJ169" s="318" cm="1">
        <f t="array" ref="BJ169">+SUMPRODUCT(IF('Consolidado Costos'!$K$6:$K$158=$BF169,('Consolidado Costos'!AE$6:AE$158*'Consolidado Costos'!$F$6:$F$158),0))</f>
        <v>10.256410256410257</v>
      </c>
      <c r="BK169" s="318" cm="1">
        <f t="array" ref="BK169">+SUMPRODUCT(IF('Consolidado Costos'!$K$6:$K$158=$BF169,('Consolidado Costos'!AF$6:AF$158*'Consolidado Costos'!$F$6:$F$158),0))</f>
        <v>121.02564102564104</v>
      </c>
      <c r="BL169" s="318" cm="1">
        <f t="array" ref="BL169">+SUMPRODUCT(IF('Consolidado Costos'!$K$6:$K$158=$BF169,('Consolidado Costos'!AG$6:AG$158*'Consolidado Costos'!$F$6:$F$158),0))</f>
        <v>0</v>
      </c>
      <c r="BM169" s="318" cm="1">
        <f t="array" ref="BM169">+SUMPRODUCT(IF('Consolidado Costos'!$K$6:$K$158=$BF169,('Consolidado Costos'!AH$6:AH$158*'Consolidado Costos'!$F$6:$F$158),0))</f>
        <v>121.02564102564104</v>
      </c>
      <c r="BN169" s="318" cm="1">
        <f t="array" ref="BN169">+SUMPRODUCT(IF('Consolidado Costos'!$K$6:$K$158=$BF169,('Consolidado Costos'!AI$6:AI$158*'Consolidado Costos'!$F$6:$F$158),0))</f>
        <v>0</v>
      </c>
      <c r="BO169" s="318" cm="1">
        <f t="array" ref="BO169">+SUMPRODUCT(IF('Consolidado Costos'!$K$6:$K$158=$BF169,('Consolidado Costos'!AJ$6:AJ$158*'Consolidado Costos'!$F$6:$F$158),0))</f>
        <v>35.897435897435898</v>
      </c>
      <c r="BP169" s="318" cm="1">
        <f t="array" ref="BP169">+SUMPRODUCT(IF('Consolidado Costos'!$K$6:$K$158=$BF169,('Consolidado Costos'!AK$6:AK$158*'Consolidado Costos'!$F$6:$F$158),0))</f>
        <v>0</v>
      </c>
      <c r="BQ169" s="318" cm="1">
        <f t="array" ref="BQ169">+SUMPRODUCT(IF('Consolidado Costos'!$K$6:$K$158=$BF169,('Consolidado Costos'!AL$6:AL$158*'Consolidado Costos'!$F$6:$F$158),0))</f>
        <v>121.02564102564104</v>
      </c>
      <c r="BR169" s="318" cm="1">
        <f t="array" ref="BR169">+SUMPRODUCT(IF('Consolidado Costos'!$K$6:$K$158=$BF169,('Consolidado Costos'!AM$6:AM$158*'Consolidado Costos'!$F$6:$F$158),0))</f>
        <v>0</v>
      </c>
      <c r="BS169" s="318" cm="1">
        <f t="array" ref="BS169">+SUMPRODUCT(IF('Consolidado Costos'!$K$6:$K$158=$BF169,('Consolidado Costos'!AN$6:AN$158*'Consolidado Costos'!$F$6:$F$158),0))</f>
        <v>0</v>
      </c>
      <c r="BT169" s="318" cm="1">
        <f t="array" ref="BT169">+SUMPRODUCT(IF('Consolidado Costos'!$K$6:$K$158=$BF169,('Consolidado Costos'!AO$6:AO$158*'Consolidado Costos'!$F$6:$F$158),0))</f>
        <v>121.02564102564104</v>
      </c>
      <c r="BU169" s="318" cm="1">
        <f t="array" ref="BU169">+SUMPRODUCT(IF('Consolidado Costos'!$K$6:$K$158=$BF169,('Consolidado Costos'!AP$6:AP$158*'Consolidado Costos'!$F$6:$F$158),0))</f>
        <v>35.897435897435898</v>
      </c>
      <c r="BW169" s="327"/>
      <c r="BX169" s="328" t="s">
        <v>237</v>
      </c>
      <c r="BY169" s="328" t="s">
        <v>238</v>
      </c>
      <c r="BZ169" s="329"/>
      <c r="CA169" s="354">
        <f t="shared" si="49"/>
        <v>0</v>
      </c>
      <c r="CB169" s="318" cm="1">
        <f t="array" ref="CB169">+SUMPRODUCT(IF('Consolidado Costos'!$K$6:$K$158=$BX169,('Consolidado Costos'!AE$6:AE$158*'Consolidado Costos'!$G$6:$G$158),0))</f>
        <v>0</v>
      </c>
      <c r="CC169" s="318" cm="1">
        <f t="array" ref="CC169">+SUMPRODUCT(IF('Consolidado Costos'!$K$6:$K$158=$BX169,('Consolidado Costos'!AF$6:AF$158*'Consolidado Costos'!$G$6:$G$158),0))</f>
        <v>0</v>
      </c>
      <c r="CD169" s="318" cm="1">
        <f t="array" ref="CD169">+SUMPRODUCT(IF('Consolidado Costos'!$K$6:$K$158=$BX169,('Consolidado Costos'!AG$6:AG$158*'Consolidado Costos'!$G$6:$G$158),0))</f>
        <v>0</v>
      </c>
      <c r="CE169" s="318" cm="1">
        <f t="array" ref="CE169">+SUMPRODUCT(IF('Consolidado Costos'!$K$6:$K$158=$BX169,('Consolidado Costos'!AH$6:AH$158*'Consolidado Costos'!$G$6:$G$158),0))</f>
        <v>0</v>
      </c>
      <c r="CF169" s="318" cm="1">
        <f t="array" ref="CF169">+SUMPRODUCT(IF('Consolidado Costos'!$K$6:$K$158=$BX169,('Consolidado Costos'!AI$6:AI$158*'Consolidado Costos'!$G$6:$G$158),0))</f>
        <v>0</v>
      </c>
      <c r="CG169" s="318" cm="1">
        <f t="array" ref="CG169">+SUMPRODUCT(IF('Consolidado Costos'!$K$6:$K$158=$BX169,('Consolidado Costos'!AJ$6:AJ$158*'Consolidado Costos'!$G$6:$G$158),0))</f>
        <v>0</v>
      </c>
      <c r="CH169" s="318" cm="1">
        <f t="array" ref="CH169">+SUMPRODUCT(IF('Consolidado Costos'!$K$6:$K$158=$BX169,('Consolidado Costos'!AK$6:AK$158*'Consolidado Costos'!$G$6:$G$158),0))</f>
        <v>0</v>
      </c>
      <c r="CI169" s="318" cm="1">
        <f t="array" ref="CI169">+SUMPRODUCT(IF('Consolidado Costos'!$K$6:$K$158=$BX169,('Consolidado Costos'!AL$6:AL$158*'Consolidado Costos'!$G$6:$G$158),0))</f>
        <v>0</v>
      </c>
      <c r="CJ169" s="318" cm="1">
        <f t="array" ref="CJ169">+SUMPRODUCT(IF('Consolidado Costos'!$K$6:$K$158=$BX169,('Consolidado Costos'!AM$6:AM$158*'Consolidado Costos'!$G$6:$G$158),0))</f>
        <v>0</v>
      </c>
      <c r="CK169" s="318" cm="1">
        <f t="array" ref="CK169">+SUMPRODUCT(IF('Consolidado Costos'!$K$6:$K$158=$BX169,('Consolidado Costos'!AN$6:AN$158*'Consolidado Costos'!$G$6:$G$158),0))</f>
        <v>0</v>
      </c>
      <c r="CL169" s="318" cm="1">
        <f t="array" ref="CL169">+SUMPRODUCT(IF('Consolidado Costos'!$K$6:$K$158=$BX169,('Consolidado Costos'!AO$6:AO$158*'Consolidado Costos'!$G$6:$G$158),0))</f>
        <v>0</v>
      </c>
      <c r="CM169" s="318" cm="1">
        <f t="array" ref="CM169">+SUMPRODUCT(IF('Consolidado Costos'!$K$6:$K$158=$BX169,('Consolidado Costos'!AP$6:AP$158*'Consolidado Costos'!$G$6:$G$158),0))</f>
        <v>0</v>
      </c>
      <c r="CN169" s="357">
        <f t="shared" si="10"/>
        <v>1</v>
      </c>
    </row>
    <row r="170" spans="2:92" s="310" customFormat="1" outlineLevel="1">
      <c r="B170" s="327"/>
      <c r="C170" s="330" t="s">
        <v>572</v>
      </c>
      <c r="D170" s="330" t="s">
        <v>573</v>
      </c>
      <c r="E170" s="329"/>
      <c r="F170" s="318">
        <f>+SUMIF('Consolidado Costos'!$K$6:$K$158,$C170,'Consolidado Costos'!$AD$6:$AD$158)</f>
        <v>0</v>
      </c>
      <c r="G170" s="318">
        <f>+SUMIF('Consolidado Costos'!$K$6:$K$158,$C170,'Consolidado Costos'!AE$6:AE$158)</f>
        <v>0</v>
      </c>
      <c r="H170" s="318">
        <f>+SUMIF('Consolidado Costos'!$K$6:$K$158,$C170,'Consolidado Costos'!AF$6:AF$158)</f>
        <v>0</v>
      </c>
      <c r="I170" s="318">
        <f>+SUMIF('Consolidado Costos'!$K$6:$K$158,$C170,'Consolidado Costos'!AG$6:AG$158)</f>
        <v>0</v>
      </c>
      <c r="J170" s="318">
        <f>+SUMIF('Consolidado Costos'!$K$6:$K$158,$C170,'Consolidado Costos'!AH$6:AH$158)</f>
        <v>0</v>
      </c>
      <c r="K170" s="318">
        <f>+SUMIF('Consolidado Costos'!$K$6:$K$158,$C170,'Consolidado Costos'!AI$6:AI$158)</f>
        <v>0</v>
      </c>
      <c r="L170" s="318">
        <f>+SUMIF('Consolidado Costos'!$K$6:$K$158,$C170,'Consolidado Costos'!AJ$6:AJ$158)</f>
        <v>0</v>
      </c>
      <c r="M170" s="318">
        <f>+SUMIF('Consolidado Costos'!$K$6:$K$158,$C170,'Consolidado Costos'!AK$6:AK$158)</f>
        <v>0</v>
      </c>
      <c r="N170" s="318">
        <f>+SUMIF('Consolidado Costos'!$K$6:$K$158,$C170,'Consolidado Costos'!AL$6:AL$158)</f>
        <v>0</v>
      </c>
      <c r="O170" s="318">
        <f>+SUMIF('Consolidado Costos'!$K$6:$K$158,$C170,'Consolidado Costos'!AM$6:AM$158)</f>
        <v>0</v>
      </c>
      <c r="P170" s="318">
        <f>+SUMIF('Consolidado Costos'!$K$6:$K$158,$C170,'Consolidado Costos'!AN$6:AN$158)</f>
        <v>0</v>
      </c>
      <c r="Q170" s="318">
        <f>+SUMIF('Consolidado Costos'!$K$6:$K$158,$C170,'Consolidado Costos'!AO$6:AO$158)</f>
        <v>0</v>
      </c>
      <c r="R170" s="318">
        <f>+SUMIF('Consolidado Costos'!$K$6:$K$158,$C170,'Consolidado Costos'!AP$6:AP$158)</f>
        <v>0</v>
      </c>
      <c r="S170" s="357">
        <f t="shared" ref="S170:S201" si="50">+IF(SUM(G170:R170)=F170,1,0)</f>
        <v>1</v>
      </c>
      <c r="U170" s="327"/>
      <c r="V170" s="330" t="s">
        <v>572</v>
      </c>
      <c r="W170" s="330" t="s">
        <v>573</v>
      </c>
      <c r="X170" s="329"/>
      <c r="Y170" s="354">
        <f t="shared" si="46"/>
        <v>0</v>
      </c>
      <c r="Z170" s="318" cm="1">
        <f t="array" ref="Z170">+SUMPRODUCT(IF('Consolidado Costos'!$K$6:$K$158=$V170,('Consolidado Costos'!AE$6:AE$158*'Consolidado Costos'!$D$6:$D$158),0))</f>
        <v>0</v>
      </c>
      <c r="AA170" s="318" cm="1">
        <f t="array" ref="AA170">+SUMPRODUCT(IF('Consolidado Costos'!$K$6:$K$158=$V170,('Consolidado Costos'!AF$6:AF$158*'Consolidado Costos'!$D$6:$D$158),0))</f>
        <v>0</v>
      </c>
      <c r="AB170" s="318" cm="1">
        <f t="array" ref="AB170">+SUMPRODUCT(IF('Consolidado Costos'!$K$6:$K$158=$V170,('Consolidado Costos'!AG$6:AG$158*'Consolidado Costos'!$D$6:$D$158),0))</f>
        <v>0</v>
      </c>
      <c r="AC170" s="318" cm="1">
        <f t="array" ref="AC170">+SUMPRODUCT(IF('Consolidado Costos'!$K$6:$K$158=$V170,('Consolidado Costos'!AH$6:AH$158*'Consolidado Costos'!$D$6:$D$158),0))</f>
        <v>0</v>
      </c>
      <c r="AD170" s="318" cm="1">
        <f t="array" ref="AD170">+SUMPRODUCT(IF('Consolidado Costos'!$K$6:$K$158=$V170,('Consolidado Costos'!AI$6:AI$158*'Consolidado Costos'!$D$6:$D$158),0))</f>
        <v>0</v>
      </c>
      <c r="AE170" s="318" cm="1">
        <f t="array" ref="AE170">+SUMPRODUCT(IF('Consolidado Costos'!$K$6:$K$158=$V170,('Consolidado Costos'!AJ$6:AJ$158*'Consolidado Costos'!$D$6:$D$158),0))</f>
        <v>0</v>
      </c>
      <c r="AF170" s="318" cm="1">
        <f t="array" ref="AF170">+SUMPRODUCT(IF('Consolidado Costos'!$K$6:$K$158=$V170,('Consolidado Costos'!AK$6:AK$158*'Consolidado Costos'!$D$6:$D$158),0))</f>
        <v>0</v>
      </c>
      <c r="AG170" s="318" cm="1">
        <f t="array" ref="AG170">+SUMPRODUCT(IF('Consolidado Costos'!$K$6:$K$158=$V170,('Consolidado Costos'!AL$6:AL$158*'Consolidado Costos'!$D$6:$D$158),0))</f>
        <v>0</v>
      </c>
      <c r="AH170" s="318" cm="1">
        <f t="array" ref="AH170">+SUMPRODUCT(IF('Consolidado Costos'!$K$6:$K$158=$V170,('Consolidado Costos'!AM$6:AM$158*'Consolidado Costos'!$D$6:$D$158),0))</f>
        <v>0</v>
      </c>
      <c r="AI170" s="318" cm="1">
        <f t="array" ref="AI170">+SUMPRODUCT(IF('Consolidado Costos'!$K$6:$K$158=$V170,('Consolidado Costos'!AN$6:AN$158*'Consolidado Costos'!$D$6:$D$158),0))</f>
        <v>0</v>
      </c>
      <c r="AJ170" s="318" cm="1">
        <f t="array" ref="AJ170">+SUMPRODUCT(IF('Consolidado Costos'!$K$6:$K$158=$V170,('Consolidado Costos'!AO$6:AO$158*'Consolidado Costos'!$D$6:$D$158),0))</f>
        <v>0</v>
      </c>
      <c r="AK170" s="318" cm="1">
        <f t="array" ref="AK170">+SUMPRODUCT(IF('Consolidado Costos'!$K$6:$K$158=$V170,('Consolidado Costos'!AP$6:AP$158*'Consolidado Costos'!$D$6:$D$158),0))</f>
        <v>0</v>
      </c>
      <c r="AM170" s="327"/>
      <c r="AN170" s="330" t="s">
        <v>572</v>
      </c>
      <c r="AO170" s="330" t="s">
        <v>573</v>
      </c>
      <c r="AP170" s="329"/>
      <c r="AQ170" s="354">
        <f t="shared" si="47"/>
        <v>0</v>
      </c>
      <c r="AR170" s="318" cm="1">
        <f t="array" ref="AR170">+SUMPRODUCT(IF('Consolidado Costos'!$K$6:$K$158=$AN170,('Consolidado Costos'!AE$6:AE$158*'Consolidado Costos'!$E$6:$E$158),0))</f>
        <v>0</v>
      </c>
      <c r="AS170" s="318" cm="1">
        <f t="array" ref="AS170">+SUMPRODUCT(IF('Consolidado Costos'!$K$6:$K$158=$AN170,('Consolidado Costos'!AF$6:AF$158*'Consolidado Costos'!$E$6:$E$158),0))</f>
        <v>0</v>
      </c>
      <c r="AT170" s="318" cm="1">
        <f t="array" ref="AT170">+SUMPRODUCT(IF('Consolidado Costos'!$K$6:$K$158=$AN170,('Consolidado Costos'!AG$6:AG$158*'Consolidado Costos'!$E$6:$E$158),0))</f>
        <v>0</v>
      </c>
      <c r="AU170" s="318" cm="1">
        <f t="array" ref="AU170">+SUMPRODUCT(IF('Consolidado Costos'!$K$6:$K$158=$AN170,('Consolidado Costos'!AH$6:AH$158*'Consolidado Costos'!$E$6:$E$158),0))</f>
        <v>0</v>
      </c>
      <c r="AV170" s="318" cm="1">
        <f t="array" ref="AV170">+SUMPRODUCT(IF('Consolidado Costos'!$K$6:$K$158=$AN170,('Consolidado Costos'!AI$6:AI$158*'Consolidado Costos'!$E$6:$E$158),0))</f>
        <v>0</v>
      </c>
      <c r="AW170" s="318" cm="1">
        <f t="array" ref="AW170">+SUMPRODUCT(IF('Consolidado Costos'!$K$6:$K$158=$AN170,('Consolidado Costos'!AJ$6:AJ$158*'Consolidado Costos'!$E$6:$E$158),0))</f>
        <v>0</v>
      </c>
      <c r="AX170" s="318" cm="1">
        <f t="array" ref="AX170">+SUMPRODUCT(IF('Consolidado Costos'!$K$6:$K$158=$AN170,('Consolidado Costos'!AK$6:AK$158*'Consolidado Costos'!$E$6:$E$158),0))</f>
        <v>0</v>
      </c>
      <c r="AY170" s="318" cm="1">
        <f t="array" ref="AY170">+SUMPRODUCT(IF('Consolidado Costos'!$K$6:$K$158=$AN170,('Consolidado Costos'!AL$6:AL$158*'Consolidado Costos'!$E$6:$E$158),0))</f>
        <v>0</v>
      </c>
      <c r="AZ170" s="318" cm="1">
        <f t="array" ref="AZ170">+SUMPRODUCT(IF('Consolidado Costos'!$K$6:$K$158=$AN170,('Consolidado Costos'!AM$6:AM$158*'Consolidado Costos'!$E$6:$E$158),0))</f>
        <v>0</v>
      </c>
      <c r="BA170" s="318" cm="1">
        <f t="array" ref="BA170">+SUMPRODUCT(IF('Consolidado Costos'!$K$6:$K$158=$AN170,('Consolidado Costos'!AN$6:AN$158*'Consolidado Costos'!$E$6:$E$158),0))</f>
        <v>0</v>
      </c>
      <c r="BB170" s="318" cm="1">
        <f t="array" ref="BB170">+SUMPRODUCT(IF('Consolidado Costos'!$K$6:$K$158=$AN170,('Consolidado Costos'!AO$6:AO$158*'Consolidado Costos'!$E$6:$E$158),0))</f>
        <v>0</v>
      </c>
      <c r="BC170" s="318" cm="1">
        <f t="array" ref="BC170">+SUMPRODUCT(IF('Consolidado Costos'!$K$6:$K$158=$AN170,('Consolidado Costos'!AP$6:AP$158*'Consolidado Costos'!$E$6:$E$158),0))</f>
        <v>0</v>
      </c>
      <c r="BE170" s="327"/>
      <c r="BF170" s="330" t="s">
        <v>572</v>
      </c>
      <c r="BG170" s="330" t="s">
        <v>573</v>
      </c>
      <c r="BH170" s="329"/>
      <c r="BI170" s="354">
        <f t="shared" si="48"/>
        <v>0</v>
      </c>
      <c r="BJ170" s="318" cm="1">
        <f t="array" ref="BJ170">+SUMPRODUCT(IF('Consolidado Costos'!$K$6:$K$158=$BF170,('Consolidado Costos'!AE$6:AE$158*'Consolidado Costos'!$F$6:$F$158),0))</f>
        <v>0</v>
      </c>
      <c r="BK170" s="318" cm="1">
        <f t="array" ref="BK170">+SUMPRODUCT(IF('Consolidado Costos'!$K$6:$K$158=$BF170,('Consolidado Costos'!AF$6:AF$158*'Consolidado Costos'!$F$6:$F$158),0))</f>
        <v>0</v>
      </c>
      <c r="BL170" s="318" cm="1">
        <f t="array" ref="BL170">+SUMPRODUCT(IF('Consolidado Costos'!$K$6:$K$158=$BF170,('Consolidado Costos'!AG$6:AG$158*'Consolidado Costos'!$F$6:$F$158),0))</f>
        <v>0</v>
      </c>
      <c r="BM170" s="318" cm="1">
        <f t="array" ref="BM170">+SUMPRODUCT(IF('Consolidado Costos'!$K$6:$K$158=$BF170,('Consolidado Costos'!AH$6:AH$158*'Consolidado Costos'!$F$6:$F$158),0))</f>
        <v>0</v>
      </c>
      <c r="BN170" s="318" cm="1">
        <f t="array" ref="BN170">+SUMPRODUCT(IF('Consolidado Costos'!$K$6:$K$158=$BF170,('Consolidado Costos'!AI$6:AI$158*'Consolidado Costos'!$F$6:$F$158),0))</f>
        <v>0</v>
      </c>
      <c r="BO170" s="318" cm="1">
        <f t="array" ref="BO170">+SUMPRODUCT(IF('Consolidado Costos'!$K$6:$K$158=$BF170,('Consolidado Costos'!AJ$6:AJ$158*'Consolidado Costos'!$F$6:$F$158),0))</f>
        <v>0</v>
      </c>
      <c r="BP170" s="318" cm="1">
        <f t="array" ref="BP170">+SUMPRODUCT(IF('Consolidado Costos'!$K$6:$K$158=$BF170,('Consolidado Costos'!AK$6:AK$158*'Consolidado Costos'!$F$6:$F$158),0))</f>
        <v>0</v>
      </c>
      <c r="BQ170" s="318" cm="1">
        <f t="array" ref="BQ170">+SUMPRODUCT(IF('Consolidado Costos'!$K$6:$K$158=$BF170,('Consolidado Costos'!AL$6:AL$158*'Consolidado Costos'!$F$6:$F$158),0))</f>
        <v>0</v>
      </c>
      <c r="BR170" s="318" cm="1">
        <f t="array" ref="BR170">+SUMPRODUCT(IF('Consolidado Costos'!$K$6:$K$158=$BF170,('Consolidado Costos'!AM$6:AM$158*'Consolidado Costos'!$F$6:$F$158),0))</f>
        <v>0</v>
      </c>
      <c r="BS170" s="318" cm="1">
        <f t="array" ref="BS170">+SUMPRODUCT(IF('Consolidado Costos'!$K$6:$K$158=$BF170,('Consolidado Costos'!AN$6:AN$158*'Consolidado Costos'!$F$6:$F$158),0))</f>
        <v>0</v>
      </c>
      <c r="BT170" s="318" cm="1">
        <f t="array" ref="BT170">+SUMPRODUCT(IF('Consolidado Costos'!$K$6:$K$158=$BF170,('Consolidado Costos'!AO$6:AO$158*'Consolidado Costos'!$F$6:$F$158),0))</f>
        <v>0</v>
      </c>
      <c r="BU170" s="318" cm="1">
        <f t="array" ref="BU170">+SUMPRODUCT(IF('Consolidado Costos'!$K$6:$K$158=$BF170,('Consolidado Costos'!AP$6:AP$158*'Consolidado Costos'!$F$6:$F$158),0))</f>
        <v>0</v>
      </c>
      <c r="BW170" s="327"/>
      <c r="BX170" s="330" t="s">
        <v>572</v>
      </c>
      <c r="BY170" s="330" t="s">
        <v>573</v>
      </c>
      <c r="BZ170" s="329"/>
      <c r="CA170" s="354">
        <f t="shared" si="49"/>
        <v>0</v>
      </c>
      <c r="CB170" s="318" cm="1">
        <f t="array" ref="CB170">+SUMPRODUCT(IF('Consolidado Costos'!$K$6:$K$158=$BX170,('Consolidado Costos'!AE$6:AE$158*'Consolidado Costos'!$G$6:$G$158),0))</f>
        <v>0</v>
      </c>
      <c r="CC170" s="318" cm="1">
        <f t="array" ref="CC170">+SUMPRODUCT(IF('Consolidado Costos'!$K$6:$K$158=$BX170,('Consolidado Costos'!AF$6:AF$158*'Consolidado Costos'!$G$6:$G$158),0))</f>
        <v>0</v>
      </c>
      <c r="CD170" s="318" cm="1">
        <f t="array" ref="CD170">+SUMPRODUCT(IF('Consolidado Costos'!$K$6:$K$158=$BX170,('Consolidado Costos'!AG$6:AG$158*'Consolidado Costos'!$G$6:$G$158),0))</f>
        <v>0</v>
      </c>
      <c r="CE170" s="318" cm="1">
        <f t="array" ref="CE170">+SUMPRODUCT(IF('Consolidado Costos'!$K$6:$K$158=$BX170,('Consolidado Costos'!AH$6:AH$158*'Consolidado Costos'!$G$6:$G$158),0))</f>
        <v>0</v>
      </c>
      <c r="CF170" s="318" cm="1">
        <f t="array" ref="CF170">+SUMPRODUCT(IF('Consolidado Costos'!$K$6:$K$158=$BX170,('Consolidado Costos'!AI$6:AI$158*'Consolidado Costos'!$G$6:$G$158),0))</f>
        <v>0</v>
      </c>
      <c r="CG170" s="318" cm="1">
        <f t="array" ref="CG170">+SUMPRODUCT(IF('Consolidado Costos'!$K$6:$K$158=$BX170,('Consolidado Costos'!AJ$6:AJ$158*'Consolidado Costos'!$G$6:$G$158),0))</f>
        <v>0</v>
      </c>
      <c r="CH170" s="318" cm="1">
        <f t="array" ref="CH170">+SUMPRODUCT(IF('Consolidado Costos'!$K$6:$K$158=$BX170,('Consolidado Costos'!AK$6:AK$158*'Consolidado Costos'!$G$6:$G$158),0))</f>
        <v>0</v>
      </c>
      <c r="CI170" s="318" cm="1">
        <f t="array" ref="CI170">+SUMPRODUCT(IF('Consolidado Costos'!$K$6:$K$158=$BX170,('Consolidado Costos'!AL$6:AL$158*'Consolidado Costos'!$G$6:$G$158),0))</f>
        <v>0</v>
      </c>
      <c r="CJ170" s="318" cm="1">
        <f t="array" ref="CJ170">+SUMPRODUCT(IF('Consolidado Costos'!$K$6:$K$158=$BX170,('Consolidado Costos'!AM$6:AM$158*'Consolidado Costos'!$G$6:$G$158),0))</f>
        <v>0</v>
      </c>
      <c r="CK170" s="318" cm="1">
        <f t="array" ref="CK170">+SUMPRODUCT(IF('Consolidado Costos'!$K$6:$K$158=$BX170,('Consolidado Costos'!AN$6:AN$158*'Consolidado Costos'!$G$6:$G$158),0))</f>
        <v>0</v>
      </c>
      <c r="CL170" s="318" cm="1">
        <f t="array" ref="CL170">+SUMPRODUCT(IF('Consolidado Costos'!$K$6:$K$158=$BX170,('Consolidado Costos'!AO$6:AO$158*'Consolidado Costos'!$G$6:$G$158),0))</f>
        <v>0</v>
      </c>
      <c r="CM170" s="318" cm="1">
        <f t="array" ref="CM170">+SUMPRODUCT(IF('Consolidado Costos'!$K$6:$K$158=$BX170,('Consolidado Costos'!AP$6:AP$158*'Consolidado Costos'!$G$6:$G$158),0))</f>
        <v>0</v>
      </c>
      <c r="CN170" s="357">
        <f t="shared" ref="CN170:CN201" si="51">+IF(SUM(CA170+BI170+AQ170+Y170)=F170,1,0)</f>
        <v>1</v>
      </c>
    </row>
    <row r="171" spans="2:92" s="310" customFormat="1" outlineLevel="1">
      <c r="B171" s="327"/>
      <c r="C171" s="330" t="s">
        <v>574</v>
      </c>
      <c r="D171" s="330" t="s">
        <v>575</v>
      </c>
      <c r="E171" s="329"/>
      <c r="F171" s="318">
        <f>+SUMIF('Consolidado Costos'!$K$6:$K$158,$C171,'Consolidado Costos'!$AD$6:$AD$158)</f>
        <v>0</v>
      </c>
      <c r="G171" s="318">
        <f>+SUMIF('Consolidado Costos'!$K$6:$K$158,$C171,'Consolidado Costos'!AE$6:AE$158)</f>
        <v>0</v>
      </c>
      <c r="H171" s="318">
        <f>+SUMIF('Consolidado Costos'!$K$6:$K$158,$C171,'Consolidado Costos'!AF$6:AF$158)</f>
        <v>0</v>
      </c>
      <c r="I171" s="318">
        <f>+SUMIF('Consolidado Costos'!$K$6:$K$158,$C171,'Consolidado Costos'!AG$6:AG$158)</f>
        <v>0</v>
      </c>
      <c r="J171" s="318">
        <f>+SUMIF('Consolidado Costos'!$K$6:$K$158,$C171,'Consolidado Costos'!AH$6:AH$158)</f>
        <v>0</v>
      </c>
      <c r="K171" s="318">
        <f>+SUMIF('Consolidado Costos'!$K$6:$K$158,$C171,'Consolidado Costos'!AI$6:AI$158)</f>
        <v>0</v>
      </c>
      <c r="L171" s="318">
        <f>+SUMIF('Consolidado Costos'!$K$6:$K$158,$C171,'Consolidado Costos'!AJ$6:AJ$158)</f>
        <v>0</v>
      </c>
      <c r="M171" s="318">
        <f>+SUMIF('Consolidado Costos'!$K$6:$K$158,$C171,'Consolidado Costos'!AK$6:AK$158)</f>
        <v>0</v>
      </c>
      <c r="N171" s="318">
        <f>+SUMIF('Consolidado Costos'!$K$6:$K$158,$C171,'Consolidado Costos'!AL$6:AL$158)</f>
        <v>0</v>
      </c>
      <c r="O171" s="318">
        <f>+SUMIF('Consolidado Costos'!$K$6:$K$158,$C171,'Consolidado Costos'!AM$6:AM$158)</f>
        <v>0</v>
      </c>
      <c r="P171" s="318">
        <f>+SUMIF('Consolidado Costos'!$K$6:$K$158,$C171,'Consolidado Costos'!AN$6:AN$158)</f>
        <v>0</v>
      </c>
      <c r="Q171" s="318">
        <f>+SUMIF('Consolidado Costos'!$K$6:$K$158,$C171,'Consolidado Costos'!AO$6:AO$158)</f>
        <v>0</v>
      </c>
      <c r="R171" s="318">
        <f>+SUMIF('Consolidado Costos'!$K$6:$K$158,$C171,'Consolidado Costos'!AP$6:AP$158)</f>
        <v>0</v>
      </c>
      <c r="S171" s="357">
        <f t="shared" si="50"/>
        <v>1</v>
      </c>
      <c r="U171" s="327"/>
      <c r="V171" s="330" t="s">
        <v>574</v>
      </c>
      <c r="W171" s="330" t="s">
        <v>575</v>
      </c>
      <c r="X171" s="329"/>
      <c r="Y171" s="354">
        <f t="shared" si="46"/>
        <v>0</v>
      </c>
      <c r="Z171" s="318" cm="1">
        <f t="array" ref="Z171">+SUMPRODUCT(IF('Consolidado Costos'!$K$6:$K$158=$V171,('Consolidado Costos'!AE$6:AE$158*'Consolidado Costos'!$D$6:$D$158),0))</f>
        <v>0</v>
      </c>
      <c r="AA171" s="318" cm="1">
        <f t="array" ref="AA171">+SUMPRODUCT(IF('Consolidado Costos'!$K$6:$K$158=$V171,('Consolidado Costos'!AF$6:AF$158*'Consolidado Costos'!$D$6:$D$158),0))</f>
        <v>0</v>
      </c>
      <c r="AB171" s="318" cm="1">
        <f t="array" ref="AB171">+SUMPRODUCT(IF('Consolidado Costos'!$K$6:$K$158=$V171,('Consolidado Costos'!AG$6:AG$158*'Consolidado Costos'!$D$6:$D$158),0))</f>
        <v>0</v>
      </c>
      <c r="AC171" s="318" cm="1">
        <f t="array" ref="AC171">+SUMPRODUCT(IF('Consolidado Costos'!$K$6:$K$158=$V171,('Consolidado Costos'!AH$6:AH$158*'Consolidado Costos'!$D$6:$D$158),0))</f>
        <v>0</v>
      </c>
      <c r="AD171" s="318" cm="1">
        <f t="array" ref="AD171">+SUMPRODUCT(IF('Consolidado Costos'!$K$6:$K$158=$V171,('Consolidado Costos'!AI$6:AI$158*'Consolidado Costos'!$D$6:$D$158),0))</f>
        <v>0</v>
      </c>
      <c r="AE171" s="318" cm="1">
        <f t="array" ref="AE171">+SUMPRODUCT(IF('Consolidado Costos'!$K$6:$K$158=$V171,('Consolidado Costos'!AJ$6:AJ$158*'Consolidado Costos'!$D$6:$D$158),0))</f>
        <v>0</v>
      </c>
      <c r="AF171" s="318" cm="1">
        <f t="array" ref="AF171">+SUMPRODUCT(IF('Consolidado Costos'!$K$6:$K$158=$V171,('Consolidado Costos'!AK$6:AK$158*'Consolidado Costos'!$D$6:$D$158),0))</f>
        <v>0</v>
      </c>
      <c r="AG171" s="318" cm="1">
        <f t="array" ref="AG171">+SUMPRODUCT(IF('Consolidado Costos'!$K$6:$K$158=$V171,('Consolidado Costos'!AL$6:AL$158*'Consolidado Costos'!$D$6:$D$158),0))</f>
        <v>0</v>
      </c>
      <c r="AH171" s="318" cm="1">
        <f t="array" ref="AH171">+SUMPRODUCT(IF('Consolidado Costos'!$K$6:$K$158=$V171,('Consolidado Costos'!AM$6:AM$158*'Consolidado Costos'!$D$6:$D$158),0))</f>
        <v>0</v>
      </c>
      <c r="AI171" s="318" cm="1">
        <f t="array" ref="AI171">+SUMPRODUCT(IF('Consolidado Costos'!$K$6:$K$158=$V171,('Consolidado Costos'!AN$6:AN$158*'Consolidado Costos'!$D$6:$D$158),0))</f>
        <v>0</v>
      </c>
      <c r="AJ171" s="318" cm="1">
        <f t="array" ref="AJ171">+SUMPRODUCT(IF('Consolidado Costos'!$K$6:$K$158=$V171,('Consolidado Costos'!AO$6:AO$158*'Consolidado Costos'!$D$6:$D$158),0))</f>
        <v>0</v>
      </c>
      <c r="AK171" s="318" cm="1">
        <f t="array" ref="AK171">+SUMPRODUCT(IF('Consolidado Costos'!$K$6:$K$158=$V171,('Consolidado Costos'!AP$6:AP$158*'Consolidado Costos'!$D$6:$D$158),0))</f>
        <v>0</v>
      </c>
      <c r="AM171" s="327"/>
      <c r="AN171" s="330" t="s">
        <v>574</v>
      </c>
      <c r="AO171" s="330" t="s">
        <v>575</v>
      </c>
      <c r="AP171" s="329"/>
      <c r="AQ171" s="354">
        <f t="shared" si="47"/>
        <v>0</v>
      </c>
      <c r="AR171" s="318" cm="1">
        <f t="array" ref="AR171">+SUMPRODUCT(IF('Consolidado Costos'!$K$6:$K$158=$AN171,('Consolidado Costos'!AE$6:AE$158*'Consolidado Costos'!$E$6:$E$158),0))</f>
        <v>0</v>
      </c>
      <c r="AS171" s="318" cm="1">
        <f t="array" ref="AS171">+SUMPRODUCT(IF('Consolidado Costos'!$K$6:$K$158=$AN171,('Consolidado Costos'!AF$6:AF$158*'Consolidado Costos'!$E$6:$E$158),0))</f>
        <v>0</v>
      </c>
      <c r="AT171" s="318" cm="1">
        <f t="array" ref="AT171">+SUMPRODUCT(IF('Consolidado Costos'!$K$6:$K$158=$AN171,('Consolidado Costos'!AG$6:AG$158*'Consolidado Costos'!$E$6:$E$158),0))</f>
        <v>0</v>
      </c>
      <c r="AU171" s="318" cm="1">
        <f t="array" ref="AU171">+SUMPRODUCT(IF('Consolidado Costos'!$K$6:$K$158=$AN171,('Consolidado Costos'!AH$6:AH$158*'Consolidado Costos'!$E$6:$E$158),0))</f>
        <v>0</v>
      </c>
      <c r="AV171" s="318" cm="1">
        <f t="array" ref="AV171">+SUMPRODUCT(IF('Consolidado Costos'!$K$6:$K$158=$AN171,('Consolidado Costos'!AI$6:AI$158*'Consolidado Costos'!$E$6:$E$158),0))</f>
        <v>0</v>
      </c>
      <c r="AW171" s="318" cm="1">
        <f t="array" ref="AW171">+SUMPRODUCT(IF('Consolidado Costos'!$K$6:$K$158=$AN171,('Consolidado Costos'!AJ$6:AJ$158*'Consolidado Costos'!$E$6:$E$158),0))</f>
        <v>0</v>
      </c>
      <c r="AX171" s="318" cm="1">
        <f t="array" ref="AX171">+SUMPRODUCT(IF('Consolidado Costos'!$K$6:$K$158=$AN171,('Consolidado Costos'!AK$6:AK$158*'Consolidado Costos'!$E$6:$E$158),0))</f>
        <v>0</v>
      </c>
      <c r="AY171" s="318" cm="1">
        <f t="array" ref="AY171">+SUMPRODUCT(IF('Consolidado Costos'!$K$6:$K$158=$AN171,('Consolidado Costos'!AL$6:AL$158*'Consolidado Costos'!$E$6:$E$158),0))</f>
        <v>0</v>
      </c>
      <c r="AZ171" s="318" cm="1">
        <f t="array" ref="AZ171">+SUMPRODUCT(IF('Consolidado Costos'!$K$6:$K$158=$AN171,('Consolidado Costos'!AM$6:AM$158*'Consolidado Costos'!$E$6:$E$158),0))</f>
        <v>0</v>
      </c>
      <c r="BA171" s="318" cm="1">
        <f t="array" ref="BA171">+SUMPRODUCT(IF('Consolidado Costos'!$K$6:$K$158=$AN171,('Consolidado Costos'!AN$6:AN$158*'Consolidado Costos'!$E$6:$E$158),0))</f>
        <v>0</v>
      </c>
      <c r="BB171" s="318" cm="1">
        <f t="array" ref="BB171">+SUMPRODUCT(IF('Consolidado Costos'!$K$6:$K$158=$AN171,('Consolidado Costos'!AO$6:AO$158*'Consolidado Costos'!$E$6:$E$158),0))</f>
        <v>0</v>
      </c>
      <c r="BC171" s="318" cm="1">
        <f t="array" ref="BC171">+SUMPRODUCT(IF('Consolidado Costos'!$K$6:$K$158=$AN171,('Consolidado Costos'!AP$6:AP$158*'Consolidado Costos'!$E$6:$E$158),0))</f>
        <v>0</v>
      </c>
      <c r="BE171" s="327"/>
      <c r="BF171" s="330" t="s">
        <v>574</v>
      </c>
      <c r="BG171" s="330" t="s">
        <v>575</v>
      </c>
      <c r="BH171" s="329"/>
      <c r="BI171" s="354">
        <f t="shared" si="48"/>
        <v>0</v>
      </c>
      <c r="BJ171" s="318" cm="1">
        <f t="array" ref="BJ171">+SUMPRODUCT(IF('Consolidado Costos'!$K$6:$K$158=$BF171,('Consolidado Costos'!AE$6:AE$158*'Consolidado Costos'!$F$6:$F$158),0))</f>
        <v>0</v>
      </c>
      <c r="BK171" s="318" cm="1">
        <f t="array" ref="BK171">+SUMPRODUCT(IF('Consolidado Costos'!$K$6:$K$158=$BF171,('Consolidado Costos'!AF$6:AF$158*'Consolidado Costos'!$F$6:$F$158),0))</f>
        <v>0</v>
      </c>
      <c r="BL171" s="318" cm="1">
        <f t="array" ref="BL171">+SUMPRODUCT(IF('Consolidado Costos'!$K$6:$K$158=$BF171,('Consolidado Costos'!AG$6:AG$158*'Consolidado Costos'!$F$6:$F$158),0))</f>
        <v>0</v>
      </c>
      <c r="BM171" s="318" cm="1">
        <f t="array" ref="BM171">+SUMPRODUCT(IF('Consolidado Costos'!$K$6:$K$158=$BF171,('Consolidado Costos'!AH$6:AH$158*'Consolidado Costos'!$F$6:$F$158),0))</f>
        <v>0</v>
      </c>
      <c r="BN171" s="318" cm="1">
        <f t="array" ref="BN171">+SUMPRODUCT(IF('Consolidado Costos'!$K$6:$K$158=$BF171,('Consolidado Costos'!AI$6:AI$158*'Consolidado Costos'!$F$6:$F$158),0))</f>
        <v>0</v>
      </c>
      <c r="BO171" s="318" cm="1">
        <f t="array" ref="BO171">+SUMPRODUCT(IF('Consolidado Costos'!$K$6:$K$158=$BF171,('Consolidado Costos'!AJ$6:AJ$158*'Consolidado Costos'!$F$6:$F$158),0))</f>
        <v>0</v>
      </c>
      <c r="BP171" s="318" cm="1">
        <f t="array" ref="BP171">+SUMPRODUCT(IF('Consolidado Costos'!$K$6:$K$158=$BF171,('Consolidado Costos'!AK$6:AK$158*'Consolidado Costos'!$F$6:$F$158),0))</f>
        <v>0</v>
      </c>
      <c r="BQ171" s="318" cm="1">
        <f t="array" ref="BQ171">+SUMPRODUCT(IF('Consolidado Costos'!$K$6:$K$158=$BF171,('Consolidado Costos'!AL$6:AL$158*'Consolidado Costos'!$F$6:$F$158),0))</f>
        <v>0</v>
      </c>
      <c r="BR171" s="318" cm="1">
        <f t="array" ref="BR171">+SUMPRODUCT(IF('Consolidado Costos'!$K$6:$K$158=$BF171,('Consolidado Costos'!AM$6:AM$158*'Consolidado Costos'!$F$6:$F$158),0))</f>
        <v>0</v>
      </c>
      <c r="BS171" s="318" cm="1">
        <f t="array" ref="BS171">+SUMPRODUCT(IF('Consolidado Costos'!$K$6:$K$158=$BF171,('Consolidado Costos'!AN$6:AN$158*'Consolidado Costos'!$F$6:$F$158),0))</f>
        <v>0</v>
      </c>
      <c r="BT171" s="318" cm="1">
        <f t="array" ref="BT171">+SUMPRODUCT(IF('Consolidado Costos'!$K$6:$K$158=$BF171,('Consolidado Costos'!AO$6:AO$158*'Consolidado Costos'!$F$6:$F$158),0))</f>
        <v>0</v>
      </c>
      <c r="BU171" s="318" cm="1">
        <f t="array" ref="BU171">+SUMPRODUCT(IF('Consolidado Costos'!$K$6:$K$158=$BF171,('Consolidado Costos'!AP$6:AP$158*'Consolidado Costos'!$F$6:$F$158),0))</f>
        <v>0</v>
      </c>
      <c r="BW171" s="327"/>
      <c r="BX171" s="330" t="s">
        <v>574</v>
      </c>
      <c r="BY171" s="330" t="s">
        <v>575</v>
      </c>
      <c r="BZ171" s="329"/>
      <c r="CA171" s="354">
        <f t="shared" si="49"/>
        <v>0</v>
      </c>
      <c r="CB171" s="318" cm="1">
        <f t="array" ref="CB171">+SUMPRODUCT(IF('Consolidado Costos'!$K$6:$K$158=$BX171,('Consolidado Costos'!AE$6:AE$158*'Consolidado Costos'!$G$6:$G$158),0))</f>
        <v>0</v>
      </c>
      <c r="CC171" s="318" cm="1">
        <f t="array" ref="CC171">+SUMPRODUCT(IF('Consolidado Costos'!$K$6:$K$158=$BX171,('Consolidado Costos'!AF$6:AF$158*'Consolidado Costos'!$G$6:$G$158),0))</f>
        <v>0</v>
      </c>
      <c r="CD171" s="318" cm="1">
        <f t="array" ref="CD171">+SUMPRODUCT(IF('Consolidado Costos'!$K$6:$K$158=$BX171,('Consolidado Costos'!AG$6:AG$158*'Consolidado Costos'!$G$6:$G$158),0))</f>
        <v>0</v>
      </c>
      <c r="CE171" s="318" cm="1">
        <f t="array" ref="CE171">+SUMPRODUCT(IF('Consolidado Costos'!$K$6:$K$158=$BX171,('Consolidado Costos'!AH$6:AH$158*'Consolidado Costos'!$G$6:$G$158),0))</f>
        <v>0</v>
      </c>
      <c r="CF171" s="318" cm="1">
        <f t="array" ref="CF171">+SUMPRODUCT(IF('Consolidado Costos'!$K$6:$K$158=$BX171,('Consolidado Costos'!AI$6:AI$158*'Consolidado Costos'!$G$6:$G$158),0))</f>
        <v>0</v>
      </c>
      <c r="CG171" s="318" cm="1">
        <f t="array" ref="CG171">+SUMPRODUCT(IF('Consolidado Costos'!$K$6:$K$158=$BX171,('Consolidado Costos'!AJ$6:AJ$158*'Consolidado Costos'!$G$6:$G$158),0))</f>
        <v>0</v>
      </c>
      <c r="CH171" s="318" cm="1">
        <f t="array" ref="CH171">+SUMPRODUCT(IF('Consolidado Costos'!$K$6:$K$158=$BX171,('Consolidado Costos'!AK$6:AK$158*'Consolidado Costos'!$G$6:$G$158),0))</f>
        <v>0</v>
      </c>
      <c r="CI171" s="318" cm="1">
        <f t="array" ref="CI171">+SUMPRODUCT(IF('Consolidado Costos'!$K$6:$K$158=$BX171,('Consolidado Costos'!AL$6:AL$158*'Consolidado Costos'!$G$6:$G$158),0))</f>
        <v>0</v>
      </c>
      <c r="CJ171" s="318" cm="1">
        <f t="array" ref="CJ171">+SUMPRODUCT(IF('Consolidado Costos'!$K$6:$K$158=$BX171,('Consolidado Costos'!AM$6:AM$158*'Consolidado Costos'!$G$6:$G$158),0))</f>
        <v>0</v>
      </c>
      <c r="CK171" s="318" cm="1">
        <f t="array" ref="CK171">+SUMPRODUCT(IF('Consolidado Costos'!$K$6:$K$158=$BX171,('Consolidado Costos'!AN$6:AN$158*'Consolidado Costos'!$G$6:$G$158),0))</f>
        <v>0</v>
      </c>
      <c r="CL171" s="318" cm="1">
        <f t="array" ref="CL171">+SUMPRODUCT(IF('Consolidado Costos'!$K$6:$K$158=$BX171,('Consolidado Costos'!AO$6:AO$158*'Consolidado Costos'!$G$6:$G$158),0))</f>
        <v>0</v>
      </c>
      <c r="CM171" s="318" cm="1">
        <f t="array" ref="CM171">+SUMPRODUCT(IF('Consolidado Costos'!$K$6:$K$158=$BX171,('Consolidado Costos'!AP$6:AP$158*'Consolidado Costos'!$G$6:$G$158),0))</f>
        <v>0</v>
      </c>
      <c r="CN171" s="357">
        <f t="shared" si="51"/>
        <v>1</v>
      </c>
    </row>
    <row r="172" spans="2:92" s="310" customFormat="1" outlineLevel="1">
      <c r="B172" s="327"/>
      <c r="C172" s="330" t="s">
        <v>265</v>
      </c>
      <c r="D172" s="330" t="s">
        <v>266</v>
      </c>
      <c r="E172" s="329"/>
      <c r="F172" s="318">
        <f>+SUMIF('Consolidado Costos'!$K$6:$K$158,$C172,'Consolidado Costos'!$AD$6:$AD$158)</f>
        <v>1025.6410256410256</v>
      </c>
      <c r="G172" s="318">
        <f>+SUMIF('Consolidado Costos'!$K$6:$K$158,$C172,'Consolidado Costos'!AE$6:AE$158)</f>
        <v>1025.6410256410256</v>
      </c>
      <c r="H172" s="318">
        <f>+SUMIF('Consolidado Costos'!$K$6:$K$158,$C172,'Consolidado Costos'!AF$6:AF$158)</f>
        <v>0</v>
      </c>
      <c r="I172" s="318">
        <f>+SUMIF('Consolidado Costos'!$K$6:$K$158,$C172,'Consolidado Costos'!AG$6:AG$158)</f>
        <v>0</v>
      </c>
      <c r="J172" s="318">
        <f>+SUMIF('Consolidado Costos'!$K$6:$K$158,$C172,'Consolidado Costos'!AH$6:AH$158)</f>
        <v>0</v>
      </c>
      <c r="K172" s="318">
        <f>+SUMIF('Consolidado Costos'!$K$6:$K$158,$C172,'Consolidado Costos'!AI$6:AI$158)</f>
        <v>0</v>
      </c>
      <c r="L172" s="318">
        <f>+SUMIF('Consolidado Costos'!$K$6:$K$158,$C172,'Consolidado Costos'!AJ$6:AJ$158)</f>
        <v>0</v>
      </c>
      <c r="M172" s="318">
        <f>+SUMIF('Consolidado Costos'!$K$6:$K$158,$C172,'Consolidado Costos'!AK$6:AK$158)</f>
        <v>0</v>
      </c>
      <c r="N172" s="318">
        <f>+SUMIF('Consolidado Costos'!$K$6:$K$158,$C172,'Consolidado Costos'!AL$6:AL$158)</f>
        <v>0</v>
      </c>
      <c r="O172" s="318">
        <f>+SUMIF('Consolidado Costos'!$K$6:$K$158,$C172,'Consolidado Costos'!AM$6:AM$158)</f>
        <v>0</v>
      </c>
      <c r="P172" s="318">
        <f>+SUMIF('Consolidado Costos'!$K$6:$K$158,$C172,'Consolidado Costos'!AN$6:AN$158)</f>
        <v>0</v>
      </c>
      <c r="Q172" s="318">
        <f>+SUMIF('Consolidado Costos'!$K$6:$K$158,$C172,'Consolidado Costos'!AO$6:AO$158)</f>
        <v>0</v>
      </c>
      <c r="R172" s="318">
        <f>+SUMIF('Consolidado Costos'!$K$6:$K$158,$C172,'Consolidado Costos'!AP$6:AP$158)</f>
        <v>0</v>
      </c>
      <c r="S172" s="357">
        <f t="shared" si="50"/>
        <v>1</v>
      </c>
      <c r="U172" s="327"/>
      <c r="V172" s="330" t="s">
        <v>265</v>
      </c>
      <c r="W172" s="330" t="s">
        <v>266</v>
      </c>
      <c r="X172" s="329"/>
      <c r="Y172" s="354">
        <f t="shared" si="46"/>
        <v>0</v>
      </c>
      <c r="Z172" s="318" cm="1">
        <f t="array" ref="Z172">+SUMPRODUCT(IF('Consolidado Costos'!$K$6:$K$158=$V172,('Consolidado Costos'!AE$6:AE$158*'Consolidado Costos'!$D$6:$D$158),0))</f>
        <v>0</v>
      </c>
      <c r="AA172" s="318" cm="1">
        <f t="array" ref="AA172">+SUMPRODUCT(IF('Consolidado Costos'!$K$6:$K$158=$V172,('Consolidado Costos'!AF$6:AF$158*'Consolidado Costos'!$D$6:$D$158),0))</f>
        <v>0</v>
      </c>
      <c r="AB172" s="318" cm="1">
        <f t="array" ref="AB172">+SUMPRODUCT(IF('Consolidado Costos'!$K$6:$K$158=$V172,('Consolidado Costos'!AG$6:AG$158*'Consolidado Costos'!$D$6:$D$158),0))</f>
        <v>0</v>
      </c>
      <c r="AC172" s="318" cm="1">
        <f t="array" ref="AC172">+SUMPRODUCT(IF('Consolidado Costos'!$K$6:$K$158=$V172,('Consolidado Costos'!AH$6:AH$158*'Consolidado Costos'!$D$6:$D$158),0))</f>
        <v>0</v>
      </c>
      <c r="AD172" s="318" cm="1">
        <f t="array" ref="AD172">+SUMPRODUCT(IF('Consolidado Costos'!$K$6:$K$158=$V172,('Consolidado Costos'!AI$6:AI$158*'Consolidado Costos'!$D$6:$D$158),0))</f>
        <v>0</v>
      </c>
      <c r="AE172" s="318" cm="1">
        <f t="array" ref="AE172">+SUMPRODUCT(IF('Consolidado Costos'!$K$6:$K$158=$V172,('Consolidado Costos'!AJ$6:AJ$158*'Consolidado Costos'!$D$6:$D$158),0))</f>
        <v>0</v>
      </c>
      <c r="AF172" s="318" cm="1">
        <f t="array" ref="AF172">+SUMPRODUCT(IF('Consolidado Costos'!$K$6:$K$158=$V172,('Consolidado Costos'!AK$6:AK$158*'Consolidado Costos'!$D$6:$D$158),0))</f>
        <v>0</v>
      </c>
      <c r="AG172" s="318" cm="1">
        <f t="array" ref="AG172">+SUMPRODUCT(IF('Consolidado Costos'!$K$6:$K$158=$V172,('Consolidado Costos'!AL$6:AL$158*'Consolidado Costos'!$D$6:$D$158),0))</f>
        <v>0</v>
      </c>
      <c r="AH172" s="318" cm="1">
        <f t="array" ref="AH172">+SUMPRODUCT(IF('Consolidado Costos'!$K$6:$K$158=$V172,('Consolidado Costos'!AM$6:AM$158*'Consolidado Costos'!$D$6:$D$158),0))</f>
        <v>0</v>
      </c>
      <c r="AI172" s="318" cm="1">
        <f t="array" ref="AI172">+SUMPRODUCT(IF('Consolidado Costos'!$K$6:$K$158=$V172,('Consolidado Costos'!AN$6:AN$158*'Consolidado Costos'!$D$6:$D$158),0))</f>
        <v>0</v>
      </c>
      <c r="AJ172" s="318" cm="1">
        <f t="array" ref="AJ172">+SUMPRODUCT(IF('Consolidado Costos'!$K$6:$K$158=$V172,('Consolidado Costos'!AO$6:AO$158*'Consolidado Costos'!$D$6:$D$158),0))</f>
        <v>0</v>
      </c>
      <c r="AK172" s="318" cm="1">
        <f t="array" ref="AK172">+SUMPRODUCT(IF('Consolidado Costos'!$K$6:$K$158=$V172,('Consolidado Costos'!AP$6:AP$158*'Consolidado Costos'!$D$6:$D$158),0))</f>
        <v>0</v>
      </c>
      <c r="AM172" s="327"/>
      <c r="AN172" s="330" t="s">
        <v>265</v>
      </c>
      <c r="AO172" s="330" t="s">
        <v>266</v>
      </c>
      <c r="AP172" s="329"/>
      <c r="AQ172" s="354">
        <f t="shared" si="47"/>
        <v>0</v>
      </c>
      <c r="AR172" s="318" cm="1">
        <f t="array" ref="AR172">+SUMPRODUCT(IF('Consolidado Costos'!$K$6:$K$158=$AN172,('Consolidado Costos'!AE$6:AE$158*'Consolidado Costos'!$E$6:$E$158),0))</f>
        <v>0</v>
      </c>
      <c r="AS172" s="318" cm="1">
        <f t="array" ref="AS172">+SUMPRODUCT(IF('Consolidado Costos'!$K$6:$K$158=$AN172,('Consolidado Costos'!AF$6:AF$158*'Consolidado Costos'!$E$6:$E$158),0))</f>
        <v>0</v>
      </c>
      <c r="AT172" s="318" cm="1">
        <f t="array" ref="AT172">+SUMPRODUCT(IF('Consolidado Costos'!$K$6:$K$158=$AN172,('Consolidado Costos'!AG$6:AG$158*'Consolidado Costos'!$E$6:$E$158),0))</f>
        <v>0</v>
      </c>
      <c r="AU172" s="318" cm="1">
        <f t="array" ref="AU172">+SUMPRODUCT(IF('Consolidado Costos'!$K$6:$K$158=$AN172,('Consolidado Costos'!AH$6:AH$158*'Consolidado Costos'!$E$6:$E$158),0))</f>
        <v>0</v>
      </c>
      <c r="AV172" s="318" cm="1">
        <f t="array" ref="AV172">+SUMPRODUCT(IF('Consolidado Costos'!$K$6:$K$158=$AN172,('Consolidado Costos'!AI$6:AI$158*'Consolidado Costos'!$E$6:$E$158),0))</f>
        <v>0</v>
      </c>
      <c r="AW172" s="318" cm="1">
        <f t="array" ref="AW172">+SUMPRODUCT(IF('Consolidado Costos'!$K$6:$K$158=$AN172,('Consolidado Costos'!AJ$6:AJ$158*'Consolidado Costos'!$E$6:$E$158),0))</f>
        <v>0</v>
      </c>
      <c r="AX172" s="318" cm="1">
        <f t="array" ref="AX172">+SUMPRODUCT(IF('Consolidado Costos'!$K$6:$K$158=$AN172,('Consolidado Costos'!AK$6:AK$158*'Consolidado Costos'!$E$6:$E$158),0))</f>
        <v>0</v>
      </c>
      <c r="AY172" s="318" cm="1">
        <f t="array" ref="AY172">+SUMPRODUCT(IF('Consolidado Costos'!$K$6:$K$158=$AN172,('Consolidado Costos'!AL$6:AL$158*'Consolidado Costos'!$E$6:$E$158),0))</f>
        <v>0</v>
      </c>
      <c r="AZ172" s="318" cm="1">
        <f t="array" ref="AZ172">+SUMPRODUCT(IF('Consolidado Costos'!$K$6:$K$158=$AN172,('Consolidado Costos'!AM$6:AM$158*'Consolidado Costos'!$E$6:$E$158),0))</f>
        <v>0</v>
      </c>
      <c r="BA172" s="318" cm="1">
        <f t="array" ref="BA172">+SUMPRODUCT(IF('Consolidado Costos'!$K$6:$K$158=$AN172,('Consolidado Costos'!AN$6:AN$158*'Consolidado Costos'!$E$6:$E$158),0))</f>
        <v>0</v>
      </c>
      <c r="BB172" s="318" cm="1">
        <f t="array" ref="BB172">+SUMPRODUCT(IF('Consolidado Costos'!$K$6:$K$158=$AN172,('Consolidado Costos'!AO$6:AO$158*'Consolidado Costos'!$E$6:$E$158),0))</f>
        <v>0</v>
      </c>
      <c r="BC172" s="318" cm="1">
        <f t="array" ref="BC172">+SUMPRODUCT(IF('Consolidado Costos'!$K$6:$K$158=$AN172,('Consolidado Costos'!AP$6:AP$158*'Consolidado Costos'!$E$6:$E$158),0))</f>
        <v>0</v>
      </c>
      <c r="BE172" s="327"/>
      <c r="BF172" s="330" t="s">
        <v>265</v>
      </c>
      <c r="BG172" s="330" t="s">
        <v>266</v>
      </c>
      <c r="BH172" s="329"/>
      <c r="BI172" s="354">
        <f t="shared" si="48"/>
        <v>0</v>
      </c>
      <c r="BJ172" s="318" cm="1">
        <f t="array" ref="BJ172">+SUMPRODUCT(IF('Consolidado Costos'!$K$6:$K$158=$BF172,('Consolidado Costos'!AE$6:AE$158*'Consolidado Costos'!$F$6:$F$158),0))</f>
        <v>0</v>
      </c>
      <c r="BK172" s="318" cm="1">
        <f t="array" ref="BK172">+SUMPRODUCT(IF('Consolidado Costos'!$K$6:$K$158=$BF172,('Consolidado Costos'!AF$6:AF$158*'Consolidado Costos'!$F$6:$F$158),0))</f>
        <v>0</v>
      </c>
      <c r="BL172" s="318" cm="1">
        <f t="array" ref="BL172">+SUMPRODUCT(IF('Consolidado Costos'!$K$6:$K$158=$BF172,('Consolidado Costos'!AG$6:AG$158*'Consolidado Costos'!$F$6:$F$158),0))</f>
        <v>0</v>
      </c>
      <c r="BM172" s="318" cm="1">
        <f t="array" ref="BM172">+SUMPRODUCT(IF('Consolidado Costos'!$K$6:$K$158=$BF172,('Consolidado Costos'!AH$6:AH$158*'Consolidado Costos'!$F$6:$F$158),0))</f>
        <v>0</v>
      </c>
      <c r="BN172" s="318" cm="1">
        <f t="array" ref="BN172">+SUMPRODUCT(IF('Consolidado Costos'!$K$6:$K$158=$BF172,('Consolidado Costos'!AI$6:AI$158*'Consolidado Costos'!$F$6:$F$158),0))</f>
        <v>0</v>
      </c>
      <c r="BO172" s="318" cm="1">
        <f t="array" ref="BO172">+SUMPRODUCT(IF('Consolidado Costos'!$K$6:$K$158=$BF172,('Consolidado Costos'!AJ$6:AJ$158*'Consolidado Costos'!$F$6:$F$158),0))</f>
        <v>0</v>
      </c>
      <c r="BP172" s="318" cm="1">
        <f t="array" ref="BP172">+SUMPRODUCT(IF('Consolidado Costos'!$K$6:$K$158=$BF172,('Consolidado Costos'!AK$6:AK$158*'Consolidado Costos'!$F$6:$F$158),0))</f>
        <v>0</v>
      </c>
      <c r="BQ172" s="318" cm="1">
        <f t="array" ref="BQ172">+SUMPRODUCT(IF('Consolidado Costos'!$K$6:$K$158=$BF172,('Consolidado Costos'!AL$6:AL$158*'Consolidado Costos'!$F$6:$F$158),0))</f>
        <v>0</v>
      </c>
      <c r="BR172" s="318" cm="1">
        <f t="array" ref="BR172">+SUMPRODUCT(IF('Consolidado Costos'!$K$6:$K$158=$BF172,('Consolidado Costos'!AM$6:AM$158*'Consolidado Costos'!$F$6:$F$158),0))</f>
        <v>0</v>
      </c>
      <c r="BS172" s="318" cm="1">
        <f t="array" ref="BS172">+SUMPRODUCT(IF('Consolidado Costos'!$K$6:$K$158=$BF172,('Consolidado Costos'!AN$6:AN$158*'Consolidado Costos'!$F$6:$F$158),0))</f>
        <v>0</v>
      </c>
      <c r="BT172" s="318" cm="1">
        <f t="array" ref="BT172">+SUMPRODUCT(IF('Consolidado Costos'!$K$6:$K$158=$BF172,('Consolidado Costos'!AO$6:AO$158*'Consolidado Costos'!$F$6:$F$158),0))</f>
        <v>0</v>
      </c>
      <c r="BU172" s="318" cm="1">
        <f t="array" ref="BU172">+SUMPRODUCT(IF('Consolidado Costos'!$K$6:$K$158=$BF172,('Consolidado Costos'!AP$6:AP$158*'Consolidado Costos'!$F$6:$F$158),0))</f>
        <v>0</v>
      </c>
      <c r="BW172" s="327"/>
      <c r="BX172" s="330" t="s">
        <v>265</v>
      </c>
      <c r="BY172" s="330" t="s">
        <v>266</v>
      </c>
      <c r="BZ172" s="329"/>
      <c r="CA172" s="354">
        <f t="shared" si="49"/>
        <v>1025.6410256410256</v>
      </c>
      <c r="CB172" s="318" cm="1">
        <f t="array" ref="CB172">+SUMPRODUCT(IF('Consolidado Costos'!$K$6:$K$158=$BX172,('Consolidado Costos'!AE$6:AE$158*'Consolidado Costos'!$G$6:$G$158),0))</f>
        <v>1025.6410256410256</v>
      </c>
      <c r="CC172" s="318" cm="1">
        <f t="array" ref="CC172">+SUMPRODUCT(IF('Consolidado Costos'!$K$6:$K$158=$BX172,('Consolidado Costos'!AF$6:AF$158*'Consolidado Costos'!$G$6:$G$158),0))</f>
        <v>0</v>
      </c>
      <c r="CD172" s="318" cm="1">
        <f t="array" ref="CD172">+SUMPRODUCT(IF('Consolidado Costos'!$K$6:$K$158=$BX172,('Consolidado Costos'!AG$6:AG$158*'Consolidado Costos'!$G$6:$G$158),0))</f>
        <v>0</v>
      </c>
      <c r="CE172" s="318" cm="1">
        <f t="array" ref="CE172">+SUMPRODUCT(IF('Consolidado Costos'!$K$6:$K$158=$BX172,('Consolidado Costos'!AH$6:AH$158*'Consolidado Costos'!$G$6:$G$158),0))</f>
        <v>0</v>
      </c>
      <c r="CF172" s="318" cm="1">
        <f t="array" ref="CF172">+SUMPRODUCT(IF('Consolidado Costos'!$K$6:$K$158=$BX172,('Consolidado Costos'!AI$6:AI$158*'Consolidado Costos'!$G$6:$G$158),0))</f>
        <v>0</v>
      </c>
      <c r="CG172" s="318" cm="1">
        <f t="array" ref="CG172">+SUMPRODUCT(IF('Consolidado Costos'!$K$6:$K$158=$BX172,('Consolidado Costos'!AJ$6:AJ$158*'Consolidado Costos'!$G$6:$G$158),0))</f>
        <v>0</v>
      </c>
      <c r="CH172" s="318" cm="1">
        <f t="array" ref="CH172">+SUMPRODUCT(IF('Consolidado Costos'!$K$6:$K$158=$BX172,('Consolidado Costos'!AK$6:AK$158*'Consolidado Costos'!$G$6:$G$158),0))</f>
        <v>0</v>
      </c>
      <c r="CI172" s="318" cm="1">
        <f t="array" ref="CI172">+SUMPRODUCT(IF('Consolidado Costos'!$K$6:$K$158=$BX172,('Consolidado Costos'!AL$6:AL$158*'Consolidado Costos'!$G$6:$G$158),0))</f>
        <v>0</v>
      </c>
      <c r="CJ172" s="318" cm="1">
        <f t="array" ref="CJ172">+SUMPRODUCT(IF('Consolidado Costos'!$K$6:$K$158=$BX172,('Consolidado Costos'!AM$6:AM$158*'Consolidado Costos'!$G$6:$G$158),0))</f>
        <v>0</v>
      </c>
      <c r="CK172" s="318" cm="1">
        <f t="array" ref="CK172">+SUMPRODUCT(IF('Consolidado Costos'!$K$6:$K$158=$BX172,('Consolidado Costos'!AN$6:AN$158*'Consolidado Costos'!$G$6:$G$158),0))</f>
        <v>0</v>
      </c>
      <c r="CL172" s="318" cm="1">
        <f t="array" ref="CL172">+SUMPRODUCT(IF('Consolidado Costos'!$K$6:$K$158=$BX172,('Consolidado Costos'!AO$6:AO$158*'Consolidado Costos'!$G$6:$G$158),0))</f>
        <v>0</v>
      </c>
      <c r="CM172" s="318" cm="1">
        <f t="array" ref="CM172">+SUMPRODUCT(IF('Consolidado Costos'!$K$6:$K$158=$BX172,('Consolidado Costos'!AP$6:AP$158*'Consolidado Costos'!$G$6:$G$158),0))</f>
        <v>0</v>
      </c>
      <c r="CN172" s="357">
        <f t="shared" si="51"/>
        <v>1</v>
      </c>
    </row>
    <row r="173" spans="2:92" s="310" customFormat="1" outlineLevel="1">
      <c r="B173" s="327"/>
      <c r="C173" s="328" t="s">
        <v>481</v>
      </c>
      <c r="D173" s="328" t="s">
        <v>482</v>
      </c>
      <c r="E173" s="329"/>
      <c r="F173" s="318">
        <f>+SUMIF('Consolidado Costos'!$K$6:$K$158,$C173,'Consolidado Costos'!$AD$6:$AD$158)</f>
        <v>0</v>
      </c>
      <c r="G173" s="318">
        <f>+SUMIF('Consolidado Costos'!$K$6:$K$158,$C173,'Consolidado Costos'!AE$6:AE$158)</f>
        <v>0</v>
      </c>
      <c r="H173" s="318">
        <f>+SUMIF('Consolidado Costos'!$K$6:$K$158,$C173,'Consolidado Costos'!AF$6:AF$158)</f>
        <v>0</v>
      </c>
      <c r="I173" s="318">
        <f>+SUMIF('Consolidado Costos'!$K$6:$K$158,$C173,'Consolidado Costos'!AG$6:AG$158)</f>
        <v>0</v>
      </c>
      <c r="J173" s="318">
        <f>+SUMIF('Consolidado Costos'!$K$6:$K$158,$C173,'Consolidado Costos'!AH$6:AH$158)</f>
        <v>0</v>
      </c>
      <c r="K173" s="318">
        <f>+SUMIF('Consolidado Costos'!$K$6:$K$158,$C173,'Consolidado Costos'!AI$6:AI$158)</f>
        <v>0</v>
      </c>
      <c r="L173" s="318">
        <f>+SUMIF('Consolidado Costos'!$K$6:$K$158,$C173,'Consolidado Costos'!AJ$6:AJ$158)</f>
        <v>0</v>
      </c>
      <c r="M173" s="318">
        <f>+SUMIF('Consolidado Costos'!$K$6:$K$158,$C173,'Consolidado Costos'!AK$6:AK$158)</f>
        <v>0</v>
      </c>
      <c r="N173" s="318">
        <f>+SUMIF('Consolidado Costos'!$K$6:$K$158,$C173,'Consolidado Costos'!AL$6:AL$158)</f>
        <v>0</v>
      </c>
      <c r="O173" s="318">
        <f>+SUMIF('Consolidado Costos'!$K$6:$K$158,$C173,'Consolidado Costos'!AM$6:AM$158)</f>
        <v>0</v>
      </c>
      <c r="P173" s="318">
        <f>+SUMIF('Consolidado Costos'!$K$6:$K$158,$C173,'Consolidado Costos'!AN$6:AN$158)</f>
        <v>0</v>
      </c>
      <c r="Q173" s="318">
        <f>+SUMIF('Consolidado Costos'!$K$6:$K$158,$C173,'Consolidado Costos'!AO$6:AO$158)</f>
        <v>0</v>
      </c>
      <c r="R173" s="318">
        <f>+SUMIF('Consolidado Costos'!$K$6:$K$158,$C173,'Consolidado Costos'!AP$6:AP$158)</f>
        <v>0</v>
      </c>
      <c r="S173" s="357">
        <f t="shared" si="50"/>
        <v>1</v>
      </c>
      <c r="U173" s="327"/>
      <c r="V173" s="328" t="s">
        <v>481</v>
      </c>
      <c r="W173" s="328" t="s">
        <v>482</v>
      </c>
      <c r="X173" s="329"/>
      <c r="Y173" s="354">
        <f t="shared" si="46"/>
        <v>0</v>
      </c>
      <c r="Z173" s="318" cm="1">
        <f t="array" ref="Z173">+SUMPRODUCT(IF('Consolidado Costos'!$K$6:$K$158=$V173,('Consolidado Costos'!AE$6:AE$158*'Consolidado Costos'!$D$6:$D$158),0))</f>
        <v>0</v>
      </c>
      <c r="AA173" s="318" cm="1">
        <f t="array" ref="AA173">+SUMPRODUCT(IF('Consolidado Costos'!$K$6:$K$158=$V173,('Consolidado Costos'!AF$6:AF$158*'Consolidado Costos'!$D$6:$D$158),0))</f>
        <v>0</v>
      </c>
      <c r="AB173" s="318" cm="1">
        <f t="array" ref="AB173">+SUMPRODUCT(IF('Consolidado Costos'!$K$6:$K$158=$V173,('Consolidado Costos'!AG$6:AG$158*'Consolidado Costos'!$D$6:$D$158),0))</f>
        <v>0</v>
      </c>
      <c r="AC173" s="318" cm="1">
        <f t="array" ref="AC173">+SUMPRODUCT(IF('Consolidado Costos'!$K$6:$K$158=$V173,('Consolidado Costos'!AH$6:AH$158*'Consolidado Costos'!$D$6:$D$158),0))</f>
        <v>0</v>
      </c>
      <c r="AD173" s="318" cm="1">
        <f t="array" ref="AD173">+SUMPRODUCT(IF('Consolidado Costos'!$K$6:$K$158=$V173,('Consolidado Costos'!AI$6:AI$158*'Consolidado Costos'!$D$6:$D$158),0))</f>
        <v>0</v>
      </c>
      <c r="AE173" s="318" cm="1">
        <f t="array" ref="AE173">+SUMPRODUCT(IF('Consolidado Costos'!$K$6:$K$158=$V173,('Consolidado Costos'!AJ$6:AJ$158*'Consolidado Costos'!$D$6:$D$158),0))</f>
        <v>0</v>
      </c>
      <c r="AF173" s="318" cm="1">
        <f t="array" ref="AF173">+SUMPRODUCT(IF('Consolidado Costos'!$K$6:$K$158=$V173,('Consolidado Costos'!AK$6:AK$158*'Consolidado Costos'!$D$6:$D$158),0))</f>
        <v>0</v>
      </c>
      <c r="AG173" s="318" cm="1">
        <f t="array" ref="AG173">+SUMPRODUCT(IF('Consolidado Costos'!$K$6:$K$158=$V173,('Consolidado Costos'!AL$6:AL$158*'Consolidado Costos'!$D$6:$D$158),0))</f>
        <v>0</v>
      </c>
      <c r="AH173" s="318" cm="1">
        <f t="array" ref="AH173">+SUMPRODUCT(IF('Consolidado Costos'!$K$6:$K$158=$V173,('Consolidado Costos'!AM$6:AM$158*'Consolidado Costos'!$D$6:$D$158),0))</f>
        <v>0</v>
      </c>
      <c r="AI173" s="318" cm="1">
        <f t="array" ref="AI173">+SUMPRODUCT(IF('Consolidado Costos'!$K$6:$K$158=$V173,('Consolidado Costos'!AN$6:AN$158*'Consolidado Costos'!$D$6:$D$158),0))</f>
        <v>0</v>
      </c>
      <c r="AJ173" s="318" cm="1">
        <f t="array" ref="AJ173">+SUMPRODUCT(IF('Consolidado Costos'!$K$6:$K$158=$V173,('Consolidado Costos'!AO$6:AO$158*'Consolidado Costos'!$D$6:$D$158),0))</f>
        <v>0</v>
      </c>
      <c r="AK173" s="318" cm="1">
        <f t="array" ref="AK173">+SUMPRODUCT(IF('Consolidado Costos'!$K$6:$K$158=$V173,('Consolidado Costos'!AP$6:AP$158*'Consolidado Costos'!$D$6:$D$158),0))</f>
        <v>0</v>
      </c>
      <c r="AM173" s="327"/>
      <c r="AN173" s="328" t="s">
        <v>481</v>
      </c>
      <c r="AO173" s="328" t="s">
        <v>482</v>
      </c>
      <c r="AP173" s="329"/>
      <c r="AQ173" s="354">
        <f t="shared" si="47"/>
        <v>0</v>
      </c>
      <c r="AR173" s="318" cm="1">
        <f t="array" ref="AR173">+SUMPRODUCT(IF('Consolidado Costos'!$K$6:$K$158=$AN173,('Consolidado Costos'!AE$6:AE$158*'Consolidado Costos'!$E$6:$E$158),0))</f>
        <v>0</v>
      </c>
      <c r="AS173" s="318" cm="1">
        <f t="array" ref="AS173">+SUMPRODUCT(IF('Consolidado Costos'!$K$6:$K$158=$AN173,('Consolidado Costos'!AF$6:AF$158*'Consolidado Costos'!$E$6:$E$158),0))</f>
        <v>0</v>
      </c>
      <c r="AT173" s="318" cm="1">
        <f t="array" ref="AT173">+SUMPRODUCT(IF('Consolidado Costos'!$K$6:$K$158=$AN173,('Consolidado Costos'!AG$6:AG$158*'Consolidado Costos'!$E$6:$E$158),0))</f>
        <v>0</v>
      </c>
      <c r="AU173" s="318" cm="1">
        <f t="array" ref="AU173">+SUMPRODUCT(IF('Consolidado Costos'!$K$6:$K$158=$AN173,('Consolidado Costos'!AH$6:AH$158*'Consolidado Costos'!$E$6:$E$158),0))</f>
        <v>0</v>
      </c>
      <c r="AV173" s="318" cm="1">
        <f t="array" ref="AV173">+SUMPRODUCT(IF('Consolidado Costos'!$K$6:$K$158=$AN173,('Consolidado Costos'!AI$6:AI$158*'Consolidado Costos'!$E$6:$E$158),0))</f>
        <v>0</v>
      </c>
      <c r="AW173" s="318" cm="1">
        <f t="array" ref="AW173">+SUMPRODUCT(IF('Consolidado Costos'!$K$6:$K$158=$AN173,('Consolidado Costos'!AJ$6:AJ$158*'Consolidado Costos'!$E$6:$E$158),0))</f>
        <v>0</v>
      </c>
      <c r="AX173" s="318" cm="1">
        <f t="array" ref="AX173">+SUMPRODUCT(IF('Consolidado Costos'!$K$6:$K$158=$AN173,('Consolidado Costos'!AK$6:AK$158*'Consolidado Costos'!$E$6:$E$158),0))</f>
        <v>0</v>
      </c>
      <c r="AY173" s="318" cm="1">
        <f t="array" ref="AY173">+SUMPRODUCT(IF('Consolidado Costos'!$K$6:$K$158=$AN173,('Consolidado Costos'!AL$6:AL$158*'Consolidado Costos'!$E$6:$E$158),0))</f>
        <v>0</v>
      </c>
      <c r="AZ173" s="318" cm="1">
        <f t="array" ref="AZ173">+SUMPRODUCT(IF('Consolidado Costos'!$K$6:$K$158=$AN173,('Consolidado Costos'!AM$6:AM$158*'Consolidado Costos'!$E$6:$E$158),0))</f>
        <v>0</v>
      </c>
      <c r="BA173" s="318" cm="1">
        <f t="array" ref="BA173">+SUMPRODUCT(IF('Consolidado Costos'!$K$6:$K$158=$AN173,('Consolidado Costos'!AN$6:AN$158*'Consolidado Costos'!$E$6:$E$158),0))</f>
        <v>0</v>
      </c>
      <c r="BB173" s="318" cm="1">
        <f t="array" ref="BB173">+SUMPRODUCT(IF('Consolidado Costos'!$K$6:$K$158=$AN173,('Consolidado Costos'!AO$6:AO$158*'Consolidado Costos'!$E$6:$E$158),0))</f>
        <v>0</v>
      </c>
      <c r="BC173" s="318" cm="1">
        <f t="array" ref="BC173">+SUMPRODUCT(IF('Consolidado Costos'!$K$6:$K$158=$AN173,('Consolidado Costos'!AP$6:AP$158*'Consolidado Costos'!$E$6:$E$158),0))</f>
        <v>0</v>
      </c>
      <c r="BE173" s="327"/>
      <c r="BF173" s="328" t="s">
        <v>481</v>
      </c>
      <c r="BG173" s="328" t="s">
        <v>482</v>
      </c>
      <c r="BH173" s="329"/>
      <c r="BI173" s="354">
        <f t="shared" si="48"/>
        <v>0</v>
      </c>
      <c r="BJ173" s="318" cm="1">
        <f t="array" ref="BJ173">+SUMPRODUCT(IF('Consolidado Costos'!$K$6:$K$158=$BF173,('Consolidado Costos'!AE$6:AE$158*'Consolidado Costos'!$F$6:$F$158),0))</f>
        <v>0</v>
      </c>
      <c r="BK173" s="318" cm="1">
        <f t="array" ref="BK173">+SUMPRODUCT(IF('Consolidado Costos'!$K$6:$K$158=$BF173,('Consolidado Costos'!AF$6:AF$158*'Consolidado Costos'!$F$6:$F$158),0))</f>
        <v>0</v>
      </c>
      <c r="BL173" s="318" cm="1">
        <f t="array" ref="BL173">+SUMPRODUCT(IF('Consolidado Costos'!$K$6:$K$158=$BF173,('Consolidado Costos'!AG$6:AG$158*'Consolidado Costos'!$F$6:$F$158),0))</f>
        <v>0</v>
      </c>
      <c r="BM173" s="318" cm="1">
        <f t="array" ref="BM173">+SUMPRODUCT(IF('Consolidado Costos'!$K$6:$K$158=$BF173,('Consolidado Costos'!AH$6:AH$158*'Consolidado Costos'!$F$6:$F$158),0))</f>
        <v>0</v>
      </c>
      <c r="BN173" s="318" cm="1">
        <f t="array" ref="BN173">+SUMPRODUCT(IF('Consolidado Costos'!$K$6:$K$158=$BF173,('Consolidado Costos'!AI$6:AI$158*'Consolidado Costos'!$F$6:$F$158),0))</f>
        <v>0</v>
      </c>
      <c r="BO173" s="318" cm="1">
        <f t="array" ref="BO173">+SUMPRODUCT(IF('Consolidado Costos'!$K$6:$K$158=$BF173,('Consolidado Costos'!AJ$6:AJ$158*'Consolidado Costos'!$F$6:$F$158),0))</f>
        <v>0</v>
      </c>
      <c r="BP173" s="318" cm="1">
        <f t="array" ref="BP173">+SUMPRODUCT(IF('Consolidado Costos'!$K$6:$K$158=$BF173,('Consolidado Costos'!AK$6:AK$158*'Consolidado Costos'!$F$6:$F$158),0))</f>
        <v>0</v>
      </c>
      <c r="BQ173" s="318" cm="1">
        <f t="array" ref="BQ173">+SUMPRODUCT(IF('Consolidado Costos'!$K$6:$K$158=$BF173,('Consolidado Costos'!AL$6:AL$158*'Consolidado Costos'!$F$6:$F$158),0))</f>
        <v>0</v>
      </c>
      <c r="BR173" s="318" cm="1">
        <f t="array" ref="BR173">+SUMPRODUCT(IF('Consolidado Costos'!$K$6:$K$158=$BF173,('Consolidado Costos'!AM$6:AM$158*'Consolidado Costos'!$F$6:$F$158),0))</f>
        <v>0</v>
      </c>
      <c r="BS173" s="318" cm="1">
        <f t="array" ref="BS173">+SUMPRODUCT(IF('Consolidado Costos'!$K$6:$K$158=$BF173,('Consolidado Costos'!AN$6:AN$158*'Consolidado Costos'!$F$6:$F$158),0))</f>
        <v>0</v>
      </c>
      <c r="BT173" s="318" cm="1">
        <f t="array" ref="BT173">+SUMPRODUCT(IF('Consolidado Costos'!$K$6:$K$158=$BF173,('Consolidado Costos'!AO$6:AO$158*'Consolidado Costos'!$F$6:$F$158),0))</f>
        <v>0</v>
      </c>
      <c r="BU173" s="318" cm="1">
        <f t="array" ref="BU173">+SUMPRODUCT(IF('Consolidado Costos'!$K$6:$K$158=$BF173,('Consolidado Costos'!AP$6:AP$158*'Consolidado Costos'!$F$6:$F$158),0))</f>
        <v>0</v>
      </c>
      <c r="BW173" s="327"/>
      <c r="BX173" s="328" t="s">
        <v>481</v>
      </c>
      <c r="BY173" s="328" t="s">
        <v>482</v>
      </c>
      <c r="BZ173" s="329"/>
      <c r="CA173" s="354">
        <f t="shared" si="49"/>
        <v>0</v>
      </c>
      <c r="CB173" s="318" cm="1">
        <f t="array" ref="CB173">+SUMPRODUCT(IF('Consolidado Costos'!$K$6:$K$158=$BX173,('Consolidado Costos'!AE$6:AE$158*'Consolidado Costos'!$G$6:$G$158),0))</f>
        <v>0</v>
      </c>
      <c r="CC173" s="318" cm="1">
        <f t="array" ref="CC173">+SUMPRODUCT(IF('Consolidado Costos'!$K$6:$K$158=$BX173,('Consolidado Costos'!AF$6:AF$158*'Consolidado Costos'!$G$6:$G$158),0))</f>
        <v>0</v>
      </c>
      <c r="CD173" s="318" cm="1">
        <f t="array" ref="CD173">+SUMPRODUCT(IF('Consolidado Costos'!$K$6:$K$158=$BX173,('Consolidado Costos'!AG$6:AG$158*'Consolidado Costos'!$G$6:$G$158),0))</f>
        <v>0</v>
      </c>
      <c r="CE173" s="318" cm="1">
        <f t="array" ref="CE173">+SUMPRODUCT(IF('Consolidado Costos'!$K$6:$K$158=$BX173,('Consolidado Costos'!AH$6:AH$158*'Consolidado Costos'!$G$6:$G$158),0))</f>
        <v>0</v>
      </c>
      <c r="CF173" s="318" cm="1">
        <f t="array" ref="CF173">+SUMPRODUCT(IF('Consolidado Costos'!$K$6:$K$158=$BX173,('Consolidado Costos'!AI$6:AI$158*'Consolidado Costos'!$G$6:$G$158),0))</f>
        <v>0</v>
      </c>
      <c r="CG173" s="318" cm="1">
        <f t="array" ref="CG173">+SUMPRODUCT(IF('Consolidado Costos'!$K$6:$K$158=$BX173,('Consolidado Costos'!AJ$6:AJ$158*'Consolidado Costos'!$G$6:$G$158),0))</f>
        <v>0</v>
      </c>
      <c r="CH173" s="318" cm="1">
        <f t="array" ref="CH173">+SUMPRODUCT(IF('Consolidado Costos'!$K$6:$K$158=$BX173,('Consolidado Costos'!AK$6:AK$158*'Consolidado Costos'!$G$6:$G$158),0))</f>
        <v>0</v>
      </c>
      <c r="CI173" s="318" cm="1">
        <f t="array" ref="CI173">+SUMPRODUCT(IF('Consolidado Costos'!$K$6:$K$158=$BX173,('Consolidado Costos'!AL$6:AL$158*'Consolidado Costos'!$G$6:$G$158),0))</f>
        <v>0</v>
      </c>
      <c r="CJ173" s="318" cm="1">
        <f t="array" ref="CJ173">+SUMPRODUCT(IF('Consolidado Costos'!$K$6:$K$158=$BX173,('Consolidado Costos'!AM$6:AM$158*'Consolidado Costos'!$G$6:$G$158),0))</f>
        <v>0</v>
      </c>
      <c r="CK173" s="318" cm="1">
        <f t="array" ref="CK173">+SUMPRODUCT(IF('Consolidado Costos'!$K$6:$K$158=$BX173,('Consolidado Costos'!AN$6:AN$158*'Consolidado Costos'!$G$6:$G$158),0))</f>
        <v>0</v>
      </c>
      <c r="CL173" s="318" cm="1">
        <f t="array" ref="CL173">+SUMPRODUCT(IF('Consolidado Costos'!$K$6:$K$158=$BX173,('Consolidado Costos'!AO$6:AO$158*'Consolidado Costos'!$G$6:$G$158),0))</f>
        <v>0</v>
      </c>
      <c r="CM173" s="318" cm="1">
        <f t="array" ref="CM173">+SUMPRODUCT(IF('Consolidado Costos'!$K$6:$K$158=$BX173,('Consolidado Costos'!AP$6:AP$158*'Consolidado Costos'!$G$6:$G$158),0))</f>
        <v>0</v>
      </c>
      <c r="CN173" s="357">
        <f t="shared" si="51"/>
        <v>1</v>
      </c>
    </row>
    <row r="174" spans="2:92" s="310" customFormat="1" outlineLevel="1">
      <c r="B174" s="327"/>
      <c r="C174" s="328" t="s">
        <v>275</v>
      </c>
      <c r="D174" s="328" t="s">
        <v>276</v>
      </c>
      <c r="E174" s="329"/>
      <c r="F174" s="318">
        <f>+SUMIF('Consolidado Costos'!$K$6:$K$158,$C174,'Consolidado Costos'!$AD$6:$AD$158)</f>
        <v>2564.102564102564</v>
      </c>
      <c r="G174" s="318">
        <f>+SUMIF('Consolidado Costos'!$K$6:$K$158,$C174,'Consolidado Costos'!AE$6:AE$158)</f>
        <v>0</v>
      </c>
      <c r="H174" s="318">
        <f>+SUMIF('Consolidado Costos'!$K$6:$K$158,$C174,'Consolidado Costos'!AF$6:AF$158)</f>
        <v>512.82051282051282</v>
      </c>
      <c r="I174" s="318">
        <f>+SUMIF('Consolidado Costos'!$K$6:$K$158,$C174,'Consolidado Costos'!AG$6:AG$158)</f>
        <v>0</v>
      </c>
      <c r="J174" s="318">
        <f>+SUMIF('Consolidado Costos'!$K$6:$K$158,$C174,'Consolidado Costos'!AH$6:AH$158)</f>
        <v>512.82051282051282</v>
      </c>
      <c r="K174" s="318">
        <f>+SUMIF('Consolidado Costos'!$K$6:$K$158,$C174,'Consolidado Costos'!AI$6:AI$158)</f>
        <v>0</v>
      </c>
      <c r="L174" s="318">
        <f>+SUMIF('Consolidado Costos'!$K$6:$K$158,$C174,'Consolidado Costos'!AJ$6:AJ$158)</f>
        <v>512.82051282051282</v>
      </c>
      <c r="M174" s="318">
        <f>+SUMIF('Consolidado Costos'!$K$6:$K$158,$C174,'Consolidado Costos'!AK$6:AK$158)</f>
        <v>0</v>
      </c>
      <c r="N174" s="318">
        <f>+SUMIF('Consolidado Costos'!$K$6:$K$158,$C174,'Consolidado Costos'!AL$6:AL$158)</f>
        <v>512.82051282051282</v>
      </c>
      <c r="O174" s="318">
        <f>+SUMIF('Consolidado Costos'!$K$6:$K$158,$C174,'Consolidado Costos'!AM$6:AM$158)</f>
        <v>0</v>
      </c>
      <c r="P174" s="318">
        <f>+SUMIF('Consolidado Costos'!$K$6:$K$158,$C174,'Consolidado Costos'!AN$6:AN$158)</f>
        <v>512.82051282051282</v>
      </c>
      <c r="Q174" s="318">
        <f>+SUMIF('Consolidado Costos'!$K$6:$K$158,$C174,'Consolidado Costos'!AO$6:AO$158)</f>
        <v>0</v>
      </c>
      <c r="R174" s="318">
        <f>+SUMIF('Consolidado Costos'!$K$6:$K$158,$C174,'Consolidado Costos'!AP$6:AP$158)</f>
        <v>0</v>
      </c>
      <c r="S174" s="357">
        <f t="shared" si="50"/>
        <v>1</v>
      </c>
      <c r="U174" s="327"/>
      <c r="V174" s="328" t="s">
        <v>275</v>
      </c>
      <c r="W174" s="328" t="s">
        <v>276</v>
      </c>
      <c r="X174" s="329"/>
      <c r="Y174" s="354">
        <f t="shared" si="46"/>
        <v>0</v>
      </c>
      <c r="Z174" s="318" cm="1">
        <f t="array" ref="Z174">+SUMPRODUCT(IF('Consolidado Costos'!$K$6:$K$158=$V174,('Consolidado Costos'!AE$6:AE$158*'Consolidado Costos'!$D$6:$D$158),0))</f>
        <v>0</v>
      </c>
      <c r="AA174" s="318" cm="1">
        <f t="array" ref="AA174">+SUMPRODUCT(IF('Consolidado Costos'!$K$6:$K$158=$V174,('Consolidado Costos'!AF$6:AF$158*'Consolidado Costos'!$D$6:$D$158),0))</f>
        <v>0</v>
      </c>
      <c r="AB174" s="318" cm="1">
        <f t="array" ref="AB174">+SUMPRODUCT(IF('Consolidado Costos'!$K$6:$K$158=$V174,('Consolidado Costos'!AG$6:AG$158*'Consolidado Costos'!$D$6:$D$158),0))</f>
        <v>0</v>
      </c>
      <c r="AC174" s="318" cm="1">
        <f t="array" ref="AC174">+SUMPRODUCT(IF('Consolidado Costos'!$K$6:$K$158=$V174,('Consolidado Costos'!AH$6:AH$158*'Consolidado Costos'!$D$6:$D$158),0))</f>
        <v>0</v>
      </c>
      <c r="AD174" s="318" cm="1">
        <f t="array" ref="AD174">+SUMPRODUCT(IF('Consolidado Costos'!$K$6:$K$158=$V174,('Consolidado Costos'!AI$6:AI$158*'Consolidado Costos'!$D$6:$D$158),0))</f>
        <v>0</v>
      </c>
      <c r="AE174" s="318" cm="1">
        <f t="array" ref="AE174">+SUMPRODUCT(IF('Consolidado Costos'!$K$6:$K$158=$V174,('Consolidado Costos'!AJ$6:AJ$158*'Consolidado Costos'!$D$6:$D$158),0))</f>
        <v>0</v>
      </c>
      <c r="AF174" s="318" cm="1">
        <f t="array" ref="AF174">+SUMPRODUCT(IF('Consolidado Costos'!$K$6:$K$158=$V174,('Consolidado Costos'!AK$6:AK$158*'Consolidado Costos'!$D$6:$D$158),0))</f>
        <v>0</v>
      </c>
      <c r="AG174" s="318" cm="1">
        <f t="array" ref="AG174">+SUMPRODUCT(IF('Consolidado Costos'!$K$6:$K$158=$V174,('Consolidado Costos'!AL$6:AL$158*'Consolidado Costos'!$D$6:$D$158),0))</f>
        <v>0</v>
      </c>
      <c r="AH174" s="318" cm="1">
        <f t="array" ref="AH174">+SUMPRODUCT(IF('Consolidado Costos'!$K$6:$K$158=$V174,('Consolidado Costos'!AM$6:AM$158*'Consolidado Costos'!$D$6:$D$158),0))</f>
        <v>0</v>
      </c>
      <c r="AI174" s="318" cm="1">
        <f t="array" ref="AI174">+SUMPRODUCT(IF('Consolidado Costos'!$K$6:$K$158=$V174,('Consolidado Costos'!AN$6:AN$158*'Consolidado Costos'!$D$6:$D$158),0))</f>
        <v>0</v>
      </c>
      <c r="AJ174" s="318" cm="1">
        <f t="array" ref="AJ174">+SUMPRODUCT(IF('Consolidado Costos'!$K$6:$K$158=$V174,('Consolidado Costos'!AO$6:AO$158*'Consolidado Costos'!$D$6:$D$158),0))</f>
        <v>0</v>
      </c>
      <c r="AK174" s="318" cm="1">
        <f t="array" ref="AK174">+SUMPRODUCT(IF('Consolidado Costos'!$K$6:$K$158=$V174,('Consolidado Costos'!AP$6:AP$158*'Consolidado Costos'!$D$6:$D$158),0))</f>
        <v>0</v>
      </c>
      <c r="AM174" s="327"/>
      <c r="AN174" s="328" t="s">
        <v>275</v>
      </c>
      <c r="AO174" s="328" t="s">
        <v>276</v>
      </c>
      <c r="AP174" s="329"/>
      <c r="AQ174" s="354">
        <f t="shared" si="47"/>
        <v>0</v>
      </c>
      <c r="AR174" s="318" cm="1">
        <f t="array" ref="AR174">+SUMPRODUCT(IF('Consolidado Costos'!$K$6:$K$158=$AN174,('Consolidado Costos'!AE$6:AE$158*'Consolidado Costos'!$E$6:$E$158),0))</f>
        <v>0</v>
      </c>
      <c r="AS174" s="318" cm="1">
        <f t="array" ref="AS174">+SUMPRODUCT(IF('Consolidado Costos'!$K$6:$K$158=$AN174,('Consolidado Costos'!AF$6:AF$158*'Consolidado Costos'!$E$6:$E$158),0))</f>
        <v>0</v>
      </c>
      <c r="AT174" s="318" cm="1">
        <f t="array" ref="AT174">+SUMPRODUCT(IF('Consolidado Costos'!$K$6:$K$158=$AN174,('Consolidado Costos'!AG$6:AG$158*'Consolidado Costos'!$E$6:$E$158),0))</f>
        <v>0</v>
      </c>
      <c r="AU174" s="318" cm="1">
        <f t="array" ref="AU174">+SUMPRODUCT(IF('Consolidado Costos'!$K$6:$K$158=$AN174,('Consolidado Costos'!AH$6:AH$158*'Consolidado Costos'!$E$6:$E$158),0))</f>
        <v>0</v>
      </c>
      <c r="AV174" s="318" cm="1">
        <f t="array" ref="AV174">+SUMPRODUCT(IF('Consolidado Costos'!$K$6:$K$158=$AN174,('Consolidado Costos'!AI$6:AI$158*'Consolidado Costos'!$E$6:$E$158),0))</f>
        <v>0</v>
      </c>
      <c r="AW174" s="318" cm="1">
        <f t="array" ref="AW174">+SUMPRODUCT(IF('Consolidado Costos'!$K$6:$K$158=$AN174,('Consolidado Costos'!AJ$6:AJ$158*'Consolidado Costos'!$E$6:$E$158),0))</f>
        <v>0</v>
      </c>
      <c r="AX174" s="318" cm="1">
        <f t="array" ref="AX174">+SUMPRODUCT(IF('Consolidado Costos'!$K$6:$K$158=$AN174,('Consolidado Costos'!AK$6:AK$158*'Consolidado Costos'!$E$6:$E$158),0))</f>
        <v>0</v>
      </c>
      <c r="AY174" s="318" cm="1">
        <f t="array" ref="AY174">+SUMPRODUCT(IF('Consolidado Costos'!$K$6:$K$158=$AN174,('Consolidado Costos'!AL$6:AL$158*'Consolidado Costos'!$E$6:$E$158),0))</f>
        <v>0</v>
      </c>
      <c r="AZ174" s="318" cm="1">
        <f t="array" ref="AZ174">+SUMPRODUCT(IF('Consolidado Costos'!$K$6:$K$158=$AN174,('Consolidado Costos'!AM$6:AM$158*'Consolidado Costos'!$E$6:$E$158),0))</f>
        <v>0</v>
      </c>
      <c r="BA174" s="318" cm="1">
        <f t="array" ref="BA174">+SUMPRODUCT(IF('Consolidado Costos'!$K$6:$K$158=$AN174,('Consolidado Costos'!AN$6:AN$158*'Consolidado Costos'!$E$6:$E$158),0))</f>
        <v>0</v>
      </c>
      <c r="BB174" s="318" cm="1">
        <f t="array" ref="BB174">+SUMPRODUCT(IF('Consolidado Costos'!$K$6:$K$158=$AN174,('Consolidado Costos'!AO$6:AO$158*'Consolidado Costos'!$E$6:$E$158),0))</f>
        <v>0</v>
      </c>
      <c r="BC174" s="318" cm="1">
        <f t="array" ref="BC174">+SUMPRODUCT(IF('Consolidado Costos'!$K$6:$K$158=$AN174,('Consolidado Costos'!AP$6:AP$158*'Consolidado Costos'!$E$6:$E$158),0))</f>
        <v>0</v>
      </c>
      <c r="BE174" s="327"/>
      <c r="BF174" s="328" t="s">
        <v>275</v>
      </c>
      <c r="BG174" s="328" t="s">
        <v>276</v>
      </c>
      <c r="BH174" s="329"/>
      <c r="BI174" s="354">
        <f t="shared" si="48"/>
        <v>0</v>
      </c>
      <c r="BJ174" s="318" cm="1">
        <f t="array" ref="BJ174">+SUMPRODUCT(IF('Consolidado Costos'!$K$6:$K$158=$BF174,('Consolidado Costos'!AE$6:AE$158*'Consolidado Costos'!$F$6:$F$158),0))</f>
        <v>0</v>
      </c>
      <c r="BK174" s="318" cm="1">
        <f t="array" ref="BK174">+SUMPRODUCT(IF('Consolidado Costos'!$K$6:$K$158=$BF174,('Consolidado Costos'!AF$6:AF$158*'Consolidado Costos'!$F$6:$F$158),0))</f>
        <v>0</v>
      </c>
      <c r="BL174" s="318" cm="1">
        <f t="array" ref="BL174">+SUMPRODUCT(IF('Consolidado Costos'!$K$6:$K$158=$BF174,('Consolidado Costos'!AG$6:AG$158*'Consolidado Costos'!$F$6:$F$158),0))</f>
        <v>0</v>
      </c>
      <c r="BM174" s="318" cm="1">
        <f t="array" ref="BM174">+SUMPRODUCT(IF('Consolidado Costos'!$K$6:$K$158=$BF174,('Consolidado Costos'!AH$6:AH$158*'Consolidado Costos'!$F$6:$F$158),0))</f>
        <v>0</v>
      </c>
      <c r="BN174" s="318" cm="1">
        <f t="array" ref="BN174">+SUMPRODUCT(IF('Consolidado Costos'!$K$6:$K$158=$BF174,('Consolidado Costos'!AI$6:AI$158*'Consolidado Costos'!$F$6:$F$158),0))</f>
        <v>0</v>
      </c>
      <c r="BO174" s="318" cm="1">
        <f t="array" ref="BO174">+SUMPRODUCT(IF('Consolidado Costos'!$K$6:$K$158=$BF174,('Consolidado Costos'!AJ$6:AJ$158*'Consolidado Costos'!$F$6:$F$158),0))</f>
        <v>0</v>
      </c>
      <c r="BP174" s="318" cm="1">
        <f t="array" ref="BP174">+SUMPRODUCT(IF('Consolidado Costos'!$K$6:$K$158=$BF174,('Consolidado Costos'!AK$6:AK$158*'Consolidado Costos'!$F$6:$F$158),0))</f>
        <v>0</v>
      </c>
      <c r="BQ174" s="318" cm="1">
        <f t="array" ref="BQ174">+SUMPRODUCT(IF('Consolidado Costos'!$K$6:$K$158=$BF174,('Consolidado Costos'!AL$6:AL$158*'Consolidado Costos'!$F$6:$F$158),0))</f>
        <v>0</v>
      </c>
      <c r="BR174" s="318" cm="1">
        <f t="array" ref="BR174">+SUMPRODUCT(IF('Consolidado Costos'!$K$6:$K$158=$BF174,('Consolidado Costos'!AM$6:AM$158*'Consolidado Costos'!$F$6:$F$158),0))</f>
        <v>0</v>
      </c>
      <c r="BS174" s="318" cm="1">
        <f t="array" ref="BS174">+SUMPRODUCT(IF('Consolidado Costos'!$K$6:$K$158=$BF174,('Consolidado Costos'!AN$6:AN$158*'Consolidado Costos'!$F$6:$F$158),0))</f>
        <v>0</v>
      </c>
      <c r="BT174" s="318" cm="1">
        <f t="array" ref="BT174">+SUMPRODUCT(IF('Consolidado Costos'!$K$6:$K$158=$BF174,('Consolidado Costos'!AO$6:AO$158*'Consolidado Costos'!$F$6:$F$158),0))</f>
        <v>0</v>
      </c>
      <c r="BU174" s="318" cm="1">
        <f t="array" ref="BU174">+SUMPRODUCT(IF('Consolidado Costos'!$K$6:$K$158=$BF174,('Consolidado Costos'!AP$6:AP$158*'Consolidado Costos'!$F$6:$F$158),0))</f>
        <v>0</v>
      </c>
      <c r="BW174" s="327"/>
      <c r="BX174" s="328" t="s">
        <v>275</v>
      </c>
      <c r="BY174" s="328" t="s">
        <v>276</v>
      </c>
      <c r="BZ174" s="329"/>
      <c r="CA174" s="354">
        <f t="shared" si="49"/>
        <v>2564.102564102564</v>
      </c>
      <c r="CB174" s="318" cm="1">
        <f t="array" ref="CB174">+SUMPRODUCT(IF('Consolidado Costos'!$K$6:$K$158=$BX174,('Consolidado Costos'!AE$6:AE$158*'Consolidado Costos'!$G$6:$G$158),0))</f>
        <v>0</v>
      </c>
      <c r="CC174" s="318" cm="1">
        <f t="array" ref="CC174">+SUMPRODUCT(IF('Consolidado Costos'!$K$6:$K$158=$BX174,('Consolidado Costos'!AF$6:AF$158*'Consolidado Costos'!$G$6:$G$158),0))</f>
        <v>512.82051282051282</v>
      </c>
      <c r="CD174" s="318" cm="1">
        <f t="array" ref="CD174">+SUMPRODUCT(IF('Consolidado Costos'!$K$6:$K$158=$BX174,('Consolidado Costos'!AG$6:AG$158*'Consolidado Costos'!$G$6:$G$158),0))</f>
        <v>0</v>
      </c>
      <c r="CE174" s="318" cm="1">
        <f t="array" ref="CE174">+SUMPRODUCT(IF('Consolidado Costos'!$K$6:$K$158=$BX174,('Consolidado Costos'!AH$6:AH$158*'Consolidado Costos'!$G$6:$G$158),0))</f>
        <v>512.82051282051282</v>
      </c>
      <c r="CF174" s="318" cm="1">
        <f t="array" ref="CF174">+SUMPRODUCT(IF('Consolidado Costos'!$K$6:$K$158=$BX174,('Consolidado Costos'!AI$6:AI$158*'Consolidado Costos'!$G$6:$G$158),0))</f>
        <v>0</v>
      </c>
      <c r="CG174" s="318" cm="1">
        <f t="array" ref="CG174">+SUMPRODUCT(IF('Consolidado Costos'!$K$6:$K$158=$BX174,('Consolidado Costos'!AJ$6:AJ$158*'Consolidado Costos'!$G$6:$G$158),0))</f>
        <v>512.82051282051282</v>
      </c>
      <c r="CH174" s="318" cm="1">
        <f t="array" ref="CH174">+SUMPRODUCT(IF('Consolidado Costos'!$K$6:$K$158=$BX174,('Consolidado Costos'!AK$6:AK$158*'Consolidado Costos'!$G$6:$G$158),0))</f>
        <v>0</v>
      </c>
      <c r="CI174" s="318" cm="1">
        <f t="array" ref="CI174">+SUMPRODUCT(IF('Consolidado Costos'!$K$6:$K$158=$BX174,('Consolidado Costos'!AL$6:AL$158*'Consolidado Costos'!$G$6:$G$158),0))</f>
        <v>512.82051282051282</v>
      </c>
      <c r="CJ174" s="318" cm="1">
        <f t="array" ref="CJ174">+SUMPRODUCT(IF('Consolidado Costos'!$K$6:$K$158=$BX174,('Consolidado Costos'!AM$6:AM$158*'Consolidado Costos'!$G$6:$G$158),0))</f>
        <v>0</v>
      </c>
      <c r="CK174" s="318" cm="1">
        <f t="array" ref="CK174">+SUMPRODUCT(IF('Consolidado Costos'!$K$6:$K$158=$BX174,('Consolidado Costos'!AN$6:AN$158*'Consolidado Costos'!$G$6:$G$158),0))</f>
        <v>512.82051282051282</v>
      </c>
      <c r="CL174" s="318" cm="1">
        <f t="array" ref="CL174">+SUMPRODUCT(IF('Consolidado Costos'!$K$6:$K$158=$BX174,('Consolidado Costos'!AO$6:AO$158*'Consolidado Costos'!$G$6:$G$158),0))</f>
        <v>0</v>
      </c>
      <c r="CM174" s="318" cm="1">
        <f t="array" ref="CM174">+SUMPRODUCT(IF('Consolidado Costos'!$K$6:$K$158=$BX174,('Consolidado Costos'!AP$6:AP$158*'Consolidado Costos'!$G$6:$G$158),0))</f>
        <v>0</v>
      </c>
      <c r="CN174" s="357">
        <f t="shared" si="51"/>
        <v>1</v>
      </c>
    </row>
    <row r="175" spans="2:92" s="310" customFormat="1" outlineLevel="1">
      <c r="B175" s="327"/>
      <c r="C175" s="330" t="s">
        <v>576</v>
      </c>
      <c r="D175" s="330" t="s">
        <v>577</v>
      </c>
      <c r="E175" s="329"/>
      <c r="F175" s="318">
        <f>+SUMIF('Consolidado Costos'!$K$6:$K$158,$C175,'Consolidado Costos'!$AD$6:$AD$158)</f>
        <v>0</v>
      </c>
      <c r="G175" s="318">
        <f>+SUMIF('Consolidado Costos'!$K$6:$K$158,$C175,'Consolidado Costos'!AE$6:AE$158)</f>
        <v>0</v>
      </c>
      <c r="H175" s="318">
        <f>+SUMIF('Consolidado Costos'!$K$6:$K$158,$C175,'Consolidado Costos'!AF$6:AF$158)</f>
        <v>0</v>
      </c>
      <c r="I175" s="318">
        <f>+SUMIF('Consolidado Costos'!$K$6:$K$158,$C175,'Consolidado Costos'!AG$6:AG$158)</f>
        <v>0</v>
      </c>
      <c r="J175" s="318">
        <f>+SUMIF('Consolidado Costos'!$K$6:$K$158,$C175,'Consolidado Costos'!AH$6:AH$158)</f>
        <v>0</v>
      </c>
      <c r="K175" s="318">
        <f>+SUMIF('Consolidado Costos'!$K$6:$K$158,$C175,'Consolidado Costos'!AI$6:AI$158)</f>
        <v>0</v>
      </c>
      <c r="L175" s="318">
        <f>+SUMIF('Consolidado Costos'!$K$6:$K$158,$C175,'Consolidado Costos'!AJ$6:AJ$158)</f>
        <v>0</v>
      </c>
      <c r="M175" s="318">
        <f>+SUMIF('Consolidado Costos'!$K$6:$K$158,$C175,'Consolidado Costos'!AK$6:AK$158)</f>
        <v>0</v>
      </c>
      <c r="N175" s="318">
        <f>+SUMIF('Consolidado Costos'!$K$6:$K$158,$C175,'Consolidado Costos'!AL$6:AL$158)</f>
        <v>0</v>
      </c>
      <c r="O175" s="318">
        <f>+SUMIF('Consolidado Costos'!$K$6:$K$158,$C175,'Consolidado Costos'!AM$6:AM$158)</f>
        <v>0</v>
      </c>
      <c r="P175" s="318">
        <f>+SUMIF('Consolidado Costos'!$K$6:$K$158,$C175,'Consolidado Costos'!AN$6:AN$158)</f>
        <v>0</v>
      </c>
      <c r="Q175" s="318">
        <f>+SUMIF('Consolidado Costos'!$K$6:$K$158,$C175,'Consolidado Costos'!AO$6:AO$158)</f>
        <v>0</v>
      </c>
      <c r="R175" s="318">
        <f>+SUMIF('Consolidado Costos'!$K$6:$K$158,$C175,'Consolidado Costos'!AP$6:AP$158)</f>
        <v>0</v>
      </c>
      <c r="S175" s="357">
        <f t="shared" si="50"/>
        <v>1</v>
      </c>
      <c r="U175" s="327"/>
      <c r="V175" s="330" t="s">
        <v>576</v>
      </c>
      <c r="W175" s="330" t="s">
        <v>577</v>
      </c>
      <c r="X175" s="329"/>
      <c r="Y175" s="354">
        <f t="shared" si="46"/>
        <v>0</v>
      </c>
      <c r="Z175" s="318" cm="1">
        <f t="array" ref="Z175">+SUMPRODUCT(IF('Consolidado Costos'!$K$6:$K$158=$V175,('Consolidado Costos'!AE$6:AE$158*'Consolidado Costos'!$D$6:$D$158),0))</f>
        <v>0</v>
      </c>
      <c r="AA175" s="318" cm="1">
        <f t="array" ref="AA175">+SUMPRODUCT(IF('Consolidado Costos'!$K$6:$K$158=$V175,('Consolidado Costos'!AF$6:AF$158*'Consolidado Costos'!$D$6:$D$158),0))</f>
        <v>0</v>
      </c>
      <c r="AB175" s="318" cm="1">
        <f t="array" ref="AB175">+SUMPRODUCT(IF('Consolidado Costos'!$K$6:$K$158=$V175,('Consolidado Costos'!AG$6:AG$158*'Consolidado Costos'!$D$6:$D$158),0))</f>
        <v>0</v>
      </c>
      <c r="AC175" s="318" cm="1">
        <f t="array" ref="AC175">+SUMPRODUCT(IF('Consolidado Costos'!$K$6:$K$158=$V175,('Consolidado Costos'!AH$6:AH$158*'Consolidado Costos'!$D$6:$D$158),0))</f>
        <v>0</v>
      </c>
      <c r="AD175" s="318" cm="1">
        <f t="array" ref="AD175">+SUMPRODUCT(IF('Consolidado Costos'!$K$6:$K$158=$V175,('Consolidado Costos'!AI$6:AI$158*'Consolidado Costos'!$D$6:$D$158),0))</f>
        <v>0</v>
      </c>
      <c r="AE175" s="318" cm="1">
        <f t="array" ref="AE175">+SUMPRODUCT(IF('Consolidado Costos'!$K$6:$K$158=$V175,('Consolidado Costos'!AJ$6:AJ$158*'Consolidado Costos'!$D$6:$D$158),0))</f>
        <v>0</v>
      </c>
      <c r="AF175" s="318" cm="1">
        <f t="array" ref="AF175">+SUMPRODUCT(IF('Consolidado Costos'!$K$6:$K$158=$V175,('Consolidado Costos'!AK$6:AK$158*'Consolidado Costos'!$D$6:$D$158),0))</f>
        <v>0</v>
      </c>
      <c r="AG175" s="318" cm="1">
        <f t="array" ref="AG175">+SUMPRODUCT(IF('Consolidado Costos'!$K$6:$K$158=$V175,('Consolidado Costos'!AL$6:AL$158*'Consolidado Costos'!$D$6:$D$158),0))</f>
        <v>0</v>
      </c>
      <c r="AH175" s="318" cm="1">
        <f t="array" ref="AH175">+SUMPRODUCT(IF('Consolidado Costos'!$K$6:$K$158=$V175,('Consolidado Costos'!AM$6:AM$158*'Consolidado Costos'!$D$6:$D$158),0))</f>
        <v>0</v>
      </c>
      <c r="AI175" s="318" cm="1">
        <f t="array" ref="AI175">+SUMPRODUCT(IF('Consolidado Costos'!$K$6:$K$158=$V175,('Consolidado Costos'!AN$6:AN$158*'Consolidado Costos'!$D$6:$D$158),0))</f>
        <v>0</v>
      </c>
      <c r="AJ175" s="318" cm="1">
        <f t="array" ref="AJ175">+SUMPRODUCT(IF('Consolidado Costos'!$K$6:$K$158=$V175,('Consolidado Costos'!AO$6:AO$158*'Consolidado Costos'!$D$6:$D$158),0))</f>
        <v>0</v>
      </c>
      <c r="AK175" s="318" cm="1">
        <f t="array" ref="AK175">+SUMPRODUCT(IF('Consolidado Costos'!$K$6:$K$158=$V175,('Consolidado Costos'!AP$6:AP$158*'Consolidado Costos'!$D$6:$D$158),0))</f>
        <v>0</v>
      </c>
      <c r="AM175" s="327"/>
      <c r="AN175" s="330" t="s">
        <v>576</v>
      </c>
      <c r="AO175" s="330" t="s">
        <v>577</v>
      </c>
      <c r="AP175" s="329"/>
      <c r="AQ175" s="354">
        <f t="shared" si="47"/>
        <v>0</v>
      </c>
      <c r="AR175" s="318" cm="1">
        <f t="array" ref="AR175">+SUMPRODUCT(IF('Consolidado Costos'!$K$6:$K$158=$AN175,('Consolidado Costos'!AE$6:AE$158*'Consolidado Costos'!$E$6:$E$158),0))</f>
        <v>0</v>
      </c>
      <c r="AS175" s="318" cm="1">
        <f t="array" ref="AS175">+SUMPRODUCT(IF('Consolidado Costos'!$K$6:$K$158=$AN175,('Consolidado Costos'!AF$6:AF$158*'Consolidado Costos'!$E$6:$E$158),0))</f>
        <v>0</v>
      </c>
      <c r="AT175" s="318" cm="1">
        <f t="array" ref="AT175">+SUMPRODUCT(IF('Consolidado Costos'!$K$6:$K$158=$AN175,('Consolidado Costos'!AG$6:AG$158*'Consolidado Costos'!$E$6:$E$158),0))</f>
        <v>0</v>
      </c>
      <c r="AU175" s="318" cm="1">
        <f t="array" ref="AU175">+SUMPRODUCT(IF('Consolidado Costos'!$K$6:$K$158=$AN175,('Consolidado Costos'!AH$6:AH$158*'Consolidado Costos'!$E$6:$E$158),0))</f>
        <v>0</v>
      </c>
      <c r="AV175" s="318" cm="1">
        <f t="array" ref="AV175">+SUMPRODUCT(IF('Consolidado Costos'!$K$6:$K$158=$AN175,('Consolidado Costos'!AI$6:AI$158*'Consolidado Costos'!$E$6:$E$158),0))</f>
        <v>0</v>
      </c>
      <c r="AW175" s="318" cm="1">
        <f t="array" ref="AW175">+SUMPRODUCT(IF('Consolidado Costos'!$K$6:$K$158=$AN175,('Consolidado Costos'!AJ$6:AJ$158*'Consolidado Costos'!$E$6:$E$158),0))</f>
        <v>0</v>
      </c>
      <c r="AX175" s="318" cm="1">
        <f t="array" ref="AX175">+SUMPRODUCT(IF('Consolidado Costos'!$K$6:$K$158=$AN175,('Consolidado Costos'!AK$6:AK$158*'Consolidado Costos'!$E$6:$E$158),0))</f>
        <v>0</v>
      </c>
      <c r="AY175" s="318" cm="1">
        <f t="array" ref="AY175">+SUMPRODUCT(IF('Consolidado Costos'!$K$6:$K$158=$AN175,('Consolidado Costos'!AL$6:AL$158*'Consolidado Costos'!$E$6:$E$158),0))</f>
        <v>0</v>
      </c>
      <c r="AZ175" s="318" cm="1">
        <f t="array" ref="AZ175">+SUMPRODUCT(IF('Consolidado Costos'!$K$6:$K$158=$AN175,('Consolidado Costos'!AM$6:AM$158*'Consolidado Costos'!$E$6:$E$158),0))</f>
        <v>0</v>
      </c>
      <c r="BA175" s="318" cm="1">
        <f t="array" ref="BA175">+SUMPRODUCT(IF('Consolidado Costos'!$K$6:$K$158=$AN175,('Consolidado Costos'!AN$6:AN$158*'Consolidado Costos'!$E$6:$E$158),0))</f>
        <v>0</v>
      </c>
      <c r="BB175" s="318" cm="1">
        <f t="array" ref="BB175">+SUMPRODUCT(IF('Consolidado Costos'!$K$6:$K$158=$AN175,('Consolidado Costos'!AO$6:AO$158*'Consolidado Costos'!$E$6:$E$158),0))</f>
        <v>0</v>
      </c>
      <c r="BC175" s="318" cm="1">
        <f t="array" ref="BC175">+SUMPRODUCT(IF('Consolidado Costos'!$K$6:$K$158=$AN175,('Consolidado Costos'!AP$6:AP$158*'Consolidado Costos'!$E$6:$E$158),0))</f>
        <v>0</v>
      </c>
      <c r="BE175" s="327"/>
      <c r="BF175" s="330" t="s">
        <v>576</v>
      </c>
      <c r="BG175" s="330" t="s">
        <v>577</v>
      </c>
      <c r="BH175" s="329"/>
      <c r="BI175" s="354">
        <f t="shared" si="48"/>
        <v>0</v>
      </c>
      <c r="BJ175" s="318" cm="1">
        <f t="array" ref="BJ175">+SUMPRODUCT(IF('Consolidado Costos'!$K$6:$K$158=$BF175,('Consolidado Costos'!AE$6:AE$158*'Consolidado Costos'!$F$6:$F$158),0))</f>
        <v>0</v>
      </c>
      <c r="BK175" s="318" cm="1">
        <f t="array" ref="BK175">+SUMPRODUCT(IF('Consolidado Costos'!$K$6:$K$158=$BF175,('Consolidado Costos'!AF$6:AF$158*'Consolidado Costos'!$F$6:$F$158),0))</f>
        <v>0</v>
      </c>
      <c r="BL175" s="318" cm="1">
        <f t="array" ref="BL175">+SUMPRODUCT(IF('Consolidado Costos'!$K$6:$K$158=$BF175,('Consolidado Costos'!AG$6:AG$158*'Consolidado Costos'!$F$6:$F$158),0))</f>
        <v>0</v>
      </c>
      <c r="BM175" s="318" cm="1">
        <f t="array" ref="BM175">+SUMPRODUCT(IF('Consolidado Costos'!$K$6:$K$158=$BF175,('Consolidado Costos'!AH$6:AH$158*'Consolidado Costos'!$F$6:$F$158),0))</f>
        <v>0</v>
      </c>
      <c r="BN175" s="318" cm="1">
        <f t="array" ref="BN175">+SUMPRODUCT(IF('Consolidado Costos'!$K$6:$K$158=$BF175,('Consolidado Costos'!AI$6:AI$158*'Consolidado Costos'!$F$6:$F$158),0))</f>
        <v>0</v>
      </c>
      <c r="BO175" s="318" cm="1">
        <f t="array" ref="BO175">+SUMPRODUCT(IF('Consolidado Costos'!$K$6:$K$158=$BF175,('Consolidado Costos'!AJ$6:AJ$158*'Consolidado Costos'!$F$6:$F$158),0))</f>
        <v>0</v>
      </c>
      <c r="BP175" s="318" cm="1">
        <f t="array" ref="BP175">+SUMPRODUCT(IF('Consolidado Costos'!$K$6:$K$158=$BF175,('Consolidado Costos'!AK$6:AK$158*'Consolidado Costos'!$F$6:$F$158),0))</f>
        <v>0</v>
      </c>
      <c r="BQ175" s="318" cm="1">
        <f t="array" ref="BQ175">+SUMPRODUCT(IF('Consolidado Costos'!$K$6:$K$158=$BF175,('Consolidado Costos'!AL$6:AL$158*'Consolidado Costos'!$F$6:$F$158),0))</f>
        <v>0</v>
      </c>
      <c r="BR175" s="318" cm="1">
        <f t="array" ref="BR175">+SUMPRODUCT(IF('Consolidado Costos'!$K$6:$K$158=$BF175,('Consolidado Costos'!AM$6:AM$158*'Consolidado Costos'!$F$6:$F$158),0))</f>
        <v>0</v>
      </c>
      <c r="BS175" s="318" cm="1">
        <f t="array" ref="BS175">+SUMPRODUCT(IF('Consolidado Costos'!$K$6:$K$158=$BF175,('Consolidado Costos'!AN$6:AN$158*'Consolidado Costos'!$F$6:$F$158),0))</f>
        <v>0</v>
      </c>
      <c r="BT175" s="318" cm="1">
        <f t="array" ref="BT175">+SUMPRODUCT(IF('Consolidado Costos'!$K$6:$K$158=$BF175,('Consolidado Costos'!AO$6:AO$158*'Consolidado Costos'!$F$6:$F$158),0))</f>
        <v>0</v>
      </c>
      <c r="BU175" s="318" cm="1">
        <f t="array" ref="BU175">+SUMPRODUCT(IF('Consolidado Costos'!$K$6:$K$158=$BF175,('Consolidado Costos'!AP$6:AP$158*'Consolidado Costos'!$F$6:$F$158),0))</f>
        <v>0</v>
      </c>
      <c r="BW175" s="327"/>
      <c r="BX175" s="330" t="s">
        <v>576</v>
      </c>
      <c r="BY175" s="330" t="s">
        <v>577</v>
      </c>
      <c r="BZ175" s="329"/>
      <c r="CA175" s="354">
        <f t="shared" si="49"/>
        <v>0</v>
      </c>
      <c r="CB175" s="318" cm="1">
        <f t="array" ref="CB175">+SUMPRODUCT(IF('Consolidado Costos'!$K$6:$K$158=$BX175,('Consolidado Costos'!AE$6:AE$158*'Consolidado Costos'!$G$6:$G$158),0))</f>
        <v>0</v>
      </c>
      <c r="CC175" s="318" cm="1">
        <f t="array" ref="CC175">+SUMPRODUCT(IF('Consolidado Costos'!$K$6:$K$158=$BX175,('Consolidado Costos'!AF$6:AF$158*'Consolidado Costos'!$G$6:$G$158),0))</f>
        <v>0</v>
      </c>
      <c r="CD175" s="318" cm="1">
        <f t="array" ref="CD175">+SUMPRODUCT(IF('Consolidado Costos'!$K$6:$K$158=$BX175,('Consolidado Costos'!AG$6:AG$158*'Consolidado Costos'!$G$6:$G$158),0))</f>
        <v>0</v>
      </c>
      <c r="CE175" s="318" cm="1">
        <f t="array" ref="CE175">+SUMPRODUCT(IF('Consolidado Costos'!$K$6:$K$158=$BX175,('Consolidado Costos'!AH$6:AH$158*'Consolidado Costos'!$G$6:$G$158),0))</f>
        <v>0</v>
      </c>
      <c r="CF175" s="318" cm="1">
        <f t="array" ref="CF175">+SUMPRODUCT(IF('Consolidado Costos'!$K$6:$K$158=$BX175,('Consolidado Costos'!AI$6:AI$158*'Consolidado Costos'!$G$6:$G$158),0))</f>
        <v>0</v>
      </c>
      <c r="CG175" s="318" cm="1">
        <f t="array" ref="CG175">+SUMPRODUCT(IF('Consolidado Costos'!$K$6:$K$158=$BX175,('Consolidado Costos'!AJ$6:AJ$158*'Consolidado Costos'!$G$6:$G$158),0))</f>
        <v>0</v>
      </c>
      <c r="CH175" s="318" cm="1">
        <f t="array" ref="CH175">+SUMPRODUCT(IF('Consolidado Costos'!$K$6:$K$158=$BX175,('Consolidado Costos'!AK$6:AK$158*'Consolidado Costos'!$G$6:$G$158),0))</f>
        <v>0</v>
      </c>
      <c r="CI175" s="318" cm="1">
        <f t="array" ref="CI175">+SUMPRODUCT(IF('Consolidado Costos'!$K$6:$K$158=$BX175,('Consolidado Costos'!AL$6:AL$158*'Consolidado Costos'!$G$6:$G$158),0))</f>
        <v>0</v>
      </c>
      <c r="CJ175" s="318" cm="1">
        <f t="array" ref="CJ175">+SUMPRODUCT(IF('Consolidado Costos'!$K$6:$K$158=$BX175,('Consolidado Costos'!AM$6:AM$158*'Consolidado Costos'!$G$6:$G$158),0))</f>
        <v>0</v>
      </c>
      <c r="CK175" s="318" cm="1">
        <f t="array" ref="CK175">+SUMPRODUCT(IF('Consolidado Costos'!$K$6:$K$158=$BX175,('Consolidado Costos'!AN$6:AN$158*'Consolidado Costos'!$G$6:$G$158),0))</f>
        <v>0</v>
      </c>
      <c r="CL175" s="318" cm="1">
        <f t="array" ref="CL175">+SUMPRODUCT(IF('Consolidado Costos'!$K$6:$K$158=$BX175,('Consolidado Costos'!AO$6:AO$158*'Consolidado Costos'!$G$6:$G$158),0))</f>
        <v>0</v>
      </c>
      <c r="CM175" s="318" cm="1">
        <f t="array" ref="CM175">+SUMPRODUCT(IF('Consolidado Costos'!$K$6:$K$158=$BX175,('Consolidado Costos'!AP$6:AP$158*'Consolidado Costos'!$G$6:$G$158),0))</f>
        <v>0</v>
      </c>
      <c r="CN175" s="357">
        <f t="shared" si="51"/>
        <v>1</v>
      </c>
    </row>
    <row r="176" spans="2:92" s="310" customFormat="1" outlineLevel="1">
      <c r="B176" s="327"/>
      <c r="C176" s="330" t="s">
        <v>578</v>
      </c>
      <c r="D176" s="330" t="s">
        <v>579</v>
      </c>
      <c r="E176" s="329"/>
      <c r="F176" s="318">
        <f>+SUMIF('Consolidado Costos'!$K$6:$K$158,$C176,'Consolidado Costos'!$AD$6:$AD$158)</f>
        <v>0</v>
      </c>
      <c r="G176" s="318">
        <f>+SUMIF('Consolidado Costos'!$K$6:$K$158,$C176,'Consolidado Costos'!AE$6:AE$158)</f>
        <v>0</v>
      </c>
      <c r="H176" s="318">
        <f>+SUMIF('Consolidado Costos'!$K$6:$K$158,$C176,'Consolidado Costos'!AF$6:AF$158)</f>
        <v>0</v>
      </c>
      <c r="I176" s="318">
        <f>+SUMIF('Consolidado Costos'!$K$6:$K$158,$C176,'Consolidado Costos'!AG$6:AG$158)</f>
        <v>0</v>
      </c>
      <c r="J176" s="318">
        <f>+SUMIF('Consolidado Costos'!$K$6:$K$158,$C176,'Consolidado Costos'!AH$6:AH$158)</f>
        <v>0</v>
      </c>
      <c r="K176" s="318">
        <f>+SUMIF('Consolidado Costos'!$K$6:$K$158,$C176,'Consolidado Costos'!AI$6:AI$158)</f>
        <v>0</v>
      </c>
      <c r="L176" s="318">
        <f>+SUMIF('Consolidado Costos'!$K$6:$K$158,$C176,'Consolidado Costos'!AJ$6:AJ$158)</f>
        <v>0</v>
      </c>
      <c r="M176" s="318">
        <f>+SUMIF('Consolidado Costos'!$K$6:$K$158,$C176,'Consolidado Costos'!AK$6:AK$158)</f>
        <v>0</v>
      </c>
      <c r="N176" s="318">
        <f>+SUMIF('Consolidado Costos'!$K$6:$K$158,$C176,'Consolidado Costos'!AL$6:AL$158)</f>
        <v>0</v>
      </c>
      <c r="O176" s="318">
        <f>+SUMIF('Consolidado Costos'!$K$6:$K$158,$C176,'Consolidado Costos'!AM$6:AM$158)</f>
        <v>0</v>
      </c>
      <c r="P176" s="318">
        <f>+SUMIF('Consolidado Costos'!$K$6:$K$158,$C176,'Consolidado Costos'!AN$6:AN$158)</f>
        <v>0</v>
      </c>
      <c r="Q176" s="318">
        <f>+SUMIF('Consolidado Costos'!$K$6:$K$158,$C176,'Consolidado Costos'!AO$6:AO$158)</f>
        <v>0</v>
      </c>
      <c r="R176" s="318">
        <f>+SUMIF('Consolidado Costos'!$K$6:$K$158,$C176,'Consolidado Costos'!AP$6:AP$158)</f>
        <v>0</v>
      </c>
      <c r="S176" s="357">
        <f t="shared" si="50"/>
        <v>1</v>
      </c>
      <c r="U176" s="327"/>
      <c r="V176" s="330" t="s">
        <v>578</v>
      </c>
      <c r="W176" s="330" t="s">
        <v>579</v>
      </c>
      <c r="X176" s="329"/>
      <c r="Y176" s="354">
        <f t="shared" si="46"/>
        <v>0</v>
      </c>
      <c r="Z176" s="318" cm="1">
        <f t="array" ref="Z176">+SUMPRODUCT(IF('Consolidado Costos'!$K$6:$K$158=$V176,('Consolidado Costos'!AE$6:AE$158*'Consolidado Costos'!$D$6:$D$158),0))</f>
        <v>0</v>
      </c>
      <c r="AA176" s="318" cm="1">
        <f t="array" ref="AA176">+SUMPRODUCT(IF('Consolidado Costos'!$K$6:$K$158=$V176,('Consolidado Costos'!AF$6:AF$158*'Consolidado Costos'!$D$6:$D$158),0))</f>
        <v>0</v>
      </c>
      <c r="AB176" s="318" cm="1">
        <f t="array" ref="AB176">+SUMPRODUCT(IF('Consolidado Costos'!$K$6:$K$158=$V176,('Consolidado Costos'!AG$6:AG$158*'Consolidado Costos'!$D$6:$D$158),0))</f>
        <v>0</v>
      </c>
      <c r="AC176" s="318" cm="1">
        <f t="array" ref="AC176">+SUMPRODUCT(IF('Consolidado Costos'!$K$6:$K$158=$V176,('Consolidado Costos'!AH$6:AH$158*'Consolidado Costos'!$D$6:$D$158),0))</f>
        <v>0</v>
      </c>
      <c r="AD176" s="318" cm="1">
        <f t="array" ref="AD176">+SUMPRODUCT(IF('Consolidado Costos'!$K$6:$K$158=$V176,('Consolidado Costos'!AI$6:AI$158*'Consolidado Costos'!$D$6:$D$158),0))</f>
        <v>0</v>
      </c>
      <c r="AE176" s="318" cm="1">
        <f t="array" ref="AE176">+SUMPRODUCT(IF('Consolidado Costos'!$K$6:$K$158=$V176,('Consolidado Costos'!AJ$6:AJ$158*'Consolidado Costos'!$D$6:$D$158),0))</f>
        <v>0</v>
      </c>
      <c r="AF176" s="318" cm="1">
        <f t="array" ref="AF176">+SUMPRODUCT(IF('Consolidado Costos'!$K$6:$K$158=$V176,('Consolidado Costos'!AK$6:AK$158*'Consolidado Costos'!$D$6:$D$158),0))</f>
        <v>0</v>
      </c>
      <c r="AG176" s="318" cm="1">
        <f t="array" ref="AG176">+SUMPRODUCT(IF('Consolidado Costos'!$K$6:$K$158=$V176,('Consolidado Costos'!AL$6:AL$158*'Consolidado Costos'!$D$6:$D$158),0))</f>
        <v>0</v>
      </c>
      <c r="AH176" s="318" cm="1">
        <f t="array" ref="AH176">+SUMPRODUCT(IF('Consolidado Costos'!$K$6:$K$158=$V176,('Consolidado Costos'!AM$6:AM$158*'Consolidado Costos'!$D$6:$D$158),0))</f>
        <v>0</v>
      </c>
      <c r="AI176" s="318" cm="1">
        <f t="array" ref="AI176">+SUMPRODUCT(IF('Consolidado Costos'!$K$6:$K$158=$V176,('Consolidado Costos'!AN$6:AN$158*'Consolidado Costos'!$D$6:$D$158),0))</f>
        <v>0</v>
      </c>
      <c r="AJ176" s="318" cm="1">
        <f t="array" ref="AJ176">+SUMPRODUCT(IF('Consolidado Costos'!$K$6:$K$158=$V176,('Consolidado Costos'!AO$6:AO$158*'Consolidado Costos'!$D$6:$D$158),0))</f>
        <v>0</v>
      </c>
      <c r="AK176" s="318" cm="1">
        <f t="array" ref="AK176">+SUMPRODUCT(IF('Consolidado Costos'!$K$6:$K$158=$V176,('Consolidado Costos'!AP$6:AP$158*'Consolidado Costos'!$D$6:$D$158),0))</f>
        <v>0</v>
      </c>
      <c r="AM176" s="327"/>
      <c r="AN176" s="330" t="s">
        <v>578</v>
      </c>
      <c r="AO176" s="330" t="s">
        <v>579</v>
      </c>
      <c r="AP176" s="329"/>
      <c r="AQ176" s="354">
        <f t="shared" si="47"/>
        <v>0</v>
      </c>
      <c r="AR176" s="318" cm="1">
        <f t="array" ref="AR176">+SUMPRODUCT(IF('Consolidado Costos'!$K$6:$K$158=$AN176,('Consolidado Costos'!AE$6:AE$158*'Consolidado Costos'!$E$6:$E$158),0))</f>
        <v>0</v>
      </c>
      <c r="AS176" s="318" cm="1">
        <f t="array" ref="AS176">+SUMPRODUCT(IF('Consolidado Costos'!$K$6:$K$158=$AN176,('Consolidado Costos'!AF$6:AF$158*'Consolidado Costos'!$E$6:$E$158),0))</f>
        <v>0</v>
      </c>
      <c r="AT176" s="318" cm="1">
        <f t="array" ref="AT176">+SUMPRODUCT(IF('Consolidado Costos'!$K$6:$K$158=$AN176,('Consolidado Costos'!AG$6:AG$158*'Consolidado Costos'!$E$6:$E$158),0))</f>
        <v>0</v>
      </c>
      <c r="AU176" s="318" cm="1">
        <f t="array" ref="AU176">+SUMPRODUCT(IF('Consolidado Costos'!$K$6:$K$158=$AN176,('Consolidado Costos'!AH$6:AH$158*'Consolidado Costos'!$E$6:$E$158),0))</f>
        <v>0</v>
      </c>
      <c r="AV176" s="318" cm="1">
        <f t="array" ref="AV176">+SUMPRODUCT(IF('Consolidado Costos'!$K$6:$K$158=$AN176,('Consolidado Costos'!AI$6:AI$158*'Consolidado Costos'!$E$6:$E$158),0))</f>
        <v>0</v>
      </c>
      <c r="AW176" s="318" cm="1">
        <f t="array" ref="AW176">+SUMPRODUCT(IF('Consolidado Costos'!$K$6:$K$158=$AN176,('Consolidado Costos'!AJ$6:AJ$158*'Consolidado Costos'!$E$6:$E$158),0))</f>
        <v>0</v>
      </c>
      <c r="AX176" s="318" cm="1">
        <f t="array" ref="AX176">+SUMPRODUCT(IF('Consolidado Costos'!$K$6:$K$158=$AN176,('Consolidado Costos'!AK$6:AK$158*'Consolidado Costos'!$E$6:$E$158),0))</f>
        <v>0</v>
      </c>
      <c r="AY176" s="318" cm="1">
        <f t="array" ref="AY176">+SUMPRODUCT(IF('Consolidado Costos'!$K$6:$K$158=$AN176,('Consolidado Costos'!AL$6:AL$158*'Consolidado Costos'!$E$6:$E$158),0))</f>
        <v>0</v>
      </c>
      <c r="AZ176" s="318" cm="1">
        <f t="array" ref="AZ176">+SUMPRODUCT(IF('Consolidado Costos'!$K$6:$K$158=$AN176,('Consolidado Costos'!AM$6:AM$158*'Consolidado Costos'!$E$6:$E$158),0))</f>
        <v>0</v>
      </c>
      <c r="BA176" s="318" cm="1">
        <f t="array" ref="BA176">+SUMPRODUCT(IF('Consolidado Costos'!$K$6:$K$158=$AN176,('Consolidado Costos'!AN$6:AN$158*'Consolidado Costos'!$E$6:$E$158),0))</f>
        <v>0</v>
      </c>
      <c r="BB176" s="318" cm="1">
        <f t="array" ref="BB176">+SUMPRODUCT(IF('Consolidado Costos'!$K$6:$K$158=$AN176,('Consolidado Costos'!AO$6:AO$158*'Consolidado Costos'!$E$6:$E$158),0))</f>
        <v>0</v>
      </c>
      <c r="BC176" s="318" cm="1">
        <f t="array" ref="BC176">+SUMPRODUCT(IF('Consolidado Costos'!$K$6:$K$158=$AN176,('Consolidado Costos'!AP$6:AP$158*'Consolidado Costos'!$E$6:$E$158),0))</f>
        <v>0</v>
      </c>
      <c r="BE176" s="327"/>
      <c r="BF176" s="330" t="s">
        <v>578</v>
      </c>
      <c r="BG176" s="330" t="s">
        <v>579</v>
      </c>
      <c r="BH176" s="329"/>
      <c r="BI176" s="354">
        <f t="shared" si="48"/>
        <v>0</v>
      </c>
      <c r="BJ176" s="318" cm="1">
        <f t="array" ref="BJ176">+SUMPRODUCT(IF('Consolidado Costos'!$K$6:$K$158=$BF176,('Consolidado Costos'!AE$6:AE$158*'Consolidado Costos'!$F$6:$F$158),0))</f>
        <v>0</v>
      </c>
      <c r="BK176" s="318" cm="1">
        <f t="array" ref="BK176">+SUMPRODUCT(IF('Consolidado Costos'!$K$6:$K$158=$BF176,('Consolidado Costos'!AF$6:AF$158*'Consolidado Costos'!$F$6:$F$158),0))</f>
        <v>0</v>
      </c>
      <c r="BL176" s="318" cm="1">
        <f t="array" ref="BL176">+SUMPRODUCT(IF('Consolidado Costos'!$K$6:$K$158=$BF176,('Consolidado Costos'!AG$6:AG$158*'Consolidado Costos'!$F$6:$F$158),0))</f>
        <v>0</v>
      </c>
      <c r="BM176" s="318" cm="1">
        <f t="array" ref="BM176">+SUMPRODUCT(IF('Consolidado Costos'!$K$6:$K$158=$BF176,('Consolidado Costos'!AH$6:AH$158*'Consolidado Costos'!$F$6:$F$158),0))</f>
        <v>0</v>
      </c>
      <c r="BN176" s="318" cm="1">
        <f t="array" ref="BN176">+SUMPRODUCT(IF('Consolidado Costos'!$K$6:$K$158=$BF176,('Consolidado Costos'!AI$6:AI$158*'Consolidado Costos'!$F$6:$F$158),0))</f>
        <v>0</v>
      </c>
      <c r="BO176" s="318" cm="1">
        <f t="array" ref="BO176">+SUMPRODUCT(IF('Consolidado Costos'!$K$6:$K$158=$BF176,('Consolidado Costos'!AJ$6:AJ$158*'Consolidado Costos'!$F$6:$F$158),0))</f>
        <v>0</v>
      </c>
      <c r="BP176" s="318" cm="1">
        <f t="array" ref="BP176">+SUMPRODUCT(IF('Consolidado Costos'!$K$6:$K$158=$BF176,('Consolidado Costos'!AK$6:AK$158*'Consolidado Costos'!$F$6:$F$158),0))</f>
        <v>0</v>
      </c>
      <c r="BQ176" s="318" cm="1">
        <f t="array" ref="BQ176">+SUMPRODUCT(IF('Consolidado Costos'!$K$6:$K$158=$BF176,('Consolidado Costos'!AL$6:AL$158*'Consolidado Costos'!$F$6:$F$158),0))</f>
        <v>0</v>
      </c>
      <c r="BR176" s="318" cm="1">
        <f t="array" ref="BR176">+SUMPRODUCT(IF('Consolidado Costos'!$K$6:$K$158=$BF176,('Consolidado Costos'!AM$6:AM$158*'Consolidado Costos'!$F$6:$F$158),0))</f>
        <v>0</v>
      </c>
      <c r="BS176" s="318" cm="1">
        <f t="array" ref="BS176">+SUMPRODUCT(IF('Consolidado Costos'!$K$6:$K$158=$BF176,('Consolidado Costos'!AN$6:AN$158*'Consolidado Costos'!$F$6:$F$158),0))</f>
        <v>0</v>
      </c>
      <c r="BT176" s="318" cm="1">
        <f t="array" ref="BT176">+SUMPRODUCT(IF('Consolidado Costos'!$K$6:$K$158=$BF176,('Consolidado Costos'!AO$6:AO$158*'Consolidado Costos'!$F$6:$F$158),0))</f>
        <v>0</v>
      </c>
      <c r="BU176" s="318" cm="1">
        <f t="array" ref="BU176">+SUMPRODUCT(IF('Consolidado Costos'!$K$6:$K$158=$BF176,('Consolidado Costos'!AP$6:AP$158*'Consolidado Costos'!$F$6:$F$158),0))</f>
        <v>0</v>
      </c>
      <c r="BW176" s="327"/>
      <c r="BX176" s="330" t="s">
        <v>578</v>
      </c>
      <c r="BY176" s="330" t="s">
        <v>579</v>
      </c>
      <c r="BZ176" s="329"/>
      <c r="CA176" s="354">
        <f t="shared" si="49"/>
        <v>0</v>
      </c>
      <c r="CB176" s="318" cm="1">
        <f t="array" ref="CB176">+SUMPRODUCT(IF('Consolidado Costos'!$K$6:$K$158=$BX176,('Consolidado Costos'!AE$6:AE$158*'Consolidado Costos'!$G$6:$G$158),0))</f>
        <v>0</v>
      </c>
      <c r="CC176" s="318" cm="1">
        <f t="array" ref="CC176">+SUMPRODUCT(IF('Consolidado Costos'!$K$6:$K$158=$BX176,('Consolidado Costos'!AF$6:AF$158*'Consolidado Costos'!$G$6:$G$158),0))</f>
        <v>0</v>
      </c>
      <c r="CD176" s="318" cm="1">
        <f t="array" ref="CD176">+SUMPRODUCT(IF('Consolidado Costos'!$K$6:$K$158=$BX176,('Consolidado Costos'!AG$6:AG$158*'Consolidado Costos'!$G$6:$G$158),0))</f>
        <v>0</v>
      </c>
      <c r="CE176" s="318" cm="1">
        <f t="array" ref="CE176">+SUMPRODUCT(IF('Consolidado Costos'!$K$6:$K$158=$BX176,('Consolidado Costos'!AH$6:AH$158*'Consolidado Costos'!$G$6:$G$158),0))</f>
        <v>0</v>
      </c>
      <c r="CF176" s="318" cm="1">
        <f t="array" ref="CF176">+SUMPRODUCT(IF('Consolidado Costos'!$K$6:$K$158=$BX176,('Consolidado Costos'!AI$6:AI$158*'Consolidado Costos'!$G$6:$G$158),0))</f>
        <v>0</v>
      </c>
      <c r="CG176" s="318" cm="1">
        <f t="array" ref="CG176">+SUMPRODUCT(IF('Consolidado Costos'!$K$6:$K$158=$BX176,('Consolidado Costos'!AJ$6:AJ$158*'Consolidado Costos'!$G$6:$G$158),0))</f>
        <v>0</v>
      </c>
      <c r="CH176" s="318" cm="1">
        <f t="array" ref="CH176">+SUMPRODUCT(IF('Consolidado Costos'!$K$6:$K$158=$BX176,('Consolidado Costos'!AK$6:AK$158*'Consolidado Costos'!$G$6:$G$158),0))</f>
        <v>0</v>
      </c>
      <c r="CI176" s="318" cm="1">
        <f t="array" ref="CI176">+SUMPRODUCT(IF('Consolidado Costos'!$K$6:$K$158=$BX176,('Consolidado Costos'!AL$6:AL$158*'Consolidado Costos'!$G$6:$G$158),0))</f>
        <v>0</v>
      </c>
      <c r="CJ176" s="318" cm="1">
        <f t="array" ref="CJ176">+SUMPRODUCT(IF('Consolidado Costos'!$K$6:$K$158=$BX176,('Consolidado Costos'!AM$6:AM$158*'Consolidado Costos'!$G$6:$G$158),0))</f>
        <v>0</v>
      </c>
      <c r="CK176" s="318" cm="1">
        <f t="array" ref="CK176">+SUMPRODUCT(IF('Consolidado Costos'!$K$6:$K$158=$BX176,('Consolidado Costos'!AN$6:AN$158*'Consolidado Costos'!$G$6:$G$158),0))</f>
        <v>0</v>
      </c>
      <c r="CL176" s="318" cm="1">
        <f t="array" ref="CL176">+SUMPRODUCT(IF('Consolidado Costos'!$K$6:$K$158=$BX176,('Consolidado Costos'!AO$6:AO$158*'Consolidado Costos'!$G$6:$G$158),0))</f>
        <v>0</v>
      </c>
      <c r="CM176" s="318" cm="1">
        <f t="array" ref="CM176">+SUMPRODUCT(IF('Consolidado Costos'!$K$6:$K$158=$BX176,('Consolidado Costos'!AP$6:AP$158*'Consolidado Costos'!$G$6:$G$158),0))</f>
        <v>0</v>
      </c>
      <c r="CN176" s="357">
        <f t="shared" si="51"/>
        <v>1</v>
      </c>
    </row>
    <row r="177" spans="2:92" s="310" customFormat="1" outlineLevel="1">
      <c r="B177" s="327"/>
      <c r="C177" s="328" t="s">
        <v>580</v>
      </c>
      <c r="D177" s="328" t="s">
        <v>581</v>
      </c>
      <c r="E177" s="329"/>
      <c r="F177" s="318">
        <f>+SUMIF('Consolidado Costos'!$K$6:$K$158,$C177,'Consolidado Costos'!$AD$6:$AD$158)</f>
        <v>0</v>
      </c>
      <c r="G177" s="318">
        <f>+SUMIF('Consolidado Costos'!$K$6:$K$158,$C177,'Consolidado Costos'!AE$6:AE$158)</f>
        <v>0</v>
      </c>
      <c r="H177" s="318">
        <f>+SUMIF('Consolidado Costos'!$K$6:$K$158,$C177,'Consolidado Costos'!AF$6:AF$158)</f>
        <v>0</v>
      </c>
      <c r="I177" s="318">
        <f>+SUMIF('Consolidado Costos'!$K$6:$K$158,$C177,'Consolidado Costos'!AG$6:AG$158)</f>
        <v>0</v>
      </c>
      <c r="J177" s="318">
        <f>+SUMIF('Consolidado Costos'!$K$6:$K$158,$C177,'Consolidado Costos'!AH$6:AH$158)</f>
        <v>0</v>
      </c>
      <c r="K177" s="318">
        <f>+SUMIF('Consolidado Costos'!$K$6:$K$158,$C177,'Consolidado Costos'!AI$6:AI$158)</f>
        <v>0</v>
      </c>
      <c r="L177" s="318">
        <f>+SUMIF('Consolidado Costos'!$K$6:$K$158,$C177,'Consolidado Costos'!AJ$6:AJ$158)</f>
        <v>0</v>
      </c>
      <c r="M177" s="318">
        <f>+SUMIF('Consolidado Costos'!$K$6:$K$158,$C177,'Consolidado Costos'!AK$6:AK$158)</f>
        <v>0</v>
      </c>
      <c r="N177" s="318">
        <f>+SUMIF('Consolidado Costos'!$K$6:$K$158,$C177,'Consolidado Costos'!AL$6:AL$158)</f>
        <v>0</v>
      </c>
      <c r="O177" s="318">
        <f>+SUMIF('Consolidado Costos'!$K$6:$K$158,$C177,'Consolidado Costos'!AM$6:AM$158)</f>
        <v>0</v>
      </c>
      <c r="P177" s="318">
        <f>+SUMIF('Consolidado Costos'!$K$6:$K$158,$C177,'Consolidado Costos'!AN$6:AN$158)</f>
        <v>0</v>
      </c>
      <c r="Q177" s="318">
        <f>+SUMIF('Consolidado Costos'!$K$6:$K$158,$C177,'Consolidado Costos'!AO$6:AO$158)</f>
        <v>0</v>
      </c>
      <c r="R177" s="318">
        <f>+SUMIF('Consolidado Costos'!$K$6:$K$158,$C177,'Consolidado Costos'!AP$6:AP$158)</f>
        <v>0</v>
      </c>
      <c r="S177" s="357">
        <f t="shared" si="50"/>
        <v>1</v>
      </c>
      <c r="U177" s="327"/>
      <c r="V177" s="328" t="s">
        <v>580</v>
      </c>
      <c r="W177" s="328" t="s">
        <v>581</v>
      </c>
      <c r="X177" s="329"/>
      <c r="Y177" s="354">
        <f t="shared" si="46"/>
        <v>0</v>
      </c>
      <c r="Z177" s="318" cm="1">
        <f t="array" ref="Z177">+SUMPRODUCT(IF('Consolidado Costos'!$K$6:$K$158=$V177,('Consolidado Costos'!AE$6:AE$158*'Consolidado Costos'!$D$6:$D$158),0))</f>
        <v>0</v>
      </c>
      <c r="AA177" s="318" cm="1">
        <f t="array" ref="AA177">+SUMPRODUCT(IF('Consolidado Costos'!$K$6:$K$158=$V177,('Consolidado Costos'!AF$6:AF$158*'Consolidado Costos'!$D$6:$D$158),0))</f>
        <v>0</v>
      </c>
      <c r="AB177" s="318" cm="1">
        <f t="array" ref="AB177">+SUMPRODUCT(IF('Consolidado Costos'!$K$6:$K$158=$V177,('Consolidado Costos'!AG$6:AG$158*'Consolidado Costos'!$D$6:$D$158),0))</f>
        <v>0</v>
      </c>
      <c r="AC177" s="318" cm="1">
        <f t="array" ref="AC177">+SUMPRODUCT(IF('Consolidado Costos'!$K$6:$K$158=$V177,('Consolidado Costos'!AH$6:AH$158*'Consolidado Costos'!$D$6:$D$158),0))</f>
        <v>0</v>
      </c>
      <c r="AD177" s="318" cm="1">
        <f t="array" ref="AD177">+SUMPRODUCT(IF('Consolidado Costos'!$K$6:$K$158=$V177,('Consolidado Costos'!AI$6:AI$158*'Consolidado Costos'!$D$6:$D$158),0))</f>
        <v>0</v>
      </c>
      <c r="AE177" s="318" cm="1">
        <f t="array" ref="AE177">+SUMPRODUCT(IF('Consolidado Costos'!$K$6:$K$158=$V177,('Consolidado Costos'!AJ$6:AJ$158*'Consolidado Costos'!$D$6:$D$158),0))</f>
        <v>0</v>
      </c>
      <c r="AF177" s="318" cm="1">
        <f t="array" ref="AF177">+SUMPRODUCT(IF('Consolidado Costos'!$K$6:$K$158=$V177,('Consolidado Costos'!AK$6:AK$158*'Consolidado Costos'!$D$6:$D$158),0))</f>
        <v>0</v>
      </c>
      <c r="AG177" s="318" cm="1">
        <f t="array" ref="AG177">+SUMPRODUCT(IF('Consolidado Costos'!$K$6:$K$158=$V177,('Consolidado Costos'!AL$6:AL$158*'Consolidado Costos'!$D$6:$D$158),0))</f>
        <v>0</v>
      </c>
      <c r="AH177" s="318" cm="1">
        <f t="array" ref="AH177">+SUMPRODUCT(IF('Consolidado Costos'!$K$6:$K$158=$V177,('Consolidado Costos'!AM$6:AM$158*'Consolidado Costos'!$D$6:$D$158),0))</f>
        <v>0</v>
      </c>
      <c r="AI177" s="318" cm="1">
        <f t="array" ref="AI177">+SUMPRODUCT(IF('Consolidado Costos'!$K$6:$K$158=$V177,('Consolidado Costos'!AN$6:AN$158*'Consolidado Costos'!$D$6:$D$158),0))</f>
        <v>0</v>
      </c>
      <c r="AJ177" s="318" cm="1">
        <f t="array" ref="AJ177">+SUMPRODUCT(IF('Consolidado Costos'!$K$6:$K$158=$V177,('Consolidado Costos'!AO$6:AO$158*'Consolidado Costos'!$D$6:$D$158),0))</f>
        <v>0</v>
      </c>
      <c r="AK177" s="318" cm="1">
        <f t="array" ref="AK177">+SUMPRODUCT(IF('Consolidado Costos'!$K$6:$K$158=$V177,('Consolidado Costos'!AP$6:AP$158*'Consolidado Costos'!$D$6:$D$158),0))</f>
        <v>0</v>
      </c>
      <c r="AM177" s="327"/>
      <c r="AN177" s="328" t="s">
        <v>580</v>
      </c>
      <c r="AO177" s="328" t="s">
        <v>581</v>
      </c>
      <c r="AP177" s="329"/>
      <c r="AQ177" s="354">
        <f t="shared" si="47"/>
        <v>0</v>
      </c>
      <c r="AR177" s="318" cm="1">
        <f t="array" ref="AR177">+SUMPRODUCT(IF('Consolidado Costos'!$K$6:$K$158=$AN177,('Consolidado Costos'!AE$6:AE$158*'Consolidado Costos'!$E$6:$E$158),0))</f>
        <v>0</v>
      </c>
      <c r="AS177" s="318" cm="1">
        <f t="array" ref="AS177">+SUMPRODUCT(IF('Consolidado Costos'!$K$6:$K$158=$AN177,('Consolidado Costos'!AF$6:AF$158*'Consolidado Costos'!$E$6:$E$158),0))</f>
        <v>0</v>
      </c>
      <c r="AT177" s="318" cm="1">
        <f t="array" ref="AT177">+SUMPRODUCT(IF('Consolidado Costos'!$K$6:$K$158=$AN177,('Consolidado Costos'!AG$6:AG$158*'Consolidado Costos'!$E$6:$E$158),0))</f>
        <v>0</v>
      </c>
      <c r="AU177" s="318" cm="1">
        <f t="array" ref="AU177">+SUMPRODUCT(IF('Consolidado Costos'!$K$6:$K$158=$AN177,('Consolidado Costos'!AH$6:AH$158*'Consolidado Costos'!$E$6:$E$158),0))</f>
        <v>0</v>
      </c>
      <c r="AV177" s="318" cm="1">
        <f t="array" ref="AV177">+SUMPRODUCT(IF('Consolidado Costos'!$K$6:$K$158=$AN177,('Consolidado Costos'!AI$6:AI$158*'Consolidado Costos'!$E$6:$E$158),0))</f>
        <v>0</v>
      </c>
      <c r="AW177" s="318" cm="1">
        <f t="array" ref="AW177">+SUMPRODUCT(IF('Consolidado Costos'!$K$6:$K$158=$AN177,('Consolidado Costos'!AJ$6:AJ$158*'Consolidado Costos'!$E$6:$E$158),0))</f>
        <v>0</v>
      </c>
      <c r="AX177" s="318" cm="1">
        <f t="array" ref="AX177">+SUMPRODUCT(IF('Consolidado Costos'!$K$6:$K$158=$AN177,('Consolidado Costos'!AK$6:AK$158*'Consolidado Costos'!$E$6:$E$158),0))</f>
        <v>0</v>
      </c>
      <c r="AY177" s="318" cm="1">
        <f t="array" ref="AY177">+SUMPRODUCT(IF('Consolidado Costos'!$K$6:$K$158=$AN177,('Consolidado Costos'!AL$6:AL$158*'Consolidado Costos'!$E$6:$E$158),0))</f>
        <v>0</v>
      </c>
      <c r="AZ177" s="318" cm="1">
        <f t="array" ref="AZ177">+SUMPRODUCT(IF('Consolidado Costos'!$K$6:$K$158=$AN177,('Consolidado Costos'!AM$6:AM$158*'Consolidado Costos'!$E$6:$E$158),0))</f>
        <v>0</v>
      </c>
      <c r="BA177" s="318" cm="1">
        <f t="array" ref="BA177">+SUMPRODUCT(IF('Consolidado Costos'!$K$6:$K$158=$AN177,('Consolidado Costos'!AN$6:AN$158*'Consolidado Costos'!$E$6:$E$158),0))</f>
        <v>0</v>
      </c>
      <c r="BB177" s="318" cm="1">
        <f t="array" ref="BB177">+SUMPRODUCT(IF('Consolidado Costos'!$K$6:$K$158=$AN177,('Consolidado Costos'!AO$6:AO$158*'Consolidado Costos'!$E$6:$E$158),0))</f>
        <v>0</v>
      </c>
      <c r="BC177" s="318" cm="1">
        <f t="array" ref="BC177">+SUMPRODUCT(IF('Consolidado Costos'!$K$6:$K$158=$AN177,('Consolidado Costos'!AP$6:AP$158*'Consolidado Costos'!$E$6:$E$158),0))</f>
        <v>0</v>
      </c>
      <c r="BE177" s="327"/>
      <c r="BF177" s="328" t="s">
        <v>580</v>
      </c>
      <c r="BG177" s="328" t="s">
        <v>581</v>
      </c>
      <c r="BH177" s="329"/>
      <c r="BI177" s="354">
        <f t="shared" si="48"/>
        <v>0</v>
      </c>
      <c r="BJ177" s="318" cm="1">
        <f t="array" ref="BJ177">+SUMPRODUCT(IF('Consolidado Costos'!$K$6:$K$158=$BF177,('Consolidado Costos'!AE$6:AE$158*'Consolidado Costos'!$F$6:$F$158),0))</f>
        <v>0</v>
      </c>
      <c r="BK177" s="318" cm="1">
        <f t="array" ref="BK177">+SUMPRODUCT(IF('Consolidado Costos'!$K$6:$K$158=$BF177,('Consolidado Costos'!AF$6:AF$158*'Consolidado Costos'!$F$6:$F$158),0))</f>
        <v>0</v>
      </c>
      <c r="BL177" s="318" cm="1">
        <f t="array" ref="BL177">+SUMPRODUCT(IF('Consolidado Costos'!$K$6:$K$158=$BF177,('Consolidado Costos'!AG$6:AG$158*'Consolidado Costos'!$F$6:$F$158),0))</f>
        <v>0</v>
      </c>
      <c r="BM177" s="318" cm="1">
        <f t="array" ref="BM177">+SUMPRODUCT(IF('Consolidado Costos'!$K$6:$K$158=$BF177,('Consolidado Costos'!AH$6:AH$158*'Consolidado Costos'!$F$6:$F$158),0))</f>
        <v>0</v>
      </c>
      <c r="BN177" s="318" cm="1">
        <f t="array" ref="BN177">+SUMPRODUCT(IF('Consolidado Costos'!$K$6:$K$158=$BF177,('Consolidado Costos'!AI$6:AI$158*'Consolidado Costos'!$F$6:$F$158),0))</f>
        <v>0</v>
      </c>
      <c r="BO177" s="318" cm="1">
        <f t="array" ref="BO177">+SUMPRODUCT(IF('Consolidado Costos'!$K$6:$K$158=$BF177,('Consolidado Costos'!AJ$6:AJ$158*'Consolidado Costos'!$F$6:$F$158),0))</f>
        <v>0</v>
      </c>
      <c r="BP177" s="318" cm="1">
        <f t="array" ref="BP177">+SUMPRODUCT(IF('Consolidado Costos'!$K$6:$K$158=$BF177,('Consolidado Costos'!AK$6:AK$158*'Consolidado Costos'!$F$6:$F$158),0))</f>
        <v>0</v>
      </c>
      <c r="BQ177" s="318" cm="1">
        <f t="array" ref="BQ177">+SUMPRODUCT(IF('Consolidado Costos'!$K$6:$K$158=$BF177,('Consolidado Costos'!AL$6:AL$158*'Consolidado Costos'!$F$6:$F$158),0))</f>
        <v>0</v>
      </c>
      <c r="BR177" s="318" cm="1">
        <f t="array" ref="BR177">+SUMPRODUCT(IF('Consolidado Costos'!$K$6:$K$158=$BF177,('Consolidado Costos'!AM$6:AM$158*'Consolidado Costos'!$F$6:$F$158),0))</f>
        <v>0</v>
      </c>
      <c r="BS177" s="318" cm="1">
        <f t="array" ref="BS177">+SUMPRODUCT(IF('Consolidado Costos'!$K$6:$K$158=$BF177,('Consolidado Costos'!AN$6:AN$158*'Consolidado Costos'!$F$6:$F$158),0))</f>
        <v>0</v>
      </c>
      <c r="BT177" s="318" cm="1">
        <f t="array" ref="BT177">+SUMPRODUCT(IF('Consolidado Costos'!$K$6:$K$158=$BF177,('Consolidado Costos'!AO$6:AO$158*'Consolidado Costos'!$F$6:$F$158),0))</f>
        <v>0</v>
      </c>
      <c r="BU177" s="318" cm="1">
        <f t="array" ref="BU177">+SUMPRODUCT(IF('Consolidado Costos'!$K$6:$K$158=$BF177,('Consolidado Costos'!AP$6:AP$158*'Consolidado Costos'!$F$6:$F$158),0))</f>
        <v>0</v>
      </c>
      <c r="BW177" s="327"/>
      <c r="BX177" s="328" t="s">
        <v>580</v>
      </c>
      <c r="BY177" s="328" t="s">
        <v>581</v>
      </c>
      <c r="BZ177" s="329"/>
      <c r="CA177" s="354">
        <f t="shared" si="49"/>
        <v>0</v>
      </c>
      <c r="CB177" s="318" cm="1">
        <f t="array" ref="CB177">+SUMPRODUCT(IF('Consolidado Costos'!$K$6:$K$158=$BX177,('Consolidado Costos'!AE$6:AE$158*'Consolidado Costos'!$G$6:$G$158),0))</f>
        <v>0</v>
      </c>
      <c r="CC177" s="318" cm="1">
        <f t="array" ref="CC177">+SUMPRODUCT(IF('Consolidado Costos'!$K$6:$K$158=$BX177,('Consolidado Costos'!AF$6:AF$158*'Consolidado Costos'!$G$6:$G$158),0))</f>
        <v>0</v>
      </c>
      <c r="CD177" s="318" cm="1">
        <f t="array" ref="CD177">+SUMPRODUCT(IF('Consolidado Costos'!$K$6:$K$158=$BX177,('Consolidado Costos'!AG$6:AG$158*'Consolidado Costos'!$G$6:$G$158),0))</f>
        <v>0</v>
      </c>
      <c r="CE177" s="318" cm="1">
        <f t="array" ref="CE177">+SUMPRODUCT(IF('Consolidado Costos'!$K$6:$K$158=$BX177,('Consolidado Costos'!AH$6:AH$158*'Consolidado Costos'!$G$6:$G$158),0))</f>
        <v>0</v>
      </c>
      <c r="CF177" s="318" cm="1">
        <f t="array" ref="CF177">+SUMPRODUCT(IF('Consolidado Costos'!$K$6:$K$158=$BX177,('Consolidado Costos'!AI$6:AI$158*'Consolidado Costos'!$G$6:$G$158),0))</f>
        <v>0</v>
      </c>
      <c r="CG177" s="318" cm="1">
        <f t="array" ref="CG177">+SUMPRODUCT(IF('Consolidado Costos'!$K$6:$K$158=$BX177,('Consolidado Costos'!AJ$6:AJ$158*'Consolidado Costos'!$G$6:$G$158),0))</f>
        <v>0</v>
      </c>
      <c r="CH177" s="318" cm="1">
        <f t="array" ref="CH177">+SUMPRODUCT(IF('Consolidado Costos'!$K$6:$K$158=$BX177,('Consolidado Costos'!AK$6:AK$158*'Consolidado Costos'!$G$6:$G$158),0))</f>
        <v>0</v>
      </c>
      <c r="CI177" s="318" cm="1">
        <f t="array" ref="CI177">+SUMPRODUCT(IF('Consolidado Costos'!$K$6:$K$158=$BX177,('Consolidado Costos'!AL$6:AL$158*'Consolidado Costos'!$G$6:$G$158),0))</f>
        <v>0</v>
      </c>
      <c r="CJ177" s="318" cm="1">
        <f t="array" ref="CJ177">+SUMPRODUCT(IF('Consolidado Costos'!$K$6:$K$158=$BX177,('Consolidado Costos'!AM$6:AM$158*'Consolidado Costos'!$G$6:$G$158),0))</f>
        <v>0</v>
      </c>
      <c r="CK177" s="318" cm="1">
        <f t="array" ref="CK177">+SUMPRODUCT(IF('Consolidado Costos'!$K$6:$K$158=$BX177,('Consolidado Costos'!AN$6:AN$158*'Consolidado Costos'!$G$6:$G$158),0))</f>
        <v>0</v>
      </c>
      <c r="CL177" s="318" cm="1">
        <f t="array" ref="CL177">+SUMPRODUCT(IF('Consolidado Costos'!$K$6:$K$158=$BX177,('Consolidado Costos'!AO$6:AO$158*'Consolidado Costos'!$G$6:$G$158),0))</f>
        <v>0</v>
      </c>
      <c r="CM177" s="318" cm="1">
        <f t="array" ref="CM177">+SUMPRODUCT(IF('Consolidado Costos'!$K$6:$K$158=$BX177,('Consolidado Costos'!AP$6:AP$158*'Consolidado Costos'!$G$6:$G$158),0))</f>
        <v>0</v>
      </c>
      <c r="CN177" s="357">
        <f t="shared" si="51"/>
        <v>1</v>
      </c>
    </row>
    <row r="178" spans="2:92" s="310" customFormat="1" outlineLevel="1">
      <c r="B178" s="327"/>
      <c r="C178" s="330" t="s">
        <v>582</v>
      </c>
      <c r="D178" s="330" t="s">
        <v>583</v>
      </c>
      <c r="E178" s="329"/>
      <c r="F178" s="318">
        <f>+SUMIF('Consolidado Costos'!$K$6:$K$158,$C178,'Consolidado Costos'!$AD$6:$AD$158)</f>
        <v>0</v>
      </c>
      <c r="G178" s="318">
        <f>+SUMIF('Consolidado Costos'!$K$6:$K$158,$C178,'Consolidado Costos'!AE$6:AE$158)</f>
        <v>0</v>
      </c>
      <c r="H178" s="318">
        <f>+SUMIF('Consolidado Costos'!$K$6:$K$158,$C178,'Consolidado Costos'!AF$6:AF$158)</f>
        <v>0</v>
      </c>
      <c r="I178" s="318">
        <f>+SUMIF('Consolidado Costos'!$K$6:$K$158,$C178,'Consolidado Costos'!AG$6:AG$158)</f>
        <v>0</v>
      </c>
      <c r="J178" s="318">
        <f>+SUMIF('Consolidado Costos'!$K$6:$K$158,$C178,'Consolidado Costos'!AH$6:AH$158)</f>
        <v>0</v>
      </c>
      <c r="K178" s="318">
        <f>+SUMIF('Consolidado Costos'!$K$6:$K$158,$C178,'Consolidado Costos'!AI$6:AI$158)</f>
        <v>0</v>
      </c>
      <c r="L178" s="318">
        <f>+SUMIF('Consolidado Costos'!$K$6:$K$158,$C178,'Consolidado Costos'!AJ$6:AJ$158)</f>
        <v>0</v>
      </c>
      <c r="M178" s="318">
        <f>+SUMIF('Consolidado Costos'!$K$6:$K$158,$C178,'Consolidado Costos'!AK$6:AK$158)</f>
        <v>0</v>
      </c>
      <c r="N178" s="318">
        <f>+SUMIF('Consolidado Costos'!$K$6:$K$158,$C178,'Consolidado Costos'!AL$6:AL$158)</f>
        <v>0</v>
      </c>
      <c r="O178" s="318">
        <f>+SUMIF('Consolidado Costos'!$K$6:$K$158,$C178,'Consolidado Costos'!AM$6:AM$158)</f>
        <v>0</v>
      </c>
      <c r="P178" s="318">
        <f>+SUMIF('Consolidado Costos'!$K$6:$K$158,$C178,'Consolidado Costos'!AN$6:AN$158)</f>
        <v>0</v>
      </c>
      <c r="Q178" s="318">
        <f>+SUMIF('Consolidado Costos'!$K$6:$K$158,$C178,'Consolidado Costos'!AO$6:AO$158)</f>
        <v>0</v>
      </c>
      <c r="R178" s="318">
        <f>+SUMIF('Consolidado Costos'!$K$6:$K$158,$C178,'Consolidado Costos'!AP$6:AP$158)</f>
        <v>0</v>
      </c>
      <c r="S178" s="357">
        <f t="shared" si="50"/>
        <v>1</v>
      </c>
      <c r="U178" s="327"/>
      <c r="V178" s="330" t="s">
        <v>582</v>
      </c>
      <c r="W178" s="330" t="s">
        <v>583</v>
      </c>
      <c r="X178" s="329"/>
      <c r="Y178" s="354">
        <f t="shared" si="46"/>
        <v>0</v>
      </c>
      <c r="Z178" s="318" cm="1">
        <f t="array" ref="Z178">+SUMPRODUCT(IF('Consolidado Costos'!$K$6:$K$158=$V178,('Consolidado Costos'!AE$6:AE$158*'Consolidado Costos'!$D$6:$D$158),0))</f>
        <v>0</v>
      </c>
      <c r="AA178" s="318" cm="1">
        <f t="array" ref="AA178">+SUMPRODUCT(IF('Consolidado Costos'!$K$6:$K$158=$V178,('Consolidado Costos'!AF$6:AF$158*'Consolidado Costos'!$D$6:$D$158),0))</f>
        <v>0</v>
      </c>
      <c r="AB178" s="318" cm="1">
        <f t="array" ref="AB178">+SUMPRODUCT(IF('Consolidado Costos'!$K$6:$K$158=$V178,('Consolidado Costos'!AG$6:AG$158*'Consolidado Costos'!$D$6:$D$158),0))</f>
        <v>0</v>
      </c>
      <c r="AC178" s="318" cm="1">
        <f t="array" ref="AC178">+SUMPRODUCT(IF('Consolidado Costos'!$K$6:$K$158=$V178,('Consolidado Costos'!AH$6:AH$158*'Consolidado Costos'!$D$6:$D$158),0))</f>
        <v>0</v>
      </c>
      <c r="AD178" s="318" cm="1">
        <f t="array" ref="AD178">+SUMPRODUCT(IF('Consolidado Costos'!$K$6:$K$158=$V178,('Consolidado Costos'!AI$6:AI$158*'Consolidado Costos'!$D$6:$D$158),0))</f>
        <v>0</v>
      </c>
      <c r="AE178" s="318" cm="1">
        <f t="array" ref="AE178">+SUMPRODUCT(IF('Consolidado Costos'!$K$6:$K$158=$V178,('Consolidado Costos'!AJ$6:AJ$158*'Consolidado Costos'!$D$6:$D$158),0))</f>
        <v>0</v>
      </c>
      <c r="AF178" s="318" cm="1">
        <f t="array" ref="AF178">+SUMPRODUCT(IF('Consolidado Costos'!$K$6:$K$158=$V178,('Consolidado Costos'!AK$6:AK$158*'Consolidado Costos'!$D$6:$D$158),0))</f>
        <v>0</v>
      </c>
      <c r="AG178" s="318" cm="1">
        <f t="array" ref="AG178">+SUMPRODUCT(IF('Consolidado Costos'!$K$6:$K$158=$V178,('Consolidado Costos'!AL$6:AL$158*'Consolidado Costos'!$D$6:$D$158),0))</f>
        <v>0</v>
      </c>
      <c r="AH178" s="318" cm="1">
        <f t="array" ref="AH178">+SUMPRODUCT(IF('Consolidado Costos'!$K$6:$K$158=$V178,('Consolidado Costos'!AM$6:AM$158*'Consolidado Costos'!$D$6:$D$158),0))</f>
        <v>0</v>
      </c>
      <c r="AI178" s="318" cm="1">
        <f t="array" ref="AI178">+SUMPRODUCT(IF('Consolidado Costos'!$K$6:$K$158=$V178,('Consolidado Costos'!AN$6:AN$158*'Consolidado Costos'!$D$6:$D$158),0))</f>
        <v>0</v>
      </c>
      <c r="AJ178" s="318" cm="1">
        <f t="array" ref="AJ178">+SUMPRODUCT(IF('Consolidado Costos'!$K$6:$K$158=$V178,('Consolidado Costos'!AO$6:AO$158*'Consolidado Costos'!$D$6:$D$158),0))</f>
        <v>0</v>
      </c>
      <c r="AK178" s="318" cm="1">
        <f t="array" ref="AK178">+SUMPRODUCT(IF('Consolidado Costos'!$K$6:$K$158=$V178,('Consolidado Costos'!AP$6:AP$158*'Consolidado Costos'!$D$6:$D$158),0))</f>
        <v>0</v>
      </c>
      <c r="AM178" s="327"/>
      <c r="AN178" s="330" t="s">
        <v>582</v>
      </c>
      <c r="AO178" s="330" t="s">
        <v>583</v>
      </c>
      <c r="AP178" s="329"/>
      <c r="AQ178" s="354">
        <f t="shared" si="47"/>
        <v>0</v>
      </c>
      <c r="AR178" s="318" cm="1">
        <f t="array" ref="AR178">+SUMPRODUCT(IF('Consolidado Costos'!$K$6:$K$158=$AN178,('Consolidado Costos'!AE$6:AE$158*'Consolidado Costos'!$E$6:$E$158),0))</f>
        <v>0</v>
      </c>
      <c r="AS178" s="318" cm="1">
        <f t="array" ref="AS178">+SUMPRODUCT(IF('Consolidado Costos'!$K$6:$K$158=$AN178,('Consolidado Costos'!AF$6:AF$158*'Consolidado Costos'!$E$6:$E$158),0))</f>
        <v>0</v>
      </c>
      <c r="AT178" s="318" cm="1">
        <f t="array" ref="AT178">+SUMPRODUCT(IF('Consolidado Costos'!$K$6:$K$158=$AN178,('Consolidado Costos'!AG$6:AG$158*'Consolidado Costos'!$E$6:$E$158),0))</f>
        <v>0</v>
      </c>
      <c r="AU178" s="318" cm="1">
        <f t="array" ref="AU178">+SUMPRODUCT(IF('Consolidado Costos'!$K$6:$K$158=$AN178,('Consolidado Costos'!AH$6:AH$158*'Consolidado Costos'!$E$6:$E$158),0))</f>
        <v>0</v>
      </c>
      <c r="AV178" s="318" cm="1">
        <f t="array" ref="AV178">+SUMPRODUCT(IF('Consolidado Costos'!$K$6:$K$158=$AN178,('Consolidado Costos'!AI$6:AI$158*'Consolidado Costos'!$E$6:$E$158),0))</f>
        <v>0</v>
      </c>
      <c r="AW178" s="318" cm="1">
        <f t="array" ref="AW178">+SUMPRODUCT(IF('Consolidado Costos'!$K$6:$K$158=$AN178,('Consolidado Costos'!AJ$6:AJ$158*'Consolidado Costos'!$E$6:$E$158),0))</f>
        <v>0</v>
      </c>
      <c r="AX178" s="318" cm="1">
        <f t="array" ref="AX178">+SUMPRODUCT(IF('Consolidado Costos'!$K$6:$K$158=$AN178,('Consolidado Costos'!AK$6:AK$158*'Consolidado Costos'!$E$6:$E$158),0))</f>
        <v>0</v>
      </c>
      <c r="AY178" s="318" cm="1">
        <f t="array" ref="AY178">+SUMPRODUCT(IF('Consolidado Costos'!$K$6:$K$158=$AN178,('Consolidado Costos'!AL$6:AL$158*'Consolidado Costos'!$E$6:$E$158),0))</f>
        <v>0</v>
      </c>
      <c r="AZ178" s="318" cm="1">
        <f t="array" ref="AZ178">+SUMPRODUCT(IF('Consolidado Costos'!$K$6:$K$158=$AN178,('Consolidado Costos'!AM$6:AM$158*'Consolidado Costos'!$E$6:$E$158),0))</f>
        <v>0</v>
      </c>
      <c r="BA178" s="318" cm="1">
        <f t="array" ref="BA178">+SUMPRODUCT(IF('Consolidado Costos'!$K$6:$K$158=$AN178,('Consolidado Costos'!AN$6:AN$158*'Consolidado Costos'!$E$6:$E$158),0))</f>
        <v>0</v>
      </c>
      <c r="BB178" s="318" cm="1">
        <f t="array" ref="BB178">+SUMPRODUCT(IF('Consolidado Costos'!$K$6:$K$158=$AN178,('Consolidado Costos'!AO$6:AO$158*'Consolidado Costos'!$E$6:$E$158),0))</f>
        <v>0</v>
      </c>
      <c r="BC178" s="318" cm="1">
        <f t="array" ref="BC178">+SUMPRODUCT(IF('Consolidado Costos'!$K$6:$K$158=$AN178,('Consolidado Costos'!AP$6:AP$158*'Consolidado Costos'!$E$6:$E$158),0))</f>
        <v>0</v>
      </c>
      <c r="BE178" s="327"/>
      <c r="BF178" s="330" t="s">
        <v>582</v>
      </c>
      <c r="BG178" s="330" t="s">
        <v>583</v>
      </c>
      <c r="BH178" s="329"/>
      <c r="BI178" s="354">
        <f t="shared" si="48"/>
        <v>0</v>
      </c>
      <c r="BJ178" s="318" cm="1">
        <f t="array" ref="BJ178">+SUMPRODUCT(IF('Consolidado Costos'!$K$6:$K$158=$BF178,('Consolidado Costos'!AE$6:AE$158*'Consolidado Costos'!$F$6:$F$158),0))</f>
        <v>0</v>
      </c>
      <c r="BK178" s="318" cm="1">
        <f t="array" ref="BK178">+SUMPRODUCT(IF('Consolidado Costos'!$K$6:$K$158=$BF178,('Consolidado Costos'!AF$6:AF$158*'Consolidado Costos'!$F$6:$F$158),0))</f>
        <v>0</v>
      </c>
      <c r="BL178" s="318" cm="1">
        <f t="array" ref="BL178">+SUMPRODUCT(IF('Consolidado Costos'!$K$6:$K$158=$BF178,('Consolidado Costos'!AG$6:AG$158*'Consolidado Costos'!$F$6:$F$158),0))</f>
        <v>0</v>
      </c>
      <c r="BM178" s="318" cm="1">
        <f t="array" ref="BM178">+SUMPRODUCT(IF('Consolidado Costos'!$K$6:$K$158=$BF178,('Consolidado Costos'!AH$6:AH$158*'Consolidado Costos'!$F$6:$F$158),0))</f>
        <v>0</v>
      </c>
      <c r="BN178" s="318" cm="1">
        <f t="array" ref="BN178">+SUMPRODUCT(IF('Consolidado Costos'!$K$6:$K$158=$BF178,('Consolidado Costos'!AI$6:AI$158*'Consolidado Costos'!$F$6:$F$158),0))</f>
        <v>0</v>
      </c>
      <c r="BO178" s="318" cm="1">
        <f t="array" ref="BO178">+SUMPRODUCT(IF('Consolidado Costos'!$K$6:$K$158=$BF178,('Consolidado Costos'!AJ$6:AJ$158*'Consolidado Costos'!$F$6:$F$158),0))</f>
        <v>0</v>
      </c>
      <c r="BP178" s="318" cm="1">
        <f t="array" ref="BP178">+SUMPRODUCT(IF('Consolidado Costos'!$K$6:$K$158=$BF178,('Consolidado Costos'!AK$6:AK$158*'Consolidado Costos'!$F$6:$F$158),0))</f>
        <v>0</v>
      </c>
      <c r="BQ178" s="318" cm="1">
        <f t="array" ref="BQ178">+SUMPRODUCT(IF('Consolidado Costos'!$K$6:$K$158=$BF178,('Consolidado Costos'!AL$6:AL$158*'Consolidado Costos'!$F$6:$F$158),0))</f>
        <v>0</v>
      </c>
      <c r="BR178" s="318" cm="1">
        <f t="array" ref="BR178">+SUMPRODUCT(IF('Consolidado Costos'!$K$6:$K$158=$BF178,('Consolidado Costos'!AM$6:AM$158*'Consolidado Costos'!$F$6:$F$158),0))</f>
        <v>0</v>
      </c>
      <c r="BS178" s="318" cm="1">
        <f t="array" ref="BS178">+SUMPRODUCT(IF('Consolidado Costos'!$K$6:$K$158=$BF178,('Consolidado Costos'!AN$6:AN$158*'Consolidado Costos'!$F$6:$F$158),0))</f>
        <v>0</v>
      </c>
      <c r="BT178" s="318" cm="1">
        <f t="array" ref="BT178">+SUMPRODUCT(IF('Consolidado Costos'!$K$6:$K$158=$BF178,('Consolidado Costos'!AO$6:AO$158*'Consolidado Costos'!$F$6:$F$158),0))</f>
        <v>0</v>
      </c>
      <c r="BU178" s="318" cm="1">
        <f t="array" ref="BU178">+SUMPRODUCT(IF('Consolidado Costos'!$K$6:$K$158=$BF178,('Consolidado Costos'!AP$6:AP$158*'Consolidado Costos'!$F$6:$F$158),0))</f>
        <v>0</v>
      </c>
      <c r="BW178" s="327"/>
      <c r="BX178" s="330" t="s">
        <v>582</v>
      </c>
      <c r="BY178" s="330" t="s">
        <v>583</v>
      </c>
      <c r="BZ178" s="329"/>
      <c r="CA178" s="354">
        <f t="shared" si="49"/>
        <v>0</v>
      </c>
      <c r="CB178" s="318" cm="1">
        <f t="array" ref="CB178">+SUMPRODUCT(IF('Consolidado Costos'!$K$6:$K$158=$BX178,('Consolidado Costos'!AE$6:AE$158*'Consolidado Costos'!$G$6:$G$158),0))</f>
        <v>0</v>
      </c>
      <c r="CC178" s="318" cm="1">
        <f t="array" ref="CC178">+SUMPRODUCT(IF('Consolidado Costos'!$K$6:$K$158=$BX178,('Consolidado Costos'!AF$6:AF$158*'Consolidado Costos'!$G$6:$G$158),0))</f>
        <v>0</v>
      </c>
      <c r="CD178" s="318" cm="1">
        <f t="array" ref="CD178">+SUMPRODUCT(IF('Consolidado Costos'!$K$6:$K$158=$BX178,('Consolidado Costos'!AG$6:AG$158*'Consolidado Costos'!$G$6:$G$158),0))</f>
        <v>0</v>
      </c>
      <c r="CE178" s="318" cm="1">
        <f t="array" ref="CE178">+SUMPRODUCT(IF('Consolidado Costos'!$K$6:$K$158=$BX178,('Consolidado Costos'!AH$6:AH$158*'Consolidado Costos'!$G$6:$G$158),0))</f>
        <v>0</v>
      </c>
      <c r="CF178" s="318" cm="1">
        <f t="array" ref="CF178">+SUMPRODUCT(IF('Consolidado Costos'!$K$6:$K$158=$BX178,('Consolidado Costos'!AI$6:AI$158*'Consolidado Costos'!$G$6:$G$158),0))</f>
        <v>0</v>
      </c>
      <c r="CG178" s="318" cm="1">
        <f t="array" ref="CG178">+SUMPRODUCT(IF('Consolidado Costos'!$K$6:$K$158=$BX178,('Consolidado Costos'!AJ$6:AJ$158*'Consolidado Costos'!$G$6:$G$158),0))</f>
        <v>0</v>
      </c>
      <c r="CH178" s="318" cm="1">
        <f t="array" ref="CH178">+SUMPRODUCT(IF('Consolidado Costos'!$K$6:$K$158=$BX178,('Consolidado Costos'!AK$6:AK$158*'Consolidado Costos'!$G$6:$G$158),0))</f>
        <v>0</v>
      </c>
      <c r="CI178" s="318" cm="1">
        <f t="array" ref="CI178">+SUMPRODUCT(IF('Consolidado Costos'!$K$6:$K$158=$BX178,('Consolidado Costos'!AL$6:AL$158*'Consolidado Costos'!$G$6:$G$158),0))</f>
        <v>0</v>
      </c>
      <c r="CJ178" s="318" cm="1">
        <f t="array" ref="CJ178">+SUMPRODUCT(IF('Consolidado Costos'!$K$6:$K$158=$BX178,('Consolidado Costos'!AM$6:AM$158*'Consolidado Costos'!$G$6:$G$158),0))</f>
        <v>0</v>
      </c>
      <c r="CK178" s="318" cm="1">
        <f t="array" ref="CK178">+SUMPRODUCT(IF('Consolidado Costos'!$K$6:$K$158=$BX178,('Consolidado Costos'!AN$6:AN$158*'Consolidado Costos'!$G$6:$G$158),0))</f>
        <v>0</v>
      </c>
      <c r="CL178" s="318" cm="1">
        <f t="array" ref="CL178">+SUMPRODUCT(IF('Consolidado Costos'!$K$6:$K$158=$BX178,('Consolidado Costos'!AO$6:AO$158*'Consolidado Costos'!$G$6:$G$158),0))</f>
        <v>0</v>
      </c>
      <c r="CM178" s="318" cm="1">
        <f t="array" ref="CM178">+SUMPRODUCT(IF('Consolidado Costos'!$K$6:$K$158=$BX178,('Consolidado Costos'!AP$6:AP$158*'Consolidado Costos'!$G$6:$G$158),0))</f>
        <v>0</v>
      </c>
      <c r="CN178" s="357">
        <f t="shared" si="51"/>
        <v>1</v>
      </c>
    </row>
    <row r="179" spans="2:92" s="310" customFormat="1" outlineLevel="1">
      <c r="B179" s="327"/>
      <c r="C179" s="330" t="s">
        <v>584</v>
      </c>
      <c r="D179" s="330" t="s">
        <v>585</v>
      </c>
      <c r="E179" s="329"/>
      <c r="F179" s="318">
        <f>+SUMIF('Consolidado Costos'!$K$6:$K$158,$C179,'Consolidado Costos'!$AD$6:$AD$158)</f>
        <v>0</v>
      </c>
      <c r="G179" s="318">
        <f>+SUMIF('Consolidado Costos'!$K$6:$K$158,$C179,'Consolidado Costos'!AE$6:AE$158)</f>
        <v>0</v>
      </c>
      <c r="H179" s="318">
        <f>+SUMIF('Consolidado Costos'!$K$6:$K$158,$C179,'Consolidado Costos'!AF$6:AF$158)</f>
        <v>0</v>
      </c>
      <c r="I179" s="318">
        <f>+SUMIF('Consolidado Costos'!$K$6:$K$158,$C179,'Consolidado Costos'!AG$6:AG$158)</f>
        <v>0</v>
      </c>
      <c r="J179" s="318">
        <f>+SUMIF('Consolidado Costos'!$K$6:$K$158,$C179,'Consolidado Costos'!AH$6:AH$158)</f>
        <v>0</v>
      </c>
      <c r="K179" s="318">
        <f>+SUMIF('Consolidado Costos'!$K$6:$K$158,$C179,'Consolidado Costos'!AI$6:AI$158)</f>
        <v>0</v>
      </c>
      <c r="L179" s="318">
        <f>+SUMIF('Consolidado Costos'!$K$6:$K$158,$C179,'Consolidado Costos'!AJ$6:AJ$158)</f>
        <v>0</v>
      </c>
      <c r="M179" s="318">
        <f>+SUMIF('Consolidado Costos'!$K$6:$K$158,$C179,'Consolidado Costos'!AK$6:AK$158)</f>
        <v>0</v>
      </c>
      <c r="N179" s="318">
        <f>+SUMIF('Consolidado Costos'!$K$6:$K$158,$C179,'Consolidado Costos'!AL$6:AL$158)</f>
        <v>0</v>
      </c>
      <c r="O179" s="318">
        <f>+SUMIF('Consolidado Costos'!$K$6:$K$158,$C179,'Consolidado Costos'!AM$6:AM$158)</f>
        <v>0</v>
      </c>
      <c r="P179" s="318">
        <f>+SUMIF('Consolidado Costos'!$K$6:$K$158,$C179,'Consolidado Costos'!AN$6:AN$158)</f>
        <v>0</v>
      </c>
      <c r="Q179" s="318">
        <f>+SUMIF('Consolidado Costos'!$K$6:$K$158,$C179,'Consolidado Costos'!AO$6:AO$158)</f>
        <v>0</v>
      </c>
      <c r="R179" s="318">
        <f>+SUMIF('Consolidado Costos'!$K$6:$K$158,$C179,'Consolidado Costos'!AP$6:AP$158)</f>
        <v>0</v>
      </c>
      <c r="S179" s="357">
        <f t="shared" si="50"/>
        <v>1</v>
      </c>
      <c r="U179" s="327"/>
      <c r="V179" s="330" t="s">
        <v>584</v>
      </c>
      <c r="W179" s="330" t="s">
        <v>585</v>
      </c>
      <c r="X179" s="329"/>
      <c r="Y179" s="354">
        <f t="shared" si="46"/>
        <v>0</v>
      </c>
      <c r="Z179" s="318" cm="1">
        <f t="array" ref="Z179">+SUMPRODUCT(IF('Consolidado Costos'!$K$6:$K$158=$V179,('Consolidado Costos'!AE$6:AE$158*'Consolidado Costos'!$D$6:$D$158),0))</f>
        <v>0</v>
      </c>
      <c r="AA179" s="318" cm="1">
        <f t="array" ref="AA179">+SUMPRODUCT(IF('Consolidado Costos'!$K$6:$K$158=$V179,('Consolidado Costos'!AF$6:AF$158*'Consolidado Costos'!$D$6:$D$158),0))</f>
        <v>0</v>
      </c>
      <c r="AB179" s="318" cm="1">
        <f t="array" ref="AB179">+SUMPRODUCT(IF('Consolidado Costos'!$K$6:$K$158=$V179,('Consolidado Costos'!AG$6:AG$158*'Consolidado Costos'!$D$6:$D$158),0))</f>
        <v>0</v>
      </c>
      <c r="AC179" s="318" cm="1">
        <f t="array" ref="AC179">+SUMPRODUCT(IF('Consolidado Costos'!$K$6:$K$158=$V179,('Consolidado Costos'!AH$6:AH$158*'Consolidado Costos'!$D$6:$D$158),0))</f>
        <v>0</v>
      </c>
      <c r="AD179" s="318" cm="1">
        <f t="array" ref="AD179">+SUMPRODUCT(IF('Consolidado Costos'!$K$6:$K$158=$V179,('Consolidado Costos'!AI$6:AI$158*'Consolidado Costos'!$D$6:$D$158),0))</f>
        <v>0</v>
      </c>
      <c r="AE179" s="318" cm="1">
        <f t="array" ref="AE179">+SUMPRODUCT(IF('Consolidado Costos'!$K$6:$K$158=$V179,('Consolidado Costos'!AJ$6:AJ$158*'Consolidado Costos'!$D$6:$D$158),0))</f>
        <v>0</v>
      </c>
      <c r="AF179" s="318" cm="1">
        <f t="array" ref="AF179">+SUMPRODUCT(IF('Consolidado Costos'!$K$6:$K$158=$V179,('Consolidado Costos'!AK$6:AK$158*'Consolidado Costos'!$D$6:$D$158),0))</f>
        <v>0</v>
      </c>
      <c r="AG179" s="318" cm="1">
        <f t="array" ref="AG179">+SUMPRODUCT(IF('Consolidado Costos'!$K$6:$K$158=$V179,('Consolidado Costos'!AL$6:AL$158*'Consolidado Costos'!$D$6:$D$158),0))</f>
        <v>0</v>
      </c>
      <c r="AH179" s="318" cm="1">
        <f t="array" ref="AH179">+SUMPRODUCT(IF('Consolidado Costos'!$K$6:$K$158=$V179,('Consolidado Costos'!AM$6:AM$158*'Consolidado Costos'!$D$6:$D$158),0))</f>
        <v>0</v>
      </c>
      <c r="AI179" s="318" cm="1">
        <f t="array" ref="AI179">+SUMPRODUCT(IF('Consolidado Costos'!$K$6:$K$158=$V179,('Consolidado Costos'!AN$6:AN$158*'Consolidado Costos'!$D$6:$D$158),0))</f>
        <v>0</v>
      </c>
      <c r="AJ179" s="318" cm="1">
        <f t="array" ref="AJ179">+SUMPRODUCT(IF('Consolidado Costos'!$K$6:$K$158=$V179,('Consolidado Costos'!AO$6:AO$158*'Consolidado Costos'!$D$6:$D$158),0))</f>
        <v>0</v>
      </c>
      <c r="AK179" s="318" cm="1">
        <f t="array" ref="AK179">+SUMPRODUCT(IF('Consolidado Costos'!$K$6:$K$158=$V179,('Consolidado Costos'!AP$6:AP$158*'Consolidado Costos'!$D$6:$D$158),0))</f>
        <v>0</v>
      </c>
      <c r="AM179" s="327"/>
      <c r="AN179" s="330" t="s">
        <v>584</v>
      </c>
      <c r="AO179" s="330" t="s">
        <v>585</v>
      </c>
      <c r="AP179" s="329"/>
      <c r="AQ179" s="354">
        <f t="shared" si="47"/>
        <v>0</v>
      </c>
      <c r="AR179" s="318" cm="1">
        <f t="array" ref="AR179">+SUMPRODUCT(IF('Consolidado Costos'!$K$6:$K$158=$AN179,('Consolidado Costos'!AE$6:AE$158*'Consolidado Costos'!$E$6:$E$158),0))</f>
        <v>0</v>
      </c>
      <c r="AS179" s="318" cm="1">
        <f t="array" ref="AS179">+SUMPRODUCT(IF('Consolidado Costos'!$K$6:$K$158=$AN179,('Consolidado Costos'!AF$6:AF$158*'Consolidado Costos'!$E$6:$E$158),0))</f>
        <v>0</v>
      </c>
      <c r="AT179" s="318" cm="1">
        <f t="array" ref="AT179">+SUMPRODUCT(IF('Consolidado Costos'!$K$6:$K$158=$AN179,('Consolidado Costos'!AG$6:AG$158*'Consolidado Costos'!$E$6:$E$158),0))</f>
        <v>0</v>
      </c>
      <c r="AU179" s="318" cm="1">
        <f t="array" ref="AU179">+SUMPRODUCT(IF('Consolidado Costos'!$K$6:$K$158=$AN179,('Consolidado Costos'!AH$6:AH$158*'Consolidado Costos'!$E$6:$E$158),0))</f>
        <v>0</v>
      </c>
      <c r="AV179" s="318" cm="1">
        <f t="array" ref="AV179">+SUMPRODUCT(IF('Consolidado Costos'!$K$6:$K$158=$AN179,('Consolidado Costos'!AI$6:AI$158*'Consolidado Costos'!$E$6:$E$158),0))</f>
        <v>0</v>
      </c>
      <c r="AW179" s="318" cm="1">
        <f t="array" ref="AW179">+SUMPRODUCT(IF('Consolidado Costos'!$K$6:$K$158=$AN179,('Consolidado Costos'!AJ$6:AJ$158*'Consolidado Costos'!$E$6:$E$158),0))</f>
        <v>0</v>
      </c>
      <c r="AX179" s="318" cm="1">
        <f t="array" ref="AX179">+SUMPRODUCT(IF('Consolidado Costos'!$K$6:$K$158=$AN179,('Consolidado Costos'!AK$6:AK$158*'Consolidado Costos'!$E$6:$E$158),0))</f>
        <v>0</v>
      </c>
      <c r="AY179" s="318" cm="1">
        <f t="array" ref="AY179">+SUMPRODUCT(IF('Consolidado Costos'!$K$6:$K$158=$AN179,('Consolidado Costos'!AL$6:AL$158*'Consolidado Costos'!$E$6:$E$158),0))</f>
        <v>0</v>
      </c>
      <c r="AZ179" s="318" cm="1">
        <f t="array" ref="AZ179">+SUMPRODUCT(IF('Consolidado Costos'!$K$6:$K$158=$AN179,('Consolidado Costos'!AM$6:AM$158*'Consolidado Costos'!$E$6:$E$158),0))</f>
        <v>0</v>
      </c>
      <c r="BA179" s="318" cm="1">
        <f t="array" ref="BA179">+SUMPRODUCT(IF('Consolidado Costos'!$K$6:$K$158=$AN179,('Consolidado Costos'!AN$6:AN$158*'Consolidado Costos'!$E$6:$E$158),0))</f>
        <v>0</v>
      </c>
      <c r="BB179" s="318" cm="1">
        <f t="array" ref="BB179">+SUMPRODUCT(IF('Consolidado Costos'!$K$6:$K$158=$AN179,('Consolidado Costos'!AO$6:AO$158*'Consolidado Costos'!$E$6:$E$158),0))</f>
        <v>0</v>
      </c>
      <c r="BC179" s="318" cm="1">
        <f t="array" ref="BC179">+SUMPRODUCT(IF('Consolidado Costos'!$K$6:$K$158=$AN179,('Consolidado Costos'!AP$6:AP$158*'Consolidado Costos'!$E$6:$E$158),0))</f>
        <v>0</v>
      </c>
      <c r="BE179" s="327"/>
      <c r="BF179" s="330" t="s">
        <v>584</v>
      </c>
      <c r="BG179" s="330" t="s">
        <v>585</v>
      </c>
      <c r="BH179" s="329"/>
      <c r="BI179" s="354">
        <f t="shared" si="48"/>
        <v>0</v>
      </c>
      <c r="BJ179" s="318" cm="1">
        <f t="array" ref="BJ179">+SUMPRODUCT(IF('Consolidado Costos'!$K$6:$K$158=$BF179,('Consolidado Costos'!AE$6:AE$158*'Consolidado Costos'!$F$6:$F$158),0))</f>
        <v>0</v>
      </c>
      <c r="BK179" s="318" cm="1">
        <f t="array" ref="BK179">+SUMPRODUCT(IF('Consolidado Costos'!$K$6:$K$158=$BF179,('Consolidado Costos'!AF$6:AF$158*'Consolidado Costos'!$F$6:$F$158),0))</f>
        <v>0</v>
      </c>
      <c r="BL179" s="318" cm="1">
        <f t="array" ref="BL179">+SUMPRODUCT(IF('Consolidado Costos'!$K$6:$K$158=$BF179,('Consolidado Costos'!AG$6:AG$158*'Consolidado Costos'!$F$6:$F$158),0))</f>
        <v>0</v>
      </c>
      <c r="BM179" s="318" cm="1">
        <f t="array" ref="BM179">+SUMPRODUCT(IF('Consolidado Costos'!$K$6:$K$158=$BF179,('Consolidado Costos'!AH$6:AH$158*'Consolidado Costos'!$F$6:$F$158),0))</f>
        <v>0</v>
      </c>
      <c r="BN179" s="318" cm="1">
        <f t="array" ref="BN179">+SUMPRODUCT(IF('Consolidado Costos'!$K$6:$K$158=$BF179,('Consolidado Costos'!AI$6:AI$158*'Consolidado Costos'!$F$6:$F$158),0))</f>
        <v>0</v>
      </c>
      <c r="BO179" s="318" cm="1">
        <f t="array" ref="BO179">+SUMPRODUCT(IF('Consolidado Costos'!$K$6:$K$158=$BF179,('Consolidado Costos'!AJ$6:AJ$158*'Consolidado Costos'!$F$6:$F$158),0))</f>
        <v>0</v>
      </c>
      <c r="BP179" s="318" cm="1">
        <f t="array" ref="BP179">+SUMPRODUCT(IF('Consolidado Costos'!$K$6:$K$158=$BF179,('Consolidado Costos'!AK$6:AK$158*'Consolidado Costos'!$F$6:$F$158),0))</f>
        <v>0</v>
      </c>
      <c r="BQ179" s="318" cm="1">
        <f t="array" ref="BQ179">+SUMPRODUCT(IF('Consolidado Costos'!$K$6:$K$158=$BF179,('Consolidado Costos'!AL$6:AL$158*'Consolidado Costos'!$F$6:$F$158),0))</f>
        <v>0</v>
      </c>
      <c r="BR179" s="318" cm="1">
        <f t="array" ref="BR179">+SUMPRODUCT(IF('Consolidado Costos'!$K$6:$K$158=$BF179,('Consolidado Costos'!AM$6:AM$158*'Consolidado Costos'!$F$6:$F$158),0))</f>
        <v>0</v>
      </c>
      <c r="BS179" s="318" cm="1">
        <f t="array" ref="BS179">+SUMPRODUCT(IF('Consolidado Costos'!$K$6:$K$158=$BF179,('Consolidado Costos'!AN$6:AN$158*'Consolidado Costos'!$F$6:$F$158),0))</f>
        <v>0</v>
      </c>
      <c r="BT179" s="318" cm="1">
        <f t="array" ref="BT179">+SUMPRODUCT(IF('Consolidado Costos'!$K$6:$K$158=$BF179,('Consolidado Costos'!AO$6:AO$158*'Consolidado Costos'!$F$6:$F$158),0))</f>
        <v>0</v>
      </c>
      <c r="BU179" s="318" cm="1">
        <f t="array" ref="BU179">+SUMPRODUCT(IF('Consolidado Costos'!$K$6:$K$158=$BF179,('Consolidado Costos'!AP$6:AP$158*'Consolidado Costos'!$F$6:$F$158),0))</f>
        <v>0</v>
      </c>
      <c r="BW179" s="327"/>
      <c r="BX179" s="330" t="s">
        <v>584</v>
      </c>
      <c r="BY179" s="330" t="s">
        <v>585</v>
      </c>
      <c r="BZ179" s="329"/>
      <c r="CA179" s="354">
        <f t="shared" si="49"/>
        <v>0</v>
      </c>
      <c r="CB179" s="318" cm="1">
        <f t="array" ref="CB179">+SUMPRODUCT(IF('Consolidado Costos'!$K$6:$K$158=$BX179,('Consolidado Costos'!AE$6:AE$158*'Consolidado Costos'!$G$6:$G$158),0))</f>
        <v>0</v>
      </c>
      <c r="CC179" s="318" cm="1">
        <f t="array" ref="CC179">+SUMPRODUCT(IF('Consolidado Costos'!$K$6:$K$158=$BX179,('Consolidado Costos'!AF$6:AF$158*'Consolidado Costos'!$G$6:$G$158),0))</f>
        <v>0</v>
      </c>
      <c r="CD179" s="318" cm="1">
        <f t="array" ref="CD179">+SUMPRODUCT(IF('Consolidado Costos'!$K$6:$K$158=$BX179,('Consolidado Costos'!AG$6:AG$158*'Consolidado Costos'!$G$6:$G$158),0))</f>
        <v>0</v>
      </c>
      <c r="CE179" s="318" cm="1">
        <f t="array" ref="CE179">+SUMPRODUCT(IF('Consolidado Costos'!$K$6:$K$158=$BX179,('Consolidado Costos'!AH$6:AH$158*'Consolidado Costos'!$G$6:$G$158),0))</f>
        <v>0</v>
      </c>
      <c r="CF179" s="318" cm="1">
        <f t="array" ref="CF179">+SUMPRODUCT(IF('Consolidado Costos'!$K$6:$K$158=$BX179,('Consolidado Costos'!AI$6:AI$158*'Consolidado Costos'!$G$6:$G$158),0))</f>
        <v>0</v>
      </c>
      <c r="CG179" s="318" cm="1">
        <f t="array" ref="CG179">+SUMPRODUCT(IF('Consolidado Costos'!$K$6:$K$158=$BX179,('Consolidado Costos'!AJ$6:AJ$158*'Consolidado Costos'!$G$6:$G$158),0))</f>
        <v>0</v>
      </c>
      <c r="CH179" s="318" cm="1">
        <f t="array" ref="CH179">+SUMPRODUCT(IF('Consolidado Costos'!$K$6:$K$158=$BX179,('Consolidado Costos'!AK$6:AK$158*'Consolidado Costos'!$G$6:$G$158),0))</f>
        <v>0</v>
      </c>
      <c r="CI179" s="318" cm="1">
        <f t="array" ref="CI179">+SUMPRODUCT(IF('Consolidado Costos'!$K$6:$K$158=$BX179,('Consolidado Costos'!AL$6:AL$158*'Consolidado Costos'!$G$6:$G$158),0))</f>
        <v>0</v>
      </c>
      <c r="CJ179" s="318" cm="1">
        <f t="array" ref="CJ179">+SUMPRODUCT(IF('Consolidado Costos'!$K$6:$K$158=$BX179,('Consolidado Costos'!AM$6:AM$158*'Consolidado Costos'!$G$6:$G$158),0))</f>
        <v>0</v>
      </c>
      <c r="CK179" s="318" cm="1">
        <f t="array" ref="CK179">+SUMPRODUCT(IF('Consolidado Costos'!$K$6:$K$158=$BX179,('Consolidado Costos'!AN$6:AN$158*'Consolidado Costos'!$G$6:$G$158),0))</f>
        <v>0</v>
      </c>
      <c r="CL179" s="318" cm="1">
        <f t="array" ref="CL179">+SUMPRODUCT(IF('Consolidado Costos'!$K$6:$K$158=$BX179,('Consolidado Costos'!AO$6:AO$158*'Consolidado Costos'!$G$6:$G$158),0))</f>
        <v>0</v>
      </c>
      <c r="CM179" s="318" cm="1">
        <f t="array" ref="CM179">+SUMPRODUCT(IF('Consolidado Costos'!$K$6:$K$158=$BX179,('Consolidado Costos'!AP$6:AP$158*'Consolidado Costos'!$G$6:$G$158),0))</f>
        <v>0</v>
      </c>
      <c r="CN179" s="357">
        <f t="shared" si="51"/>
        <v>1</v>
      </c>
    </row>
    <row r="180" spans="2:92" s="310" customFormat="1" outlineLevel="1">
      <c r="B180" s="327"/>
      <c r="C180" s="328" t="s">
        <v>269</v>
      </c>
      <c r="D180" s="328" t="s">
        <v>270</v>
      </c>
      <c r="E180" s="329"/>
      <c r="F180" s="318">
        <f>+SUMIF('Consolidado Costos'!$K$6:$K$158,$C180,'Consolidado Costos'!$AD$6:$AD$158)</f>
        <v>4102.5641025641025</v>
      </c>
      <c r="G180" s="318">
        <f>+SUMIF('Consolidado Costos'!$K$6:$K$158,$C180,'Consolidado Costos'!AE$6:AE$158)</f>
        <v>256.41025641025641</v>
      </c>
      <c r="H180" s="318">
        <f>+SUMIF('Consolidado Costos'!$K$6:$K$158,$C180,'Consolidado Costos'!AF$6:AF$158)</f>
        <v>256.41025641025641</v>
      </c>
      <c r="I180" s="318">
        <f>+SUMIF('Consolidado Costos'!$K$6:$K$158,$C180,'Consolidado Costos'!AG$6:AG$158)</f>
        <v>256.41025641025641</v>
      </c>
      <c r="J180" s="318">
        <f>+SUMIF('Consolidado Costos'!$K$6:$K$158,$C180,'Consolidado Costos'!AH$6:AH$158)</f>
        <v>256.41025641025641</v>
      </c>
      <c r="K180" s="318">
        <f>+SUMIF('Consolidado Costos'!$K$6:$K$158,$C180,'Consolidado Costos'!AI$6:AI$158)</f>
        <v>256.41025641025641</v>
      </c>
      <c r="L180" s="318">
        <f>+SUMIF('Consolidado Costos'!$K$6:$K$158,$C180,'Consolidado Costos'!AJ$6:AJ$158)</f>
        <v>256.41025641025641</v>
      </c>
      <c r="M180" s="318">
        <f>+SUMIF('Consolidado Costos'!$K$6:$K$158,$C180,'Consolidado Costos'!AK$6:AK$158)</f>
        <v>256.41025641025641</v>
      </c>
      <c r="N180" s="318">
        <f>+SUMIF('Consolidado Costos'!$K$6:$K$158,$C180,'Consolidado Costos'!AL$6:AL$158)</f>
        <v>256.41025641025641</v>
      </c>
      <c r="O180" s="318">
        <f>+SUMIF('Consolidado Costos'!$K$6:$K$158,$C180,'Consolidado Costos'!AM$6:AM$158)</f>
        <v>256.41025641025641</v>
      </c>
      <c r="P180" s="318">
        <f>+SUMIF('Consolidado Costos'!$K$6:$K$158,$C180,'Consolidado Costos'!AN$6:AN$158)</f>
        <v>256.41025641025641</v>
      </c>
      <c r="Q180" s="318">
        <f>+SUMIF('Consolidado Costos'!$K$6:$K$158,$C180,'Consolidado Costos'!AO$6:AO$158)</f>
        <v>256.41025641025641</v>
      </c>
      <c r="R180" s="318">
        <f>+SUMIF('Consolidado Costos'!$K$6:$K$158,$C180,'Consolidado Costos'!AP$6:AP$158)</f>
        <v>1282.051282051282</v>
      </c>
      <c r="S180" s="357">
        <f t="shared" si="50"/>
        <v>1</v>
      </c>
      <c r="U180" s="327"/>
      <c r="V180" s="328" t="s">
        <v>269</v>
      </c>
      <c r="W180" s="328" t="s">
        <v>270</v>
      </c>
      <c r="X180" s="329"/>
      <c r="Y180" s="354">
        <f t="shared" si="46"/>
        <v>0</v>
      </c>
      <c r="Z180" s="318" cm="1">
        <f t="array" ref="Z180">+SUMPRODUCT(IF('Consolidado Costos'!$K$6:$K$158=$V180,('Consolidado Costos'!AE$6:AE$158*'Consolidado Costos'!$D$6:$D$158),0))</f>
        <v>0</v>
      </c>
      <c r="AA180" s="318" cm="1">
        <f t="array" ref="AA180">+SUMPRODUCT(IF('Consolidado Costos'!$K$6:$K$158=$V180,('Consolidado Costos'!AF$6:AF$158*'Consolidado Costos'!$D$6:$D$158),0))</f>
        <v>0</v>
      </c>
      <c r="AB180" s="318" cm="1">
        <f t="array" ref="AB180">+SUMPRODUCT(IF('Consolidado Costos'!$K$6:$K$158=$V180,('Consolidado Costos'!AG$6:AG$158*'Consolidado Costos'!$D$6:$D$158),0))</f>
        <v>0</v>
      </c>
      <c r="AC180" s="318" cm="1">
        <f t="array" ref="AC180">+SUMPRODUCT(IF('Consolidado Costos'!$K$6:$K$158=$V180,('Consolidado Costos'!AH$6:AH$158*'Consolidado Costos'!$D$6:$D$158),0))</f>
        <v>0</v>
      </c>
      <c r="AD180" s="318" cm="1">
        <f t="array" ref="AD180">+SUMPRODUCT(IF('Consolidado Costos'!$K$6:$K$158=$V180,('Consolidado Costos'!AI$6:AI$158*'Consolidado Costos'!$D$6:$D$158),0))</f>
        <v>0</v>
      </c>
      <c r="AE180" s="318" cm="1">
        <f t="array" ref="AE180">+SUMPRODUCT(IF('Consolidado Costos'!$K$6:$K$158=$V180,('Consolidado Costos'!AJ$6:AJ$158*'Consolidado Costos'!$D$6:$D$158),0))</f>
        <v>0</v>
      </c>
      <c r="AF180" s="318" cm="1">
        <f t="array" ref="AF180">+SUMPRODUCT(IF('Consolidado Costos'!$K$6:$K$158=$V180,('Consolidado Costos'!AK$6:AK$158*'Consolidado Costos'!$D$6:$D$158),0))</f>
        <v>0</v>
      </c>
      <c r="AG180" s="318" cm="1">
        <f t="array" ref="AG180">+SUMPRODUCT(IF('Consolidado Costos'!$K$6:$K$158=$V180,('Consolidado Costos'!AL$6:AL$158*'Consolidado Costos'!$D$6:$D$158),0))</f>
        <v>0</v>
      </c>
      <c r="AH180" s="318" cm="1">
        <f t="array" ref="AH180">+SUMPRODUCT(IF('Consolidado Costos'!$K$6:$K$158=$V180,('Consolidado Costos'!AM$6:AM$158*'Consolidado Costos'!$D$6:$D$158),0))</f>
        <v>0</v>
      </c>
      <c r="AI180" s="318" cm="1">
        <f t="array" ref="AI180">+SUMPRODUCT(IF('Consolidado Costos'!$K$6:$K$158=$V180,('Consolidado Costos'!AN$6:AN$158*'Consolidado Costos'!$D$6:$D$158),0))</f>
        <v>0</v>
      </c>
      <c r="AJ180" s="318" cm="1">
        <f t="array" ref="AJ180">+SUMPRODUCT(IF('Consolidado Costos'!$K$6:$K$158=$V180,('Consolidado Costos'!AO$6:AO$158*'Consolidado Costos'!$D$6:$D$158),0))</f>
        <v>0</v>
      </c>
      <c r="AK180" s="318" cm="1">
        <f t="array" ref="AK180">+SUMPRODUCT(IF('Consolidado Costos'!$K$6:$K$158=$V180,('Consolidado Costos'!AP$6:AP$158*'Consolidado Costos'!$D$6:$D$158),0))</f>
        <v>0</v>
      </c>
      <c r="AM180" s="327"/>
      <c r="AN180" s="328" t="s">
        <v>269</v>
      </c>
      <c r="AO180" s="328" t="s">
        <v>270</v>
      </c>
      <c r="AP180" s="329"/>
      <c r="AQ180" s="354">
        <f t="shared" si="47"/>
        <v>0</v>
      </c>
      <c r="AR180" s="318" cm="1">
        <f t="array" ref="AR180">+SUMPRODUCT(IF('Consolidado Costos'!$K$6:$K$158=$AN180,('Consolidado Costos'!AE$6:AE$158*'Consolidado Costos'!$E$6:$E$158),0))</f>
        <v>0</v>
      </c>
      <c r="AS180" s="318" cm="1">
        <f t="array" ref="AS180">+SUMPRODUCT(IF('Consolidado Costos'!$K$6:$K$158=$AN180,('Consolidado Costos'!AF$6:AF$158*'Consolidado Costos'!$E$6:$E$158),0))</f>
        <v>0</v>
      </c>
      <c r="AT180" s="318" cm="1">
        <f t="array" ref="AT180">+SUMPRODUCT(IF('Consolidado Costos'!$K$6:$K$158=$AN180,('Consolidado Costos'!AG$6:AG$158*'Consolidado Costos'!$E$6:$E$158),0))</f>
        <v>0</v>
      </c>
      <c r="AU180" s="318" cm="1">
        <f t="array" ref="AU180">+SUMPRODUCT(IF('Consolidado Costos'!$K$6:$K$158=$AN180,('Consolidado Costos'!AH$6:AH$158*'Consolidado Costos'!$E$6:$E$158),0))</f>
        <v>0</v>
      </c>
      <c r="AV180" s="318" cm="1">
        <f t="array" ref="AV180">+SUMPRODUCT(IF('Consolidado Costos'!$K$6:$K$158=$AN180,('Consolidado Costos'!AI$6:AI$158*'Consolidado Costos'!$E$6:$E$158),0))</f>
        <v>0</v>
      </c>
      <c r="AW180" s="318" cm="1">
        <f t="array" ref="AW180">+SUMPRODUCT(IF('Consolidado Costos'!$K$6:$K$158=$AN180,('Consolidado Costos'!AJ$6:AJ$158*'Consolidado Costos'!$E$6:$E$158),0))</f>
        <v>0</v>
      </c>
      <c r="AX180" s="318" cm="1">
        <f t="array" ref="AX180">+SUMPRODUCT(IF('Consolidado Costos'!$K$6:$K$158=$AN180,('Consolidado Costos'!AK$6:AK$158*'Consolidado Costos'!$E$6:$E$158),0))</f>
        <v>0</v>
      </c>
      <c r="AY180" s="318" cm="1">
        <f t="array" ref="AY180">+SUMPRODUCT(IF('Consolidado Costos'!$K$6:$K$158=$AN180,('Consolidado Costos'!AL$6:AL$158*'Consolidado Costos'!$E$6:$E$158),0))</f>
        <v>0</v>
      </c>
      <c r="AZ180" s="318" cm="1">
        <f t="array" ref="AZ180">+SUMPRODUCT(IF('Consolidado Costos'!$K$6:$K$158=$AN180,('Consolidado Costos'!AM$6:AM$158*'Consolidado Costos'!$E$6:$E$158),0))</f>
        <v>0</v>
      </c>
      <c r="BA180" s="318" cm="1">
        <f t="array" ref="BA180">+SUMPRODUCT(IF('Consolidado Costos'!$K$6:$K$158=$AN180,('Consolidado Costos'!AN$6:AN$158*'Consolidado Costos'!$E$6:$E$158),0))</f>
        <v>0</v>
      </c>
      <c r="BB180" s="318" cm="1">
        <f t="array" ref="BB180">+SUMPRODUCT(IF('Consolidado Costos'!$K$6:$K$158=$AN180,('Consolidado Costos'!AO$6:AO$158*'Consolidado Costos'!$E$6:$E$158),0))</f>
        <v>0</v>
      </c>
      <c r="BC180" s="318" cm="1">
        <f t="array" ref="BC180">+SUMPRODUCT(IF('Consolidado Costos'!$K$6:$K$158=$AN180,('Consolidado Costos'!AP$6:AP$158*'Consolidado Costos'!$E$6:$E$158),0))</f>
        <v>0</v>
      </c>
      <c r="BE180" s="327"/>
      <c r="BF180" s="328" t="s">
        <v>269</v>
      </c>
      <c r="BG180" s="328" t="s">
        <v>270</v>
      </c>
      <c r="BH180" s="329"/>
      <c r="BI180" s="354">
        <f t="shared" si="48"/>
        <v>0</v>
      </c>
      <c r="BJ180" s="318" cm="1">
        <f t="array" ref="BJ180">+SUMPRODUCT(IF('Consolidado Costos'!$K$6:$K$158=$BF180,('Consolidado Costos'!AE$6:AE$158*'Consolidado Costos'!$F$6:$F$158),0))</f>
        <v>0</v>
      </c>
      <c r="BK180" s="318" cm="1">
        <f t="array" ref="BK180">+SUMPRODUCT(IF('Consolidado Costos'!$K$6:$K$158=$BF180,('Consolidado Costos'!AF$6:AF$158*'Consolidado Costos'!$F$6:$F$158),0))</f>
        <v>0</v>
      </c>
      <c r="BL180" s="318" cm="1">
        <f t="array" ref="BL180">+SUMPRODUCT(IF('Consolidado Costos'!$K$6:$K$158=$BF180,('Consolidado Costos'!AG$6:AG$158*'Consolidado Costos'!$F$6:$F$158),0))</f>
        <v>0</v>
      </c>
      <c r="BM180" s="318" cm="1">
        <f t="array" ref="BM180">+SUMPRODUCT(IF('Consolidado Costos'!$K$6:$K$158=$BF180,('Consolidado Costos'!AH$6:AH$158*'Consolidado Costos'!$F$6:$F$158),0))</f>
        <v>0</v>
      </c>
      <c r="BN180" s="318" cm="1">
        <f t="array" ref="BN180">+SUMPRODUCT(IF('Consolidado Costos'!$K$6:$K$158=$BF180,('Consolidado Costos'!AI$6:AI$158*'Consolidado Costos'!$F$6:$F$158),0))</f>
        <v>0</v>
      </c>
      <c r="BO180" s="318" cm="1">
        <f t="array" ref="BO180">+SUMPRODUCT(IF('Consolidado Costos'!$K$6:$K$158=$BF180,('Consolidado Costos'!AJ$6:AJ$158*'Consolidado Costos'!$F$6:$F$158),0))</f>
        <v>0</v>
      </c>
      <c r="BP180" s="318" cm="1">
        <f t="array" ref="BP180">+SUMPRODUCT(IF('Consolidado Costos'!$K$6:$K$158=$BF180,('Consolidado Costos'!AK$6:AK$158*'Consolidado Costos'!$F$6:$F$158),0))</f>
        <v>0</v>
      </c>
      <c r="BQ180" s="318" cm="1">
        <f t="array" ref="BQ180">+SUMPRODUCT(IF('Consolidado Costos'!$K$6:$K$158=$BF180,('Consolidado Costos'!AL$6:AL$158*'Consolidado Costos'!$F$6:$F$158),0))</f>
        <v>0</v>
      </c>
      <c r="BR180" s="318" cm="1">
        <f t="array" ref="BR180">+SUMPRODUCT(IF('Consolidado Costos'!$K$6:$K$158=$BF180,('Consolidado Costos'!AM$6:AM$158*'Consolidado Costos'!$F$6:$F$158),0))</f>
        <v>0</v>
      </c>
      <c r="BS180" s="318" cm="1">
        <f t="array" ref="BS180">+SUMPRODUCT(IF('Consolidado Costos'!$K$6:$K$158=$BF180,('Consolidado Costos'!AN$6:AN$158*'Consolidado Costos'!$F$6:$F$158),0))</f>
        <v>0</v>
      </c>
      <c r="BT180" s="318" cm="1">
        <f t="array" ref="BT180">+SUMPRODUCT(IF('Consolidado Costos'!$K$6:$K$158=$BF180,('Consolidado Costos'!AO$6:AO$158*'Consolidado Costos'!$F$6:$F$158),0))</f>
        <v>0</v>
      </c>
      <c r="BU180" s="318" cm="1">
        <f t="array" ref="BU180">+SUMPRODUCT(IF('Consolidado Costos'!$K$6:$K$158=$BF180,('Consolidado Costos'!AP$6:AP$158*'Consolidado Costos'!$F$6:$F$158),0))</f>
        <v>0</v>
      </c>
      <c r="BW180" s="327"/>
      <c r="BX180" s="328" t="s">
        <v>269</v>
      </c>
      <c r="BY180" s="328" t="s">
        <v>270</v>
      </c>
      <c r="BZ180" s="329"/>
      <c r="CA180" s="354">
        <f t="shared" si="49"/>
        <v>4102.5641025641025</v>
      </c>
      <c r="CB180" s="318" cm="1">
        <f t="array" ref="CB180">+SUMPRODUCT(IF('Consolidado Costos'!$K$6:$K$158=$BX180,('Consolidado Costos'!AE$6:AE$158*'Consolidado Costos'!$G$6:$G$158),0))</f>
        <v>256.41025641025641</v>
      </c>
      <c r="CC180" s="318" cm="1">
        <f t="array" ref="CC180">+SUMPRODUCT(IF('Consolidado Costos'!$K$6:$K$158=$BX180,('Consolidado Costos'!AF$6:AF$158*'Consolidado Costos'!$G$6:$G$158),0))</f>
        <v>256.41025641025641</v>
      </c>
      <c r="CD180" s="318" cm="1">
        <f t="array" ref="CD180">+SUMPRODUCT(IF('Consolidado Costos'!$K$6:$K$158=$BX180,('Consolidado Costos'!AG$6:AG$158*'Consolidado Costos'!$G$6:$G$158),0))</f>
        <v>256.41025641025641</v>
      </c>
      <c r="CE180" s="318" cm="1">
        <f t="array" ref="CE180">+SUMPRODUCT(IF('Consolidado Costos'!$K$6:$K$158=$BX180,('Consolidado Costos'!AH$6:AH$158*'Consolidado Costos'!$G$6:$G$158),0))</f>
        <v>256.41025641025641</v>
      </c>
      <c r="CF180" s="318" cm="1">
        <f t="array" ref="CF180">+SUMPRODUCT(IF('Consolidado Costos'!$K$6:$K$158=$BX180,('Consolidado Costos'!AI$6:AI$158*'Consolidado Costos'!$G$6:$G$158),0))</f>
        <v>256.41025641025641</v>
      </c>
      <c r="CG180" s="318" cm="1">
        <f t="array" ref="CG180">+SUMPRODUCT(IF('Consolidado Costos'!$K$6:$K$158=$BX180,('Consolidado Costos'!AJ$6:AJ$158*'Consolidado Costos'!$G$6:$G$158),0))</f>
        <v>256.41025641025641</v>
      </c>
      <c r="CH180" s="318" cm="1">
        <f t="array" ref="CH180">+SUMPRODUCT(IF('Consolidado Costos'!$K$6:$K$158=$BX180,('Consolidado Costos'!AK$6:AK$158*'Consolidado Costos'!$G$6:$G$158),0))</f>
        <v>256.41025641025641</v>
      </c>
      <c r="CI180" s="318" cm="1">
        <f t="array" ref="CI180">+SUMPRODUCT(IF('Consolidado Costos'!$K$6:$K$158=$BX180,('Consolidado Costos'!AL$6:AL$158*'Consolidado Costos'!$G$6:$G$158),0))</f>
        <v>256.41025641025641</v>
      </c>
      <c r="CJ180" s="318" cm="1">
        <f t="array" ref="CJ180">+SUMPRODUCT(IF('Consolidado Costos'!$K$6:$K$158=$BX180,('Consolidado Costos'!AM$6:AM$158*'Consolidado Costos'!$G$6:$G$158),0))</f>
        <v>256.41025641025641</v>
      </c>
      <c r="CK180" s="318" cm="1">
        <f t="array" ref="CK180">+SUMPRODUCT(IF('Consolidado Costos'!$K$6:$K$158=$BX180,('Consolidado Costos'!AN$6:AN$158*'Consolidado Costos'!$G$6:$G$158),0))</f>
        <v>256.41025641025641</v>
      </c>
      <c r="CL180" s="318" cm="1">
        <f t="array" ref="CL180">+SUMPRODUCT(IF('Consolidado Costos'!$K$6:$K$158=$BX180,('Consolidado Costos'!AO$6:AO$158*'Consolidado Costos'!$G$6:$G$158),0))</f>
        <v>256.41025641025641</v>
      </c>
      <c r="CM180" s="318" cm="1">
        <f t="array" ref="CM180">+SUMPRODUCT(IF('Consolidado Costos'!$K$6:$K$158=$BX180,('Consolidado Costos'!AP$6:AP$158*'Consolidado Costos'!$G$6:$G$158),0))</f>
        <v>1282.051282051282</v>
      </c>
      <c r="CN180" s="357">
        <f t="shared" si="51"/>
        <v>1</v>
      </c>
    </row>
    <row r="181" spans="2:92" s="310" customFormat="1" outlineLevel="1">
      <c r="B181" s="327"/>
      <c r="C181" s="328" t="s">
        <v>586</v>
      </c>
      <c r="D181" s="328" t="s">
        <v>587</v>
      </c>
      <c r="E181" s="329"/>
      <c r="F181" s="318">
        <f>+SUMIF('Consolidado Costos'!$K$6:$K$158,$C181,'Consolidado Costos'!$AD$6:$AD$158)</f>
        <v>0</v>
      </c>
      <c r="G181" s="318">
        <f>+SUMIF('Consolidado Costos'!$K$6:$K$158,$C181,'Consolidado Costos'!AE$6:AE$158)</f>
        <v>0</v>
      </c>
      <c r="H181" s="318">
        <f>+SUMIF('Consolidado Costos'!$K$6:$K$158,$C181,'Consolidado Costos'!AF$6:AF$158)</f>
        <v>0</v>
      </c>
      <c r="I181" s="318">
        <f>+SUMIF('Consolidado Costos'!$K$6:$K$158,$C181,'Consolidado Costos'!AG$6:AG$158)</f>
        <v>0</v>
      </c>
      <c r="J181" s="318">
        <f>+SUMIF('Consolidado Costos'!$K$6:$K$158,$C181,'Consolidado Costos'!AH$6:AH$158)</f>
        <v>0</v>
      </c>
      <c r="K181" s="318">
        <f>+SUMIF('Consolidado Costos'!$K$6:$K$158,$C181,'Consolidado Costos'!AI$6:AI$158)</f>
        <v>0</v>
      </c>
      <c r="L181" s="318">
        <f>+SUMIF('Consolidado Costos'!$K$6:$K$158,$C181,'Consolidado Costos'!AJ$6:AJ$158)</f>
        <v>0</v>
      </c>
      <c r="M181" s="318">
        <f>+SUMIF('Consolidado Costos'!$K$6:$K$158,$C181,'Consolidado Costos'!AK$6:AK$158)</f>
        <v>0</v>
      </c>
      <c r="N181" s="318">
        <f>+SUMIF('Consolidado Costos'!$K$6:$K$158,$C181,'Consolidado Costos'!AL$6:AL$158)</f>
        <v>0</v>
      </c>
      <c r="O181" s="318">
        <f>+SUMIF('Consolidado Costos'!$K$6:$K$158,$C181,'Consolidado Costos'!AM$6:AM$158)</f>
        <v>0</v>
      </c>
      <c r="P181" s="318">
        <f>+SUMIF('Consolidado Costos'!$K$6:$K$158,$C181,'Consolidado Costos'!AN$6:AN$158)</f>
        <v>0</v>
      </c>
      <c r="Q181" s="318">
        <f>+SUMIF('Consolidado Costos'!$K$6:$K$158,$C181,'Consolidado Costos'!AO$6:AO$158)</f>
        <v>0</v>
      </c>
      <c r="R181" s="318">
        <f>+SUMIF('Consolidado Costos'!$K$6:$K$158,$C181,'Consolidado Costos'!AP$6:AP$158)</f>
        <v>0</v>
      </c>
      <c r="S181" s="357">
        <f t="shared" si="50"/>
        <v>1</v>
      </c>
      <c r="U181" s="327"/>
      <c r="V181" s="328" t="s">
        <v>586</v>
      </c>
      <c r="W181" s="328" t="s">
        <v>587</v>
      </c>
      <c r="X181" s="329"/>
      <c r="Y181" s="354">
        <f t="shared" si="46"/>
        <v>0</v>
      </c>
      <c r="Z181" s="318" cm="1">
        <f t="array" ref="Z181">+SUMPRODUCT(IF('Consolidado Costos'!$K$6:$K$158=$V181,('Consolidado Costos'!AE$6:AE$158*'Consolidado Costos'!$D$6:$D$158),0))</f>
        <v>0</v>
      </c>
      <c r="AA181" s="318" cm="1">
        <f t="array" ref="AA181">+SUMPRODUCT(IF('Consolidado Costos'!$K$6:$K$158=$V181,('Consolidado Costos'!AF$6:AF$158*'Consolidado Costos'!$D$6:$D$158),0))</f>
        <v>0</v>
      </c>
      <c r="AB181" s="318" cm="1">
        <f t="array" ref="AB181">+SUMPRODUCT(IF('Consolidado Costos'!$K$6:$K$158=$V181,('Consolidado Costos'!AG$6:AG$158*'Consolidado Costos'!$D$6:$D$158),0))</f>
        <v>0</v>
      </c>
      <c r="AC181" s="318" cm="1">
        <f t="array" ref="AC181">+SUMPRODUCT(IF('Consolidado Costos'!$K$6:$K$158=$V181,('Consolidado Costos'!AH$6:AH$158*'Consolidado Costos'!$D$6:$D$158),0))</f>
        <v>0</v>
      </c>
      <c r="AD181" s="318" cm="1">
        <f t="array" ref="AD181">+SUMPRODUCT(IF('Consolidado Costos'!$K$6:$K$158=$V181,('Consolidado Costos'!AI$6:AI$158*'Consolidado Costos'!$D$6:$D$158),0))</f>
        <v>0</v>
      </c>
      <c r="AE181" s="318" cm="1">
        <f t="array" ref="AE181">+SUMPRODUCT(IF('Consolidado Costos'!$K$6:$K$158=$V181,('Consolidado Costos'!AJ$6:AJ$158*'Consolidado Costos'!$D$6:$D$158),0))</f>
        <v>0</v>
      </c>
      <c r="AF181" s="318" cm="1">
        <f t="array" ref="AF181">+SUMPRODUCT(IF('Consolidado Costos'!$K$6:$K$158=$V181,('Consolidado Costos'!AK$6:AK$158*'Consolidado Costos'!$D$6:$D$158),0))</f>
        <v>0</v>
      </c>
      <c r="AG181" s="318" cm="1">
        <f t="array" ref="AG181">+SUMPRODUCT(IF('Consolidado Costos'!$K$6:$K$158=$V181,('Consolidado Costos'!AL$6:AL$158*'Consolidado Costos'!$D$6:$D$158),0))</f>
        <v>0</v>
      </c>
      <c r="AH181" s="318" cm="1">
        <f t="array" ref="AH181">+SUMPRODUCT(IF('Consolidado Costos'!$K$6:$K$158=$V181,('Consolidado Costos'!AM$6:AM$158*'Consolidado Costos'!$D$6:$D$158),0))</f>
        <v>0</v>
      </c>
      <c r="AI181" s="318" cm="1">
        <f t="array" ref="AI181">+SUMPRODUCT(IF('Consolidado Costos'!$K$6:$K$158=$V181,('Consolidado Costos'!AN$6:AN$158*'Consolidado Costos'!$D$6:$D$158),0))</f>
        <v>0</v>
      </c>
      <c r="AJ181" s="318" cm="1">
        <f t="array" ref="AJ181">+SUMPRODUCT(IF('Consolidado Costos'!$K$6:$K$158=$V181,('Consolidado Costos'!AO$6:AO$158*'Consolidado Costos'!$D$6:$D$158),0))</f>
        <v>0</v>
      </c>
      <c r="AK181" s="318" cm="1">
        <f t="array" ref="AK181">+SUMPRODUCT(IF('Consolidado Costos'!$K$6:$K$158=$V181,('Consolidado Costos'!AP$6:AP$158*'Consolidado Costos'!$D$6:$D$158),0))</f>
        <v>0</v>
      </c>
      <c r="AM181" s="327"/>
      <c r="AN181" s="328" t="s">
        <v>586</v>
      </c>
      <c r="AO181" s="328" t="s">
        <v>587</v>
      </c>
      <c r="AP181" s="329"/>
      <c r="AQ181" s="354">
        <f t="shared" si="47"/>
        <v>0</v>
      </c>
      <c r="AR181" s="318" cm="1">
        <f t="array" ref="AR181">+SUMPRODUCT(IF('Consolidado Costos'!$K$6:$K$158=$AN181,('Consolidado Costos'!AE$6:AE$158*'Consolidado Costos'!$E$6:$E$158),0))</f>
        <v>0</v>
      </c>
      <c r="AS181" s="318" cm="1">
        <f t="array" ref="AS181">+SUMPRODUCT(IF('Consolidado Costos'!$K$6:$K$158=$AN181,('Consolidado Costos'!AF$6:AF$158*'Consolidado Costos'!$E$6:$E$158),0))</f>
        <v>0</v>
      </c>
      <c r="AT181" s="318" cm="1">
        <f t="array" ref="AT181">+SUMPRODUCT(IF('Consolidado Costos'!$K$6:$K$158=$AN181,('Consolidado Costos'!AG$6:AG$158*'Consolidado Costos'!$E$6:$E$158),0))</f>
        <v>0</v>
      </c>
      <c r="AU181" s="318" cm="1">
        <f t="array" ref="AU181">+SUMPRODUCT(IF('Consolidado Costos'!$K$6:$K$158=$AN181,('Consolidado Costos'!AH$6:AH$158*'Consolidado Costos'!$E$6:$E$158),0))</f>
        <v>0</v>
      </c>
      <c r="AV181" s="318" cm="1">
        <f t="array" ref="AV181">+SUMPRODUCT(IF('Consolidado Costos'!$K$6:$K$158=$AN181,('Consolidado Costos'!AI$6:AI$158*'Consolidado Costos'!$E$6:$E$158),0))</f>
        <v>0</v>
      </c>
      <c r="AW181" s="318" cm="1">
        <f t="array" ref="AW181">+SUMPRODUCT(IF('Consolidado Costos'!$K$6:$K$158=$AN181,('Consolidado Costos'!AJ$6:AJ$158*'Consolidado Costos'!$E$6:$E$158),0))</f>
        <v>0</v>
      </c>
      <c r="AX181" s="318" cm="1">
        <f t="array" ref="AX181">+SUMPRODUCT(IF('Consolidado Costos'!$K$6:$K$158=$AN181,('Consolidado Costos'!AK$6:AK$158*'Consolidado Costos'!$E$6:$E$158),0))</f>
        <v>0</v>
      </c>
      <c r="AY181" s="318" cm="1">
        <f t="array" ref="AY181">+SUMPRODUCT(IF('Consolidado Costos'!$K$6:$K$158=$AN181,('Consolidado Costos'!AL$6:AL$158*'Consolidado Costos'!$E$6:$E$158),0))</f>
        <v>0</v>
      </c>
      <c r="AZ181" s="318" cm="1">
        <f t="array" ref="AZ181">+SUMPRODUCT(IF('Consolidado Costos'!$K$6:$K$158=$AN181,('Consolidado Costos'!AM$6:AM$158*'Consolidado Costos'!$E$6:$E$158),0))</f>
        <v>0</v>
      </c>
      <c r="BA181" s="318" cm="1">
        <f t="array" ref="BA181">+SUMPRODUCT(IF('Consolidado Costos'!$K$6:$K$158=$AN181,('Consolidado Costos'!AN$6:AN$158*'Consolidado Costos'!$E$6:$E$158),0))</f>
        <v>0</v>
      </c>
      <c r="BB181" s="318" cm="1">
        <f t="array" ref="BB181">+SUMPRODUCT(IF('Consolidado Costos'!$K$6:$K$158=$AN181,('Consolidado Costos'!AO$6:AO$158*'Consolidado Costos'!$E$6:$E$158),0))</f>
        <v>0</v>
      </c>
      <c r="BC181" s="318" cm="1">
        <f t="array" ref="BC181">+SUMPRODUCT(IF('Consolidado Costos'!$K$6:$K$158=$AN181,('Consolidado Costos'!AP$6:AP$158*'Consolidado Costos'!$E$6:$E$158),0))</f>
        <v>0</v>
      </c>
      <c r="BE181" s="327"/>
      <c r="BF181" s="328" t="s">
        <v>586</v>
      </c>
      <c r="BG181" s="328" t="s">
        <v>587</v>
      </c>
      <c r="BH181" s="329"/>
      <c r="BI181" s="354">
        <f t="shared" si="48"/>
        <v>0</v>
      </c>
      <c r="BJ181" s="318" cm="1">
        <f t="array" ref="BJ181">+SUMPRODUCT(IF('Consolidado Costos'!$K$6:$K$158=$BF181,('Consolidado Costos'!AE$6:AE$158*'Consolidado Costos'!$F$6:$F$158),0))</f>
        <v>0</v>
      </c>
      <c r="BK181" s="318" cm="1">
        <f t="array" ref="BK181">+SUMPRODUCT(IF('Consolidado Costos'!$K$6:$K$158=$BF181,('Consolidado Costos'!AF$6:AF$158*'Consolidado Costos'!$F$6:$F$158),0))</f>
        <v>0</v>
      </c>
      <c r="BL181" s="318" cm="1">
        <f t="array" ref="BL181">+SUMPRODUCT(IF('Consolidado Costos'!$K$6:$K$158=$BF181,('Consolidado Costos'!AG$6:AG$158*'Consolidado Costos'!$F$6:$F$158),0))</f>
        <v>0</v>
      </c>
      <c r="BM181" s="318" cm="1">
        <f t="array" ref="BM181">+SUMPRODUCT(IF('Consolidado Costos'!$K$6:$K$158=$BF181,('Consolidado Costos'!AH$6:AH$158*'Consolidado Costos'!$F$6:$F$158),0))</f>
        <v>0</v>
      </c>
      <c r="BN181" s="318" cm="1">
        <f t="array" ref="BN181">+SUMPRODUCT(IF('Consolidado Costos'!$K$6:$K$158=$BF181,('Consolidado Costos'!AI$6:AI$158*'Consolidado Costos'!$F$6:$F$158),0))</f>
        <v>0</v>
      </c>
      <c r="BO181" s="318" cm="1">
        <f t="array" ref="BO181">+SUMPRODUCT(IF('Consolidado Costos'!$K$6:$K$158=$BF181,('Consolidado Costos'!AJ$6:AJ$158*'Consolidado Costos'!$F$6:$F$158),0))</f>
        <v>0</v>
      </c>
      <c r="BP181" s="318" cm="1">
        <f t="array" ref="BP181">+SUMPRODUCT(IF('Consolidado Costos'!$K$6:$K$158=$BF181,('Consolidado Costos'!AK$6:AK$158*'Consolidado Costos'!$F$6:$F$158),0))</f>
        <v>0</v>
      </c>
      <c r="BQ181" s="318" cm="1">
        <f t="array" ref="BQ181">+SUMPRODUCT(IF('Consolidado Costos'!$K$6:$K$158=$BF181,('Consolidado Costos'!AL$6:AL$158*'Consolidado Costos'!$F$6:$F$158),0))</f>
        <v>0</v>
      </c>
      <c r="BR181" s="318" cm="1">
        <f t="array" ref="BR181">+SUMPRODUCT(IF('Consolidado Costos'!$K$6:$K$158=$BF181,('Consolidado Costos'!AM$6:AM$158*'Consolidado Costos'!$F$6:$F$158),0))</f>
        <v>0</v>
      </c>
      <c r="BS181" s="318" cm="1">
        <f t="array" ref="BS181">+SUMPRODUCT(IF('Consolidado Costos'!$K$6:$K$158=$BF181,('Consolidado Costos'!AN$6:AN$158*'Consolidado Costos'!$F$6:$F$158),0))</f>
        <v>0</v>
      </c>
      <c r="BT181" s="318" cm="1">
        <f t="array" ref="BT181">+SUMPRODUCT(IF('Consolidado Costos'!$K$6:$K$158=$BF181,('Consolidado Costos'!AO$6:AO$158*'Consolidado Costos'!$F$6:$F$158),0))</f>
        <v>0</v>
      </c>
      <c r="BU181" s="318" cm="1">
        <f t="array" ref="BU181">+SUMPRODUCT(IF('Consolidado Costos'!$K$6:$K$158=$BF181,('Consolidado Costos'!AP$6:AP$158*'Consolidado Costos'!$F$6:$F$158),0))</f>
        <v>0</v>
      </c>
      <c r="BW181" s="327"/>
      <c r="BX181" s="328" t="s">
        <v>586</v>
      </c>
      <c r="BY181" s="328" t="s">
        <v>587</v>
      </c>
      <c r="BZ181" s="329"/>
      <c r="CA181" s="354">
        <f t="shared" si="49"/>
        <v>0</v>
      </c>
      <c r="CB181" s="318" cm="1">
        <f t="array" ref="CB181">+SUMPRODUCT(IF('Consolidado Costos'!$K$6:$K$158=$BX181,('Consolidado Costos'!AE$6:AE$158*'Consolidado Costos'!$G$6:$G$158),0))</f>
        <v>0</v>
      </c>
      <c r="CC181" s="318" cm="1">
        <f t="array" ref="CC181">+SUMPRODUCT(IF('Consolidado Costos'!$K$6:$K$158=$BX181,('Consolidado Costos'!AF$6:AF$158*'Consolidado Costos'!$G$6:$G$158),0))</f>
        <v>0</v>
      </c>
      <c r="CD181" s="318" cm="1">
        <f t="array" ref="CD181">+SUMPRODUCT(IF('Consolidado Costos'!$K$6:$K$158=$BX181,('Consolidado Costos'!AG$6:AG$158*'Consolidado Costos'!$G$6:$G$158),0))</f>
        <v>0</v>
      </c>
      <c r="CE181" s="318" cm="1">
        <f t="array" ref="CE181">+SUMPRODUCT(IF('Consolidado Costos'!$K$6:$K$158=$BX181,('Consolidado Costos'!AH$6:AH$158*'Consolidado Costos'!$G$6:$G$158),0))</f>
        <v>0</v>
      </c>
      <c r="CF181" s="318" cm="1">
        <f t="array" ref="CF181">+SUMPRODUCT(IF('Consolidado Costos'!$K$6:$K$158=$BX181,('Consolidado Costos'!AI$6:AI$158*'Consolidado Costos'!$G$6:$G$158),0))</f>
        <v>0</v>
      </c>
      <c r="CG181" s="318" cm="1">
        <f t="array" ref="CG181">+SUMPRODUCT(IF('Consolidado Costos'!$K$6:$K$158=$BX181,('Consolidado Costos'!AJ$6:AJ$158*'Consolidado Costos'!$G$6:$G$158),0))</f>
        <v>0</v>
      </c>
      <c r="CH181" s="318" cm="1">
        <f t="array" ref="CH181">+SUMPRODUCT(IF('Consolidado Costos'!$K$6:$K$158=$BX181,('Consolidado Costos'!AK$6:AK$158*'Consolidado Costos'!$G$6:$G$158),0))</f>
        <v>0</v>
      </c>
      <c r="CI181" s="318" cm="1">
        <f t="array" ref="CI181">+SUMPRODUCT(IF('Consolidado Costos'!$K$6:$K$158=$BX181,('Consolidado Costos'!AL$6:AL$158*'Consolidado Costos'!$G$6:$G$158),0))</f>
        <v>0</v>
      </c>
      <c r="CJ181" s="318" cm="1">
        <f t="array" ref="CJ181">+SUMPRODUCT(IF('Consolidado Costos'!$K$6:$K$158=$BX181,('Consolidado Costos'!AM$6:AM$158*'Consolidado Costos'!$G$6:$G$158),0))</f>
        <v>0</v>
      </c>
      <c r="CK181" s="318" cm="1">
        <f t="array" ref="CK181">+SUMPRODUCT(IF('Consolidado Costos'!$K$6:$K$158=$BX181,('Consolidado Costos'!AN$6:AN$158*'Consolidado Costos'!$G$6:$G$158),0))</f>
        <v>0</v>
      </c>
      <c r="CL181" s="318" cm="1">
        <f t="array" ref="CL181">+SUMPRODUCT(IF('Consolidado Costos'!$K$6:$K$158=$BX181,('Consolidado Costos'!AO$6:AO$158*'Consolidado Costos'!$G$6:$G$158),0))</f>
        <v>0</v>
      </c>
      <c r="CM181" s="318" cm="1">
        <f t="array" ref="CM181">+SUMPRODUCT(IF('Consolidado Costos'!$K$6:$K$158=$BX181,('Consolidado Costos'!AP$6:AP$158*'Consolidado Costos'!$G$6:$G$158),0))</f>
        <v>0</v>
      </c>
      <c r="CN181" s="357">
        <f t="shared" si="51"/>
        <v>1</v>
      </c>
    </row>
    <row r="182" spans="2:92" s="310" customFormat="1" outlineLevel="1">
      <c r="B182" s="327"/>
      <c r="C182" s="328" t="s">
        <v>588</v>
      </c>
      <c r="D182" s="328" t="s">
        <v>589</v>
      </c>
      <c r="E182" s="329"/>
      <c r="F182" s="318">
        <f>+SUMIF('Consolidado Costos'!$K$6:$K$158,$C182,'Consolidado Costos'!$AD$6:$AD$158)</f>
        <v>0</v>
      </c>
      <c r="G182" s="318">
        <f>+SUMIF('Consolidado Costos'!$K$6:$K$158,$C182,'Consolidado Costos'!AE$6:AE$158)</f>
        <v>0</v>
      </c>
      <c r="H182" s="318">
        <f>+SUMIF('Consolidado Costos'!$K$6:$K$158,$C182,'Consolidado Costos'!AF$6:AF$158)</f>
        <v>0</v>
      </c>
      <c r="I182" s="318">
        <f>+SUMIF('Consolidado Costos'!$K$6:$K$158,$C182,'Consolidado Costos'!AG$6:AG$158)</f>
        <v>0</v>
      </c>
      <c r="J182" s="318">
        <f>+SUMIF('Consolidado Costos'!$K$6:$K$158,$C182,'Consolidado Costos'!AH$6:AH$158)</f>
        <v>0</v>
      </c>
      <c r="K182" s="318">
        <f>+SUMIF('Consolidado Costos'!$K$6:$K$158,$C182,'Consolidado Costos'!AI$6:AI$158)</f>
        <v>0</v>
      </c>
      <c r="L182" s="318">
        <f>+SUMIF('Consolidado Costos'!$K$6:$K$158,$C182,'Consolidado Costos'!AJ$6:AJ$158)</f>
        <v>0</v>
      </c>
      <c r="M182" s="318">
        <f>+SUMIF('Consolidado Costos'!$K$6:$K$158,$C182,'Consolidado Costos'!AK$6:AK$158)</f>
        <v>0</v>
      </c>
      <c r="N182" s="318">
        <f>+SUMIF('Consolidado Costos'!$K$6:$K$158,$C182,'Consolidado Costos'!AL$6:AL$158)</f>
        <v>0</v>
      </c>
      <c r="O182" s="318">
        <f>+SUMIF('Consolidado Costos'!$K$6:$K$158,$C182,'Consolidado Costos'!AM$6:AM$158)</f>
        <v>0</v>
      </c>
      <c r="P182" s="318">
        <f>+SUMIF('Consolidado Costos'!$K$6:$K$158,$C182,'Consolidado Costos'!AN$6:AN$158)</f>
        <v>0</v>
      </c>
      <c r="Q182" s="318">
        <f>+SUMIF('Consolidado Costos'!$K$6:$K$158,$C182,'Consolidado Costos'!AO$6:AO$158)</f>
        <v>0</v>
      </c>
      <c r="R182" s="318">
        <f>+SUMIF('Consolidado Costos'!$K$6:$K$158,$C182,'Consolidado Costos'!AP$6:AP$158)</f>
        <v>0</v>
      </c>
      <c r="S182" s="357">
        <f t="shared" si="50"/>
        <v>1</v>
      </c>
      <c r="U182" s="327"/>
      <c r="V182" s="328" t="s">
        <v>588</v>
      </c>
      <c r="W182" s="328" t="s">
        <v>589</v>
      </c>
      <c r="X182" s="329"/>
      <c r="Y182" s="354">
        <f t="shared" si="46"/>
        <v>0</v>
      </c>
      <c r="Z182" s="318" cm="1">
        <f t="array" ref="Z182">+SUMPRODUCT(IF('Consolidado Costos'!$K$6:$K$158=$V182,('Consolidado Costos'!AE$6:AE$158*'Consolidado Costos'!$D$6:$D$158),0))</f>
        <v>0</v>
      </c>
      <c r="AA182" s="318" cm="1">
        <f t="array" ref="AA182">+SUMPRODUCT(IF('Consolidado Costos'!$K$6:$K$158=$V182,('Consolidado Costos'!AF$6:AF$158*'Consolidado Costos'!$D$6:$D$158),0))</f>
        <v>0</v>
      </c>
      <c r="AB182" s="318" cm="1">
        <f t="array" ref="AB182">+SUMPRODUCT(IF('Consolidado Costos'!$K$6:$K$158=$V182,('Consolidado Costos'!AG$6:AG$158*'Consolidado Costos'!$D$6:$D$158),0))</f>
        <v>0</v>
      </c>
      <c r="AC182" s="318" cm="1">
        <f t="array" ref="AC182">+SUMPRODUCT(IF('Consolidado Costos'!$K$6:$K$158=$V182,('Consolidado Costos'!AH$6:AH$158*'Consolidado Costos'!$D$6:$D$158),0))</f>
        <v>0</v>
      </c>
      <c r="AD182" s="318" cm="1">
        <f t="array" ref="AD182">+SUMPRODUCT(IF('Consolidado Costos'!$K$6:$K$158=$V182,('Consolidado Costos'!AI$6:AI$158*'Consolidado Costos'!$D$6:$D$158),0))</f>
        <v>0</v>
      </c>
      <c r="AE182" s="318" cm="1">
        <f t="array" ref="AE182">+SUMPRODUCT(IF('Consolidado Costos'!$K$6:$K$158=$V182,('Consolidado Costos'!AJ$6:AJ$158*'Consolidado Costos'!$D$6:$D$158),0))</f>
        <v>0</v>
      </c>
      <c r="AF182" s="318" cm="1">
        <f t="array" ref="AF182">+SUMPRODUCT(IF('Consolidado Costos'!$K$6:$K$158=$V182,('Consolidado Costos'!AK$6:AK$158*'Consolidado Costos'!$D$6:$D$158),0))</f>
        <v>0</v>
      </c>
      <c r="AG182" s="318" cm="1">
        <f t="array" ref="AG182">+SUMPRODUCT(IF('Consolidado Costos'!$K$6:$K$158=$V182,('Consolidado Costos'!AL$6:AL$158*'Consolidado Costos'!$D$6:$D$158),0))</f>
        <v>0</v>
      </c>
      <c r="AH182" s="318" cm="1">
        <f t="array" ref="AH182">+SUMPRODUCT(IF('Consolidado Costos'!$K$6:$K$158=$V182,('Consolidado Costos'!AM$6:AM$158*'Consolidado Costos'!$D$6:$D$158),0))</f>
        <v>0</v>
      </c>
      <c r="AI182" s="318" cm="1">
        <f t="array" ref="AI182">+SUMPRODUCT(IF('Consolidado Costos'!$K$6:$K$158=$V182,('Consolidado Costos'!AN$6:AN$158*'Consolidado Costos'!$D$6:$D$158),0))</f>
        <v>0</v>
      </c>
      <c r="AJ182" s="318" cm="1">
        <f t="array" ref="AJ182">+SUMPRODUCT(IF('Consolidado Costos'!$K$6:$K$158=$V182,('Consolidado Costos'!AO$6:AO$158*'Consolidado Costos'!$D$6:$D$158),0))</f>
        <v>0</v>
      </c>
      <c r="AK182" s="318" cm="1">
        <f t="array" ref="AK182">+SUMPRODUCT(IF('Consolidado Costos'!$K$6:$K$158=$V182,('Consolidado Costos'!AP$6:AP$158*'Consolidado Costos'!$D$6:$D$158),0))</f>
        <v>0</v>
      </c>
      <c r="AM182" s="327"/>
      <c r="AN182" s="328" t="s">
        <v>588</v>
      </c>
      <c r="AO182" s="328" t="s">
        <v>589</v>
      </c>
      <c r="AP182" s="329"/>
      <c r="AQ182" s="354">
        <f t="shared" si="47"/>
        <v>0</v>
      </c>
      <c r="AR182" s="318" cm="1">
        <f t="array" ref="AR182">+SUMPRODUCT(IF('Consolidado Costos'!$K$6:$K$158=$AN182,('Consolidado Costos'!AE$6:AE$158*'Consolidado Costos'!$E$6:$E$158),0))</f>
        <v>0</v>
      </c>
      <c r="AS182" s="318" cm="1">
        <f t="array" ref="AS182">+SUMPRODUCT(IF('Consolidado Costos'!$K$6:$K$158=$AN182,('Consolidado Costos'!AF$6:AF$158*'Consolidado Costos'!$E$6:$E$158),0))</f>
        <v>0</v>
      </c>
      <c r="AT182" s="318" cm="1">
        <f t="array" ref="AT182">+SUMPRODUCT(IF('Consolidado Costos'!$K$6:$K$158=$AN182,('Consolidado Costos'!AG$6:AG$158*'Consolidado Costos'!$E$6:$E$158),0))</f>
        <v>0</v>
      </c>
      <c r="AU182" s="318" cm="1">
        <f t="array" ref="AU182">+SUMPRODUCT(IF('Consolidado Costos'!$K$6:$K$158=$AN182,('Consolidado Costos'!AH$6:AH$158*'Consolidado Costos'!$E$6:$E$158),0))</f>
        <v>0</v>
      </c>
      <c r="AV182" s="318" cm="1">
        <f t="array" ref="AV182">+SUMPRODUCT(IF('Consolidado Costos'!$K$6:$K$158=$AN182,('Consolidado Costos'!AI$6:AI$158*'Consolidado Costos'!$E$6:$E$158),0))</f>
        <v>0</v>
      </c>
      <c r="AW182" s="318" cm="1">
        <f t="array" ref="AW182">+SUMPRODUCT(IF('Consolidado Costos'!$K$6:$K$158=$AN182,('Consolidado Costos'!AJ$6:AJ$158*'Consolidado Costos'!$E$6:$E$158),0))</f>
        <v>0</v>
      </c>
      <c r="AX182" s="318" cm="1">
        <f t="array" ref="AX182">+SUMPRODUCT(IF('Consolidado Costos'!$K$6:$K$158=$AN182,('Consolidado Costos'!AK$6:AK$158*'Consolidado Costos'!$E$6:$E$158),0))</f>
        <v>0</v>
      </c>
      <c r="AY182" s="318" cm="1">
        <f t="array" ref="AY182">+SUMPRODUCT(IF('Consolidado Costos'!$K$6:$K$158=$AN182,('Consolidado Costos'!AL$6:AL$158*'Consolidado Costos'!$E$6:$E$158),0))</f>
        <v>0</v>
      </c>
      <c r="AZ182" s="318" cm="1">
        <f t="array" ref="AZ182">+SUMPRODUCT(IF('Consolidado Costos'!$K$6:$K$158=$AN182,('Consolidado Costos'!AM$6:AM$158*'Consolidado Costos'!$E$6:$E$158),0))</f>
        <v>0</v>
      </c>
      <c r="BA182" s="318" cm="1">
        <f t="array" ref="BA182">+SUMPRODUCT(IF('Consolidado Costos'!$K$6:$K$158=$AN182,('Consolidado Costos'!AN$6:AN$158*'Consolidado Costos'!$E$6:$E$158),0))</f>
        <v>0</v>
      </c>
      <c r="BB182" s="318" cm="1">
        <f t="array" ref="BB182">+SUMPRODUCT(IF('Consolidado Costos'!$K$6:$K$158=$AN182,('Consolidado Costos'!AO$6:AO$158*'Consolidado Costos'!$E$6:$E$158),0))</f>
        <v>0</v>
      </c>
      <c r="BC182" s="318" cm="1">
        <f t="array" ref="BC182">+SUMPRODUCT(IF('Consolidado Costos'!$K$6:$K$158=$AN182,('Consolidado Costos'!AP$6:AP$158*'Consolidado Costos'!$E$6:$E$158),0))</f>
        <v>0</v>
      </c>
      <c r="BE182" s="327"/>
      <c r="BF182" s="328" t="s">
        <v>588</v>
      </c>
      <c r="BG182" s="328" t="s">
        <v>589</v>
      </c>
      <c r="BH182" s="329"/>
      <c r="BI182" s="354">
        <f t="shared" si="48"/>
        <v>0</v>
      </c>
      <c r="BJ182" s="318" cm="1">
        <f t="array" ref="BJ182">+SUMPRODUCT(IF('Consolidado Costos'!$K$6:$K$158=$BF182,('Consolidado Costos'!AE$6:AE$158*'Consolidado Costos'!$F$6:$F$158),0))</f>
        <v>0</v>
      </c>
      <c r="BK182" s="318" cm="1">
        <f t="array" ref="BK182">+SUMPRODUCT(IF('Consolidado Costos'!$K$6:$K$158=$BF182,('Consolidado Costos'!AF$6:AF$158*'Consolidado Costos'!$F$6:$F$158),0))</f>
        <v>0</v>
      </c>
      <c r="BL182" s="318" cm="1">
        <f t="array" ref="BL182">+SUMPRODUCT(IF('Consolidado Costos'!$K$6:$K$158=$BF182,('Consolidado Costos'!AG$6:AG$158*'Consolidado Costos'!$F$6:$F$158),0))</f>
        <v>0</v>
      </c>
      <c r="BM182" s="318" cm="1">
        <f t="array" ref="BM182">+SUMPRODUCT(IF('Consolidado Costos'!$K$6:$K$158=$BF182,('Consolidado Costos'!AH$6:AH$158*'Consolidado Costos'!$F$6:$F$158),0))</f>
        <v>0</v>
      </c>
      <c r="BN182" s="318" cm="1">
        <f t="array" ref="BN182">+SUMPRODUCT(IF('Consolidado Costos'!$K$6:$K$158=$BF182,('Consolidado Costos'!AI$6:AI$158*'Consolidado Costos'!$F$6:$F$158),0))</f>
        <v>0</v>
      </c>
      <c r="BO182" s="318" cm="1">
        <f t="array" ref="BO182">+SUMPRODUCT(IF('Consolidado Costos'!$K$6:$K$158=$BF182,('Consolidado Costos'!AJ$6:AJ$158*'Consolidado Costos'!$F$6:$F$158),0))</f>
        <v>0</v>
      </c>
      <c r="BP182" s="318" cm="1">
        <f t="array" ref="BP182">+SUMPRODUCT(IF('Consolidado Costos'!$K$6:$K$158=$BF182,('Consolidado Costos'!AK$6:AK$158*'Consolidado Costos'!$F$6:$F$158),0))</f>
        <v>0</v>
      </c>
      <c r="BQ182" s="318" cm="1">
        <f t="array" ref="BQ182">+SUMPRODUCT(IF('Consolidado Costos'!$K$6:$K$158=$BF182,('Consolidado Costos'!AL$6:AL$158*'Consolidado Costos'!$F$6:$F$158),0))</f>
        <v>0</v>
      </c>
      <c r="BR182" s="318" cm="1">
        <f t="array" ref="BR182">+SUMPRODUCT(IF('Consolidado Costos'!$K$6:$K$158=$BF182,('Consolidado Costos'!AM$6:AM$158*'Consolidado Costos'!$F$6:$F$158),0))</f>
        <v>0</v>
      </c>
      <c r="BS182" s="318" cm="1">
        <f t="array" ref="BS182">+SUMPRODUCT(IF('Consolidado Costos'!$K$6:$K$158=$BF182,('Consolidado Costos'!AN$6:AN$158*'Consolidado Costos'!$F$6:$F$158),0))</f>
        <v>0</v>
      </c>
      <c r="BT182" s="318" cm="1">
        <f t="array" ref="BT182">+SUMPRODUCT(IF('Consolidado Costos'!$K$6:$K$158=$BF182,('Consolidado Costos'!AO$6:AO$158*'Consolidado Costos'!$F$6:$F$158),0))</f>
        <v>0</v>
      </c>
      <c r="BU182" s="318" cm="1">
        <f t="array" ref="BU182">+SUMPRODUCT(IF('Consolidado Costos'!$K$6:$K$158=$BF182,('Consolidado Costos'!AP$6:AP$158*'Consolidado Costos'!$F$6:$F$158),0))</f>
        <v>0</v>
      </c>
      <c r="BW182" s="327"/>
      <c r="BX182" s="328" t="s">
        <v>588</v>
      </c>
      <c r="BY182" s="328" t="s">
        <v>589</v>
      </c>
      <c r="BZ182" s="329"/>
      <c r="CA182" s="354">
        <f t="shared" si="49"/>
        <v>0</v>
      </c>
      <c r="CB182" s="318" cm="1">
        <f t="array" ref="CB182">+SUMPRODUCT(IF('Consolidado Costos'!$K$6:$K$158=$BX182,('Consolidado Costos'!AE$6:AE$158*'Consolidado Costos'!$G$6:$G$158),0))</f>
        <v>0</v>
      </c>
      <c r="CC182" s="318" cm="1">
        <f t="array" ref="CC182">+SUMPRODUCT(IF('Consolidado Costos'!$K$6:$K$158=$BX182,('Consolidado Costos'!AF$6:AF$158*'Consolidado Costos'!$G$6:$G$158),0))</f>
        <v>0</v>
      </c>
      <c r="CD182" s="318" cm="1">
        <f t="array" ref="CD182">+SUMPRODUCT(IF('Consolidado Costos'!$K$6:$K$158=$BX182,('Consolidado Costos'!AG$6:AG$158*'Consolidado Costos'!$G$6:$G$158),0))</f>
        <v>0</v>
      </c>
      <c r="CE182" s="318" cm="1">
        <f t="array" ref="CE182">+SUMPRODUCT(IF('Consolidado Costos'!$K$6:$K$158=$BX182,('Consolidado Costos'!AH$6:AH$158*'Consolidado Costos'!$G$6:$G$158),0))</f>
        <v>0</v>
      </c>
      <c r="CF182" s="318" cm="1">
        <f t="array" ref="CF182">+SUMPRODUCT(IF('Consolidado Costos'!$K$6:$K$158=$BX182,('Consolidado Costos'!AI$6:AI$158*'Consolidado Costos'!$G$6:$G$158),0))</f>
        <v>0</v>
      </c>
      <c r="CG182" s="318" cm="1">
        <f t="array" ref="CG182">+SUMPRODUCT(IF('Consolidado Costos'!$K$6:$K$158=$BX182,('Consolidado Costos'!AJ$6:AJ$158*'Consolidado Costos'!$G$6:$G$158),0))</f>
        <v>0</v>
      </c>
      <c r="CH182" s="318" cm="1">
        <f t="array" ref="CH182">+SUMPRODUCT(IF('Consolidado Costos'!$K$6:$K$158=$BX182,('Consolidado Costos'!AK$6:AK$158*'Consolidado Costos'!$G$6:$G$158),0))</f>
        <v>0</v>
      </c>
      <c r="CI182" s="318" cm="1">
        <f t="array" ref="CI182">+SUMPRODUCT(IF('Consolidado Costos'!$K$6:$K$158=$BX182,('Consolidado Costos'!AL$6:AL$158*'Consolidado Costos'!$G$6:$G$158),0))</f>
        <v>0</v>
      </c>
      <c r="CJ182" s="318" cm="1">
        <f t="array" ref="CJ182">+SUMPRODUCT(IF('Consolidado Costos'!$K$6:$K$158=$BX182,('Consolidado Costos'!AM$6:AM$158*'Consolidado Costos'!$G$6:$G$158),0))</f>
        <v>0</v>
      </c>
      <c r="CK182" s="318" cm="1">
        <f t="array" ref="CK182">+SUMPRODUCT(IF('Consolidado Costos'!$K$6:$K$158=$BX182,('Consolidado Costos'!AN$6:AN$158*'Consolidado Costos'!$G$6:$G$158),0))</f>
        <v>0</v>
      </c>
      <c r="CL182" s="318" cm="1">
        <f t="array" ref="CL182">+SUMPRODUCT(IF('Consolidado Costos'!$K$6:$K$158=$BX182,('Consolidado Costos'!AO$6:AO$158*'Consolidado Costos'!$G$6:$G$158),0))</f>
        <v>0</v>
      </c>
      <c r="CM182" s="318" cm="1">
        <f t="array" ref="CM182">+SUMPRODUCT(IF('Consolidado Costos'!$K$6:$K$158=$BX182,('Consolidado Costos'!AP$6:AP$158*'Consolidado Costos'!$G$6:$G$158),0))</f>
        <v>0</v>
      </c>
      <c r="CN182" s="357">
        <f t="shared" si="51"/>
        <v>1</v>
      </c>
    </row>
    <row r="183" spans="2:92" s="310" customFormat="1" outlineLevel="1">
      <c r="B183" s="327"/>
      <c r="C183" s="330" t="s">
        <v>590</v>
      </c>
      <c r="D183" s="330" t="s">
        <v>591</v>
      </c>
      <c r="E183" s="329"/>
      <c r="F183" s="318">
        <f>+SUMIF('Consolidado Costos'!$K$6:$K$158,$C183,'Consolidado Costos'!$AD$6:$AD$158)</f>
        <v>0</v>
      </c>
      <c r="G183" s="318">
        <f>+SUMIF('Consolidado Costos'!$K$6:$K$158,$C183,'Consolidado Costos'!AE$6:AE$158)</f>
        <v>0</v>
      </c>
      <c r="H183" s="318">
        <f>+SUMIF('Consolidado Costos'!$K$6:$K$158,$C183,'Consolidado Costos'!AF$6:AF$158)</f>
        <v>0</v>
      </c>
      <c r="I183" s="318">
        <f>+SUMIF('Consolidado Costos'!$K$6:$K$158,$C183,'Consolidado Costos'!AG$6:AG$158)</f>
        <v>0</v>
      </c>
      <c r="J183" s="318">
        <f>+SUMIF('Consolidado Costos'!$K$6:$K$158,$C183,'Consolidado Costos'!AH$6:AH$158)</f>
        <v>0</v>
      </c>
      <c r="K183" s="318">
        <f>+SUMIF('Consolidado Costos'!$K$6:$K$158,$C183,'Consolidado Costos'!AI$6:AI$158)</f>
        <v>0</v>
      </c>
      <c r="L183" s="318">
        <f>+SUMIF('Consolidado Costos'!$K$6:$K$158,$C183,'Consolidado Costos'!AJ$6:AJ$158)</f>
        <v>0</v>
      </c>
      <c r="M183" s="318">
        <f>+SUMIF('Consolidado Costos'!$K$6:$K$158,$C183,'Consolidado Costos'!AK$6:AK$158)</f>
        <v>0</v>
      </c>
      <c r="N183" s="318">
        <f>+SUMIF('Consolidado Costos'!$K$6:$K$158,$C183,'Consolidado Costos'!AL$6:AL$158)</f>
        <v>0</v>
      </c>
      <c r="O183" s="318">
        <f>+SUMIF('Consolidado Costos'!$K$6:$K$158,$C183,'Consolidado Costos'!AM$6:AM$158)</f>
        <v>0</v>
      </c>
      <c r="P183" s="318">
        <f>+SUMIF('Consolidado Costos'!$K$6:$K$158,$C183,'Consolidado Costos'!AN$6:AN$158)</f>
        <v>0</v>
      </c>
      <c r="Q183" s="318">
        <f>+SUMIF('Consolidado Costos'!$K$6:$K$158,$C183,'Consolidado Costos'!AO$6:AO$158)</f>
        <v>0</v>
      </c>
      <c r="R183" s="318">
        <f>+SUMIF('Consolidado Costos'!$K$6:$K$158,$C183,'Consolidado Costos'!AP$6:AP$158)</f>
        <v>0</v>
      </c>
      <c r="S183" s="357">
        <f t="shared" si="50"/>
        <v>1</v>
      </c>
      <c r="U183" s="327"/>
      <c r="V183" s="330" t="s">
        <v>590</v>
      </c>
      <c r="W183" s="330" t="s">
        <v>591</v>
      </c>
      <c r="X183" s="329"/>
      <c r="Y183" s="354">
        <f t="shared" si="46"/>
        <v>0</v>
      </c>
      <c r="Z183" s="318" cm="1">
        <f t="array" ref="Z183">+SUMPRODUCT(IF('Consolidado Costos'!$K$6:$K$158=$V183,('Consolidado Costos'!AE$6:AE$158*'Consolidado Costos'!$D$6:$D$158),0))</f>
        <v>0</v>
      </c>
      <c r="AA183" s="318" cm="1">
        <f t="array" ref="AA183">+SUMPRODUCT(IF('Consolidado Costos'!$K$6:$K$158=$V183,('Consolidado Costos'!AF$6:AF$158*'Consolidado Costos'!$D$6:$D$158),0))</f>
        <v>0</v>
      </c>
      <c r="AB183" s="318" cm="1">
        <f t="array" ref="AB183">+SUMPRODUCT(IF('Consolidado Costos'!$K$6:$K$158=$V183,('Consolidado Costos'!AG$6:AG$158*'Consolidado Costos'!$D$6:$D$158),0))</f>
        <v>0</v>
      </c>
      <c r="AC183" s="318" cm="1">
        <f t="array" ref="AC183">+SUMPRODUCT(IF('Consolidado Costos'!$K$6:$K$158=$V183,('Consolidado Costos'!AH$6:AH$158*'Consolidado Costos'!$D$6:$D$158),0))</f>
        <v>0</v>
      </c>
      <c r="AD183" s="318" cm="1">
        <f t="array" ref="AD183">+SUMPRODUCT(IF('Consolidado Costos'!$K$6:$K$158=$V183,('Consolidado Costos'!AI$6:AI$158*'Consolidado Costos'!$D$6:$D$158),0))</f>
        <v>0</v>
      </c>
      <c r="AE183" s="318" cm="1">
        <f t="array" ref="AE183">+SUMPRODUCT(IF('Consolidado Costos'!$K$6:$K$158=$V183,('Consolidado Costos'!AJ$6:AJ$158*'Consolidado Costos'!$D$6:$D$158),0))</f>
        <v>0</v>
      </c>
      <c r="AF183" s="318" cm="1">
        <f t="array" ref="AF183">+SUMPRODUCT(IF('Consolidado Costos'!$K$6:$K$158=$V183,('Consolidado Costos'!AK$6:AK$158*'Consolidado Costos'!$D$6:$D$158),0))</f>
        <v>0</v>
      </c>
      <c r="AG183" s="318" cm="1">
        <f t="array" ref="AG183">+SUMPRODUCT(IF('Consolidado Costos'!$K$6:$K$158=$V183,('Consolidado Costos'!AL$6:AL$158*'Consolidado Costos'!$D$6:$D$158),0))</f>
        <v>0</v>
      </c>
      <c r="AH183" s="318" cm="1">
        <f t="array" ref="AH183">+SUMPRODUCT(IF('Consolidado Costos'!$K$6:$K$158=$V183,('Consolidado Costos'!AM$6:AM$158*'Consolidado Costos'!$D$6:$D$158),0))</f>
        <v>0</v>
      </c>
      <c r="AI183" s="318" cm="1">
        <f t="array" ref="AI183">+SUMPRODUCT(IF('Consolidado Costos'!$K$6:$K$158=$V183,('Consolidado Costos'!AN$6:AN$158*'Consolidado Costos'!$D$6:$D$158),0))</f>
        <v>0</v>
      </c>
      <c r="AJ183" s="318" cm="1">
        <f t="array" ref="AJ183">+SUMPRODUCT(IF('Consolidado Costos'!$K$6:$K$158=$V183,('Consolidado Costos'!AO$6:AO$158*'Consolidado Costos'!$D$6:$D$158),0))</f>
        <v>0</v>
      </c>
      <c r="AK183" s="318" cm="1">
        <f t="array" ref="AK183">+SUMPRODUCT(IF('Consolidado Costos'!$K$6:$K$158=$V183,('Consolidado Costos'!AP$6:AP$158*'Consolidado Costos'!$D$6:$D$158),0))</f>
        <v>0</v>
      </c>
      <c r="AM183" s="327"/>
      <c r="AN183" s="330" t="s">
        <v>590</v>
      </c>
      <c r="AO183" s="330" t="s">
        <v>591</v>
      </c>
      <c r="AP183" s="329"/>
      <c r="AQ183" s="354">
        <f t="shared" si="47"/>
        <v>0</v>
      </c>
      <c r="AR183" s="318" cm="1">
        <f t="array" ref="AR183">+SUMPRODUCT(IF('Consolidado Costos'!$K$6:$K$158=$AN183,('Consolidado Costos'!AE$6:AE$158*'Consolidado Costos'!$E$6:$E$158),0))</f>
        <v>0</v>
      </c>
      <c r="AS183" s="318" cm="1">
        <f t="array" ref="AS183">+SUMPRODUCT(IF('Consolidado Costos'!$K$6:$K$158=$AN183,('Consolidado Costos'!AF$6:AF$158*'Consolidado Costos'!$E$6:$E$158),0))</f>
        <v>0</v>
      </c>
      <c r="AT183" s="318" cm="1">
        <f t="array" ref="AT183">+SUMPRODUCT(IF('Consolidado Costos'!$K$6:$K$158=$AN183,('Consolidado Costos'!AG$6:AG$158*'Consolidado Costos'!$E$6:$E$158),0))</f>
        <v>0</v>
      </c>
      <c r="AU183" s="318" cm="1">
        <f t="array" ref="AU183">+SUMPRODUCT(IF('Consolidado Costos'!$K$6:$K$158=$AN183,('Consolidado Costos'!AH$6:AH$158*'Consolidado Costos'!$E$6:$E$158),0))</f>
        <v>0</v>
      </c>
      <c r="AV183" s="318" cm="1">
        <f t="array" ref="AV183">+SUMPRODUCT(IF('Consolidado Costos'!$K$6:$K$158=$AN183,('Consolidado Costos'!AI$6:AI$158*'Consolidado Costos'!$E$6:$E$158),0))</f>
        <v>0</v>
      </c>
      <c r="AW183" s="318" cm="1">
        <f t="array" ref="AW183">+SUMPRODUCT(IF('Consolidado Costos'!$K$6:$K$158=$AN183,('Consolidado Costos'!AJ$6:AJ$158*'Consolidado Costos'!$E$6:$E$158),0))</f>
        <v>0</v>
      </c>
      <c r="AX183" s="318" cm="1">
        <f t="array" ref="AX183">+SUMPRODUCT(IF('Consolidado Costos'!$K$6:$K$158=$AN183,('Consolidado Costos'!AK$6:AK$158*'Consolidado Costos'!$E$6:$E$158),0))</f>
        <v>0</v>
      </c>
      <c r="AY183" s="318" cm="1">
        <f t="array" ref="AY183">+SUMPRODUCT(IF('Consolidado Costos'!$K$6:$K$158=$AN183,('Consolidado Costos'!AL$6:AL$158*'Consolidado Costos'!$E$6:$E$158),0))</f>
        <v>0</v>
      </c>
      <c r="AZ183" s="318" cm="1">
        <f t="array" ref="AZ183">+SUMPRODUCT(IF('Consolidado Costos'!$K$6:$K$158=$AN183,('Consolidado Costos'!AM$6:AM$158*'Consolidado Costos'!$E$6:$E$158),0))</f>
        <v>0</v>
      </c>
      <c r="BA183" s="318" cm="1">
        <f t="array" ref="BA183">+SUMPRODUCT(IF('Consolidado Costos'!$K$6:$K$158=$AN183,('Consolidado Costos'!AN$6:AN$158*'Consolidado Costos'!$E$6:$E$158),0))</f>
        <v>0</v>
      </c>
      <c r="BB183" s="318" cm="1">
        <f t="array" ref="BB183">+SUMPRODUCT(IF('Consolidado Costos'!$K$6:$K$158=$AN183,('Consolidado Costos'!AO$6:AO$158*'Consolidado Costos'!$E$6:$E$158),0))</f>
        <v>0</v>
      </c>
      <c r="BC183" s="318" cm="1">
        <f t="array" ref="BC183">+SUMPRODUCT(IF('Consolidado Costos'!$K$6:$K$158=$AN183,('Consolidado Costos'!AP$6:AP$158*'Consolidado Costos'!$E$6:$E$158),0))</f>
        <v>0</v>
      </c>
      <c r="BE183" s="327"/>
      <c r="BF183" s="330" t="s">
        <v>590</v>
      </c>
      <c r="BG183" s="330" t="s">
        <v>591</v>
      </c>
      <c r="BH183" s="329"/>
      <c r="BI183" s="354">
        <f t="shared" si="48"/>
        <v>0</v>
      </c>
      <c r="BJ183" s="318" cm="1">
        <f t="array" ref="BJ183">+SUMPRODUCT(IF('Consolidado Costos'!$K$6:$K$158=$BF183,('Consolidado Costos'!AE$6:AE$158*'Consolidado Costos'!$F$6:$F$158),0))</f>
        <v>0</v>
      </c>
      <c r="BK183" s="318" cm="1">
        <f t="array" ref="BK183">+SUMPRODUCT(IF('Consolidado Costos'!$K$6:$K$158=$BF183,('Consolidado Costos'!AF$6:AF$158*'Consolidado Costos'!$F$6:$F$158),0))</f>
        <v>0</v>
      </c>
      <c r="BL183" s="318" cm="1">
        <f t="array" ref="BL183">+SUMPRODUCT(IF('Consolidado Costos'!$K$6:$K$158=$BF183,('Consolidado Costos'!AG$6:AG$158*'Consolidado Costos'!$F$6:$F$158),0))</f>
        <v>0</v>
      </c>
      <c r="BM183" s="318" cm="1">
        <f t="array" ref="BM183">+SUMPRODUCT(IF('Consolidado Costos'!$K$6:$K$158=$BF183,('Consolidado Costos'!AH$6:AH$158*'Consolidado Costos'!$F$6:$F$158),0))</f>
        <v>0</v>
      </c>
      <c r="BN183" s="318" cm="1">
        <f t="array" ref="BN183">+SUMPRODUCT(IF('Consolidado Costos'!$K$6:$K$158=$BF183,('Consolidado Costos'!AI$6:AI$158*'Consolidado Costos'!$F$6:$F$158),0))</f>
        <v>0</v>
      </c>
      <c r="BO183" s="318" cm="1">
        <f t="array" ref="BO183">+SUMPRODUCT(IF('Consolidado Costos'!$K$6:$K$158=$BF183,('Consolidado Costos'!AJ$6:AJ$158*'Consolidado Costos'!$F$6:$F$158),0))</f>
        <v>0</v>
      </c>
      <c r="BP183" s="318" cm="1">
        <f t="array" ref="BP183">+SUMPRODUCT(IF('Consolidado Costos'!$K$6:$K$158=$BF183,('Consolidado Costos'!AK$6:AK$158*'Consolidado Costos'!$F$6:$F$158),0))</f>
        <v>0</v>
      </c>
      <c r="BQ183" s="318" cm="1">
        <f t="array" ref="BQ183">+SUMPRODUCT(IF('Consolidado Costos'!$K$6:$K$158=$BF183,('Consolidado Costos'!AL$6:AL$158*'Consolidado Costos'!$F$6:$F$158),0))</f>
        <v>0</v>
      </c>
      <c r="BR183" s="318" cm="1">
        <f t="array" ref="BR183">+SUMPRODUCT(IF('Consolidado Costos'!$K$6:$K$158=$BF183,('Consolidado Costos'!AM$6:AM$158*'Consolidado Costos'!$F$6:$F$158),0))</f>
        <v>0</v>
      </c>
      <c r="BS183" s="318" cm="1">
        <f t="array" ref="BS183">+SUMPRODUCT(IF('Consolidado Costos'!$K$6:$K$158=$BF183,('Consolidado Costos'!AN$6:AN$158*'Consolidado Costos'!$F$6:$F$158),0))</f>
        <v>0</v>
      </c>
      <c r="BT183" s="318" cm="1">
        <f t="array" ref="BT183">+SUMPRODUCT(IF('Consolidado Costos'!$K$6:$K$158=$BF183,('Consolidado Costos'!AO$6:AO$158*'Consolidado Costos'!$F$6:$F$158),0))</f>
        <v>0</v>
      </c>
      <c r="BU183" s="318" cm="1">
        <f t="array" ref="BU183">+SUMPRODUCT(IF('Consolidado Costos'!$K$6:$K$158=$BF183,('Consolidado Costos'!AP$6:AP$158*'Consolidado Costos'!$F$6:$F$158),0))</f>
        <v>0</v>
      </c>
      <c r="BW183" s="327"/>
      <c r="BX183" s="330" t="s">
        <v>590</v>
      </c>
      <c r="BY183" s="330" t="s">
        <v>591</v>
      </c>
      <c r="BZ183" s="329"/>
      <c r="CA183" s="354">
        <f t="shared" si="49"/>
        <v>0</v>
      </c>
      <c r="CB183" s="318" cm="1">
        <f t="array" ref="CB183">+SUMPRODUCT(IF('Consolidado Costos'!$K$6:$K$158=$BX183,('Consolidado Costos'!AE$6:AE$158*'Consolidado Costos'!$G$6:$G$158),0))</f>
        <v>0</v>
      </c>
      <c r="CC183" s="318" cm="1">
        <f t="array" ref="CC183">+SUMPRODUCT(IF('Consolidado Costos'!$K$6:$K$158=$BX183,('Consolidado Costos'!AF$6:AF$158*'Consolidado Costos'!$G$6:$G$158),0))</f>
        <v>0</v>
      </c>
      <c r="CD183" s="318" cm="1">
        <f t="array" ref="CD183">+SUMPRODUCT(IF('Consolidado Costos'!$K$6:$K$158=$BX183,('Consolidado Costos'!AG$6:AG$158*'Consolidado Costos'!$G$6:$G$158),0))</f>
        <v>0</v>
      </c>
      <c r="CE183" s="318" cm="1">
        <f t="array" ref="CE183">+SUMPRODUCT(IF('Consolidado Costos'!$K$6:$K$158=$BX183,('Consolidado Costos'!AH$6:AH$158*'Consolidado Costos'!$G$6:$G$158),0))</f>
        <v>0</v>
      </c>
      <c r="CF183" s="318" cm="1">
        <f t="array" ref="CF183">+SUMPRODUCT(IF('Consolidado Costos'!$K$6:$K$158=$BX183,('Consolidado Costos'!AI$6:AI$158*'Consolidado Costos'!$G$6:$G$158),0))</f>
        <v>0</v>
      </c>
      <c r="CG183" s="318" cm="1">
        <f t="array" ref="CG183">+SUMPRODUCT(IF('Consolidado Costos'!$K$6:$K$158=$BX183,('Consolidado Costos'!AJ$6:AJ$158*'Consolidado Costos'!$G$6:$G$158),0))</f>
        <v>0</v>
      </c>
      <c r="CH183" s="318" cm="1">
        <f t="array" ref="CH183">+SUMPRODUCT(IF('Consolidado Costos'!$K$6:$K$158=$BX183,('Consolidado Costos'!AK$6:AK$158*'Consolidado Costos'!$G$6:$G$158),0))</f>
        <v>0</v>
      </c>
      <c r="CI183" s="318" cm="1">
        <f t="array" ref="CI183">+SUMPRODUCT(IF('Consolidado Costos'!$K$6:$K$158=$BX183,('Consolidado Costos'!AL$6:AL$158*'Consolidado Costos'!$G$6:$G$158),0))</f>
        <v>0</v>
      </c>
      <c r="CJ183" s="318" cm="1">
        <f t="array" ref="CJ183">+SUMPRODUCT(IF('Consolidado Costos'!$K$6:$K$158=$BX183,('Consolidado Costos'!AM$6:AM$158*'Consolidado Costos'!$G$6:$G$158),0))</f>
        <v>0</v>
      </c>
      <c r="CK183" s="318" cm="1">
        <f t="array" ref="CK183">+SUMPRODUCT(IF('Consolidado Costos'!$K$6:$K$158=$BX183,('Consolidado Costos'!AN$6:AN$158*'Consolidado Costos'!$G$6:$G$158),0))</f>
        <v>0</v>
      </c>
      <c r="CL183" s="318" cm="1">
        <f t="array" ref="CL183">+SUMPRODUCT(IF('Consolidado Costos'!$K$6:$K$158=$BX183,('Consolidado Costos'!AO$6:AO$158*'Consolidado Costos'!$G$6:$G$158),0))</f>
        <v>0</v>
      </c>
      <c r="CM183" s="318" cm="1">
        <f t="array" ref="CM183">+SUMPRODUCT(IF('Consolidado Costos'!$K$6:$K$158=$BX183,('Consolidado Costos'!AP$6:AP$158*'Consolidado Costos'!$G$6:$G$158),0))</f>
        <v>0</v>
      </c>
      <c r="CN183" s="357">
        <f t="shared" si="51"/>
        <v>1</v>
      </c>
    </row>
    <row r="184" spans="2:92" s="337" customFormat="1">
      <c r="B184" s="331" t="s">
        <v>592</v>
      </c>
      <c r="C184" s="332"/>
      <c r="D184" s="333" t="s">
        <v>486</v>
      </c>
      <c r="E184" s="334"/>
      <c r="F184" s="335">
        <f>+SUM(F160:F183)</f>
        <v>39076.923076923078</v>
      </c>
      <c r="G184" s="335">
        <f>+SUM(G160:G183)</f>
        <v>2051.2820512820513</v>
      </c>
      <c r="H184" s="335">
        <f t="shared" ref="H184:R184" si="52">+SUM(H160:H183)</f>
        <v>7076.923076923078</v>
      </c>
      <c r="I184" s="335">
        <f t="shared" si="52"/>
        <v>512.82051282051282</v>
      </c>
      <c r="J184" s="335">
        <f t="shared" si="52"/>
        <v>7076.923076923078</v>
      </c>
      <c r="K184" s="335">
        <f t="shared" si="52"/>
        <v>512.82051282051282</v>
      </c>
      <c r="L184" s="335">
        <f t="shared" si="52"/>
        <v>2820.5128205128203</v>
      </c>
      <c r="M184" s="335">
        <f t="shared" si="52"/>
        <v>512.82051282051282</v>
      </c>
      <c r="N184" s="335">
        <f t="shared" si="52"/>
        <v>7076.923076923078</v>
      </c>
      <c r="O184" s="335">
        <f t="shared" si="52"/>
        <v>512.82051282051282</v>
      </c>
      <c r="P184" s="335">
        <f t="shared" si="52"/>
        <v>1025.6410256410256</v>
      </c>
      <c r="Q184" s="335">
        <f t="shared" si="52"/>
        <v>6564.1025641025653</v>
      </c>
      <c r="R184" s="335">
        <f t="shared" si="52"/>
        <v>3333.333333333333</v>
      </c>
      <c r="S184" s="357">
        <f>+IF(SUM(G184:R184)=F184,1,0)</f>
        <v>1</v>
      </c>
      <c r="U184" s="331" t="s">
        <v>592</v>
      </c>
      <c r="V184" s="332"/>
      <c r="W184" s="333" t="s">
        <v>486</v>
      </c>
      <c r="X184" s="334"/>
      <c r="Y184" s="335">
        <f>+SUM(Y160:Y183)</f>
        <v>26043.076923076926</v>
      </c>
      <c r="Z184" s="335">
        <f t="shared" ref="Z184:AK184" si="53">+SUM(Z160:Z183)</f>
        <v>471.79487179487182</v>
      </c>
      <c r="AA184" s="335">
        <f t="shared" si="53"/>
        <v>5567.1794871794882</v>
      </c>
      <c r="AB184" s="335">
        <f t="shared" si="53"/>
        <v>0</v>
      </c>
      <c r="AC184" s="335">
        <f t="shared" si="53"/>
        <v>5567.1794871794882</v>
      </c>
      <c r="AD184" s="335">
        <f t="shared" si="53"/>
        <v>0</v>
      </c>
      <c r="AE184" s="335">
        <f t="shared" si="53"/>
        <v>1651.2820512820515</v>
      </c>
      <c r="AF184" s="335">
        <f t="shared" si="53"/>
        <v>0</v>
      </c>
      <c r="AG184" s="335">
        <f t="shared" si="53"/>
        <v>5567.1794871794882</v>
      </c>
      <c r="AH184" s="335">
        <f t="shared" si="53"/>
        <v>0</v>
      </c>
      <c r="AI184" s="335">
        <f t="shared" si="53"/>
        <v>0</v>
      </c>
      <c r="AJ184" s="335">
        <f t="shared" si="53"/>
        <v>5567.1794871794882</v>
      </c>
      <c r="AK184" s="335">
        <f t="shared" si="53"/>
        <v>1651.2820512820515</v>
      </c>
      <c r="AM184" s="331" t="s">
        <v>592</v>
      </c>
      <c r="AN184" s="332"/>
      <c r="AO184" s="333" t="s">
        <v>486</v>
      </c>
      <c r="AP184" s="334"/>
      <c r="AQ184" s="335">
        <f t="shared" ref="AQ184:BC184" si="54">+SUM(AQ160:AQ183)</f>
        <v>1698.4615384615383</v>
      </c>
      <c r="AR184" s="335">
        <f t="shared" si="54"/>
        <v>30.769230769230766</v>
      </c>
      <c r="AS184" s="335">
        <f t="shared" si="54"/>
        <v>363.07692307692309</v>
      </c>
      <c r="AT184" s="335">
        <f t="shared" si="54"/>
        <v>0</v>
      </c>
      <c r="AU184" s="335">
        <f t="shared" si="54"/>
        <v>363.07692307692309</v>
      </c>
      <c r="AV184" s="335">
        <f t="shared" si="54"/>
        <v>0</v>
      </c>
      <c r="AW184" s="335">
        <f t="shared" si="54"/>
        <v>107.69230769230769</v>
      </c>
      <c r="AX184" s="335">
        <f t="shared" si="54"/>
        <v>0</v>
      </c>
      <c r="AY184" s="335">
        <f t="shared" si="54"/>
        <v>363.07692307692309</v>
      </c>
      <c r="AZ184" s="335">
        <f t="shared" si="54"/>
        <v>0</v>
      </c>
      <c r="BA184" s="335">
        <f t="shared" si="54"/>
        <v>0</v>
      </c>
      <c r="BB184" s="335">
        <f t="shared" si="54"/>
        <v>363.07692307692309</v>
      </c>
      <c r="BC184" s="335">
        <f t="shared" si="54"/>
        <v>107.69230769230769</v>
      </c>
      <c r="BE184" s="331" t="s">
        <v>592</v>
      </c>
      <c r="BF184" s="332"/>
      <c r="BG184" s="333" t="s">
        <v>486</v>
      </c>
      <c r="BH184" s="334"/>
      <c r="BI184" s="335">
        <f t="shared" ref="BI184:BU184" si="55">+SUM(BI160:BI183)</f>
        <v>566.15384615384619</v>
      </c>
      <c r="BJ184" s="335">
        <f t="shared" si="55"/>
        <v>10.256410256410257</v>
      </c>
      <c r="BK184" s="335">
        <f t="shared" si="55"/>
        <v>121.02564102564104</v>
      </c>
      <c r="BL184" s="335">
        <f t="shared" si="55"/>
        <v>0</v>
      </c>
      <c r="BM184" s="335">
        <f t="shared" si="55"/>
        <v>121.02564102564104</v>
      </c>
      <c r="BN184" s="335">
        <f t="shared" si="55"/>
        <v>0</v>
      </c>
      <c r="BO184" s="335">
        <f t="shared" si="55"/>
        <v>35.897435897435898</v>
      </c>
      <c r="BP184" s="335">
        <f t="shared" si="55"/>
        <v>0</v>
      </c>
      <c r="BQ184" s="335">
        <f t="shared" si="55"/>
        <v>121.02564102564104</v>
      </c>
      <c r="BR184" s="335">
        <f t="shared" si="55"/>
        <v>0</v>
      </c>
      <c r="BS184" s="335">
        <f t="shared" si="55"/>
        <v>0</v>
      </c>
      <c r="BT184" s="335">
        <f t="shared" si="55"/>
        <v>121.02564102564104</v>
      </c>
      <c r="BU184" s="335">
        <f t="shared" si="55"/>
        <v>35.897435897435898</v>
      </c>
      <c r="BW184" s="331" t="s">
        <v>592</v>
      </c>
      <c r="BX184" s="332"/>
      <c r="BY184" s="333" t="s">
        <v>486</v>
      </c>
      <c r="BZ184" s="334"/>
      <c r="CA184" s="335">
        <f t="shared" ref="CA184:CM184" si="56">+SUM(CA160:CA183)</f>
        <v>10769.23076923077</v>
      </c>
      <c r="CB184" s="335">
        <f t="shared" si="56"/>
        <v>1538.4615384615383</v>
      </c>
      <c r="CC184" s="335">
        <f t="shared" si="56"/>
        <v>1025.6410256410256</v>
      </c>
      <c r="CD184" s="335">
        <f t="shared" si="56"/>
        <v>512.82051282051282</v>
      </c>
      <c r="CE184" s="335">
        <f t="shared" si="56"/>
        <v>1025.6410256410256</v>
      </c>
      <c r="CF184" s="335">
        <f t="shared" si="56"/>
        <v>512.82051282051282</v>
      </c>
      <c r="CG184" s="335">
        <f t="shared" si="56"/>
        <v>1025.6410256410256</v>
      </c>
      <c r="CH184" s="335">
        <f t="shared" si="56"/>
        <v>512.82051282051282</v>
      </c>
      <c r="CI184" s="335">
        <f t="shared" si="56"/>
        <v>1025.6410256410256</v>
      </c>
      <c r="CJ184" s="335">
        <f t="shared" si="56"/>
        <v>512.82051282051282</v>
      </c>
      <c r="CK184" s="335">
        <f t="shared" si="56"/>
        <v>1025.6410256410256</v>
      </c>
      <c r="CL184" s="335">
        <f t="shared" si="56"/>
        <v>512.82051282051282</v>
      </c>
      <c r="CM184" s="335">
        <f t="shared" si="56"/>
        <v>1538.4615384615383</v>
      </c>
      <c r="CN184" s="357">
        <f t="shared" si="51"/>
        <v>1</v>
      </c>
    </row>
    <row r="185" spans="2:92" s="337" customFormat="1">
      <c r="B185" s="515" t="s">
        <v>702</v>
      </c>
      <c r="C185" s="332"/>
      <c r="D185" s="333" t="s">
        <v>594</v>
      </c>
      <c r="E185" s="334"/>
      <c r="F185" s="335">
        <f>+F129+F140+F152+F159+F184</f>
        <v>1617309.9291934732</v>
      </c>
      <c r="G185" s="335">
        <f>+G129+G140+G152+G159+G184</f>
        <v>150049.72495415693</v>
      </c>
      <c r="H185" s="335">
        <f t="shared" ref="H185:R185" si="57">+H129+H140+H152+H159+H184</f>
        <v>150666.92956954153</v>
      </c>
      <c r="I185" s="335">
        <f t="shared" si="57"/>
        <v>109143.36597979796</v>
      </c>
      <c r="J185" s="335">
        <f t="shared" si="57"/>
        <v>118960.96854390051</v>
      </c>
      <c r="K185" s="335">
        <f t="shared" si="57"/>
        <v>112497.91726184923</v>
      </c>
      <c r="L185" s="335">
        <f t="shared" si="57"/>
        <v>114706.66085159281</v>
      </c>
      <c r="M185" s="335">
        <f t="shared" si="57"/>
        <v>115479.01982595179</v>
      </c>
      <c r="N185" s="335">
        <f t="shared" si="57"/>
        <v>126274.17367210564</v>
      </c>
      <c r="O185" s="335">
        <f t="shared" si="57"/>
        <v>118582.74239005435</v>
      </c>
      <c r="P185" s="335">
        <f t="shared" si="57"/>
        <v>114112.87110800308</v>
      </c>
      <c r="Q185" s="335">
        <f t="shared" si="57"/>
        <v>118465.50700543897</v>
      </c>
      <c r="R185" s="335">
        <f t="shared" si="57"/>
        <v>181662.35572338771</v>
      </c>
      <c r="S185" s="357">
        <f>+IF(SUM(G185:R185)=F185,1,0)</f>
        <v>0</v>
      </c>
      <c r="U185" s="515" t="s">
        <v>702</v>
      </c>
      <c r="V185" s="332"/>
      <c r="W185" s="333" t="s">
        <v>594</v>
      </c>
      <c r="X185" s="334"/>
      <c r="Y185" s="335">
        <f t="shared" ref="Y185:AK185" si="58">+Y129+Y140+Y152+Y159+Y184</f>
        <v>1168243.3593419581</v>
      </c>
      <c r="Z185" s="335">
        <f t="shared" si="58"/>
        <v>114882.54860969307</v>
      </c>
      <c r="AA185" s="335">
        <f t="shared" si="58"/>
        <v>109079.7332250777</v>
      </c>
      <c r="AB185" s="335">
        <f t="shared" si="58"/>
        <v>82905.753737898209</v>
      </c>
      <c r="AC185" s="335">
        <f t="shared" si="58"/>
        <v>91889.181943026386</v>
      </c>
      <c r="AD185" s="335">
        <f t="shared" si="58"/>
        <v>86322.002455846901</v>
      </c>
      <c r="AE185" s="335">
        <f t="shared" si="58"/>
        <v>87973.284507128948</v>
      </c>
      <c r="AF185" s="335">
        <f t="shared" si="58"/>
        <v>89169.602455846907</v>
      </c>
      <c r="AG185" s="335">
        <f t="shared" si="58"/>
        <v>99163.581943026395</v>
      </c>
      <c r="AH185" s="335">
        <f t="shared" si="58"/>
        <v>86474.912455846905</v>
      </c>
      <c r="AI185" s="335">
        <f t="shared" si="58"/>
        <v>87328.483994308452</v>
      </c>
      <c r="AJ185" s="335">
        <f t="shared" si="58"/>
        <v>91898.181943026386</v>
      </c>
      <c r="AK185" s="335">
        <f t="shared" si="58"/>
        <v>141156.09207123151</v>
      </c>
      <c r="AM185" s="515" t="s">
        <v>702</v>
      </c>
      <c r="AN185" s="332"/>
      <c r="AO185" s="333" t="s">
        <v>594</v>
      </c>
      <c r="AP185" s="334"/>
      <c r="AQ185" s="335">
        <f t="shared" ref="AQ185:BC185" si="59">+AQ129+AQ140+AQ152+AQ159+AQ184</f>
        <v>135490.20477575753</v>
      </c>
      <c r="AR185" s="335">
        <f t="shared" si="59"/>
        <v>16495.401028321678</v>
      </c>
      <c r="AS185" s="335">
        <f t="shared" si="59"/>
        <v>23316.421028321678</v>
      </c>
      <c r="AT185" s="335">
        <f t="shared" si="59"/>
        <v>8599.6317975524471</v>
      </c>
      <c r="AU185" s="335">
        <f t="shared" si="59"/>
        <v>8798.9087206293698</v>
      </c>
      <c r="AV185" s="335">
        <f t="shared" si="59"/>
        <v>8435.831797552446</v>
      </c>
      <c r="AW185" s="335">
        <f t="shared" si="59"/>
        <v>8543.5241052447545</v>
      </c>
      <c r="AX185" s="335">
        <f t="shared" si="59"/>
        <v>8667.2317975524456</v>
      </c>
      <c r="AY185" s="335">
        <f t="shared" si="59"/>
        <v>8833.5087206293701</v>
      </c>
      <c r="AZ185" s="335">
        <f t="shared" si="59"/>
        <v>8452.8217975524458</v>
      </c>
      <c r="BA185" s="335">
        <f t="shared" si="59"/>
        <v>8626.2271821678314</v>
      </c>
      <c r="BB185" s="335">
        <f t="shared" si="59"/>
        <v>8799.9087206293698</v>
      </c>
      <c r="BC185" s="335">
        <f t="shared" si="59"/>
        <v>17920.788079603728</v>
      </c>
      <c r="BE185" s="515" t="s">
        <v>702</v>
      </c>
      <c r="BF185" s="332"/>
      <c r="BG185" s="333" t="s">
        <v>594</v>
      </c>
      <c r="BH185" s="334"/>
      <c r="BI185" s="335">
        <f t="shared" ref="BI185:BU185" si="60">+BI129+BI140+BI152+BI159+BI184</f>
        <v>64835.514050116537</v>
      </c>
      <c r="BJ185" s="335">
        <f t="shared" si="60"/>
        <v>5195.5737776806527</v>
      </c>
      <c r="BK185" s="335">
        <f t="shared" si="60"/>
        <v>5306.3430084498832</v>
      </c>
      <c r="BL185" s="335">
        <f t="shared" si="60"/>
        <v>5185.3173674242425</v>
      </c>
      <c r="BM185" s="335">
        <f t="shared" si="60"/>
        <v>5306.3430084498832</v>
      </c>
      <c r="BN185" s="335">
        <f t="shared" si="60"/>
        <v>5185.3173674242425</v>
      </c>
      <c r="BO185" s="335">
        <f t="shared" si="60"/>
        <v>5221.2148033216781</v>
      </c>
      <c r="BP185" s="335">
        <f t="shared" si="60"/>
        <v>5185.3173674242425</v>
      </c>
      <c r="BQ185" s="335">
        <f t="shared" si="60"/>
        <v>5306.3430084498832</v>
      </c>
      <c r="BR185" s="335">
        <f t="shared" si="60"/>
        <v>5185.3173674242425</v>
      </c>
      <c r="BS185" s="335">
        <f t="shared" si="60"/>
        <v>5185.3173674242425</v>
      </c>
      <c r="BT185" s="335">
        <f t="shared" si="60"/>
        <v>5306.3430084498832</v>
      </c>
      <c r="BU185" s="335">
        <f t="shared" si="60"/>
        <v>7266.7665981934724</v>
      </c>
      <c r="BW185" s="331"/>
      <c r="BX185" s="332"/>
      <c r="BY185" s="333"/>
      <c r="BZ185" s="334"/>
      <c r="CA185" s="335"/>
      <c r="CB185" s="335"/>
      <c r="CC185" s="335"/>
      <c r="CD185" s="335"/>
      <c r="CE185" s="335"/>
      <c r="CF185" s="335"/>
      <c r="CG185" s="335"/>
      <c r="CH185" s="335"/>
      <c r="CI185" s="335"/>
      <c r="CJ185" s="335"/>
      <c r="CK185" s="335"/>
      <c r="CL185" s="335"/>
      <c r="CM185" s="335"/>
      <c r="CN185" s="357"/>
    </row>
    <row r="186" spans="2:92" s="337" customFormat="1">
      <c r="B186" s="514"/>
      <c r="C186" s="332"/>
      <c r="D186" s="333"/>
      <c r="E186" s="334"/>
      <c r="F186" s="335"/>
      <c r="G186" s="335"/>
      <c r="H186" s="335"/>
      <c r="I186" s="335"/>
      <c r="J186" s="335"/>
      <c r="K186" s="335"/>
      <c r="L186" s="335"/>
      <c r="M186" s="335"/>
      <c r="N186" s="335"/>
      <c r="O186" s="335"/>
      <c r="P186" s="335"/>
      <c r="Q186" s="335"/>
      <c r="R186" s="335"/>
      <c r="S186" s="357">
        <f>+IF(SUM(G186:R186)=F186,1,0)</f>
        <v>1</v>
      </c>
      <c r="U186" s="331"/>
      <c r="V186" s="332"/>
      <c r="W186" s="333"/>
      <c r="X186" s="334"/>
      <c r="Y186" s="335"/>
      <c r="Z186" s="335"/>
      <c r="AA186" s="335"/>
      <c r="AB186" s="335"/>
      <c r="AC186" s="335"/>
      <c r="AD186" s="335"/>
      <c r="AE186" s="335"/>
      <c r="AF186" s="335"/>
      <c r="AG186" s="335"/>
      <c r="AH186" s="335"/>
      <c r="AI186" s="335"/>
      <c r="AJ186" s="335"/>
      <c r="AK186" s="335"/>
      <c r="AM186" s="331"/>
      <c r="AN186" s="332"/>
      <c r="AO186" s="333"/>
      <c r="AP186" s="334"/>
      <c r="AQ186" s="335"/>
      <c r="AR186" s="335"/>
      <c r="AS186" s="335"/>
      <c r="AT186" s="335"/>
      <c r="AU186" s="335"/>
      <c r="AV186" s="335"/>
      <c r="AW186" s="335"/>
      <c r="AX186" s="335"/>
      <c r="AY186" s="335"/>
      <c r="AZ186" s="335"/>
      <c r="BA186" s="335"/>
      <c r="BB186" s="335"/>
      <c r="BC186" s="335"/>
      <c r="BE186" s="331"/>
      <c r="BF186" s="332"/>
      <c r="BG186" s="333"/>
      <c r="BH186" s="334"/>
      <c r="BI186" s="335"/>
      <c r="BJ186" s="335"/>
      <c r="BK186" s="335"/>
      <c r="BL186" s="335"/>
      <c r="BM186" s="335"/>
      <c r="BN186" s="335"/>
      <c r="BO186" s="335"/>
      <c r="BP186" s="335"/>
      <c r="BQ186" s="335"/>
      <c r="BR186" s="335"/>
      <c r="BS186" s="335"/>
      <c r="BT186" s="335"/>
      <c r="BU186" s="335"/>
      <c r="BW186" s="331"/>
      <c r="BX186" s="332"/>
      <c r="BY186" s="333"/>
      <c r="BZ186" s="334"/>
      <c r="CA186" s="335"/>
      <c r="CB186" s="335"/>
      <c r="CC186" s="335"/>
      <c r="CD186" s="335"/>
      <c r="CE186" s="335"/>
      <c r="CF186" s="335"/>
      <c r="CG186" s="335"/>
      <c r="CH186" s="335"/>
      <c r="CI186" s="335"/>
      <c r="CJ186" s="335"/>
      <c r="CK186" s="335"/>
      <c r="CL186" s="335"/>
      <c r="CM186" s="335"/>
      <c r="CN186" s="357"/>
    </row>
    <row r="187" spans="2:92" s="5" customFormat="1">
      <c r="B187" s="319" t="s">
        <v>703</v>
      </c>
      <c r="C187" s="332"/>
      <c r="D187" s="333" t="s">
        <v>594</v>
      </c>
      <c r="E187" s="322"/>
      <c r="F187" s="335">
        <f>+F184+F159+F152+F140+F129+F106</f>
        <v>4356909.9291934734</v>
      </c>
      <c r="G187" s="335">
        <f t="shared" ref="G187:R187" si="61">+G184+G159+G152+G140+G129+G106</f>
        <v>334049.7249541569</v>
      </c>
      <c r="H187" s="335">
        <f t="shared" si="61"/>
        <v>334666.92956954153</v>
      </c>
      <c r="I187" s="335">
        <f t="shared" si="61"/>
        <v>293143.36597979796</v>
      </c>
      <c r="J187" s="335">
        <f t="shared" si="61"/>
        <v>334360.96854390053</v>
      </c>
      <c r="K187" s="335">
        <f t="shared" si="61"/>
        <v>327897.91726184922</v>
      </c>
      <c r="L187" s="335">
        <f t="shared" si="61"/>
        <v>330106.66085159278</v>
      </c>
      <c r="M187" s="335">
        <f t="shared" si="61"/>
        <v>371779.01982595178</v>
      </c>
      <c r="N187" s="335">
        <f t="shared" si="61"/>
        <v>382574.17367210565</v>
      </c>
      <c r="O187" s="335">
        <f t="shared" si="61"/>
        <v>374882.74239005434</v>
      </c>
      <c r="P187" s="335">
        <f t="shared" si="61"/>
        <v>371612.87110800308</v>
      </c>
      <c r="Q187" s="335">
        <f t="shared" si="61"/>
        <v>375965.50700543897</v>
      </c>
      <c r="R187" s="335">
        <f t="shared" si="61"/>
        <v>439162.35572338768</v>
      </c>
      <c r="S187" s="357">
        <f t="shared" si="50"/>
        <v>0</v>
      </c>
      <c r="U187" s="319" t="s">
        <v>593</v>
      </c>
      <c r="V187" s="332"/>
      <c r="W187" s="333" t="s">
        <v>594</v>
      </c>
      <c r="X187" s="322"/>
      <c r="Y187" s="335">
        <f>+Y184+Y159+Y152+Y140+Y106+Y129</f>
        <v>3838243.3593419576</v>
      </c>
      <c r="Z187" s="335">
        <f>+Z184+Z159+Z152+Z140+Z106+Z129</f>
        <v>294882.54860969307</v>
      </c>
      <c r="AA187" s="335">
        <f t="shared" ref="AA187:AK187" si="62">+AA184+AA159+AA152+AA140+AA106+AA129</f>
        <v>289079.73322507768</v>
      </c>
      <c r="AB187" s="335">
        <f t="shared" si="62"/>
        <v>262905.75373789819</v>
      </c>
      <c r="AC187" s="335">
        <f t="shared" si="62"/>
        <v>301889.18194302637</v>
      </c>
      <c r="AD187" s="335">
        <f t="shared" si="62"/>
        <v>296322.00245584693</v>
      </c>
      <c r="AE187" s="335">
        <f t="shared" si="62"/>
        <v>297973.28450712893</v>
      </c>
      <c r="AF187" s="335">
        <f t="shared" si="62"/>
        <v>339169.60245584691</v>
      </c>
      <c r="AG187" s="335">
        <f t="shared" si="62"/>
        <v>349163.58194302639</v>
      </c>
      <c r="AH187" s="335">
        <f t="shared" si="62"/>
        <v>336474.9124558469</v>
      </c>
      <c r="AI187" s="335">
        <f t="shared" si="62"/>
        <v>337328.48399430845</v>
      </c>
      <c r="AJ187" s="335">
        <f t="shared" si="62"/>
        <v>341898.18194302637</v>
      </c>
      <c r="AK187" s="335">
        <f t="shared" si="62"/>
        <v>391156.09207123151</v>
      </c>
      <c r="AM187" s="319" t="s">
        <v>593</v>
      </c>
      <c r="AN187" s="332"/>
      <c r="AO187" s="333" t="s">
        <v>594</v>
      </c>
      <c r="AP187" s="322"/>
      <c r="AQ187" s="335">
        <f t="shared" ref="AQ187:BC187" si="63">+AQ184+AQ159+AQ152+AQ140+AQ106+AQ129</f>
        <v>205090.20477575756</v>
      </c>
      <c r="AR187" s="335">
        <f t="shared" si="63"/>
        <v>20495.401028321678</v>
      </c>
      <c r="AS187" s="335">
        <f t="shared" si="63"/>
        <v>27316.421028321678</v>
      </c>
      <c r="AT187" s="335">
        <f t="shared" si="63"/>
        <v>12599.631797552447</v>
      </c>
      <c r="AU187" s="335">
        <f t="shared" si="63"/>
        <v>14198.90872062937</v>
      </c>
      <c r="AV187" s="335">
        <f t="shared" si="63"/>
        <v>13835.831797552448</v>
      </c>
      <c r="AW187" s="335">
        <f t="shared" si="63"/>
        <v>13943.524105244755</v>
      </c>
      <c r="AX187" s="335">
        <f t="shared" si="63"/>
        <v>14967.231797552446</v>
      </c>
      <c r="AY187" s="335">
        <f t="shared" si="63"/>
        <v>15133.50872062937</v>
      </c>
      <c r="AZ187" s="335">
        <f t="shared" si="63"/>
        <v>14752.821797552446</v>
      </c>
      <c r="BA187" s="335">
        <f t="shared" si="63"/>
        <v>16126.227182167831</v>
      </c>
      <c r="BB187" s="335">
        <f t="shared" si="63"/>
        <v>16299.90872062937</v>
      </c>
      <c r="BC187" s="335">
        <f t="shared" si="63"/>
        <v>25420.788079603728</v>
      </c>
      <c r="BE187" s="319" t="s">
        <v>593</v>
      </c>
      <c r="BF187" s="332"/>
      <c r="BG187" s="333" t="s">
        <v>594</v>
      </c>
      <c r="BH187" s="322"/>
      <c r="BI187" s="335">
        <f t="shared" ref="BI187:BU187" si="64">+BI184+BI159+BI152+BI140+BI106+BI129</f>
        <v>64835.514050116544</v>
      </c>
      <c r="BJ187" s="335">
        <f t="shared" si="64"/>
        <v>5195.5737776806527</v>
      </c>
      <c r="BK187" s="335">
        <f t="shared" si="64"/>
        <v>5306.3430084498841</v>
      </c>
      <c r="BL187" s="335">
        <f t="shared" si="64"/>
        <v>5185.3173674242425</v>
      </c>
      <c r="BM187" s="335">
        <f t="shared" si="64"/>
        <v>5306.3430084498841</v>
      </c>
      <c r="BN187" s="335">
        <f t="shared" si="64"/>
        <v>5185.3173674242425</v>
      </c>
      <c r="BO187" s="335">
        <f t="shared" si="64"/>
        <v>5221.2148033216781</v>
      </c>
      <c r="BP187" s="335">
        <f t="shared" si="64"/>
        <v>5185.3173674242425</v>
      </c>
      <c r="BQ187" s="335">
        <f t="shared" si="64"/>
        <v>5306.3430084498841</v>
      </c>
      <c r="BR187" s="335">
        <f t="shared" si="64"/>
        <v>5185.3173674242425</v>
      </c>
      <c r="BS187" s="335">
        <f t="shared" si="64"/>
        <v>5185.3173674242425</v>
      </c>
      <c r="BT187" s="335">
        <f t="shared" si="64"/>
        <v>5306.3430084498841</v>
      </c>
      <c r="BU187" s="335">
        <f t="shared" si="64"/>
        <v>7266.7665981934733</v>
      </c>
      <c r="BW187" s="319" t="s">
        <v>593</v>
      </c>
      <c r="BX187" s="332"/>
      <c r="BY187" s="333" t="s">
        <v>594</v>
      </c>
      <c r="BZ187" s="322"/>
      <c r="CA187" s="335">
        <f t="shared" ref="CA187:CM187" si="65">+CA184+CA159+CA152+CA140+CA106+CA129</f>
        <v>248740.85102564102</v>
      </c>
      <c r="CB187" s="335">
        <f t="shared" si="65"/>
        <v>20701.842564102561</v>
      </c>
      <c r="CC187" s="335">
        <f t="shared" si="65"/>
        <v>20190.073333333334</v>
      </c>
      <c r="CD187" s="335">
        <f t="shared" si="65"/>
        <v>19678.3041025641</v>
      </c>
      <c r="CE187" s="335">
        <f t="shared" si="65"/>
        <v>20192.175897435896</v>
      </c>
      <c r="CF187" s="335">
        <f t="shared" si="65"/>
        <v>19780.406666666669</v>
      </c>
      <c r="CG187" s="335">
        <f t="shared" si="65"/>
        <v>20194.278461538459</v>
      </c>
      <c r="CH187" s="335">
        <f t="shared" si="65"/>
        <v>19682.509230769232</v>
      </c>
      <c r="CI187" s="335">
        <f t="shared" si="65"/>
        <v>20196.381025641029</v>
      </c>
      <c r="CJ187" s="335">
        <f t="shared" si="65"/>
        <v>25695.331794871796</v>
      </c>
      <c r="CK187" s="335">
        <f t="shared" si="65"/>
        <v>20198.483589743591</v>
      </c>
      <c r="CL187" s="335">
        <f t="shared" si="65"/>
        <v>19686.714358974357</v>
      </c>
      <c r="CM187" s="335">
        <f t="shared" si="65"/>
        <v>22544.35</v>
      </c>
      <c r="CN187" s="357">
        <f t="shared" si="51"/>
        <v>1</v>
      </c>
    </row>
    <row r="188" spans="2:92">
      <c r="B188" s="315"/>
      <c r="C188" s="325"/>
      <c r="D188" s="325"/>
      <c r="E188" s="317"/>
      <c r="F188" s="318"/>
      <c r="G188" s="318"/>
      <c r="H188" s="318"/>
      <c r="I188" s="318"/>
      <c r="J188" s="318"/>
      <c r="K188" s="318"/>
      <c r="L188" s="318"/>
      <c r="M188" s="318"/>
      <c r="N188" s="318"/>
      <c r="O188" s="318"/>
      <c r="P188" s="318"/>
      <c r="Q188" s="318"/>
      <c r="R188" s="318"/>
      <c r="S188" s="357">
        <f t="shared" si="50"/>
        <v>1</v>
      </c>
      <c r="U188" s="315"/>
      <c r="V188" s="325"/>
      <c r="W188" s="325"/>
      <c r="X188" s="317"/>
      <c r="Y188" s="318"/>
      <c r="Z188" s="318"/>
      <c r="AA188" s="318"/>
      <c r="AB188" s="318"/>
      <c r="AC188" s="318"/>
      <c r="AD188" s="318"/>
      <c r="AE188" s="318"/>
      <c r="AF188" s="318"/>
      <c r="AG188" s="318"/>
      <c r="AH188" s="318"/>
      <c r="AI188" s="318"/>
      <c r="AJ188" s="318"/>
      <c r="AK188" s="318"/>
      <c r="AM188" s="315"/>
      <c r="AN188" s="325"/>
      <c r="AO188" s="325"/>
      <c r="AP188" s="317"/>
      <c r="AQ188" s="318"/>
      <c r="AR188" s="318"/>
      <c r="AS188" s="318"/>
      <c r="AT188" s="318"/>
      <c r="AU188" s="318"/>
      <c r="AV188" s="318"/>
      <c r="AW188" s="318"/>
      <c r="AX188" s="318"/>
      <c r="AY188" s="318"/>
      <c r="AZ188" s="318"/>
      <c r="BA188" s="318"/>
      <c r="BB188" s="318"/>
      <c r="BC188" s="318"/>
      <c r="BE188" s="315"/>
      <c r="BF188" s="325"/>
      <c r="BG188" s="325"/>
      <c r="BH188" s="317"/>
      <c r="BI188" s="318"/>
      <c r="BJ188" s="318"/>
      <c r="BK188" s="318"/>
      <c r="BL188" s="318"/>
      <c r="BM188" s="318"/>
      <c r="BN188" s="318"/>
      <c r="BO188" s="318"/>
      <c r="BP188" s="318"/>
      <c r="BQ188" s="318"/>
      <c r="BR188" s="318"/>
      <c r="BS188" s="318"/>
      <c r="BT188" s="318"/>
      <c r="BU188" s="318"/>
      <c r="BW188" s="315"/>
      <c r="BX188" s="325"/>
      <c r="BY188" s="325"/>
      <c r="BZ188" s="317"/>
      <c r="CA188" s="318"/>
      <c r="CB188" s="318"/>
      <c r="CC188" s="318"/>
      <c r="CD188" s="318"/>
      <c r="CE188" s="318"/>
      <c r="CF188" s="318"/>
      <c r="CG188" s="318"/>
      <c r="CH188" s="318"/>
      <c r="CI188" s="318"/>
      <c r="CJ188" s="318"/>
      <c r="CK188" s="318"/>
      <c r="CL188" s="318"/>
      <c r="CM188" s="318"/>
      <c r="CN188" s="357">
        <f t="shared" si="51"/>
        <v>1</v>
      </c>
    </row>
    <row r="189" spans="2:92" s="5" customFormat="1">
      <c r="B189" s="319" t="s">
        <v>595</v>
      </c>
      <c r="C189" s="332"/>
      <c r="D189" s="332"/>
      <c r="E189" s="322"/>
      <c r="F189" s="339"/>
      <c r="G189" s="339"/>
      <c r="H189" s="339"/>
      <c r="I189" s="339"/>
      <c r="J189" s="339"/>
      <c r="K189" s="339"/>
      <c r="L189" s="339"/>
      <c r="M189" s="339"/>
      <c r="N189" s="339"/>
      <c r="O189" s="339"/>
      <c r="P189" s="339"/>
      <c r="Q189" s="339"/>
      <c r="R189" s="339"/>
      <c r="S189" s="357">
        <f t="shared" si="50"/>
        <v>1</v>
      </c>
      <c r="U189" s="319" t="s">
        <v>595</v>
      </c>
      <c r="V189" s="332"/>
      <c r="W189" s="332"/>
      <c r="X189" s="322"/>
      <c r="Y189" s="339"/>
      <c r="Z189" s="339"/>
      <c r="AA189" s="339"/>
      <c r="AB189" s="339"/>
      <c r="AC189" s="339"/>
      <c r="AD189" s="339"/>
      <c r="AE189" s="339"/>
      <c r="AF189" s="339"/>
      <c r="AG189" s="339"/>
      <c r="AH189" s="339"/>
      <c r="AI189" s="339"/>
      <c r="AJ189" s="339"/>
      <c r="AK189" s="339"/>
      <c r="AM189" s="319" t="s">
        <v>595</v>
      </c>
      <c r="AN189" s="332"/>
      <c r="AO189" s="332"/>
      <c r="AP189" s="322"/>
      <c r="AQ189" s="339"/>
      <c r="AR189" s="339"/>
      <c r="AS189" s="339"/>
      <c r="AT189" s="339"/>
      <c r="AU189" s="339"/>
      <c r="AV189" s="339"/>
      <c r="AW189" s="339"/>
      <c r="AX189" s="339"/>
      <c r="AY189" s="339"/>
      <c r="AZ189" s="339"/>
      <c r="BA189" s="339"/>
      <c r="BB189" s="339"/>
      <c r="BC189" s="339"/>
      <c r="BE189" s="319" t="s">
        <v>595</v>
      </c>
      <c r="BF189" s="332"/>
      <c r="BG189" s="332"/>
      <c r="BH189" s="322"/>
      <c r="BI189" s="339"/>
      <c r="BJ189" s="339"/>
      <c r="BK189" s="339"/>
      <c r="BL189" s="339"/>
      <c r="BM189" s="339"/>
      <c r="BN189" s="339"/>
      <c r="BO189" s="339"/>
      <c r="BP189" s="339"/>
      <c r="BQ189" s="339"/>
      <c r="BR189" s="339"/>
      <c r="BS189" s="339"/>
      <c r="BT189" s="339"/>
      <c r="BU189" s="339"/>
      <c r="BW189" s="319" t="s">
        <v>595</v>
      </c>
      <c r="BX189" s="332"/>
      <c r="BY189" s="332"/>
      <c r="BZ189" s="322"/>
      <c r="CA189" s="339"/>
      <c r="CB189" s="339"/>
      <c r="CC189" s="339"/>
      <c r="CD189" s="339"/>
      <c r="CE189" s="339"/>
      <c r="CF189" s="339"/>
      <c r="CG189" s="339"/>
      <c r="CH189" s="339"/>
      <c r="CI189" s="339"/>
      <c r="CJ189" s="339"/>
      <c r="CK189" s="339"/>
      <c r="CL189" s="339"/>
      <c r="CM189" s="339"/>
      <c r="CN189" s="357">
        <f t="shared" si="51"/>
        <v>1</v>
      </c>
    </row>
    <row r="190" spans="2:92" s="310" customFormat="1" outlineLevel="1">
      <c r="B190" s="327"/>
      <c r="C190" s="330" t="s">
        <v>596</v>
      </c>
      <c r="D190" s="330" t="s">
        <v>597</v>
      </c>
      <c r="E190" s="329"/>
      <c r="F190" s="318">
        <f>+SUMIF('Consolidado Costos'!$K$6:$K$158,$C190,'Consolidado Costos'!$AD$6:$AD$158)</f>
        <v>0</v>
      </c>
      <c r="G190" s="318">
        <f>+SUMIF('Consolidado Costos'!$K$6:$K$158,$C190,'Consolidado Costos'!AE$6:AE$158)</f>
        <v>0</v>
      </c>
      <c r="H190" s="318">
        <f>+SUMIF('Consolidado Costos'!$K$6:$K$158,$C190,'Consolidado Costos'!AF$6:AF$158)</f>
        <v>0</v>
      </c>
      <c r="I190" s="318">
        <f>+SUMIF('Consolidado Costos'!$K$6:$K$158,$C190,'Consolidado Costos'!AG$6:AG$158)</f>
        <v>0</v>
      </c>
      <c r="J190" s="318">
        <f>+SUMIF('Consolidado Costos'!$K$6:$K$158,$C190,'Consolidado Costos'!AH$6:AH$158)</f>
        <v>0</v>
      </c>
      <c r="K190" s="318">
        <f>+SUMIF('Consolidado Costos'!$K$6:$K$158,$C190,'Consolidado Costos'!AI$6:AI$158)</f>
        <v>0</v>
      </c>
      <c r="L190" s="318">
        <f>+SUMIF('Consolidado Costos'!$K$6:$K$158,$C190,'Consolidado Costos'!AJ$6:AJ$158)</f>
        <v>0</v>
      </c>
      <c r="M190" s="318">
        <f>+SUMIF('Consolidado Costos'!$K$6:$K$158,$C190,'Consolidado Costos'!AK$6:AK$158)</f>
        <v>0</v>
      </c>
      <c r="N190" s="318">
        <f>+SUMIF('Consolidado Costos'!$K$6:$K$158,$C190,'Consolidado Costos'!AL$6:AL$158)</f>
        <v>0</v>
      </c>
      <c r="O190" s="318">
        <f>+SUMIF('Consolidado Costos'!$K$6:$K$158,$C190,'Consolidado Costos'!AM$6:AM$158)</f>
        <v>0</v>
      </c>
      <c r="P190" s="318">
        <f>+SUMIF('Consolidado Costos'!$K$6:$K$158,$C190,'Consolidado Costos'!AN$6:AN$158)</f>
        <v>0</v>
      </c>
      <c r="Q190" s="318">
        <f>+SUMIF('Consolidado Costos'!$K$6:$K$158,$C190,'Consolidado Costos'!AO$6:AO$158)</f>
        <v>0</v>
      </c>
      <c r="R190" s="318">
        <f>+SUMIF('Consolidado Costos'!$K$6:$K$158,$C190,'Consolidado Costos'!AP$6:AP$158)</f>
        <v>0</v>
      </c>
      <c r="S190" s="357">
        <f t="shared" si="50"/>
        <v>1</v>
      </c>
      <c r="U190" s="327"/>
      <c r="V190" s="330" t="s">
        <v>596</v>
      </c>
      <c r="W190" s="330" t="s">
        <v>597</v>
      </c>
      <c r="X190" s="329"/>
      <c r="Y190" s="354">
        <f t="shared" ref="Y190:Y199" si="66">+SUM(Z190:AK190)</f>
        <v>0</v>
      </c>
      <c r="Z190" s="318" cm="1">
        <f t="array" ref="Z190">+SUMPRODUCT(IF('Consolidado Costos'!$K$6:$K$158=$V190,('Consolidado Costos'!AE$6:AE$158*'Consolidado Costos'!$D$6:$D$158),0))</f>
        <v>0</v>
      </c>
      <c r="AA190" s="318" cm="1">
        <f t="array" ref="AA190">+SUMPRODUCT(IF('Consolidado Costos'!$K$6:$K$158=$V190,('Consolidado Costos'!AF$6:AF$158*'Consolidado Costos'!$D$6:$D$158),0))</f>
        <v>0</v>
      </c>
      <c r="AB190" s="318" cm="1">
        <f t="array" ref="AB190">+SUMPRODUCT(IF('Consolidado Costos'!$K$6:$K$158=$V190,('Consolidado Costos'!AG$6:AG$158*'Consolidado Costos'!$D$6:$D$158),0))</f>
        <v>0</v>
      </c>
      <c r="AC190" s="318" cm="1">
        <f t="array" ref="AC190">+SUMPRODUCT(IF('Consolidado Costos'!$K$6:$K$158=$V190,('Consolidado Costos'!AH$6:AH$158*'Consolidado Costos'!$D$6:$D$158),0))</f>
        <v>0</v>
      </c>
      <c r="AD190" s="318" cm="1">
        <f t="array" ref="AD190">+SUMPRODUCT(IF('Consolidado Costos'!$K$6:$K$158=$V190,('Consolidado Costos'!AI$6:AI$158*'Consolidado Costos'!$D$6:$D$158),0))</f>
        <v>0</v>
      </c>
      <c r="AE190" s="318" cm="1">
        <f t="array" ref="AE190">+SUMPRODUCT(IF('Consolidado Costos'!$K$6:$K$158=$V190,('Consolidado Costos'!AJ$6:AJ$158*'Consolidado Costos'!$D$6:$D$158),0))</f>
        <v>0</v>
      </c>
      <c r="AF190" s="318" cm="1">
        <f t="array" ref="AF190">+SUMPRODUCT(IF('Consolidado Costos'!$K$6:$K$158=$V190,('Consolidado Costos'!AK$6:AK$158*'Consolidado Costos'!$D$6:$D$158),0))</f>
        <v>0</v>
      </c>
      <c r="AG190" s="318" cm="1">
        <f t="array" ref="AG190">+SUMPRODUCT(IF('Consolidado Costos'!$K$6:$K$158=$V190,('Consolidado Costos'!AL$6:AL$158*'Consolidado Costos'!$D$6:$D$158),0))</f>
        <v>0</v>
      </c>
      <c r="AH190" s="318" cm="1">
        <f t="array" ref="AH190">+SUMPRODUCT(IF('Consolidado Costos'!$K$6:$K$158=$V190,('Consolidado Costos'!AM$6:AM$158*'Consolidado Costos'!$D$6:$D$158),0))</f>
        <v>0</v>
      </c>
      <c r="AI190" s="318" cm="1">
        <f t="array" ref="AI190">+SUMPRODUCT(IF('Consolidado Costos'!$K$6:$K$158=$V190,('Consolidado Costos'!AN$6:AN$158*'Consolidado Costos'!$D$6:$D$158),0))</f>
        <v>0</v>
      </c>
      <c r="AJ190" s="318" cm="1">
        <f t="array" ref="AJ190">+SUMPRODUCT(IF('Consolidado Costos'!$K$6:$K$158=$V190,('Consolidado Costos'!AO$6:AO$158*'Consolidado Costos'!$D$6:$D$158),0))</f>
        <v>0</v>
      </c>
      <c r="AK190" s="318" cm="1">
        <f t="array" ref="AK190">+SUMPRODUCT(IF('Consolidado Costos'!$K$6:$K$158=$V190,('Consolidado Costos'!AP$6:AP$158*'Consolidado Costos'!$D$6:$D$158),0))</f>
        <v>0</v>
      </c>
      <c r="AM190" s="327"/>
      <c r="AN190" s="330" t="s">
        <v>596</v>
      </c>
      <c r="AO190" s="330" t="s">
        <v>597</v>
      </c>
      <c r="AP190" s="329"/>
      <c r="AQ190" s="354">
        <f t="shared" ref="AQ190:AQ199" si="67">+SUM(AR190:BC190)</f>
        <v>0</v>
      </c>
      <c r="AR190" s="318" cm="1">
        <f t="array" ref="AR190">+SUMPRODUCT(IF('Consolidado Costos'!$K$6:$K$158=$AN190,('Consolidado Costos'!AE$6:AE$158*'Consolidado Costos'!$E$6:$E$158),0))</f>
        <v>0</v>
      </c>
      <c r="AS190" s="318" cm="1">
        <f t="array" ref="AS190">+SUMPRODUCT(IF('Consolidado Costos'!$K$6:$K$158=$AN190,('Consolidado Costos'!AF$6:AF$158*'Consolidado Costos'!$E$6:$E$158),0))</f>
        <v>0</v>
      </c>
      <c r="AT190" s="318" cm="1">
        <f t="array" ref="AT190">+SUMPRODUCT(IF('Consolidado Costos'!$K$6:$K$158=$AN190,('Consolidado Costos'!AG$6:AG$158*'Consolidado Costos'!$E$6:$E$158),0))</f>
        <v>0</v>
      </c>
      <c r="AU190" s="318" cm="1">
        <f t="array" ref="AU190">+SUMPRODUCT(IF('Consolidado Costos'!$K$6:$K$158=$AN190,('Consolidado Costos'!AH$6:AH$158*'Consolidado Costos'!$E$6:$E$158),0))</f>
        <v>0</v>
      </c>
      <c r="AV190" s="318" cm="1">
        <f t="array" ref="AV190">+SUMPRODUCT(IF('Consolidado Costos'!$K$6:$K$158=$AN190,('Consolidado Costos'!AI$6:AI$158*'Consolidado Costos'!$E$6:$E$158),0))</f>
        <v>0</v>
      </c>
      <c r="AW190" s="318" cm="1">
        <f t="array" ref="AW190">+SUMPRODUCT(IF('Consolidado Costos'!$K$6:$K$158=$AN190,('Consolidado Costos'!AJ$6:AJ$158*'Consolidado Costos'!$E$6:$E$158),0))</f>
        <v>0</v>
      </c>
      <c r="AX190" s="318" cm="1">
        <f t="array" ref="AX190">+SUMPRODUCT(IF('Consolidado Costos'!$K$6:$K$158=$AN190,('Consolidado Costos'!AK$6:AK$158*'Consolidado Costos'!$E$6:$E$158),0))</f>
        <v>0</v>
      </c>
      <c r="AY190" s="318" cm="1">
        <f t="array" ref="AY190">+SUMPRODUCT(IF('Consolidado Costos'!$K$6:$K$158=$AN190,('Consolidado Costos'!AL$6:AL$158*'Consolidado Costos'!$E$6:$E$158),0))</f>
        <v>0</v>
      </c>
      <c r="AZ190" s="318" cm="1">
        <f t="array" ref="AZ190">+SUMPRODUCT(IF('Consolidado Costos'!$K$6:$K$158=$AN190,('Consolidado Costos'!AM$6:AM$158*'Consolidado Costos'!$E$6:$E$158),0))</f>
        <v>0</v>
      </c>
      <c r="BA190" s="318" cm="1">
        <f t="array" ref="BA190">+SUMPRODUCT(IF('Consolidado Costos'!$K$6:$K$158=$AN190,('Consolidado Costos'!AN$6:AN$158*'Consolidado Costos'!$E$6:$E$158),0))</f>
        <v>0</v>
      </c>
      <c r="BB190" s="318" cm="1">
        <f t="array" ref="BB190">+SUMPRODUCT(IF('Consolidado Costos'!$K$6:$K$158=$AN190,('Consolidado Costos'!AO$6:AO$158*'Consolidado Costos'!$E$6:$E$158),0))</f>
        <v>0</v>
      </c>
      <c r="BC190" s="318" cm="1">
        <f t="array" ref="BC190">+SUMPRODUCT(IF('Consolidado Costos'!$K$6:$K$158=$AN190,('Consolidado Costos'!AP$6:AP$158*'Consolidado Costos'!$E$6:$E$158),0))</f>
        <v>0</v>
      </c>
      <c r="BE190" s="327"/>
      <c r="BF190" s="330" t="s">
        <v>596</v>
      </c>
      <c r="BG190" s="330" t="s">
        <v>597</v>
      </c>
      <c r="BH190" s="329"/>
      <c r="BI190" s="354">
        <f t="shared" ref="BI190:BI199" si="68">+SUM(BJ190:BU190)</f>
        <v>0</v>
      </c>
      <c r="BJ190" s="318" cm="1">
        <f t="array" ref="BJ190">+SUMPRODUCT(IF('Consolidado Costos'!$K$6:$K$158=$BF190,('Consolidado Costos'!AE$6:AE$158*'Consolidado Costos'!$F$6:$F$158),0))</f>
        <v>0</v>
      </c>
      <c r="BK190" s="318" cm="1">
        <f t="array" ref="BK190">+SUMPRODUCT(IF('Consolidado Costos'!$K$6:$K$158=$BF190,('Consolidado Costos'!AF$6:AF$158*'Consolidado Costos'!$F$6:$F$158),0))</f>
        <v>0</v>
      </c>
      <c r="BL190" s="318" cm="1">
        <f t="array" ref="BL190">+SUMPRODUCT(IF('Consolidado Costos'!$K$6:$K$158=$BF190,('Consolidado Costos'!AG$6:AG$158*'Consolidado Costos'!$F$6:$F$158),0))</f>
        <v>0</v>
      </c>
      <c r="BM190" s="318" cm="1">
        <f t="array" ref="BM190">+SUMPRODUCT(IF('Consolidado Costos'!$K$6:$K$158=$BF190,('Consolidado Costos'!AH$6:AH$158*'Consolidado Costos'!$F$6:$F$158),0))</f>
        <v>0</v>
      </c>
      <c r="BN190" s="318" cm="1">
        <f t="array" ref="BN190">+SUMPRODUCT(IF('Consolidado Costos'!$K$6:$K$158=$BF190,('Consolidado Costos'!AI$6:AI$158*'Consolidado Costos'!$F$6:$F$158),0))</f>
        <v>0</v>
      </c>
      <c r="BO190" s="318" cm="1">
        <f t="array" ref="BO190">+SUMPRODUCT(IF('Consolidado Costos'!$K$6:$K$158=$BF190,('Consolidado Costos'!AJ$6:AJ$158*'Consolidado Costos'!$F$6:$F$158),0))</f>
        <v>0</v>
      </c>
      <c r="BP190" s="318" cm="1">
        <f t="array" ref="BP190">+SUMPRODUCT(IF('Consolidado Costos'!$K$6:$K$158=$BF190,('Consolidado Costos'!AK$6:AK$158*'Consolidado Costos'!$F$6:$F$158),0))</f>
        <v>0</v>
      </c>
      <c r="BQ190" s="318" cm="1">
        <f t="array" ref="BQ190">+SUMPRODUCT(IF('Consolidado Costos'!$K$6:$K$158=$BF190,('Consolidado Costos'!AL$6:AL$158*'Consolidado Costos'!$F$6:$F$158),0))</f>
        <v>0</v>
      </c>
      <c r="BR190" s="318" cm="1">
        <f t="array" ref="BR190">+SUMPRODUCT(IF('Consolidado Costos'!$K$6:$K$158=$BF190,('Consolidado Costos'!AM$6:AM$158*'Consolidado Costos'!$F$6:$F$158),0))</f>
        <v>0</v>
      </c>
      <c r="BS190" s="318" cm="1">
        <f t="array" ref="BS190">+SUMPRODUCT(IF('Consolidado Costos'!$K$6:$K$158=$BF190,('Consolidado Costos'!AN$6:AN$158*'Consolidado Costos'!$F$6:$F$158),0))</f>
        <v>0</v>
      </c>
      <c r="BT190" s="318" cm="1">
        <f t="array" ref="BT190">+SUMPRODUCT(IF('Consolidado Costos'!$K$6:$K$158=$BF190,('Consolidado Costos'!AO$6:AO$158*'Consolidado Costos'!$F$6:$F$158),0))</f>
        <v>0</v>
      </c>
      <c r="BU190" s="318" cm="1">
        <f t="array" ref="BU190">+SUMPRODUCT(IF('Consolidado Costos'!$K$6:$K$158=$BF190,('Consolidado Costos'!AP$6:AP$158*'Consolidado Costos'!$F$6:$F$158),0))</f>
        <v>0</v>
      </c>
      <c r="BW190" s="327"/>
      <c r="BX190" s="330" t="s">
        <v>596</v>
      </c>
      <c r="BY190" s="330" t="s">
        <v>597</v>
      </c>
      <c r="BZ190" s="329"/>
      <c r="CA190" s="354">
        <f t="shared" ref="CA190:CA199" si="69">+SUM(CB190:CM190)</f>
        <v>0</v>
      </c>
      <c r="CB190" s="318" cm="1">
        <f t="array" ref="CB190">+SUMPRODUCT(IF('Consolidado Costos'!$K$6:$K$158=$BX190,('Consolidado Costos'!AE$6:AE$158*'Consolidado Costos'!$G$6:$G$158),0))</f>
        <v>0</v>
      </c>
      <c r="CC190" s="318" cm="1">
        <f t="array" ref="CC190">+SUMPRODUCT(IF('Consolidado Costos'!$K$6:$K$158=$BX190,('Consolidado Costos'!AF$6:AF$158*'Consolidado Costos'!$G$6:$G$158),0))</f>
        <v>0</v>
      </c>
      <c r="CD190" s="318" cm="1">
        <f t="array" ref="CD190">+SUMPRODUCT(IF('Consolidado Costos'!$K$6:$K$158=$BX190,('Consolidado Costos'!AG$6:AG$158*'Consolidado Costos'!$G$6:$G$158),0))</f>
        <v>0</v>
      </c>
      <c r="CE190" s="318" cm="1">
        <f t="array" ref="CE190">+SUMPRODUCT(IF('Consolidado Costos'!$K$6:$K$158=$BX190,('Consolidado Costos'!AH$6:AH$158*'Consolidado Costos'!$G$6:$G$158),0))</f>
        <v>0</v>
      </c>
      <c r="CF190" s="318" cm="1">
        <f t="array" ref="CF190">+SUMPRODUCT(IF('Consolidado Costos'!$K$6:$K$158=$BX190,('Consolidado Costos'!AI$6:AI$158*'Consolidado Costos'!$G$6:$G$158),0))</f>
        <v>0</v>
      </c>
      <c r="CG190" s="318" cm="1">
        <f t="array" ref="CG190">+SUMPRODUCT(IF('Consolidado Costos'!$K$6:$K$158=$BX190,('Consolidado Costos'!AJ$6:AJ$158*'Consolidado Costos'!$G$6:$G$158),0))</f>
        <v>0</v>
      </c>
      <c r="CH190" s="318" cm="1">
        <f t="array" ref="CH190">+SUMPRODUCT(IF('Consolidado Costos'!$K$6:$K$158=$BX190,('Consolidado Costos'!AK$6:AK$158*'Consolidado Costos'!$G$6:$G$158),0))</f>
        <v>0</v>
      </c>
      <c r="CI190" s="318" cm="1">
        <f t="array" ref="CI190">+SUMPRODUCT(IF('Consolidado Costos'!$K$6:$K$158=$BX190,('Consolidado Costos'!AL$6:AL$158*'Consolidado Costos'!$G$6:$G$158),0))</f>
        <v>0</v>
      </c>
      <c r="CJ190" s="318" cm="1">
        <f t="array" ref="CJ190">+SUMPRODUCT(IF('Consolidado Costos'!$K$6:$K$158=$BX190,('Consolidado Costos'!AM$6:AM$158*'Consolidado Costos'!$G$6:$G$158),0))</f>
        <v>0</v>
      </c>
      <c r="CK190" s="318" cm="1">
        <f t="array" ref="CK190">+SUMPRODUCT(IF('Consolidado Costos'!$K$6:$K$158=$BX190,('Consolidado Costos'!AN$6:AN$158*'Consolidado Costos'!$G$6:$G$158),0))</f>
        <v>0</v>
      </c>
      <c r="CL190" s="318" cm="1">
        <f t="array" ref="CL190">+SUMPRODUCT(IF('Consolidado Costos'!$K$6:$K$158=$BX190,('Consolidado Costos'!AO$6:AO$158*'Consolidado Costos'!$G$6:$G$158),0))</f>
        <v>0</v>
      </c>
      <c r="CM190" s="318" cm="1">
        <f t="array" ref="CM190">+SUMPRODUCT(IF('Consolidado Costos'!$K$6:$K$158=$BX190,('Consolidado Costos'!AP$6:AP$158*'Consolidado Costos'!$G$6:$G$158),0))</f>
        <v>0</v>
      </c>
      <c r="CN190" s="357">
        <f t="shared" si="51"/>
        <v>1</v>
      </c>
    </row>
    <row r="191" spans="2:92" s="310" customFormat="1" outlineLevel="1">
      <c r="B191" s="327"/>
      <c r="C191" s="330" t="s">
        <v>598</v>
      </c>
      <c r="D191" s="330" t="s">
        <v>599</v>
      </c>
      <c r="E191" s="329"/>
      <c r="F191" s="318">
        <f>+SUMIF('Consolidado Costos'!$K$6:$K$158,$C191,'Consolidado Costos'!$AD$6:$AD$158)</f>
        <v>0</v>
      </c>
      <c r="G191" s="318">
        <f>+SUMIF('Consolidado Costos'!$K$6:$K$158,$C191,'Consolidado Costos'!AE$6:AE$158)</f>
        <v>0</v>
      </c>
      <c r="H191" s="318">
        <f>+SUMIF('Consolidado Costos'!$K$6:$K$158,$C191,'Consolidado Costos'!AF$6:AF$158)</f>
        <v>0</v>
      </c>
      <c r="I191" s="318">
        <f>+SUMIF('Consolidado Costos'!$K$6:$K$158,$C191,'Consolidado Costos'!AG$6:AG$158)</f>
        <v>0</v>
      </c>
      <c r="J191" s="318">
        <f>+SUMIF('Consolidado Costos'!$K$6:$K$158,$C191,'Consolidado Costos'!AH$6:AH$158)</f>
        <v>0</v>
      </c>
      <c r="K191" s="318">
        <f>+SUMIF('Consolidado Costos'!$K$6:$K$158,$C191,'Consolidado Costos'!AI$6:AI$158)</f>
        <v>0</v>
      </c>
      <c r="L191" s="318">
        <f>+SUMIF('Consolidado Costos'!$K$6:$K$158,$C191,'Consolidado Costos'!AJ$6:AJ$158)</f>
        <v>0</v>
      </c>
      <c r="M191" s="318">
        <f>+SUMIF('Consolidado Costos'!$K$6:$K$158,$C191,'Consolidado Costos'!AK$6:AK$158)</f>
        <v>0</v>
      </c>
      <c r="N191" s="318">
        <f>+SUMIF('Consolidado Costos'!$K$6:$K$158,$C191,'Consolidado Costos'!AL$6:AL$158)</f>
        <v>0</v>
      </c>
      <c r="O191" s="318">
        <f>+SUMIF('Consolidado Costos'!$K$6:$K$158,$C191,'Consolidado Costos'!AM$6:AM$158)</f>
        <v>0</v>
      </c>
      <c r="P191" s="318">
        <f>+SUMIF('Consolidado Costos'!$K$6:$K$158,$C191,'Consolidado Costos'!AN$6:AN$158)</f>
        <v>0</v>
      </c>
      <c r="Q191" s="318">
        <f>+SUMIF('Consolidado Costos'!$K$6:$K$158,$C191,'Consolidado Costos'!AO$6:AO$158)</f>
        <v>0</v>
      </c>
      <c r="R191" s="318">
        <f>+SUMIF('Consolidado Costos'!$K$6:$K$158,$C191,'Consolidado Costos'!AP$6:AP$158)</f>
        <v>0</v>
      </c>
      <c r="S191" s="357">
        <f t="shared" si="50"/>
        <v>1</v>
      </c>
      <c r="U191" s="327"/>
      <c r="V191" s="330" t="s">
        <v>598</v>
      </c>
      <c r="W191" s="330" t="s">
        <v>599</v>
      </c>
      <c r="X191" s="329"/>
      <c r="Y191" s="354">
        <f t="shared" si="66"/>
        <v>0</v>
      </c>
      <c r="Z191" s="318" cm="1">
        <f t="array" ref="Z191">+SUMPRODUCT(IF('Consolidado Costos'!$K$6:$K$158=$V191,('Consolidado Costos'!AE$6:AE$158*'Consolidado Costos'!$D$6:$D$158),0))</f>
        <v>0</v>
      </c>
      <c r="AA191" s="318" cm="1">
        <f t="array" ref="AA191">+SUMPRODUCT(IF('Consolidado Costos'!$K$6:$K$158=$V191,('Consolidado Costos'!AF$6:AF$158*'Consolidado Costos'!$D$6:$D$158),0))</f>
        <v>0</v>
      </c>
      <c r="AB191" s="318" cm="1">
        <f t="array" ref="AB191">+SUMPRODUCT(IF('Consolidado Costos'!$K$6:$K$158=$V191,('Consolidado Costos'!AG$6:AG$158*'Consolidado Costos'!$D$6:$D$158),0))</f>
        <v>0</v>
      </c>
      <c r="AC191" s="318" cm="1">
        <f t="array" ref="AC191">+SUMPRODUCT(IF('Consolidado Costos'!$K$6:$K$158=$V191,('Consolidado Costos'!AH$6:AH$158*'Consolidado Costos'!$D$6:$D$158),0))</f>
        <v>0</v>
      </c>
      <c r="AD191" s="318" cm="1">
        <f t="array" ref="AD191">+SUMPRODUCT(IF('Consolidado Costos'!$K$6:$K$158=$V191,('Consolidado Costos'!AI$6:AI$158*'Consolidado Costos'!$D$6:$D$158),0))</f>
        <v>0</v>
      </c>
      <c r="AE191" s="318" cm="1">
        <f t="array" ref="AE191">+SUMPRODUCT(IF('Consolidado Costos'!$K$6:$K$158=$V191,('Consolidado Costos'!AJ$6:AJ$158*'Consolidado Costos'!$D$6:$D$158),0))</f>
        <v>0</v>
      </c>
      <c r="AF191" s="318" cm="1">
        <f t="array" ref="AF191">+SUMPRODUCT(IF('Consolidado Costos'!$K$6:$K$158=$V191,('Consolidado Costos'!AK$6:AK$158*'Consolidado Costos'!$D$6:$D$158),0))</f>
        <v>0</v>
      </c>
      <c r="AG191" s="318" cm="1">
        <f t="array" ref="AG191">+SUMPRODUCT(IF('Consolidado Costos'!$K$6:$K$158=$V191,('Consolidado Costos'!AL$6:AL$158*'Consolidado Costos'!$D$6:$D$158),0))</f>
        <v>0</v>
      </c>
      <c r="AH191" s="318" cm="1">
        <f t="array" ref="AH191">+SUMPRODUCT(IF('Consolidado Costos'!$K$6:$K$158=$V191,('Consolidado Costos'!AM$6:AM$158*'Consolidado Costos'!$D$6:$D$158),0))</f>
        <v>0</v>
      </c>
      <c r="AI191" s="318" cm="1">
        <f t="array" ref="AI191">+SUMPRODUCT(IF('Consolidado Costos'!$K$6:$K$158=$V191,('Consolidado Costos'!AN$6:AN$158*'Consolidado Costos'!$D$6:$D$158),0))</f>
        <v>0</v>
      </c>
      <c r="AJ191" s="318" cm="1">
        <f t="array" ref="AJ191">+SUMPRODUCT(IF('Consolidado Costos'!$K$6:$K$158=$V191,('Consolidado Costos'!AO$6:AO$158*'Consolidado Costos'!$D$6:$D$158),0))</f>
        <v>0</v>
      </c>
      <c r="AK191" s="318" cm="1">
        <f t="array" ref="AK191">+SUMPRODUCT(IF('Consolidado Costos'!$K$6:$K$158=$V191,('Consolidado Costos'!AP$6:AP$158*'Consolidado Costos'!$D$6:$D$158),0))</f>
        <v>0</v>
      </c>
      <c r="AM191" s="327"/>
      <c r="AN191" s="330" t="s">
        <v>598</v>
      </c>
      <c r="AO191" s="330" t="s">
        <v>599</v>
      </c>
      <c r="AP191" s="329"/>
      <c r="AQ191" s="354">
        <f t="shared" si="67"/>
        <v>0</v>
      </c>
      <c r="AR191" s="318" cm="1">
        <f t="array" ref="AR191">+SUMPRODUCT(IF('Consolidado Costos'!$K$6:$K$158=$AN191,('Consolidado Costos'!AE$6:AE$158*'Consolidado Costos'!$E$6:$E$158),0))</f>
        <v>0</v>
      </c>
      <c r="AS191" s="318" cm="1">
        <f t="array" ref="AS191">+SUMPRODUCT(IF('Consolidado Costos'!$K$6:$K$158=$AN191,('Consolidado Costos'!AF$6:AF$158*'Consolidado Costos'!$E$6:$E$158),0))</f>
        <v>0</v>
      </c>
      <c r="AT191" s="318" cm="1">
        <f t="array" ref="AT191">+SUMPRODUCT(IF('Consolidado Costos'!$K$6:$K$158=$AN191,('Consolidado Costos'!AG$6:AG$158*'Consolidado Costos'!$E$6:$E$158),0))</f>
        <v>0</v>
      </c>
      <c r="AU191" s="318" cm="1">
        <f t="array" ref="AU191">+SUMPRODUCT(IF('Consolidado Costos'!$K$6:$K$158=$AN191,('Consolidado Costos'!AH$6:AH$158*'Consolidado Costos'!$E$6:$E$158),0))</f>
        <v>0</v>
      </c>
      <c r="AV191" s="318" cm="1">
        <f t="array" ref="AV191">+SUMPRODUCT(IF('Consolidado Costos'!$K$6:$K$158=$AN191,('Consolidado Costos'!AI$6:AI$158*'Consolidado Costos'!$E$6:$E$158),0))</f>
        <v>0</v>
      </c>
      <c r="AW191" s="318" cm="1">
        <f t="array" ref="AW191">+SUMPRODUCT(IF('Consolidado Costos'!$K$6:$K$158=$AN191,('Consolidado Costos'!AJ$6:AJ$158*'Consolidado Costos'!$E$6:$E$158),0))</f>
        <v>0</v>
      </c>
      <c r="AX191" s="318" cm="1">
        <f t="array" ref="AX191">+SUMPRODUCT(IF('Consolidado Costos'!$K$6:$K$158=$AN191,('Consolidado Costos'!AK$6:AK$158*'Consolidado Costos'!$E$6:$E$158),0))</f>
        <v>0</v>
      </c>
      <c r="AY191" s="318" cm="1">
        <f t="array" ref="AY191">+SUMPRODUCT(IF('Consolidado Costos'!$K$6:$K$158=$AN191,('Consolidado Costos'!AL$6:AL$158*'Consolidado Costos'!$E$6:$E$158),0))</f>
        <v>0</v>
      </c>
      <c r="AZ191" s="318" cm="1">
        <f t="array" ref="AZ191">+SUMPRODUCT(IF('Consolidado Costos'!$K$6:$K$158=$AN191,('Consolidado Costos'!AM$6:AM$158*'Consolidado Costos'!$E$6:$E$158),0))</f>
        <v>0</v>
      </c>
      <c r="BA191" s="318" cm="1">
        <f t="array" ref="BA191">+SUMPRODUCT(IF('Consolidado Costos'!$K$6:$K$158=$AN191,('Consolidado Costos'!AN$6:AN$158*'Consolidado Costos'!$E$6:$E$158),0))</f>
        <v>0</v>
      </c>
      <c r="BB191" s="318" cm="1">
        <f t="array" ref="BB191">+SUMPRODUCT(IF('Consolidado Costos'!$K$6:$K$158=$AN191,('Consolidado Costos'!AO$6:AO$158*'Consolidado Costos'!$E$6:$E$158),0))</f>
        <v>0</v>
      </c>
      <c r="BC191" s="318" cm="1">
        <f t="array" ref="BC191">+SUMPRODUCT(IF('Consolidado Costos'!$K$6:$K$158=$AN191,('Consolidado Costos'!AP$6:AP$158*'Consolidado Costos'!$E$6:$E$158),0))</f>
        <v>0</v>
      </c>
      <c r="BE191" s="327"/>
      <c r="BF191" s="330" t="s">
        <v>598</v>
      </c>
      <c r="BG191" s="330" t="s">
        <v>599</v>
      </c>
      <c r="BH191" s="329"/>
      <c r="BI191" s="354">
        <f t="shared" si="68"/>
        <v>0</v>
      </c>
      <c r="BJ191" s="318" cm="1">
        <f t="array" ref="BJ191">+SUMPRODUCT(IF('Consolidado Costos'!$K$6:$K$158=$BF191,('Consolidado Costos'!AE$6:AE$158*'Consolidado Costos'!$F$6:$F$158),0))</f>
        <v>0</v>
      </c>
      <c r="BK191" s="318" cm="1">
        <f t="array" ref="BK191">+SUMPRODUCT(IF('Consolidado Costos'!$K$6:$K$158=$BF191,('Consolidado Costos'!AF$6:AF$158*'Consolidado Costos'!$F$6:$F$158),0))</f>
        <v>0</v>
      </c>
      <c r="BL191" s="318" cm="1">
        <f t="array" ref="BL191">+SUMPRODUCT(IF('Consolidado Costos'!$K$6:$K$158=$BF191,('Consolidado Costos'!AG$6:AG$158*'Consolidado Costos'!$F$6:$F$158),0))</f>
        <v>0</v>
      </c>
      <c r="BM191" s="318" cm="1">
        <f t="array" ref="BM191">+SUMPRODUCT(IF('Consolidado Costos'!$K$6:$K$158=$BF191,('Consolidado Costos'!AH$6:AH$158*'Consolidado Costos'!$F$6:$F$158),0))</f>
        <v>0</v>
      </c>
      <c r="BN191" s="318" cm="1">
        <f t="array" ref="BN191">+SUMPRODUCT(IF('Consolidado Costos'!$K$6:$K$158=$BF191,('Consolidado Costos'!AI$6:AI$158*'Consolidado Costos'!$F$6:$F$158),0))</f>
        <v>0</v>
      </c>
      <c r="BO191" s="318" cm="1">
        <f t="array" ref="BO191">+SUMPRODUCT(IF('Consolidado Costos'!$K$6:$K$158=$BF191,('Consolidado Costos'!AJ$6:AJ$158*'Consolidado Costos'!$F$6:$F$158),0))</f>
        <v>0</v>
      </c>
      <c r="BP191" s="318" cm="1">
        <f t="array" ref="BP191">+SUMPRODUCT(IF('Consolidado Costos'!$K$6:$K$158=$BF191,('Consolidado Costos'!AK$6:AK$158*'Consolidado Costos'!$F$6:$F$158),0))</f>
        <v>0</v>
      </c>
      <c r="BQ191" s="318" cm="1">
        <f t="array" ref="BQ191">+SUMPRODUCT(IF('Consolidado Costos'!$K$6:$K$158=$BF191,('Consolidado Costos'!AL$6:AL$158*'Consolidado Costos'!$F$6:$F$158),0))</f>
        <v>0</v>
      </c>
      <c r="BR191" s="318" cm="1">
        <f t="array" ref="BR191">+SUMPRODUCT(IF('Consolidado Costos'!$K$6:$K$158=$BF191,('Consolidado Costos'!AM$6:AM$158*'Consolidado Costos'!$F$6:$F$158),0))</f>
        <v>0</v>
      </c>
      <c r="BS191" s="318" cm="1">
        <f t="array" ref="BS191">+SUMPRODUCT(IF('Consolidado Costos'!$K$6:$K$158=$BF191,('Consolidado Costos'!AN$6:AN$158*'Consolidado Costos'!$F$6:$F$158),0))</f>
        <v>0</v>
      </c>
      <c r="BT191" s="318" cm="1">
        <f t="array" ref="BT191">+SUMPRODUCT(IF('Consolidado Costos'!$K$6:$K$158=$BF191,('Consolidado Costos'!AO$6:AO$158*'Consolidado Costos'!$F$6:$F$158),0))</f>
        <v>0</v>
      </c>
      <c r="BU191" s="318" cm="1">
        <f t="array" ref="BU191">+SUMPRODUCT(IF('Consolidado Costos'!$K$6:$K$158=$BF191,('Consolidado Costos'!AP$6:AP$158*'Consolidado Costos'!$F$6:$F$158),0))</f>
        <v>0</v>
      </c>
      <c r="BW191" s="327"/>
      <c r="BX191" s="330" t="s">
        <v>598</v>
      </c>
      <c r="BY191" s="330" t="s">
        <v>599</v>
      </c>
      <c r="BZ191" s="329"/>
      <c r="CA191" s="354">
        <f t="shared" si="69"/>
        <v>0</v>
      </c>
      <c r="CB191" s="318" cm="1">
        <f t="array" ref="CB191">+SUMPRODUCT(IF('Consolidado Costos'!$K$6:$K$158=$BX191,('Consolidado Costos'!AE$6:AE$158*'Consolidado Costos'!$G$6:$G$158),0))</f>
        <v>0</v>
      </c>
      <c r="CC191" s="318" cm="1">
        <f t="array" ref="CC191">+SUMPRODUCT(IF('Consolidado Costos'!$K$6:$K$158=$BX191,('Consolidado Costos'!AF$6:AF$158*'Consolidado Costos'!$G$6:$G$158),0))</f>
        <v>0</v>
      </c>
      <c r="CD191" s="318" cm="1">
        <f t="array" ref="CD191">+SUMPRODUCT(IF('Consolidado Costos'!$K$6:$K$158=$BX191,('Consolidado Costos'!AG$6:AG$158*'Consolidado Costos'!$G$6:$G$158),0))</f>
        <v>0</v>
      </c>
      <c r="CE191" s="318" cm="1">
        <f t="array" ref="CE191">+SUMPRODUCT(IF('Consolidado Costos'!$K$6:$K$158=$BX191,('Consolidado Costos'!AH$6:AH$158*'Consolidado Costos'!$G$6:$G$158),0))</f>
        <v>0</v>
      </c>
      <c r="CF191" s="318" cm="1">
        <f t="array" ref="CF191">+SUMPRODUCT(IF('Consolidado Costos'!$K$6:$K$158=$BX191,('Consolidado Costos'!AI$6:AI$158*'Consolidado Costos'!$G$6:$G$158),0))</f>
        <v>0</v>
      </c>
      <c r="CG191" s="318" cm="1">
        <f t="array" ref="CG191">+SUMPRODUCT(IF('Consolidado Costos'!$K$6:$K$158=$BX191,('Consolidado Costos'!AJ$6:AJ$158*'Consolidado Costos'!$G$6:$G$158),0))</f>
        <v>0</v>
      </c>
      <c r="CH191" s="318" cm="1">
        <f t="array" ref="CH191">+SUMPRODUCT(IF('Consolidado Costos'!$K$6:$K$158=$BX191,('Consolidado Costos'!AK$6:AK$158*'Consolidado Costos'!$G$6:$G$158),0))</f>
        <v>0</v>
      </c>
      <c r="CI191" s="318" cm="1">
        <f t="array" ref="CI191">+SUMPRODUCT(IF('Consolidado Costos'!$K$6:$K$158=$BX191,('Consolidado Costos'!AL$6:AL$158*'Consolidado Costos'!$G$6:$G$158),0))</f>
        <v>0</v>
      </c>
      <c r="CJ191" s="318" cm="1">
        <f t="array" ref="CJ191">+SUMPRODUCT(IF('Consolidado Costos'!$K$6:$K$158=$BX191,('Consolidado Costos'!AM$6:AM$158*'Consolidado Costos'!$G$6:$G$158),0))</f>
        <v>0</v>
      </c>
      <c r="CK191" s="318" cm="1">
        <f t="array" ref="CK191">+SUMPRODUCT(IF('Consolidado Costos'!$K$6:$K$158=$BX191,('Consolidado Costos'!AN$6:AN$158*'Consolidado Costos'!$G$6:$G$158),0))</f>
        <v>0</v>
      </c>
      <c r="CL191" s="318" cm="1">
        <f t="array" ref="CL191">+SUMPRODUCT(IF('Consolidado Costos'!$K$6:$K$158=$BX191,('Consolidado Costos'!AO$6:AO$158*'Consolidado Costos'!$G$6:$G$158),0))</f>
        <v>0</v>
      </c>
      <c r="CM191" s="318" cm="1">
        <f t="array" ref="CM191">+SUMPRODUCT(IF('Consolidado Costos'!$K$6:$K$158=$BX191,('Consolidado Costos'!AP$6:AP$158*'Consolidado Costos'!$G$6:$G$158),0))</f>
        <v>0</v>
      </c>
      <c r="CN191" s="357">
        <f t="shared" si="51"/>
        <v>1</v>
      </c>
    </row>
    <row r="192" spans="2:92" s="310" customFormat="1" outlineLevel="1">
      <c r="B192" s="327"/>
      <c r="C192" s="330" t="s">
        <v>321</v>
      </c>
      <c r="D192" s="330" t="s">
        <v>600</v>
      </c>
      <c r="E192" s="329"/>
      <c r="F192" s="318">
        <f>+SUMIF('Consolidado Costos'!$K$6:$K$158,$C192,'Consolidado Costos'!$AD$6:$AD$158)</f>
        <v>4834.8717948717949</v>
      </c>
      <c r="G192" s="318">
        <f>+SUMIF('Consolidado Costos'!$K$6:$K$158,$C192,'Consolidado Costos'!AE$6:AE$158)</f>
        <v>317.43589743589746</v>
      </c>
      <c r="H192" s="318">
        <f>+SUMIF('Consolidado Costos'!$K$6:$K$158,$C192,'Consolidado Costos'!AF$6:AF$158)</f>
        <v>317.43589743589746</v>
      </c>
      <c r="I192" s="318">
        <f>+SUMIF('Consolidado Costos'!$K$6:$K$158,$C192,'Consolidado Costos'!AG$6:AG$158)</f>
        <v>1343.0769230769231</v>
      </c>
      <c r="J192" s="318">
        <f>+SUMIF('Consolidado Costos'!$K$6:$K$158,$C192,'Consolidado Costos'!AH$6:AH$158)</f>
        <v>317.43589743589746</v>
      </c>
      <c r="K192" s="318">
        <f>+SUMIF('Consolidado Costos'!$K$6:$K$158,$C192,'Consolidado Costos'!AI$6:AI$158)</f>
        <v>317.43589743589746</v>
      </c>
      <c r="L192" s="318">
        <f>+SUMIF('Consolidado Costos'!$K$6:$K$158,$C192,'Consolidado Costos'!AJ$6:AJ$158)</f>
        <v>317.43589743589746</v>
      </c>
      <c r="M192" s="318">
        <f>+SUMIF('Consolidado Costos'!$K$6:$K$158,$C192,'Consolidado Costos'!AK$6:AK$158)</f>
        <v>317.43589743589746</v>
      </c>
      <c r="N192" s="318">
        <f>+SUMIF('Consolidado Costos'!$K$6:$K$158,$C192,'Consolidado Costos'!AL$6:AL$158)</f>
        <v>317.43589743589746</v>
      </c>
      <c r="O192" s="318">
        <f>+SUMIF('Consolidado Costos'!$K$6:$K$158,$C192,'Consolidado Costos'!AM$6:AM$158)</f>
        <v>317.43589743589746</v>
      </c>
      <c r="P192" s="318">
        <f>+SUMIF('Consolidado Costos'!$K$6:$K$158,$C192,'Consolidado Costos'!AN$6:AN$158)</f>
        <v>317.43589743589746</v>
      </c>
      <c r="Q192" s="318">
        <f>+SUMIF('Consolidado Costos'!$K$6:$K$158,$C192,'Consolidado Costos'!AO$6:AO$158)</f>
        <v>317.43589743589746</v>
      </c>
      <c r="R192" s="318">
        <f>+SUMIF('Consolidado Costos'!$K$6:$K$158,$C192,'Consolidado Costos'!AP$6:AP$158)</f>
        <v>317.43589743589746</v>
      </c>
      <c r="S192" s="357">
        <f t="shared" si="50"/>
        <v>1</v>
      </c>
      <c r="U192" s="327"/>
      <c r="V192" s="330" t="s">
        <v>321</v>
      </c>
      <c r="W192" s="330" t="s">
        <v>600</v>
      </c>
      <c r="X192" s="329"/>
      <c r="Y192" s="354">
        <f t="shared" si="66"/>
        <v>0</v>
      </c>
      <c r="Z192" s="318" cm="1">
        <f t="array" ref="Z192">+SUMPRODUCT(IF('Consolidado Costos'!$K$6:$K$158=$V192,('Consolidado Costos'!AE$6:AE$158*'Consolidado Costos'!$D$6:$D$158),0))</f>
        <v>0</v>
      </c>
      <c r="AA192" s="318" cm="1">
        <f t="array" ref="AA192">+SUMPRODUCT(IF('Consolidado Costos'!$K$6:$K$158=$V192,('Consolidado Costos'!AF$6:AF$158*'Consolidado Costos'!$D$6:$D$158),0))</f>
        <v>0</v>
      </c>
      <c r="AB192" s="318" cm="1">
        <f t="array" ref="AB192">+SUMPRODUCT(IF('Consolidado Costos'!$K$6:$K$158=$V192,('Consolidado Costos'!AG$6:AG$158*'Consolidado Costos'!$D$6:$D$158),0))</f>
        <v>0</v>
      </c>
      <c r="AC192" s="318" cm="1">
        <f t="array" ref="AC192">+SUMPRODUCT(IF('Consolidado Costos'!$K$6:$K$158=$V192,('Consolidado Costos'!AH$6:AH$158*'Consolidado Costos'!$D$6:$D$158),0))</f>
        <v>0</v>
      </c>
      <c r="AD192" s="318" cm="1">
        <f t="array" ref="AD192">+SUMPRODUCT(IF('Consolidado Costos'!$K$6:$K$158=$V192,('Consolidado Costos'!AI$6:AI$158*'Consolidado Costos'!$D$6:$D$158),0))</f>
        <v>0</v>
      </c>
      <c r="AE192" s="318" cm="1">
        <f t="array" ref="AE192">+SUMPRODUCT(IF('Consolidado Costos'!$K$6:$K$158=$V192,('Consolidado Costos'!AJ$6:AJ$158*'Consolidado Costos'!$D$6:$D$158),0))</f>
        <v>0</v>
      </c>
      <c r="AF192" s="318" cm="1">
        <f t="array" ref="AF192">+SUMPRODUCT(IF('Consolidado Costos'!$K$6:$K$158=$V192,('Consolidado Costos'!AK$6:AK$158*'Consolidado Costos'!$D$6:$D$158),0))</f>
        <v>0</v>
      </c>
      <c r="AG192" s="318" cm="1">
        <f t="array" ref="AG192">+SUMPRODUCT(IF('Consolidado Costos'!$K$6:$K$158=$V192,('Consolidado Costos'!AL$6:AL$158*'Consolidado Costos'!$D$6:$D$158),0))</f>
        <v>0</v>
      </c>
      <c r="AH192" s="318" cm="1">
        <f t="array" ref="AH192">+SUMPRODUCT(IF('Consolidado Costos'!$K$6:$K$158=$V192,('Consolidado Costos'!AM$6:AM$158*'Consolidado Costos'!$D$6:$D$158),0))</f>
        <v>0</v>
      </c>
      <c r="AI192" s="318" cm="1">
        <f t="array" ref="AI192">+SUMPRODUCT(IF('Consolidado Costos'!$K$6:$K$158=$V192,('Consolidado Costos'!AN$6:AN$158*'Consolidado Costos'!$D$6:$D$158),0))</f>
        <v>0</v>
      </c>
      <c r="AJ192" s="318" cm="1">
        <f t="array" ref="AJ192">+SUMPRODUCT(IF('Consolidado Costos'!$K$6:$K$158=$V192,('Consolidado Costos'!AO$6:AO$158*'Consolidado Costos'!$D$6:$D$158),0))</f>
        <v>0</v>
      </c>
      <c r="AK192" s="318" cm="1">
        <f t="array" ref="AK192">+SUMPRODUCT(IF('Consolidado Costos'!$K$6:$K$158=$V192,('Consolidado Costos'!AP$6:AP$158*'Consolidado Costos'!$D$6:$D$158),0))</f>
        <v>0</v>
      </c>
      <c r="AM192" s="327"/>
      <c r="AN192" s="330" t="s">
        <v>321</v>
      </c>
      <c r="AO192" s="330" t="s">
        <v>600</v>
      </c>
      <c r="AP192" s="329"/>
      <c r="AQ192" s="354">
        <f t="shared" si="67"/>
        <v>0</v>
      </c>
      <c r="AR192" s="318" cm="1">
        <f t="array" ref="AR192">+SUMPRODUCT(IF('Consolidado Costos'!$K$6:$K$158=$AN192,('Consolidado Costos'!AE$6:AE$158*'Consolidado Costos'!$E$6:$E$158),0))</f>
        <v>0</v>
      </c>
      <c r="AS192" s="318" cm="1">
        <f t="array" ref="AS192">+SUMPRODUCT(IF('Consolidado Costos'!$K$6:$K$158=$AN192,('Consolidado Costos'!AF$6:AF$158*'Consolidado Costos'!$E$6:$E$158),0))</f>
        <v>0</v>
      </c>
      <c r="AT192" s="318" cm="1">
        <f t="array" ref="AT192">+SUMPRODUCT(IF('Consolidado Costos'!$K$6:$K$158=$AN192,('Consolidado Costos'!AG$6:AG$158*'Consolidado Costos'!$E$6:$E$158),0))</f>
        <v>0</v>
      </c>
      <c r="AU192" s="318" cm="1">
        <f t="array" ref="AU192">+SUMPRODUCT(IF('Consolidado Costos'!$K$6:$K$158=$AN192,('Consolidado Costos'!AH$6:AH$158*'Consolidado Costos'!$E$6:$E$158),0))</f>
        <v>0</v>
      </c>
      <c r="AV192" s="318" cm="1">
        <f t="array" ref="AV192">+SUMPRODUCT(IF('Consolidado Costos'!$K$6:$K$158=$AN192,('Consolidado Costos'!AI$6:AI$158*'Consolidado Costos'!$E$6:$E$158),0))</f>
        <v>0</v>
      </c>
      <c r="AW192" s="318" cm="1">
        <f t="array" ref="AW192">+SUMPRODUCT(IF('Consolidado Costos'!$K$6:$K$158=$AN192,('Consolidado Costos'!AJ$6:AJ$158*'Consolidado Costos'!$E$6:$E$158),0))</f>
        <v>0</v>
      </c>
      <c r="AX192" s="318" cm="1">
        <f t="array" ref="AX192">+SUMPRODUCT(IF('Consolidado Costos'!$K$6:$K$158=$AN192,('Consolidado Costos'!AK$6:AK$158*'Consolidado Costos'!$E$6:$E$158),0))</f>
        <v>0</v>
      </c>
      <c r="AY192" s="318" cm="1">
        <f t="array" ref="AY192">+SUMPRODUCT(IF('Consolidado Costos'!$K$6:$K$158=$AN192,('Consolidado Costos'!AL$6:AL$158*'Consolidado Costos'!$E$6:$E$158),0))</f>
        <v>0</v>
      </c>
      <c r="AZ192" s="318" cm="1">
        <f t="array" ref="AZ192">+SUMPRODUCT(IF('Consolidado Costos'!$K$6:$K$158=$AN192,('Consolidado Costos'!AM$6:AM$158*'Consolidado Costos'!$E$6:$E$158),0))</f>
        <v>0</v>
      </c>
      <c r="BA192" s="318" cm="1">
        <f t="array" ref="BA192">+SUMPRODUCT(IF('Consolidado Costos'!$K$6:$K$158=$AN192,('Consolidado Costos'!AN$6:AN$158*'Consolidado Costos'!$E$6:$E$158),0))</f>
        <v>0</v>
      </c>
      <c r="BB192" s="318" cm="1">
        <f t="array" ref="BB192">+SUMPRODUCT(IF('Consolidado Costos'!$K$6:$K$158=$AN192,('Consolidado Costos'!AO$6:AO$158*'Consolidado Costos'!$E$6:$E$158),0))</f>
        <v>0</v>
      </c>
      <c r="BC192" s="318" cm="1">
        <f t="array" ref="BC192">+SUMPRODUCT(IF('Consolidado Costos'!$K$6:$K$158=$AN192,('Consolidado Costos'!AP$6:AP$158*'Consolidado Costos'!$E$6:$E$158),0))</f>
        <v>0</v>
      </c>
      <c r="BE192" s="327"/>
      <c r="BF192" s="330" t="s">
        <v>321</v>
      </c>
      <c r="BG192" s="330" t="s">
        <v>600</v>
      </c>
      <c r="BH192" s="329"/>
      <c r="BI192" s="354">
        <f t="shared" si="68"/>
        <v>0</v>
      </c>
      <c r="BJ192" s="318" cm="1">
        <f t="array" ref="BJ192">+SUMPRODUCT(IF('Consolidado Costos'!$K$6:$K$158=$BF192,('Consolidado Costos'!AE$6:AE$158*'Consolidado Costos'!$F$6:$F$158),0))</f>
        <v>0</v>
      </c>
      <c r="BK192" s="318" cm="1">
        <f t="array" ref="BK192">+SUMPRODUCT(IF('Consolidado Costos'!$K$6:$K$158=$BF192,('Consolidado Costos'!AF$6:AF$158*'Consolidado Costos'!$F$6:$F$158),0))</f>
        <v>0</v>
      </c>
      <c r="BL192" s="318" cm="1">
        <f t="array" ref="BL192">+SUMPRODUCT(IF('Consolidado Costos'!$K$6:$K$158=$BF192,('Consolidado Costos'!AG$6:AG$158*'Consolidado Costos'!$F$6:$F$158),0))</f>
        <v>0</v>
      </c>
      <c r="BM192" s="318" cm="1">
        <f t="array" ref="BM192">+SUMPRODUCT(IF('Consolidado Costos'!$K$6:$K$158=$BF192,('Consolidado Costos'!AH$6:AH$158*'Consolidado Costos'!$F$6:$F$158),0))</f>
        <v>0</v>
      </c>
      <c r="BN192" s="318" cm="1">
        <f t="array" ref="BN192">+SUMPRODUCT(IF('Consolidado Costos'!$K$6:$K$158=$BF192,('Consolidado Costos'!AI$6:AI$158*'Consolidado Costos'!$F$6:$F$158),0))</f>
        <v>0</v>
      </c>
      <c r="BO192" s="318" cm="1">
        <f t="array" ref="BO192">+SUMPRODUCT(IF('Consolidado Costos'!$K$6:$K$158=$BF192,('Consolidado Costos'!AJ$6:AJ$158*'Consolidado Costos'!$F$6:$F$158),0))</f>
        <v>0</v>
      </c>
      <c r="BP192" s="318" cm="1">
        <f t="array" ref="BP192">+SUMPRODUCT(IF('Consolidado Costos'!$K$6:$K$158=$BF192,('Consolidado Costos'!AK$6:AK$158*'Consolidado Costos'!$F$6:$F$158),0))</f>
        <v>0</v>
      </c>
      <c r="BQ192" s="318" cm="1">
        <f t="array" ref="BQ192">+SUMPRODUCT(IF('Consolidado Costos'!$K$6:$K$158=$BF192,('Consolidado Costos'!AL$6:AL$158*'Consolidado Costos'!$F$6:$F$158),0))</f>
        <v>0</v>
      </c>
      <c r="BR192" s="318" cm="1">
        <f t="array" ref="BR192">+SUMPRODUCT(IF('Consolidado Costos'!$K$6:$K$158=$BF192,('Consolidado Costos'!AM$6:AM$158*'Consolidado Costos'!$F$6:$F$158),0))</f>
        <v>0</v>
      </c>
      <c r="BS192" s="318" cm="1">
        <f t="array" ref="BS192">+SUMPRODUCT(IF('Consolidado Costos'!$K$6:$K$158=$BF192,('Consolidado Costos'!AN$6:AN$158*'Consolidado Costos'!$F$6:$F$158),0))</f>
        <v>0</v>
      </c>
      <c r="BT192" s="318" cm="1">
        <f t="array" ref="BT192">+SUMPRODUCT(IF('Consolidado Costos'!$K$6:$K$158=$BF192,('Consolidado Costos'!AO$6:AO$158*'Consolidado Costos'!$F$6:$F$158),0))</f>
        <v>0</v>
      </c>
      <c r="BU192" s="318" cm="1">
        <f t="array" ref="BU192">+SUMPRODUCT(IF('Consolidado Costos'!$K$6:$K$158=$BF192,('Consolidado Costos'!AP$6:AP$158*'Consolidado Costos'!$F$6:$F$158),0))</f>
        <v>0</v>
      </c>
      <c r="BW192" s="327"/>
      <c r="BX192" s="330" t="s">
        <v>321</v>
      </c>
      <c r="BY192" s="330" t="s">
        <v>600</v>
      </c>
      <c r="BZ192" s="329"/>
      <c r="CA192" s="354">
        <f t="shared" si="69"/>
        <v>4834.8717948717949</v>
      </c>
      <c r="CB192" s="318" cm="1">
        <f t="array" ref="CB192">+SUMPRODUCT(IF('Consolidado Costos'!$K$6:$K$158=$BX192,('Consolidado Costos'!AE$6:AE$158*'Consolidado Costos'!$G$6:$G$158),0))</f>
        <v>317.43589743589746</v>
      </c>
      <c r="CC192" s="318" cm="1">
        <f t="array" ref="CC192">+SUMPRODUCT(IF('Consolidado Costos'!$K$6:$K$158=$BX192,('Consolidado Costos'!AF$6:AF$158*'Consolidado Costos'!$G$6:$G$158),0))</f>
        <v>317.43589743589746</v>
      </c>
      <c r="CD192" s="318" cm="1">
        <f t="array" ref="CD192">+SUMPRODUCT(IF('Consolidado Costos'!$K$6:$K$158=$BX192,('Consolidado Costos'!AG$6:AG$158*'Consolidado Costos'!$G$6:$G$158),0))</f>
        <v>1343.0769230769231</v>
      </c>
      <c r="CE192" s="318" cm="1">
        <f t="array" ref="CE192">+SUMPRODUCT(IF('Consolidado Costos'!$K$6:$K$158=$BX192,('Consolidado Costos'!AH$6:AH$158*'Consolidado Costos'!$G$6:$G$158),0))</f>
        <v>317.43589743589746</v>
      </c>
      <c r="CF192" s="318" cm="1">
        <f t="array" ref="CF192">+SUMPRODUCT(IF('Consolidado Costos'!$K$6:$K$158=$BX192,('Consolidado Costos'!AI$6:AI$158*'Consolidado Costos'!$G$6:$G$158),0))</f>
        <v>317.43589743589746</v>
      </c>
      <c r="CG192" s="318" cm="1">
        <f t="array" ref="CG192">+SUMPRODUCT(IF('Consolidado Costos'!$K$6:$K$158=$BX192,('Consolidado Costos'!AJ$6:AJ$158*'Consolidado Costos'!$G$6:$G$158),0))</f>
        <v>317.43589743589746</v>
      </c>
      <c r="CH192" s="318" cm="1">
        <f t="array" ref="CH192">+SUMPRODUCT(IF('Consolidado Costos'!$K$6:$K$158=$BX192,('Consolidado Costos'!AK$6:AK$158*'Consolidado Costos'!$G$6:$G$158),0))</f>
        <v>317.43589743589746</v>
      </c>
      <c r="CI192" s="318" cm="1">
        <f t="array" ref="CI192">+SUMPRODUCT(IF('Consolidado Costos'!$K$6:$K$158=$BX192,('Consolidado Costos'!AL$6:AL$158*'Consolidado Costos'!$G$6:$G$158),0))</f>
        <v>317.43589743589746</v>
      </c>
      <c r="CJ192" s="318" cm="1">
        <f t="array" ref="CJ192">+SUMPRODUCT(IF('Consolidado Costos'!$K$6:$K$158=$BX192,('Consolidado Costos'!AM$6:AM$158*'Consolidado Costos'!$G$6:$G$158),0))</f>
        <v>317.43589743589746</v>
      </c>
      <c r="CK192" s="318" cm="1">
        <f t="array" ref="CK192">+SUMPRODUCT(IF('Consolidado Costos'!$K$6:$K$158=$BX192,('Consolidado Costos'!AN$6:AN$158*'Consolidado Costos'!$G$6:$G$158),0))</f>
        <v>317.43589743589746</v>
      </c>
      <c r="CL192" s="318" cm="1">
        <f t="array" ref="CL192">+SUMPRODUCT(IF('Consolidado Costos'!$K$6:$K$158=$BX192,('Consolidado Costos'!AO$6:AO$158*'Consolidado Costos'!$G$6:$G$158),0))</f>
        <v>317.43589743589746</v>
      </c>
      <c r="CM192" s="318" cm="1">
        <f t="array" ref="CM192">+SUMPRODUCT(IF('Consolidado Costos'!$K$6:$K$158=$BX192,('Consolidado Costos'!AP$6:AP$158*'Consolidado Costos'!$G$6:$G$158),0))</f>
        <v>317.43589743589746</v>
      </c>
      <c r="CN192" s="357">
        <f t="shared" si="51"/>
        <v>1</v>
      </c>
    </row>
    <row r="193" spans="2:92" s="310" customFormat="1" outlineLevel="1">
      <c r="B193" s="327"/>
      <c r="C193" s="330" t="s">
        <v>601</v>
      </c>
      <c r="D193" s="330" t="s">
        <v>602</v>
      </c>
      <c r="E193" s="329"/>
      <c r="F193" s="318">
        <f>+SUMIF('Consolidado Costos'!$K$6:$K$158,$C193,'Consolidado Costos'!$AD$6:$AD$158)</f>
        <v>0</v>
      </c>
      <c r="G193" s="318">
        <f>+SUMIF('Consolidado Costos'!$K$6:$K$158,$C193,'Consolidado Costos'!AE$6:AE$158)</f>
        <v>0</v>
      </c>
      <c r="H193" s="318">
        <f>+SUMIF('Consolidado Costos'!$K$6:$K$158,$C193,'Consolidado Costos'!AF$6:AF$158)</f>
        <v>0</v>
      </c>
      <c r="I193" s="318">
        <f>+SUMIF('Consolidado Costos'!$K$6:$K$158,$C193,'Consolidado Costos'!AG$6:AG$158)</f>
        <v>0</v>
      </c>
      <c r="J193" s="318">
        <f>+SUMIF('Consolidado Costos'!$K$6:$K$158,$C193,'Consolidado Costos'!AH$6:AH$158)</f>
        <v>0</v>
      </c>
      <c r="K193" s="318">
        <f>+SUMIF('Consolidado Costos'!$K$6:$K$158,$C193,'Consolidado Costos'!AI$6:AI$158)</f>
        <v>0</v>
      </c>
      <c r="L193" s="318">
        <f>+SUMIF('Consolidado Costos'!$K$6:$K$158,$C193,'Consolidado Costos'!AJ$6:AJ$158)</f>
        <v>0</v>
      </c>
      <c r="M193" s="318">
        <f>+SUMIF('Consolidado Costos'!$K$6:$K$158,$C193,'Consolidado Costos'!AK$6:AK$158)</f>
        <v>0</v>
      </c>
      <c r="N193" s="318">
        <f>+SUMIF('Consolidado Costos'!$K$6:$K$158,$C193,'Consolidado Costos'!AL$6:AL$158)</f>
        <v>0</v>
      </c>
      <c r="O193" s="318">
        <f>+SUMIF('Consolidado Costos'!$K$6:$K$158,$C193,'Consolidado Costos'!AM$6:AM$158)</f>
        <v>0</v>
      </c>
      <c r="P193" s="318">
        <f>+SUMIF('Consolidado Costos'!$K$6:$K$158,$C193,'Consolidado Costos'!AN$6:AN$158)</f>
        <v>0</v>
      </c>
      <c r="Q193" s="318">
        <f>+SUMIF('Consolidado Costos'!$K$6:$K$158,$C193,'Consolidado Costos'!AO$6:AO$158)</f>
        <v>0</v>
      </c>
      <c r="R193" s="318">
        <f>+SUMIF('Consolidado Costos'!$K$6:$K$158,$C193,'Consolidado Costos'!AP$6:AP$158)</f>
        <v>0</v>
      </c>
      <c r="S193" s="357">
        <f t="shared" si="50"/>
        <v>1</v>
      </c>
      <c r="U193" s="327"/>
      <c r="V193" s="330" t="s">
        <v>601</v>
      </c>
      <c r="W193" s="330" t="s">
        <v>602</v>
      </c>
      <c r="X193" s="329"/>
      <c r="Y193" s="354">
        <f t="shared" si="66"/>
        <v>0</v>
      </c>
      <c r="Z193" s="318" cm="1">
        <f t="array" ref="Z193">+SUMPRODUCT(IF('Consolidado Costos'!$K$6:$K$158=$V193,('Consolidado Costos'!AE$6:AE$158*'Consolidado Costos'!$D$6:$D$158),0))</f>
        <v>0</v>
      </c>
      <c r="AA193" s="318" cm="1">
        <f t="array" ref="AA193">+SUMPRODUCT(IF('Consolidado Costos'!$K$6:$K$158=$V193,('Consolidado Costos'!AF$6:AF$158*'Consolidado Costos'!$D$6:$D$158),0))</f>
        <v>0</v>
      </c>
      <c r="AB193" s="318" cm="1">
        <f t="array" ref="AB193">+SUMPRODUCT(IF('Consolidado Costos'!$K$6:$K$158=$V193,('Consolidado Costos'!AG$6:AG$158*'Consolidado Costos'!$D$6:$D$158),0))</f>
        <v>0</v>
      </c>
      <c r="AC193" s="318" cm="1">
        <f t="array" ref="AC193">+SUMPRODUCT(IF('Consolidado Costos'!$K$6:$K$158=$V193,('Consolidado Costos'!AH$6:AH$158*'Consolidado Costos'!$D$6:$D$158),0))</f>
        <v>0</v>
      </c>
      <c r="AD193" s="318" cm="1">
        <f t="array" ref="AD193">+SUMPRODUCT(IF('Consolidado Costos'!$K$6:$K$158=$V193,('Consolidado Costos'!AI$6:AI$158*'Consolidado Costos'!$D$6:$D$158),0))</f>
        <v>0</v>
      </c>
      <c r="AE193" s="318" cm="1">
        <f t="array" ref="AE193">+SUMPRODUCT(IF('Consolidado Costos'!$K$6:$K$158=$V193,('Consolidado Costos'!AJ$6:AJ$158*'Consolidado Costos'!$D$6:$D$158),0))</f>
        <v>0</v>
      </c>
      <c r="AF193" s="318" cm="1">
        <f t="array" ref="AF193">+SUMPRODUCT(IF('Consolidado Costos'!$K$6:$K$158=$V193,('Consolidado Costos'!AK$6:AK$158*'Consolidado Costos'!$D$6:$D$158),0))</f>
        <v>0</v>
      </c>
      <c r="AG193" s="318" cm="1">
        <f t="array" ref="AG193">+SUMPRODUCT(IF('Consolidado Costos'!$K$6:$K$158=$V193,('Consolidado Costos'!AL$6:AL$158*'Consolidado Costos'!$D$6:$D$158),0))</f>
        <v>0</v>
      </c>
      <c r="AH193" s="318" cm="1">
        <f t="array" ref="AH193">+SUMPRODUCT(IF('Consolidado Costos'!$K$6:$K$158=$V193,('Consolidado Costos'!AM$6:AM$158*'Consolidado Costos'!$D$6:$D$158),0))</f>
        <v>0</v>
      </c>
      <c r="AI193" s="318" cm="1">
        <f t="array" ref="AI193">+SUMPRODUCT(IF('Consolidado Costos'!$K$6:$K$158=$V193,('Consolidado Costos'!AN$6:AN$158*'Consolidado Costos'!$D$6:$D$158),0))</f>
        <v>0</v>
      </c>
      <c r="AJ193" s="318" cm="1">
        <f t="array" ref="AJ193">+SUMPRODUCT(IF('Consolidado Costos'!$K$6:$K$158=$V193,('Consolidado Costos'!AO$6:AO$158*'Consolidado Costos'!$D$6:$D$158),0))</f>
        <v>0</v>
      </c>
      <c r="AK193" s="318" cm="1">
        <f t="array" ref="AK193">+SUMPRODUCT(IF('Consolidado Costos'!$K$6:$K$158=$V193,('Consolidado Costos'!AP$6:AP$158*'Consolidado Costos'!$D$6:$D$158),0))</f>
        <v>0</v>
      </c>
      <c r="AM193" s="327"/>
      <c r="AN193" s="330" t="s">
        <v>601</v>
      </c>
      <c r="AO193" s="330" t="s">
        <v>602</v>
      </c>
      <c r="AP193" s="329"/>
      <c r="AQ193" s="354">
        <f t="shared" si="67"/>
        <v>0</v>
      </c>
      <c r="AR193" s="318" cm="1">
        <f t="array" ref="AR193">+SUMPRODUCT(IF('Consolidado Costos'!$K$6:$K$158=$AN193,('Consolidado Costos'!AE$6:AE$158*'Consolidado Costos'!$E$6:$E$158),0))</f>
        <v>0</v>
      </c>
      <c r="AS193" s="318" cm="1">
        <f t="array" ref="AS193">+SUMPRODUCT(IF('Consolidado Costos'!$K$6:$K$158=$AN193,('Consolidado Costos'!AF$6:AF$158*'Consolidado Costos'!$E$6:$E$158),0))</f>
        <v>0</v>
      </c>
      <c r="AT193" s="318" cm="1">
        <f t="array" ref="AT193">+SUMPRODUCT(IF('Consolidado Costos'!$K$6:$K$158=$AN193,('Consolidado Costos'!AG$6:AG$158*'Consolidado Costos'!$E$6:$E$158),0))</f>
        <v>0</v>
      </c>
      <c r="AU193" s="318" cm="1">
        <f t="array" ref="AU193">+SUMPRODUCT(IF('Consolidado Costos'!$K$6:$K$158=$AN193,('Consolidado Costos'!AH$6:AH$158*'Consolidado Costos'!$E$6:$E$158),0))</f>
        <v>0</v>
      </c>
      <c r="AV193" s="318" cm="1">
        <f t="array" ref="AV193">+SUMPRODUCT(IF('Consolidado Costos'!$K$6:$K$158=$AN193,('Consolidado Costos'!AI$6:AI$158*'Consolidado Costos'!$E$6:$E$158),0))</f>
        <v>0</v>
      </c>
      <c r="AW193" s="318" cm="1">
        <f t="array" ref="AW193">+SUMPRODUCT(IF('Consolidado Costos'!$K$6:$K$158=$AN193,('Consolidado Costos'!AJ$6:AJ$158*'Consolidado Costos'!$E$6:$E$158),0))</f>
        <v>0</v>
      </c>
      <c r="AX193" s="318" cm="1">
        <f t="array" ref="AX193">+SUMPRODUCT(IF('Consolidado Costos'!$K$6:$K$158=$AN193,('Consolidado Costos'!AK$6:AK$158*'Consolidado Costos'!$E$6:$E$158),0))</f>
        <v>0</v>
      </c>
      <c r="AY193" s="318" cm="1">
        <f t="array" ref="AY193">+SUMPRODUCT(IF('Consolidado Costos'!$K$6:$K$158=$AN193,('Consolidado Costos'!AL$6:AL$158*'Consolidado Costos'!$E$6:$E$158),0))</f>
        <v>0</v>
      </c>
      <c r="AZ193" s="318" cm="1">
        <f t="array" ref="AZ193">+SUMPRODUCT(IF('Consolidado Costos'!$K$6:$K$158=$AN193,('Consolidado Costos'!AM$6:AM$158*'Consolidado Costos'!$E$6:$E$158),0))</f>
        <v>0</v>
      </c>
      <c r="BA193" s="318" cm="1">
        <f t="array" ref="BA193">+SUMPRODUCT(IF('Consolidado Costos'!$K$6:$K$158=$AN193,('Consolidado Costos'!AN$6:AN$158*'Consolidado Costos'!$E$6:$E$158),0))</f>
        <v>0</v>
      </c>
      <c r="BB193" s="318" cm="1">
        <f t="array" ref="BB193">+SUMPRODUCT(IF('Consolidado Costos'!$K$6:$K$158=$AN193,('Consolidado Costos'!AO$6:AO$158*'Consolidado Costos'!$E$6:$E$158),0))</f>
        <v>0</v>
      </c>
      <c r="BC193" s="318" cm="1">
        <f t="array" ref="BC193">+SUMPRODUCT(IF('Consolidado Costos'!$K$6:$K$158=$AN193,('Consolidado Costos'!AP$6:AP$158*'Consolidado Costos'!$E$6:$E$158),0))</f>
        <v>0</v>
      </c>
      <c r="BE193" s="327"/>
      <c r="BF193" s="330" t="s">
        <v>601</v>
      </c>
      <c r="BG193" s="330" t="s">
        <v>602</v>
      </c>
      <c r="BH193" s="329"/>
      <c r="BI193" s="354">
        <f t="shared" si="68"/>
        <v>0</v>
      </c>
      <c r="BJ193" s="318" cm="1">
        <f t="array" ref="BJ193">+SUMPRODUCT(IF('Consolidado Costos'!$K$6:$K$158=$BF193,('Consolidado Costos'!AE$6:AE$158*'Consolidado Costos'!$F$6:$F$158),0))</f>
        <v>0</v>
      </c>
      <c r="BK193" s="318" cm="1">
        <f t="array" ref="BK193">+SUMPRODUCT(IF('Consolidado Costos'!$K$6:$K$158=$BF193,('Consolidado Costos'!AF$6:AF$158*'Consolidado Costos'!$F$6:$F$158),0))</f>
        <v>0</v>
      </c>
      <c r="BL193" s="318" cm="1">
        <f t="array" ref="BL193">+SUMPRODUCT(IF('Consolidado Costos'!$K$6:$K$158=$BF193,('Consolidado Costos'!AG$6:AG$158*'Consolidado Costos'!$F$6:$F$158),0))</f>
        <v>0</v>
      </c>
      <c r="BM193" s="318" cm="1">
        <f t="array" ref="BM193">+SUMPRODUCT(IF('Consolidado Costos'!$K$6:$K$158=$BF193,('Consolidado Costos'!AH$6:AH$158*'Consolidado Costos'!$F$6:$F$158),0))</f>
        <v>0</v>
      </c>
      <c r="BN193" s="318" cm="1">
        <f t="array" ref="BN193">+SUMPRODUCT(IF('Consolidado Costos'!$K$6:$K$158=$BF193,('Consolidado Costos'!AI$6:AI$158*'Consolidado Costos'!$F$6:$F$158),0))</f>
        <v>0</v>
      </c>
      <c r="BO193" s="318" cm="1">
        <f t="array" ref="BO193">+SUMPRODUCT(IF('Consolidado Costos'!$K$6:$K$158=$BF193,('Consolidado Costos'!AJ$6:AJ$158*'Consolidado Costos'!$F$6:$F$158),0))</f>
        <v>0</v>
      </c>
      <c r="BP193" s="318" cm="1">
        <f t="array" ref="BP193">+SUMPRODUCT(IF('Consolidado Costos'!$K$6:$K$158=$BF193,('Consolidado Costos'!AK$6:AK$158*'Consolidado Costos'!$F$6:$F$158),0))</f>
        <v>0</v>
      </c>
      <c r="BQ193" s="318" cm="1">
        <f t="array" ref="BQ193">+SUMPRODUCT(IF('Consolidado Costos'!$K$6:$K$158=$BF193,('Consolidado Costos'!AL$6:AL$158*'Consolidado Costos'!$F$6:$F$158),0))</f>
        <v>0</v>
      </c>
      <c r="BR193" s="318" cm="1">
        <f t="array" ref="BR193">+SUMPRODUCT(IF('Consolidado Costos'!$K$6:$K$158=$BF193,('Consolidado Costos'!AM$6:AM$158*'Consolidado Costos'!$F$6:$F$158),0))</f>
        <v>0</v>
      </c>
      <c r="BS193" s="318" cm="1">
        <f t="array" ref="BS193">+SUMPRODUCT(IF('Consolidado Costos'!$K$6:$K$158=$BF193,('Consolidado Costos'!AN$6:AN$158*'Consolidado Costos'!$F$6:$F$158),0))</f>
        <v>0</v>
      </c>
      <c r="BT193" s="318" cm="1">
        <f t="array" ref="BT193">+SUMPRODUCT(IF('Consolidado Costos'!$K$6:$K$158=$BF193,('Consolidado Costos'!AO$6:AO$158*'Consolidado Costos'!$F$6:$F$158),0))</f>
        <v>0</v>
      </c>
      <c r="BU193" s="318" cm="1">
        <f t="array" ref="BU193">+SUMPRODUCT(IF('Consolidado Costos'!$K$6:$K$158=$BF193,('Consolidado Costos'!AP$6:AP$158*'Consolidado Costos'!$F$6:$F$158),0))</f>
        <v>0</v>
      </c>
      <c r="BW193" s="327"/>
      <c r="BX193" s="330" t="s">
        <v>601</v>
      </c>
      <c r="BY193" s="330" t="s">
        <v>602</v>
      </c>
      <c r="BZ193" s="329"/>
      <c r="CA193" s="354">
        <f t="shared" si="69"/>
        <v>0</v>
      </c>
      <c r="CB193" s="318" cm="1">
        <f t="array" ref="CB193">+SUMPRODUCT(IF('Consolidado Costos'!$K$6:$K$158=$BX193,('Consolidado Costos'!AE$6:AE$158*'Consolidado Costos'!$G$6:$G$158),0))</f>
        <v>0</v>
      </c>
      <c r="CC193" s="318" cm="1">
        <f t="array" ref="CC193">+SUMPRODUCT(IF('Consolidado Costos'!$K$6:$K$158=$BX193,('Consolidado Costos'!AF$6:AF$158*'Consolidado Costos'!$G$6:$G$158),0))</f>
        <v>0</v>
      </c>
      <c r="CD193" s="318" cm="1">
        <f t="array" ref="CD193">+SUMPRODUCT(IF('Consolidado Costos'!$K$6:$K$158=$BX193,('Consolidado Costos'!AG$6:AG$158*'Consolidado Costos'!$G$6:$G$158),0))</f>
        <v>0</v>
      </c>
      <c r="CE193" s="318" cm="1">
        <f t="array" ref="CE193">+SUMPRODUCT(IF('Consolidado Costos'!$K$6:$K$158=$BX193,('Consolidado Costos'!AH$6:AH$158*'Consolidado Costos'!$G$6:$G$158),0))</f>
        <v>0</v>
      </c>
      <c r="CF193" s="318" cm="1">
        <f t="array" ref="CF193">+SUMPRODUCT(IF('Consolidado Costos'!$K$6:$K$158=$BX193,('Consolidado Costos'!AI$6:AI$158*'Consolidado Costos'!$G$6:$G$158),0))</f>
        <v>0</v>
      </c>
      <c r="CG193" s="318" cm="1">
        <f t="array" ref="CG193">+SUMPRODUCT(IF('Consolidado Costos'!$K$6:$K$158=$BX193,('Consolidado Costos'!AJ$6:AJ$158*'Consolidado Costos'!$G$6:$G$158),0))</f>
        <v>0</v>
      </c>
      <c r="CH193" s="318" cm="1">
        <f t="array" ref="CH193">+SUMPRODUCT(IF('Consolidado Costos'!$K$6:$K$158=$BX193,('Consolidado Costos'!AK$6:AK$158*'Consolidado Costos'!$G$6:$G$158),0))</f>
        <v>0</v>
      </c>
      <c r="CI193" s="318" cm="1">
        <f t="array" ref="CI193">+SUMPRODUCT(IF('Consolidado Costos'!$K$6:$K$158=$BX193,('Consolidado Costos'!AL$6:AL$158*'Consolidado Costos'!$G$6:$G$158),0))</f>
        <v>0</v>
      </c>
      <c r="CJ193" s="318" cm="1">
        <f t="array" ref="CJ193">+SUMPRODUCT(IF('Consolidado Costos'!$K$6:$K$158=$BX193,('Consolidado Costos'!AM$6:AM$158*'Consolidado Costos'!$G$6:$G$158),0))</f>
        <v>0</v>
      </c>
      <c r="CK193" s="318" cm="1">
        <f t="array" ref="CK193">+SUMPRODUCT(IF('Consolidado Costos'!$K$6:$K$158=$BX193,('Consolidado Costos'!AN$6:AN$158*'Consolidado Costos'!$G$6:$G$158),0))</f>
        <v>0</v>
      </c>
      <c r="CL193" s="318" cm="1">
        <f t="array" ref="CL193">+SUMPRODUCT(IF('Consolidado Costos'!$K$6:$K$158=$BX193,('Consolidado Costos'!AO$6:AO$158*'Consolidado Costos'!$G$6:$G$158),0))</f>
        <v>0</v>
      </c>
      <c r="CM193" s="318" cm="1">
        <f t="array" ref="CM193">+SUMPRODUCT(IF('Consolidado Costos'!$K$6:$K$158=$BX193,('Consolidado Costos'!AP$6:AP$158*'Consolidado Costos'!$G$6:$G$158),0))</f>
        <v>0</v>
      </c>
      <c r="CN193" s="357">
        <f t="shared" si="51"/>
        <v>1</v>
      </c>
    </row>
    <row r="194" spans="2:92" s="310" customFormat="1" outlineLevel="1">
      <c r="B194" s="327"/>
      <c r="C194" s="330" t="s">
        <v>603</v>
      </c>
      <c r="D194" s="330" t="s">
        <v>604</v>
      </c>
      <c r="E194" s="329"/>
      <c r="F194" s="318">
        <f>+SUMIF('Consolidado Costos'!$K$6:$K$158,$C194,'Consolidado Costos'!$AD$6:$AD$158)</f>
        <v>0</v>
      </c>
      <c r="G194" s="318">
        <f>+SUMIF('Consolidado Costos'!$K$6:$K$158,$C194,'Consolidado Costos'!AE$6:AE$158)</f>
        <v>0</v>
      </c>
      <c r="H194" s="318">
        <f>+SUMIF('Consolidado Costos'!$K$6:$K$158,$C194,'Consolidado Costos'!AF$6:AF$158)</f>
        <v>0</v>
      </c>
      <c r="I194" s="318">
        <f>+SUMIF('Consolidado Costos'!$K$6:$K$158,$C194,'Consolidado Costos'!AG$6:AG$158)</f>
        <v>0</v>
      </c>
      <c r="J194" s="318">
        <f>+SUMIF('Consolidado Costos'!$K$6:$K$158,$C194,'Consolidado Costos'!AH$6:AH$158)</f>
        <v>0</v>
      </c>
      <c r="K194" s="318">
        <f>+SUMIF('Consolidado Costos'!$K$6:$K$158,$C194,'Consolidado Costos'!AI$6:AI$158)</f>
        <v>0</v>
      </c>
      <c r="L194" s="318">
        <f>+SUMIF('Consolidado Costos'!$K$6:$K$158,$C194,'Consolidado Costos'!AJ$6:AJ$158)</f>
        <v>0</v>
      </c>
      <c r="M194" s="318">
        <f>+SUMIF('Consolidado Costos'!$K$6:$K$158,$C194,'Consolidado Costos'!AK$6:AK$158)</f>
        <v>0</v>
      </c>
      <c r="N194" s="318">
        <f>+SUMIF('Consolidado Costos'!$K$6:$K$158,$C194,'Consolidado Costos'!AL$6:AL$158)</f>
        <v>0</v>
      </c>
      <c r="O194" s="318">
        <f>+SUMIF('Consolidado Costos'!$K$6:$K$158,$C194,'Consolidado Costos'!AM$6:AM$158)</f>
        <v>0</v>
      </c>
      <c r="P194" s="318">
        <f>+SUMIF('Consolidado Costos'!$K$6:$K$158,$C194,'Consolidado Costos'!AN$6:AN$158)</f>
        <v>0</v>
      </c>
      <c r="Q194" s="318">
        <f>+SUMIF('Consolidado Costos'!$K$6:$K$158,$C194,'Consolidado Costos'!AO$6:AO$158)</f>
        <v>0</v>
      </c>
      <c r="R194" s="318">
        <f>+SUMIF('Consolidado Costos'!$K$6:$K$158,$C194,'Consolidado Costos'!AP$6:AP$158)</f>
        <v>0</v>
      </c>
      <c r="S194" s="357">
        <f t="shared" si="50"/>
        <v>1</v>
      </c>
      <c r="U194" s="327"/>
      <c r="V194" s="330" t="s">
        <v>603</v>
      </c>
      <c r="W194" s="330" t="s">
        <v>604</v>
      </c>
      <c r="X194" s="329"/>
      <c r="Y194" s="354">
        <f t="shared" si="66"/>
        <v>0</v>
      </c>
      <c r="Z194" s="318" cm="1">
        <f t="array" ref="Z194">+SUMPRODUCT(IF('Consolidado Costos'!$K$6:$K$158=$V194,('Consolidado Costos'!AE$6:AE$158*'Consolidado Costos'!$D$6:$D$158),0))</f>
        <v>0</v>
      </c>
      <c r="AA194" s="318" cm="1">
        <f t="array" ref="AA194">+SUMPRODUCT(IF('Consolidado Costos'!$K$6:$K$158=$V194,('Consolidado Costos'!AF$6:AF$158*'Consolidado Costos'!$D$6:$D$158),0))</f>
        <v>0</v>
      </c>
      <c r="AB194" s="318" cm="1">
        <f t="array" ref="AB194">+SUMPRODUCT(IF('Consolidado Costos'!$K$6:$K$158=$V194,('Consolidado Costos'!AG$6:AG$158*'Consolidado Costos'!$D$6:$D$158),0))</f>
        <v>0</v>
      </c>
      <c r="AC194" s="318" cm="1">
        <f t="array" ref="AC194">+SUMPRODUCT(IF('Consolidado Costos'!$K$6:$K$158=$V194,('Consolidado Costos'!AH$6:AH$158*'Consolidado Costos'!$D$6:$D$158),0))</f>
        <v>0</v>
      </c>
      <c r="AD194" s="318" cm="1">
        <f t="array" ref="AD194">+SUMPRODUCT(IF('Consolidado Costos'!$K$6:$K$158=$V194,('Consolidado Costos'!AI$6:AI$158*'Consolidado Costos'!$D$6:$D$158),0))</f>
        <v>0</v>
      </c>
      <c r="AE194" s="318" cm="1">
        <f t="array" ref="AE194">+SUMPRODUCT(IF('Consolidado Costos'!$K$6:$K$158=$V194,('Consolidado Costos'!AJ$6:AJ$158*'Consolidado Costos'!$D$6:$D$158),0))</f>
        <v>0</v>
      </c>
      <c r="AF194" s="318" cm="1">
        <f t="array" ref="AF194">+SUMPRODUCT(IF('Consolidado Costos'!$K$6:$K$158=$V194,('Consolidado Costos'!AK$6:AK$158*'Consolidado Costos'!$D$6:$D$158),0))</f>
        <v>0</v>
      </c>
      <c r="AG194" s="318" cm="1">
        <f t="array" ref="AG194">+SUMPRODUCT(IF('Consolidado Costos'!$K$6:$K$158=$V194,('Consolidado Costos'!AL$6:AL$158*'Consolidado Costos'!$D$6:$D$158),0))</f>
        <v>0</v>
      </c>
      <c r="AH194" s="318" cm="1">
        <f t="array" ref="AH194">+SUMPRODUCT(IF('Consolidado Costos'!$K$6:$K$158=$V194,('Consolidado Costos'!AM$6:AM$158*'Consolidado Costos'!$D$6:$D$158),0))</f>
        <v>0</v>
      </c>
      <c r="AI194" s="318" cm="1">
        <f t="array" ref="AI194">+SUMPRODUCT(IF('Consolidado Costos'!$K$6:$K$158=$V194,('Consolidado Costos'!AN$6:AN$158*'Consolidado Costos'!$D$6:$D$158),0))</f>
        <v>0</v>
      </c>
      <c r="AJ194" s="318" cm="1">
        <f t="array" ref="AJ194">+SUMPRODUCT(IF('Consolidado Costos'!$K$6:$K$158=$V194,('Consolidado Costos'!AO$6:AO$158*'Consolidado Costos'!$D$6:$D$158),0))</f>
        <v>0</v>
      </c>
      <c r="AK194" s="318" cm="1">
        <f t="array" ref="AK194">+SUMPRODUCT(IF('Consolidado Costos'!$K$6:$K$158=$V194,('Consolidado Costos'!AP$6:AP$158*'Consolidado Costos'!$D$6:$D$158),0))</f>
        <v>0</v>
      </c>
      <c r="AM194" s="327"/>
      <c r="AN194" s="330" t="s">
        <v>603</v>
      </c>
      <c r="AO194" s="330" t="s">
        <v>604</v>
      </c>
      <c r="AP194" s="329"/>
      <c r="AQ194" s="354">
        <f t="shared" si="67"/>
        <v>0</v>
      </c>
      <c r="AR194" s="318" cm="1">
        <f t="array" ref="AR194">+SUMPRODUCT(IF('Consolidado Costos'!$K$6:$K$158=$AN194,('Consolidado Costos'!AE$6:AE$158*'Consolidado Costos'!$E$6:$E$158),0))</f>
        <v>0</v>
      </c>
      <c r="AS194" s="318" cm="1">
        <f t="array" ref="AS194">+SUMPRODUCT(IF('Consolidado Costos'!$K$6:$K$158=$AN194,('Consolidado Costos'!AF$6:AF$158*'Consolidado Costos'!$E$6:$E$158),0))</f>
        <v>0</v>
      </c>
      <c r="AT194" s="318" cm="1">
        <f t="array" ref="AT194">+SUMPRODUCT(IF('Consolidado Costos'!$K$6:$K$158=$AN194,('Consolidado Costos'!AG$6:AG$158*'Consolidado Costos'!$E$6:$E$158),0))</f>
        <v>0</v>
      </c>
      <c r="AU194" s="318" cm="1">
        <f t="array" ref="AU194">+SUMPRODUCT(IF('Consolidado Costos'!$K$6:$K$158=$AN194,('Consolidado Costos'!AH$6:AH$158*'Consolidado Costos'!$E$6:$E$158),0))</f>
        <v>0</v>
      </c>
      <c r="AV194" s="318" cm="1">
        <f t="array" ref="AV194">+SUMPRODUCT(IF('Consolidado Costos'!$K$6:$K$158=$AN194,('Consolidado Costos'!AI$6:AI$158*'Consolidado Costos'!$E$6:$E$158),0))</f>
        <v>0</v>
      </c>
      <c r="AW194" s="318" cm="1">
        <f t="array" ref="AW194">+SUMPRODUCT(IF('Consolidado Costos'!$K$6:$K$158=$AN194,('Consolidado Costos'!AJ$6:AJ$158*'Consolidado Costos'!$E$6:$E$158),0))</f>
        <v>0</v>
      </c>
      <c r="AX194" s="318" cm="1">
        <f t="array" ref="AX194">+SUMPRODUCT(IF('Consolidado Costos'!$K$6:$K$158=$AN194,('Consolidado Costos'!AK$6:AK$158*'Consolidado Costos'!$E$6:$E$158),0))</f>
        <v>0</v>
      </c>
      <c r="AY194" s="318" cm="1">
        <f t="array" ref="AY194">+SUMPRODUCT(IF('Consolidado Costos'!$K$6:$K$158=$AN194,('Consolidado Costos'!AL$6:AL$158*'Consolidado Costos'!$E$6:$E$158),0))</f>
        <v>0</v>
      </c>
      <c r="AZ194" s="318" cm="1">
        <f t="array" ref="AZ194">+SUMPRODUCT(IF('Consolidado Costos'!$K$6:$K$158=$AN194,('Consolidado Costos'!AM$6:AM$158*'Consolidado Costos'!$E$6:$E$158),0))</f>
        <v>0</v>
      </c>
      <c r="BA194" s="318" cm="1">
        <f t="array" ref="BA194">+SUMPRODUCT(IF('Consolidado Costos'!$K$6:$K$158=$AN194,('Consolidado Costos'!AN$6:AN$158*'Consolidado Costos'!$E$6:$E$158),0))</f>
        <v>0</v>
      </c>
      <c r="BB194" s="318" cm="1">
        <f t="array" ref="BB194">+SUMPRODUCT(IF('Consolidado Costos'!$K$6:$K$158=$AN194,('Consolidado Costos'!AO$6:AO$158*'Consolidado Costos'!$E$6:$E$158),0))</f>
        <v>0</v>
      </c>
      <c r="BC194" s="318" cm="1">
        <f t="array" ref="BC194">+SUMPRODUCT(IF('Consolidado Costos'!$K$6:$K$158=$AN194,('Consolidado Costos'!AP$6:AP$158*'Consolidado Costos'!$E$6:$E$158),0))</f>
        <v>0</v>
      </c>
      <c r="BE194" s="327"/>
      <c r="BF194" s="330" t="s">
        <v>603</v>
      </c>
      <c r="BG194" s="330" t="s">
        <v>604</v>
      </c>
      <c r="BH194" s="329"/>
      <c r="BI194" s="354">
        <f t="shared" si="68"/>
        <v>0</v>
      </c>
      <c r="BJ194" s="318" cm="1">
        <f t="array" ref="BJ194">+SUMPRODUCT(IF('Consolidado Costos'!$K$6:$K$158=$BF194,('Consolidado Costos'!AE$6:AE$158*'Consolidado Costos'!$F$6:$F$158),0))</f>
        <v>0</v>
      </c>
      <c r="BK194" s="318" cm="1">
        <f t="array" ref="BK194">+SUMPRODUCT(IF('Consolidado Costos'!$K$6:$K$158=$BF194,('Consolidado Costos'!AF$6:AF$158*'Consolidado Costos'!$F$6:$F$158),0))</f>
        <v>0</v>
      </c>
      <c r="BL194" s="318" cm="1">
        <f t="array" ref="BL194">+SUMPRODUCT(IF('Consolidado Costos'!$K$6:$K$158=$BF194,('Consolidado Costos'!AG$6:AG$158*'Consolidado Costos'!$F$6:$F$158),0))</f>
        <v>0</v>
      </c>
      <c r="BM194" s="318" cm="1">
        <f t="array" ref="BM194">+SUMPRODUCT(IF('Consolidado Costos'!$K$6:$K$158=$BF194,('Consolidado Costos'!AH$6:AH$158*'Consolidado Costos'!$F$6:$F$158),0))</f>
        <v>0</v>
      </c>
      <c r="BN194" s="318" cm="1">
        <f t="array" ref="BN194">+SUMPRODUCT(IF('Consolidado Costos'!$K$6:$K$158=$BF194,('Consolidado Costos'!AI$6:AI$158*'Consolidado Costos'!$F$6:$F$158),0))</f>
        <v>0</v>
      </c>
      <c r="BO194" s="318" cm="1">
        <f t="array" ref="BO194">+SUMPRODUCT(IF('Consolidado Costos'!$K$6:$K$158=$BF194,('Consolidado Costos'!AJ$6:AJ$158*'Consolidado Costos'!$F$6:$F$158),0))</f>
        <v>0</v>
      </c>
      <c r="BP194" s="318" cm="1">
        <f t="array" ref="BP194">+SUMPRODUCT(IF('Consolidado Costos'!$K$6:$K$158=$BF194,('Consolidado Costos'!AK$6:AK$158*'Consolidado Costos'!$F$6:$F$158),0))</f>
        <v>0</v>
      </c>
      <c r="BQ194" s="318" cm="1">
        <f t="array" ref="BQ194">+SUMPRODUCT(IF('Consolidado Costos'!$K$6:$K$158=$BF194,('Consolidado Costos'!AL$6:AL$158*'Consolidado Costos'!$F$6:$F$158),0))</f>
        <v>0</v>
      </c>
      <c r="BR194" s="318" cm="1">
        <f t="array" ref="BR194">+SUMPRODUCT(IF('Consolidado Costos'!$K$6:$K$158=$BF194,('Consolidado Costos'!AM$6:AM$158*'Consolidado Costos'!$F$6:$F$158),0))</f>
        <v>0</v>
      </c>
      <c r="BS194" s="318" cm="1">
        <f t="array" ref="BS194">+SUMPRODUCT(IF('Consolidado Costos'!$K$6:$K$158=$BF194,('Consolidado Costos'!AN$6:AN$158*'Consolidado Costos'!$F$6:$F$158),0))</f>
        <v>0</v>
      </c>
      <c r="BT194" s="318" cm="1">
        <f t="array" ref="BT194">+SUMPRODUCT(IF('Consolidado Costos'!$K$6:$K$158=$BF194,('Consolidado Costos'!AO$6:AO$158*'Consolidado Costos'!$F$6:$F$158),0))</f>
        <v>0</v>
      </c>
      <c r="BU194" s="318" cm="1">
        <f t="array" ref="BU194">+SUMPRODUCT(IF('Consolidado Costos'!$K$6:$K$158=$BF194,('Consolidado Costos'!AP$6:AP$158*'Consolidado Costos'!$F$6:$F$158),0))</f>
        <v>0</v>
      </c>
      <c r="BW194" s="327"/>
      <c r="BX194" s="330" t="s">
        <v>603</v>
      </c>
      <c r="BY194" s="330" t="s">
        <v>604</v>
      </c>
      <c r="BZ194" s="329"/>
      <c r="CA194" s="354">
        <f t="shared" si="69"/>
        <v>0</v>
      </c>
      <c r="CB194" s="318" cm="1">
        <f t="array" ref="CB194">+SUMPRODUCT(IF('Consolidado Costos'!$K$6:$K$158=$BX194,('Consolidado Costos'!AE$6:AE$158*'Consolidado Costos'!$G$6:$G$158),0))</f>
        <v>0</v>
      </c>
      <c r="CC194" s="318" cm="1">
        <f t="array" ref="CC194">+SUMPRODUCT(IF('Consolidado Costos'!$K$6:$K$158=$BX194,('Consolidado Costos'!AF$6:AF$158*'Consolidado Costos'!$G$6:$G$158),0))</f>
        <v>0</v>
      </c>
      <c r="CD194" s="318" cm="1">
        <f t="array" ref="CD194">+SUMPRODUCT(IF('Consolidado Costos'!$K$6:$K$158=$BX194,('Consolidado Costos'!AG$6:AG$158*'Consolidado Costos'!$G$6:$G$158),0))</f>
        <v>0</v>
      </c>
      <c r="CE194" s="318" cm="1">
        <f t="array" ref="CE194">+SUMPRODUCT(IF('Consolidado Costos'!$K$6:$K$158=$BX194,('Consolidado Costos'!AH$6:AH$158*'Consolidado Costos'!$G$6:$G$158),0))</f>
        <v>0</v>
      </c>
      <c r="CF194" s="318" cm="1">
        <f t="array" ref="CF194">+SUMPRODUCT(IF('Consolidado Costos'!$K$6:$K$158=$BX194,('Consolidado Costos'!AI$6:AI$158*'Consolidado Costos'!$G$6:$G$158),0))</f>
        <v>0</v>
      </c>
      <c r="CG194" s="318" cm="1">
        <f t="array" ref="CG194">+SUMPRODUCT(IF('Consolidado Costos'!$K$6:$K$158=$BX194,('Consolidado Costos'!AJ$6:AJ$158*'Consolidado Costos'!$G$6:$G$158),0))</f>
        <v>0</v>
      </c>
      <c r="CH194" s="318" cm="1">
        <f t="array" ref="CH194">+SUMPRODUCT(IF('Consolidado Costos'!$K$6:$K$158=$BX194,('Consolidado Costos'!AK$6:AK$158*'Consolidado Costos'!$G$6:$G$158),0))</f>
        <v>0</v>
      </c>
      <c r="CI194" s="318" cm="1">
        <f t="array" ref="CI194">+SUMPRODUCT(IF('Consolidado Costos'!$K$6:$K$158=$BX194,('Consolidado Costos'!AL$6:AL$158*'Consolidado Costos'!$G$6:$G$158),0))</f>
        <v>0</v>
      </c>
      <c r="CJ194" s="318" cm="1">
        <f t="array" ref="CJ194">+SUMPRODUCT(IF('Consolidado Costos'!$K$6:$K$158=$BX194,('Consolidado Costos'!AM$6:AM$158*'Consolidado Costos'!$G$6:$G$158),0))</f>
        <v>0</v>
      </c>
      <c r="CK194" s="318" cm="1">
        <f t="array" ref="CK194">+SUMPRODUCT(IF('Consolidado Costos'!$K$6:$K$158=$BX194,('Consolidado Costos'!AN$6:AN$158*'Consolidado Costos'!$G$6:$G$158),0))</f>
        <v>0</v>
      </c>
      <c r="CL194" s="318" cm="1">
        <f t="array" ref="CL194">+SUMPRODUCT(IF('Consolidado Costos'!$K$6:$K$158=$BX194,('Consolidado Costos'!AO$6:AO$158*'Consolidado Costos'!$G$6:$G$158),0))</f>
        <v>0</v>
      </c>
      <c r="CM194" s="318" cm="1">
        <f t="array" ref="CM194">+SUMPRODUCT(IF('Consolidado Costos'!$K$6:$K$158=$BX194,('Consolidado Costos'!AP$6:AP$158*'Consolidado Costos'!$G$6:$G$158),0))</f>
        <v>0</v>
      </c>
      <c r="CN194" s="357">
        <f t="shared" si="51"/>
        <v>1</v>
      </c>
    </row>
    <row r="195" spans="2:92" s="310" customFormat="1" outlineLevel="1">
      <c r="B195" s="327"/>
      <c r="C195" s="330" t="s">
        <v>605</v>
      </c>
      <c r="D195" s="330" t="s">
        <v>606</v>
      </c>
      <c r="E195" s="329"/>
      <c r="F195" s="318">
        <f>+SUMIF('Consolidado Costos'!$K$6:$K$158,$C195,'Consolidado Costos'!$AD$6:$AD$158)</f>
        <v>0</v>
      </c>
      <c r="G195" s="318">
        <f>+SUMIF('Consolidado Costos'!$K$6:$K$158,$C195,'Consolidado Costos'!AE$6:AE$158)</f>
        <v>0</v>
      </c>
      <c r="H195" s="318">
        <f>+SUMIF('Consolidado Costos'!$K$6:$K$158,$C195,'Consolidado Costos'!AF$6:AF$158)</f>
        <v>0</v>
      </c>
      <c r="I195" s="318">
        <f>+SUMIF('Consolidado Costos'!$K$6:$K$158,$C195,'Consolidado Costos'!AG$6:AG$158)</f>
        <v>0</v>
      </c>
      <c r="J195" s="318">
        <f>+SUMIF('Consolidado Costos'!$K$6:$K$158,$C195,'Consolidado Costos'!AH$6:AH$158)</f>
        <v>0</v>
      </c>
      <c r="K195" s="318">
        <f>+SUMIF('Consolidado Costos'!$K$6:$K$158,$C195,'Consolidado Costos'!AI$6:AI$158)</f>
        <v>0</v>
      </c>
      <c r="L195" s="318">
        <f>+SUMIF('Consolidado Costos'!$K$6:$K$158,$C195,'Consolidado Costos'!AJ$6:AJ$158)</f>
        <v>0</v>
      </c>
      <c r="M195" s="318">
        <f>+SUMIF('Consolidado Costos'!$K$6:$K$158,$C195,'Consolidado Costos'!AK$6:AK$158)</f>
        <v>0</v>
      </c>
      <c r="N195" s="318">
        <f>+SUMIF('Consolidado Costos'!$K$6:$K$158,$C195,'Consolidado Costos'!AL$6:AL$158)</f>
        <v>0</v>
      </c>
      <c r="O195" s="318">
        <f>+SUMIF('Consolidado Costos'!$K$6:$K$158,$C195,'Consolidado Costos'!AM$6:AM$158)</f>
        <v>0</v>
      </c>
      <c r="P195" s="318">
        <f>+SUMIF('Consolidado Costos'!$K$6:$K$158,$C195,'Consolidado Costos'!AN$6:AN$158)</f>
        <v>0</v>
      </c>
      <c r="Q195" s="318">
        <f>+SUMIF('Consolidado Costos'!$K$6:$K$158,$C195,'Consolidado Costos'!AO$6:AO$158)</f>
        <v>0</v>
      </c>
      <c r="R195" s="318">
        <f>+SUMIF('Consolidado Costos'!$K$6:$K$158,$C195,'Consolidado Costos'!AP$6:AP$158)</f>
        <v>0</v>
      </c>
      <c r="S195" s="357">
        <f t="shared" si="50"/>
        <v>1</v>
      </c>
      <c r="U195" s="327"/>
      <c r="V195" s="330" t="s">
        <v>605</v>
      </c>
      <c r="W195" s="330" t="s">
        <v>606</v>
      </c>
      <c r="X195" s="329"/>
      <c r="Y195" s="354">
        <f t="shared" si="66"/>
        <v>0</v>
      </c>
      <c r="Z195" s="318" cm="1">
        <f t="array" ref="Z195">+SUMPRODUCT(IF('Consolidado Costos'!$K$6:$K$158=$V195,('Consolidado Costos'!AE$6:AE$158*'Consolidado Costos'!$D$6:$D$158),0))</f>
        <v>0</v>
      </c>
      <c r="AA195" s="318" cm="1">
        <f t="array" ref="AA195">+SUMPRODUCT(IF('Consolidado Costos'!$K$6:$K$158=$V195,('Consolidado Costos'!AF$6:AF$158*'Consolidado Costos'!$D$6:$D$158),0))</f>
        <v>0</v>
      </c>
      <c r="AB195" s="318" cm="1">
        <f t="array" ref="AB195">+SUMPRODUCT(IF('Consolidado Costos'!$K$6:$K$158=$V195,('Consolidado Costos'!AG$6:AG$158*'Consolidado Costos'!$D$6:$D$158),0))</f>
        <v>0</v>
      </c>
      <c r="AC195" s="318" cm="1">
        <f t="array" ref="AC195">+SUMPRODUCT(IF('Consolidado Costos'!$K$6:$K$158=$V195,('Consolidado Costos'!AH$6:AH$158*'Consolidado Costos'!$D$6:$D$158),0))</f>
        <v>0</v>
      </c>
      <c r="AD195" s="318" cm="1">
        <f t="array" ref="AD195">+SUMPRODUCT(IF('Consolidado Costos'!$K$6:$K$158=$V195,('Consolidado Costos'!AI$6:AI$158*'Consolidado Costos'!$D$6:$D$158),0))</f>
        <v>0</v>
      </c>
      <c r="AE195" s="318" cm="1">
        <f t="array" ref="AE195">+SUMPRODUCT(IF('Consolidado Costos'!$K$6:$K$158=$V195,('Consolidado Costos'!AJ$6:AJ$158*'Consolidado Costos'!$D$6:$D$158),0))</f>
        <v>0</v>
      </c>
      <c r="AF195" s="318" cm="1">
        <f t="array" ref="AF195">+SUMPRODUCT(IF('Consolidado Costos'!$K$6:$K$158=$V195,('Consolidado Costos'!AK$6:AK$158*'Consolidado Costos'!$D$6:$D$158),0))</f>
        <v>0</v>
      </c>
      <c r="AG195" s="318" cm="1">
        <f t="array" ref="AG195">+SUMPRODUCT(IF('Consolidado Costos'!$K$6:$K$158=$V195,('Consolidado Costos'!AL$6:AL$158*'Consolidado Costos'!$D$6:$D$158),0))</f>
        <v>0</v>
      </c>
      <c r="AH195" s="318" cm="1">
        <f t="array" ref="AH195">+SUMPRODUCT(IF('Consolidado Costos'!$K$6:$K$158=$V195,('Consolidado Costos'!AM$6:AM$158*'Consolidado Costos'!$D$6:$D$158),0))</f>
        <v>0</v>
      </c>
      <c r="AI195" s="318" cm="1">
        <f t="array" ref="AI195">+SUMPRODUCT(IF('Consolidado Costos'!$K$6:$K$158=$V195,('Consolidado Costos'!AN$6:AN$158*'Consolidado Costos'!$D$6:$D$158),0))</f>
        <v>0</v>
      </c>
      <c r="AJ195" s="318" cm="1">
        <f t="array" ref="AJ195">+SUMPRODUCT(IF('Consolidado Costos'!$K$6:$K$158=$V195,('Consolidado Costos'!AO$6:AO$158*'Consolidado Costos'!$D$6:$D$158),0))</f>
        <v>0</v>
      </c>
      <c r="AK195" s="318" cm="1">
        <f t="array" ref="AK195">+SUMPRODUCT(IF('Consolidado Costos'!$K$6:$K$158=$V195,('Consolidado Costos'!AP$6:AP$158*'Consolidado Costos'!$D$6:$D$158),0))</f>
        <v>0</v>
      </c>
      <c r="AM195" s="327"/>
      <c r="AN195" s="330" t="s">
        <v>605</v>
      </c>
      <c r="AO195" s="330" t="s">
        <v>606</v>
      </c>
      <c r="AP195" s="329"/>
      <c r="AQ195" s="354">
        <f t="shared" si="67"/>
        <v>0</v>
      </c>
      <c r="AR195" s="318" cm="1">
        <f t="array" ref="AR195">+SUMPRODUCT(IF('Consolidado Costos'!$K$6:$K$158=$AN195,('Consolidado Costos'!AE$6:AE$158*'Consolidado Costos'!$E$6:$E$158),0))</f>
        <v>0</v>
      </c>
      <c r="AS195" s="318" cm="1">
        <f t="array" ref="AS195">+SUMPRODUCT(IF('Consolidado Costos'!$K$6:$K$158=$AN195,('Consolidado Costos'!AF$6:AF$158*'Consolidado Costos'!$E$6:$E$158),0))</f>
        <v>0</v>
      </c>
      <c r="AT195" s="318" cm="1">
        <f t="array" ref="AT195">+SUMPRODUCT(IF('Consolidado Costos'!$K$6:$K$158=$AN195,('Consolidado Costos'!AG$6:AG$158*'Consolidado Costos'!$E$6:$E$158),0))</f>
        <v>0</v>
      </c>
      <c r="AU195" s="318" cm="1">
        <f t="array" ref="AU195">+SUMPRODUCT(IF('Consolidado Costos'!$K$6:$K$158=$AN195,('Consolidado Costos'!AH$6:AH$158*'Consolidado Costos'!$E$6:$E$158),0))</f>
        <v>0</v>
      </c>
      <c r="AV195" s="318" cm="1">
        <f t="array" ref="AV195">+SUMPRODUCT(IF('Consolidado Costos'!$K$6:$K$158=$AN195,('Consolidado Costos'!AI$6:AI$158*'Consolidado Costos'!$E$6:$E$158),0))</f>
        <v>0</v>
      </c>
      <c r="AW195" s="318" cm="1">
        <f t="array" ref="AW195">+SUMPRODUCT(IF('Consolidado Costos'!$K$6:$K$158=$AN195,('Consolidado Costos'!AJ$6:AJ$158*'Consolidado Costos'!$E$6:$E$158),0))</f>
        <v>0</v>
      </c>
      <c r="AX195" s="318" cm="1">
        <f t="array" ref="AX195">+SUMPRODUCT(IF('Consolidado Costos'!$K$6:$K$158=$AN195,('Consolidado Costos'!AK$6:AK$158*'Consolidado Costos'!$E$6:$E$158),0))</f>
        <v>0</v>
      </c>
      <c r="AY195" s="318" cm="1">
        <f t="array" ref="AY195">+SUMPRODUCT(IF('Consolidado Costos'!$K$6:$K$158=$AN195,('Consolidado Costos'!AL$6:AL$158*'Consolidado Costos'!$E$6:$E$158),0))</f>
        <v>0</v>
      </c>
      <c r="AZ195" s="318" cm="1">
        <f t="array" ref="AZ195">+SUMPRODUCT(IF('Consolidado Costos'!$K$6:$K$158=$AN195,('Consolidado Costos'!AM$6:AM$158*'Consolidado Costos'!$E$6:$E$158),0))</f>
        <v>0</v>
      </c>
      <c r="BA195" s="318" cm="1">
        <f t="array" ref="BA195">+SUMPRODUCT(IF('Consolidado Costos'!$K$6:$K$158=$AN195,('Consolidado Costos'!AN$6:AN$158*'Consolidado Costos'!$E$6:$E$158),0))</f>
        <v>0</v>
      </c>
      <c r="BB195" s="318" cm="1">
        <f t="array" ref="BB195">+SUMPRODUCT(IF('Consolidado Costos'!$K$6:$K$158=$AN195,('Consolidado Costos'!AO$6:AO$158*'Consolidado Costos'!$E$6:$E$158),0))</f>
        <v>0</v>
      </c>
      <c r="BC195" s="318" cm="1">
        <f t="array" ref="BC195">+SUMPRODUCT(IF('Consolidado Costos'!$K$6:$K$158=$AN195,('Consolidado Costos'!AP$6:AP$158*'Consolidado Costos'!$E$6:$E$158),0))</f>
        <v>0</v>
      </c>
      <c r="BE195" s="327"/>
      <c r="BF195" s="330" t="s">
        <v>605</v>
      </c>
      <c r="BG195" s="330" t="s">
        <v>606</v>
      </c>
      <c r="BH195" s="329"/>
      <c r="BI195" s="354">
        <f t="shared" si="68"/>
        <v>0</v>
      </c>
      <c r="BJ195" s="318" cm="1">
        <f t="array" ref="BJ195">+SUMPRODUCT(IF('Consolidado Costos'!$K$6:$K$158=$BF195,('Consolidado Costos'!AE$6:AE$158*'Consolidado Costos'!$F$6:$F$158),0))</f>
        <v>0</v>
      </c>
      <c r="BK195" s="318" cm="1">
        <f t="array" ref="BK195">+SUMPRODUCT(IF('Consolidado Costos'!$K$6:$K$158=$BF195,('Consolidado Costos'!AF$6:AF$158*'Consolidado Costos'!$F$6:$F$158),0))</f>
        <v>0</v>
      </c>
      <c r="BL195" s="318" cm="1">
        <f t="array" ref="BL195">+SUMPRODUCT(IF('Consolidado Costos'!$K$6:$K$158=$BF195,('Consolidado Costos'!AG$6:AG$158*'Consolidado Costos'!$F$6:$F$158),0))</f>
        <v>0</v>
      </c>
      <c r="BM195" s="318" cm="1">
        <f t="array" ref="BM195">+SUMPRODUCT(IF('Consolidado Costos'!$K$6:$K$158=$BF195,('Consolidado Costos'!AH$6:AH$158*'Consolidado Costos'!$F$6:$F$158),0))</f>
        <v>0</v>
      </c>
      <c r="BN195" s="318" cm="1">
        <f t="array" ref="BN195">+SUMPRODUCT(IF('Consolidado Costos'!$K$6:$K$158=$BF195,('Consolidado Costos'!AI$6:AI$158*'Consolidado Costos'!$F$6:$F$158),0))</f>
        <v>0</v>
      </c>
      <c r="BO195" s="318" cm="1">
        <f t="array" ref="BO195">+SUMPRODUCT(IF('Consolidado Costos'!$K$6:$K$158=$BF195,('Consolidado Costos'!AJ$6:AJ$158*'Consolidado Costos'!$F$6:$F$158),0))</f>
        <v>0</v>
      </c>
      <c r="BP195" s="318" cm="1">
        <f t="array" ref="BP195">+SUMPRODUCT(IF('Consolidado Costos'!$K$6:$K$158=$BF195,('Consolidado Costos'!AK$6:AK$158*'Consolidado Costos'!$F$6:$F$158),0))</f>
        <v>0</v>
      </c>
      <c r="BQ195" s="318" cm="1">
        <f t="array" ref="BQ195">+SUMPRODUCT(IF('Consolidado Costos'!$K$6:$K$158=$BF195,('Consolidado Costos'!AL$6:AL$158*'Consolidado Costos'!$F$6:$F$158),0))</f>
        <v>0</v>
      </c>
      <c r="BR195" s="318" cm="1">
        <f t="array" ref="BR195">+SUMPRODUCT(IF('Consolidado Costos'!$K$6:$K$158=$BF195,('Consolidado Costos'!AM$6:AM$158*'Consolidado Costos'!$F$6:$F$158),0))</f>
        <v>0</v>
      </c>
      <c r="BS195" s="318" cm="1">
        <f t="array" ref="BS195">+SUMPRODUCT(IF('Consolidado Costos'!$K$6:$K$158=$BF195,('Consolidado Costos'!AN$6:AN$158*'Consolidado Costos'!$F$6:$F$158),0))</f>
        <v>0</v>
      </c>
      <c r="BT195" s="318" cm="1">
        <f t="array" ref="BT195">+SUMPRODUCT(IF('Consolidado Costos'!$K$6:$K$158=$BF195,('Consolidado Costos'!AO$6:AO$158*'Consolidado Costos'!$F$6:$F$158),0))</f>
        <v>0</v>
      </c>
      <c r="BU195" s="318" cm="1">
        <f t="array" ref="BU195">+SUMPRODUCT(IF('Consolidado Costos'!$K$6:$K$158=$BF195,('Consolidado Costos'!AP$6:AP$158*'Consolidado Costos'!$F$6:$F$158),0))</f>
        <v>0</v>
      </c>
      <c r="BW195" s="327"/>
      <c r="BX195" s="330" t="s">
        <v>605</v>
      </c>
      <c r="BY195" s="330" t="s">
        <v>606</v>
      </c>
      <c r="BZ195" s="329"/>
      <c r="CA195" s="354">
        <f t="shared" si="69"/>
        <v>0</v>
      </c>
      <c r="CB195" s="318" cm="1">
        <f t="array" ref="CB195">+SUMPRODUCT(IF('Consolidado Costos'!$K$6:$K$158=$BX195,('Consolidado Costos'!AE$6:AE$158*'Consolidado Costos'!$G$6:$G$158),0))</f>
        <v>0</v>
      </c>
      <c r="CC195" s="318" cm="1">
        <f t="array" ref="CC195">+SUMPRODUCT(IF('Consolidado Costos'!$K$6:$K$158=$BX195,('Consolidado Costos'!AF$6:AF$158*'Consolidado Costos'!$G$6:$G$158),0))</f>
        <v>0</v>
      </c>
      <c r="CD195" s="318" cm="1">
        <f t="array" ref="CD195">+SUMPRODUCT(IF('Consolidado Costos'!$K$6:$K$158=$BX195,('Consolidado Costos'!AG$6:AG$158*'Consolidado Costos'!$G$6:$G$158),0))</f>
        <v>0</v>
      </c>
      <c r="CE195" s="318" cm="1">
        <f t="array" ref="CE195">+SUMPRODUCT(IF('Consolidado Costos'!$K$6:$K$158=$BX195,('Consolidado Costos'!AH$6:AH$158*'Consolidado Costos'!$G$6:$G$158),0))</f>
        <v>0</v>
      </c>
      <c r="CF195" s="318" cm="1">
        <f t="array" ref="CF195">+SUMPRODUCT(IF('Consolidado Costos'!$K$6:$K$158=$BX195,('Consolidado Costos'!AI$6:AI$158*'Consolidado Costos'!$G$6:$G$158),0))</f>
        <v>0</v>
      </c>
      <c r="CG195" s="318" cm="1">
        <f t="array" ref="CG195">+SUMPRODUCT(IF('Consolidado Costos'!$K$6:$K$158=$BX195,('Consolidado Costos'!AJ$6:AJ$158*'Consolidado Costos'!$G$6:$G$158),0))</f>
        <v>0</v>
      </c>
      <c r="CH195" s="318" cm="1">
        <f t="array" ref="CH195">+SUMPRODUCT(IF('Consolidado Costos'!$K$6:$K$158=$BX195,('Consolidado Costos'!AK$6:AK$158*'Consolidado Costos'!$G$6:$G$158),0))</f>
        <v>0</v>
      </c>
      <c r="CI195" s="318" cm="1">
        <f t="array" ref="CI195">+SUMPRODUCT(IF('Consolidado Costos'!$K$6:$K$158=$BX195,('Consolidado Costos'!AL$6:AL$158*'Consolidado Costos'!$G$6:$G$158),0))</f>
        <v>0</v>
      </c>
      <c r="CJ195" s="318" cm="1">
        <f t="array" ref="CJ195">+SUMPRODUCT(IF('Consolidado Costos'!$K$6:$K$158=$BX195,('Consolidado Costos'!AM$6:AM$158*'Consolidado Costos'!$G$6:$G$158),0))</f>
        <v>0</v>
      </c>
      <c r="CK195" s="318" cm="1">
        <f t="array" ref="CK195">+SUMPRODUCT(IF('Consolidado Costos'!$K$6:$K$158=$BX195,('Consolidado Costos'!AN$6:AN$158*'Consolidado Costos'!$G$6:$G$158),0))</f>
        <v>0</v>
      </c>
      <c r="CL195" s="318" cm="1">
        <f t="array" ref="CL195">+SUMPRODUCT(IF('Consolidado Costos'!$K$6:$K$158=$BX195,('Consolidado Costos'!AO$6:AO$158*'Consolidado Costos'!$G$6:$G$158),0))</f>
        <v>0</v>
      </c>
      <c r="CM195" s="318" cm="1">
        <f t="array" ref="CM195">+SUMPRODUCT(IF('Consolidado Costos'!$K$6:$K$158=$BX195,('Consolidado Costos'!AP$6:AP$158*'Consolidado Costos'!$G$6:$G$158),0))</f>
        <v>0</v>
      </c>
      <c r="CN195" s="357">
        <f t="shared" si="51"/>
        <v>1</v>
      </c>
    </row>
    <row r="196" spans="2:92" s="310" customFormat="1" outlineLevel="1">
      <c r="B196" s="327"/>
      <c r="C196" s="330" t="s">
        <v>607</v>
      </c>
      <c r="D196" s="330" t="s">
        <v>608</v>
      </c>
      <c r="E196" s="329"/>
      <c r="F196" s="318">
        <f>+SUMIF('Consolidado Costos'!$K$6:$K$158,$C196,'Consolidado Costos'!$AD$6:$AD$158)</f>
        <v>0</v>
      </c>
      <c r="G196" s="318">
        <f>+SUMIF('Consolidado Costos'!$K$6:$K$158,$C196,'Consolidado Costos'!AE$6:AE$158)</f>
        <v>0</v>
      </c>
      <c r="H196" s="318">
        <f>+SUMIF('Consolidado Costos'!$K$6:$K$158,$C196,'Consolidado Costos'!AF$6:AF$158)</f>
        <v>0</v>
      </c>
      <c r="I196" s="318">
        <f>+SUMIF('Consolidado Costos'!$K$6:$K$158,$C196,'Consolidado Costos'!AG$6:AG$158)</f>
        <v>0</v>
      </c>
      <c r="J196" s="318">
        <f>+SUMIF('Consolidado Costos'!$K$6:$K$158,$C196,'Consolidado Costos'!AH$6:AH$158)</f>
        <v>0</v>
      </c>
      <c r="K196" s="318">
        <f>+SUMIF('Consolidado Costos'!$K$6:$K$158,$C196,'Consolidado Costos'!AI$6:AI$158)</f>
        <v>0</v>
      </c>
      <c r="L196" s="318">
        <f>+SUMIF('Consolidado Costos'!$K$6:$K$158,$C196,'Consolidado Costos'!AJ$6:AJ$158)</f>
        <v>0</v>
      </c>
      <c r="M196" s="318">
        <f>+SUMIF('Consolidado Costos'!$K$6:$K$158,$C196,'Consolidado Costos'!AK$6:AK$158)</f>
        <v>0</v>
      </c>
      <c r="N196" s="318">
        <f>+SUMIF('Consolidado Costos'!$K$6:$K$158,$C196,'Consolidado Costos'!AL$6:AL$158)</f>
        <v>0</v>
      </c>
      <c r="O196" s="318">
        <f>+SUMIF('Consolidado Costos'!$K$6:$K$158,$C196,'Consolidado Costos'!AM$6:AM$158)</f>
        <v>0</v>
      </c>
      <c r="P196" s="318">
        <f>+SUMIF('Consolidado Costos'!$K$6:$K$158,$C196,'Consolidado Costos'!AN$6:AN$158)</f>
        <v>0</v>
      </c>
      <c r="Q196" s="318">
        <f>+SUMIF('Consolidado Costos'!$K$6:$K$158,$C196,'Consolidado Costos'!AO$6:AO$158)</f>
        <v>0</v>
      </c>
      <c r="R196" s="318">
        <f>+SUMIF('Consolidado Costos'!$K$6:$K$158,$C196,'Consolidado Costos'!AP$6:AP$158)</f>
        <v>0</v>
      </c>
      <c r="S196" s="357">
        <f t="shared" si="50"/>
        <v>1</v>
      </c>
      <c r="U196" s="327"/>
      <c r="V196" s="330" t="s">
        <v>607</v>
      </c>
      <c r="W196" s="330" t="s">
        <v>608</v>
      </c>
      <c r="X196" s="329"/>
      <c r="Y196" s="354">
        <f t="shared" si="66"/>
        <v>0</v>
      </c>
      <c r="Z196" s="318" cm="1">
        <f t="array" ref="Z196">+SUMPRODUCT(IF('Consolidado Costos'!$K$6:$K$158=$V196,('Consolidado Costos'!AE$6:AE$158*'Consolidado Costos'!$D$6:$D$158),0))</f>
        <v>0</v>
      </c>
      <c r="AA196" s="318" cm="1">
        <f t="array" ref="AA196">+SUMPRODUCT(IF('Consolidado Costos'!$K$6:$K$158=$V196,('Consolidado Costos'!AF$6:AF$158*'Consolidado Costos'!$D$6:$D$158),0))</f>
        <v>0</v>
      </c>
      <c r="AB196" s="318" cm="1">
        <f t="array" ref="AB196">+SUMPRODUCT(IF('Consolidado Costos'!$K$6:$K$158=$V196,('Consolidado Costos'!AG$6:AG$158*'Consolidado Costos'!$D$6:$D$158),0))</f>
        <v>0</v>
      </c>
      <c r="AC196" s="318" cm="1">
        <f t="array" ref="AC196">+SUMPRODUCT(IF('Consolidado Costos'!$K$6:$K$158=$V196,('Consolidado Costos'!AH$6:AH$158*'Consolidado Costos'!$D$6:$D$158),0))</f>
        <v>0</v>
      </c>
      <c r="AD196" s="318" cm="1">
        <f t="array" ref="AD196">+SUMPRODUCT(IF('Consolidado Costos'!$K$6:$K$158=$V196,('Consolidado Costos'!AI$6:AI$158*'Consolidado Costos'!$D$6:$D$158),0))</f>
        <v>0</v>
      </c>
      <c r="AE196" s="318" cm="1">
        <f t="array" ref="AE196">+SUMPRODUCT(IF('Consolidado Costos'!$K$6:$K$158=$V196,('Consolidado Costos'!AJ$6:AJ$158*'Consolidado Costos'!$D$6:$D$158),0))</f>
        <v>0</v>
      </c>
      <c r="AF196" s="318" cm="1">
        <f t="array" ref="AF196">+SUMPRODUCT(IF('Consolidado Costos'!$K$6:$K$158=$V196,('Consolidado Costos'!AK$6:AK$158*'Consolidado Costos'!$D$6:$D$158),0))</f>
        <v>0</v>
      </c>
      <c r="AG196" s="318" cm="1">
        <f t="array" ref="AG196">+SUMPRODUCT(IF('Consolidado Costos'!$K$6:$K$158=$V196,('Consolidado Costos'!AL$6:AL$158*'Consolidado Costos'!$D$6:$D$158),0))</f>
        <v>0</v>
      </c>
      <c r="AH196" s="318" cm="1">
        <f t="array" ref="AH196">+SUMPRODUCT(IF('Consolidado Costos'!$K$6:$K$158=$V196,('Consolidado Costos'!AM$6:AM$158*'Consolidado Costos'!$D$6:$D$158),0))</f>
        <v>0</v>
      </c>
      <c r="AI196" s="318" cm="1">
        <f t="array" ref="AI196">+SUMPRODUCT(IF('Consolidado Costos'!$K$6:$K$158=$V196,('Consolidado Costos'!AN$6:AN$158*'Consolidado Costos'!$D$6:$D$158),0))</f>
        <v>0</v>
      </c>
      <c r="AJ196" s="318" cm="1">
        <f t="array" ref="AJ196">+SUMPRODUCT(IF('Consolidado Costos'!$K$6:$K$158=$V196,('Consolidado Costos'!AO$6:AO$158*'Consolidado Costos'!$D$6:$D$158),0))</f>
        <v>0</v>
      </c>
      <c r="AK196" s="318" cm="1">
        <f t="array" ref="AK196">+SUMPRODUCT(IF('Consolidado Costos'!$K$6:$K$158=$V196,('Consolidado Costos'!AP$6:AP$158*'Consolidado Costos'!$D$6:$D$158),0))</f>
        <v>0</v>
      </c>
      <c r="AM196" s="327"/>
      <c r="AN196" s="330" t="s">
        <v>607</v>
      </c>
      <c r="AO196" s="330" t="s">
        <v>608</v>
      </c>
      <c r="AP196" s="329"/>
      <c r="AQ196" s="354">
        <f t="shared" si="67"/>
        <v>0</v>
      </c>
      <c r="AR196" s="318" cm="1">
        <f t="array" ref="AR196">+SUMPRODUCT(IF('Consolidado Costos'!$K$6:$K$158=$AN196,('Consolidado Costos'!AE$6:AE$158*'Consolidado Costos'!$E$6:$E$158),0))</f>
        <v>0</v>
      </c>
      <c r="AS196" s="318" cm="1">
        <f t="array" ref="AS196">+SUMPRODUCT(IF('Consolidado Costos'!$K$6:$K$158=$AN196,('Consolidado Costos'!AF$6:AF$158*'Consolidado Costos'!$E$6:$E$158),0))</f>
        <v>0</v>
      </c>
      <c r="AT196" s="318" cm="1">
        <f t="array" ref="AT196">+SUMPRODUCT(IF('Consolidado Costos'!$K$6:$K$158=$AN196,('Consolidado Costos'!AG$6:AG$158*'Consolidado Costos'!$E$6:$E$158),0))</f>
        <v>0</v>
      </c>
      <c r="AU196" s="318" cm="1">
        <f t="array" ref="AU196">+SUMPRODUCT(IF('Consolidado Costos'!$K$6:$K$158=$AN196,('Consolidado Costos'!AH$6:AH$158*'Consolidado Costos'!$E$6:$E$158),0))</f>
        <v>0</v>
      </c>
      <c r="AV196" s="318" cm="1">
        <f t="array" ref="AV196">+SUMPRODUCT(IF('Consolidado Costos'!$K$6:$K$158=$AN196,('Consolidado Costos'!AI$6:AI$158*'Consolidado Costos'!$E$6:$E$158),0))</f>
        <v>0</v>
      </c>
      <c r="AW196" s="318" cm="1">
        <f t="array" ref="AW196">+SUMPRODUCT(IF('Consolidado Costos'!$K$6:$K$158=$AN196,('Consolidado Costos'!AJ$6:AJ$158*'Consolidado Costos'!$E$6:$E$158),0))</f>
        <v>0</v>
      </c>
      <c r="AX196" s="318" cm="1">
        <f t="array" ref="AX196">+SUMPRODUCT(IF('Consolidado Costos'!$K$6:$K$158=$AN196,('Consolidado Costos'!AK$6:AK$158*'Consolidado Costos'!$E$6:$E$158),0))</f>
        <v>0</v>
      </c>
      <c r="AY196" s="318" cm="1">
        <f t="array" ref="AY196">+SUMPRODUCT(IF('Consolidado Costos'!$K$6:$K$158=$AN196,('Consolidado Costos'!AL$6:AL$158*'Consolidado Costos'!$E$6:$E$158),0))</f>
        <v>0</v>
      </c>
      <c r="AZ196" s="318" cm="1">
        <f t="array" ref="AZ196">+SUMPRODUCT(IF('Consolidado Costos'!$K$6:$K$158=$AN196,('Consolidado Costos'!AM$6:AM$158*'Consolidado Costos'!$E$6:$E$158),0))</f>
        <v>0</v>
      </c>
      <c r="BA196" s="318" cm="1">
        <f t="array" ref="BA196">+SUMPRODUCT(IF('Consolidado Costos'!$K$6:$K$158=$AN196,('Consolidado Costos'!AN$6:AN$158*'Consolidado Costos'!$E$6:$E$158),0))</f>
        <v>0</v>
      </c>
      <c r="BB196" s="318" cm="1">
        <f t="array" ref="BB196">+SUMPRODUCT(IF('Consolidado Costos'!$K$6:$K$158=$AN196,('Consolidado Costos'!AO$6:AO$158*'Consolidado Costos'!$E$6:$E$158),0))</f>
        <v>0</v>
      </c>
      <c r="BC196" s="318" cm="1">
        <f t="array" ref="BC196">+SUMPRODUCT(IF('Consolidado Costos'!$K$6:$K$158=$AN196,('Consolidado Costos'!AP$6:AP$158*'Consolidado Costos'!$E$6:$E$158),0))</f>
        <v>0</v>
      </c>
      <c r="BE196" s="327"/>
      <c r="BF196" s="330" t="s">
        <v>607</v>
      </c>
      <c r="BG196" s="330" t="s">
        <v>608</v>
      </c>
      <c r="BH196" s="329"/>
      <c r="BI196" s="354">
        <f t="shared" si="68"/>
        <v>0</v>
      </c>
      <c r="BJ196" s="318" cm="1">
        <f t="array" ref="BJ196">+SUMPRODUCT(IF('Consolidado Costos'!$K$6:$K$158=$BF196,('Consolidado Costos'!AE$6:AE$158*'Consolidado Costos'!$F$6:$F$158),0))</f>
        <v>0</v>
      </c>
      <c r="BK196" s="318" cm="1">
        <f t="array" ref="BK196">+SUMPRODUCT(IF('Consolidado Costos'!$K$6:$K$158=$BF196,('Consolidado Costos'!AF$6:AF$158*'Consolidado Costos'!$F$6:$F$158),0))</f>
        <v>0</v>
      </c>
      <c r="BL196" s="318" cm="1">
        <f t="array" ref="BL196">+SUMPRODUCT(IF('Consolidado Costos'!$K$6:$K$158=$BF196,('Consolidado Costos'!AG$6:AG$158*'Consolidado Costos'!$F$6:$F$158),0))</f>
        <v>0</v>
      </c>
      <c r="BM196" s="318" cm="1">
        <f t="array" ref="BM196">+SUMPRODUCT(IF('Consolidado Costos'!$K$6:$K$158=$BF196,('Consolidado Costos'!AH$6:AH$158*'Consolidado Costos'!$F$6:$F$158),0))</f>
        <v>0</v>
      </c>
      <c r="BN196" s="318" cm="1">
        <f t="array" ref="BN196">+SUMPRODUCT(IF('Consolidado Costos'!$K$6:$K$158=$BF196,('Consolidado Costos'!AI$6:AI$158*'Consolidado Costos'!$F$6:$F$158),0))</f>
        <v>0</v>
      </c>
      <c r="BO196" s="318" cm="1">
        <f t="array" ref="BO196">+SUMPRODUCT(IF('Consolidado Costos'!$K$6:$K$158=$BF196,('Consolidado Costos'!AJ$6:AJ$158*'Consolidado Costos'!$F$6:$F$158),0))</f>
        <v>0</v>
      </c>
      <c r="BP196" s="318" cm="1">
        <f t="array" ref="BP196">+SUMPRODUCT(IF('Consolidado Costos'!$K$6:$K$158=$BF196,('Consolidado Costos'!AK$6:AK$158*'Consolidado Costos'!$F$6:$F$158),0))</f>
        <v>0</v>
      </c>
      <c r="BQ196" s="318" cm="1">
        <f t="array" ref="BQ196">+SUMPRODUCT(IF('Consolidado Costos'!$K$6:$K$158=$BF196,('Consolidado Costos'!AL$6:AL$158*'Consolidado Costos'!$F$6:$F$158),0))</f>
        <v>0</v>
      </c>
      <c r="BR196" s="318" cm="1">
        <f t="array" ref="BR196">+SUMPRODUCT(IF('Consolidado Costos'!$K$6:$K$158=$BF196,('Consolidado Costos'!AM$6:AM$158*'Consolidado Costos'!$F$6:$F$158),0))</f>
        <v>0</v>
      </c>
      <c r="BS196" s="318" cm="1">
        <f t="array" ref="BS196">+SUMPRODUCT(IF('Consolidado Costos'!$K$6:$K$158=$BF196,('Consolidado Costos'!AN$6:AN$158*'Consolidado Costos'!$F$6:$F$158),0))</f>
        <v>0</v>
      </c>
      <c r="BT196" s="318" cm="1">
        <f t="array" ref="BT196">+SUMPRODUCT(IF('Consolidado Costos'!$K$6:$K$158=$BF196,('Consolidado Costos'!AO$6:AO$158*'Consolidado Costos'!$F$6:$F$158),0))</f>
        <v>0</v>
      </c>
      <c r="BU196" s="318" cm="1">
        <f t="array" ref="BU196">+SUMPRODUCT(IF('Consolidado Costos'!$K$6:$K$158=$BF196,('Consolidado Costos'!AP$6:AP$158*'Consolidado Costos'!$F$6:$F$158),0))</f>
        <v>0</v>
      </c>
      <c r="BW196" s="327"/>
      <c r="BX196" s="330" t="s">
        <v>607</v>
      </c>
      <c r="BY196" s="330" t="s">
        <v>608</v>
      </c>
      <c r="BZ196" s="329"/>
      <c r="CA196" s="354">
        <f t="shared" si="69"/>
        <v>0</v>
      </c>
      <c r="CB196" s="318" cm="1">
        <f t="array" ref="CB196">+SUMPRODUCT(IF('Consolidado Costos'!$K$6:$K$158=$BX196,('Consolidado Costos'!AE$6:AE$158*'Consolidado Costos'!$G$6:$G$158),0))</f>
        <v>0</v>
      </c>
      <c r="CC196" s="318" cm="1">
        <f t="array" ref="CC196">+SUMPRODUCT(IF('Consolidado Costos'!$K$6:$K$158=$BX196,('Consolidado Costos'!AF$6:AF$158*'Consolidado Costos'!$G$6:$G$158),0))</f>
        <v>0</v>
      </c>
      <c r="CD196" s="318" cm="1">
        <f t="array" ref="CD196">+SUMPRODUCT(IF('Consolidado Costos'!$K$6:$K$158=$BX196,('Consolidado Costos'!AG$6:AG$158*'Consolidado Costos'!$G$6:$G$158),0))</f>
        <v>0</v>
      </c>
      <c r="CE196" s="318" cm="1">
        <f t="array" ref="CE196">+SUMPRODUCT(IF('Consolidado Costos'!$K$6:$K$158=$BX196,('Consolidado Costos'!AH$6:AH$158*'Consolidado Costos'!$G$6:$G$158),0))</f>
        <v>0</v>
      </c>
      <c r="CF196" s="318" cm="1">
        <f t="array" ref="CF196">+SUMPRODUCT(IF('Consolidado Costos'!$K$6:$K$158=$BX196,('Consolidado Costos'!AI$6:AI$158*'Consolidado Costos'!$G$6:$G$158),0))</f>
        <v>0</v>
      </c>
      <c r="CG196" s="318" cm="1">
        <f t="array" ref="CG196">+SUMPRODUCT(IF('Consolidado Costos'!$K$6:$K$158=$BX196,('Consolidado Costos'!AJ$6:AJ$158*'Consolidado Costos'!$G$6:$G$158),0))</f>
        <v>0</v>
      </c>
      <c r="CH196" s="318" cm="1">
        <f t="array" ref="CH196">+SUMPRODUCT(IF('Consolidado Costos'!$K$6:$K$158=$BX196,('Consolidado Costos'!AK$6:AK$158*'Consolidado Costos'!$G$6:$G$158),0))</f>
        <v>0</v>
      </c>
      <c r="CI196" s="318" cm="1">
        <f t="array" ref="CI196">+SUMPRODUCT(IF('Consolidado Costos'!$K$6:$K$158=$BX196,('Consolidado Costos'!AL$6:AL$158*'Consolidado Costos'!$G$6:$G$158),0))</f>
        <v>0</v>
      </c>
      <c r="CJ196" s="318" cm="1">
        <f t="array" ref="CJ196">+SUMPRODUCT(IF('Consolidado Costos'!$K$6:$K$158=$BX196,('Consolidado Costos'!AM$6:AM$158*'Consolidado Costos'!$G$6:$G$158),0))</f>
        <v>0</v>
      </c>
      <c r="CK196" s="318" cm="1">
        <f t="array" ref="CK196">+SUMPRODUCT(IF('Consolidado Costos'!$K$6:$K$158=$BX196,('Consolidado Costos'!AN$6:AN$158*'Consolidado Costos'!$G$6:$G$158),0))</f>
        <v>0</v>
      </c>
      <c r="CL196" s="318" cm="1">
        <f t="array" ref="CL196">+SUMPRODUCT(IF('Consolidado Costos'!$K$6:$K$158=$BX196,('Consolidado Costos'!AO$6:AO$158*'Consolidado Costos'!$G$6:$G$158),0))</f>
        <v>0</v>
      </c>
      <c r="CM196" s="318" cm="1">
        <f t="array" ref="CM196">+SUMPRODUCT(IF('Consolidado Costos'!$K$6:$K$158=$BX196,('Consolidado Costos'!AP$6:AP$158*'Consolidado Costos'!$G$6:$G$158),0))</f>
        <v>0</v>
      </c>
      <c r="CN196" s="357">
        <f t="shared" si="51"/>
        <v>1</v>
      </c>
    </row>
    <row r="197" spans="2:92" s="310" customFormat="1" outlineLevel="1">
      <c r="B197" s="327"/>
      <c r="C197" s="330" t="s">
        <v>609</v>
      </c>
      <c r="D197" s="330" t="s">
        <v>610</v>
      </c>
      <c r="E197" s="329"/>
      <c r="F197" s="318">
        <f>+SUMIF('Consolidado Costos'!$K$6:$K$158,$C197,'Consolidado Costos'!$AD$6:$AD$158)</f>
        <v>0</v>
      </c>
      <c r="G197" s="318">
        <f>+SUMIF('Consolidado Costos'!$K$6:$K$158,$C197,'Consolidado Costos'!AE$6:AE$158)</f>
        <v>0</v>
      </c>
      <c r="H197" s="318">
        <f>+SUMIF('Consolidado Costos'!$K$6:$K$158,$C197,'Consolidado Costos'!AF$6:AF$158)</f>
        <v>0</v>
      </c>
      <c r="I197" s="318">
        <f>+SUMIF('Consolidado Costos'!$K$6:$K$158,$C197,'Consolidado Costos'!AG$6:AG$158)</f>
        <v>0</v>
      </c>
      <c r="J197" s="318">
        <f>+SUMIF('Consolidado Costos'!$K$6:$K$158,$C197,'Consolidado Costos'!AH$6:AH$158)</f>
        <v>0</v>
      </c>
      <c r="K197" s="318">
        <f>+SUMIF('Consolidado Costos'!$K$6:$K$158,$C197,'Consolidado Costos'!AI$6:AI$158)</f>
        <v>0</v>
      </c>
      <c r="L197" s="318">
        <f>+SUMIF('Consolidado Costos'!$K$6:$K$158,$C197,'Consolidado Costos'!AJ$6:AJ$158)</f>
        <v>0</v>
      </c>
      <c r="M197" s="318">
        <f>+SUMIF('Consolidado Costos'!$K$6:$K$158,$C197,'Consolidado Costos'!AK$6:AK$158)</f>
        <v>0</v>
      </c>
      <c r="N197" s="318">
        <f>+SUMIF('Consolidado Costos'!$K$6:$K$158,$C197,'Consolidado Costos'!AL$6:AL$158)</f>
        <v>0</v>
      </c>
      <c r="O197" s="318">
        <f>+SUMIF('Consolidado Costos'!$K$6:$K$158,$C197,'Consolidado Costos'!AM$6:AM$158)</f>
        <v>0</v>
      </c>
      <c r="P197" s="318">
        <f>+SUMIF('Consolidado Costos'!$K$6:$K$158,$C197,'Consolidado Costos'!AN$6:AN$158)</f>
        <v>0</v>
      </c>
      <c r="Q197" s="318">
        <f>+SUMIF('Consolidado Costos'!$K$6:$K$158,$C197,'Consolidado Costos'!AO$6:AO$158)</f>
        <v>0</v>
      </c>
      <c r="R197" s="318">
        <f>+SUMIF('Consolidado Costos'!$K$6:$K$158,$C197,'Consolidado Costos'!AP$6:AP$158)</f>
        <v>0</v>
      </c>
      <c r="S197" s="357">
        <f t="shared" si="50"/>
        <v>1</v>
      </c>
      <c r="U197" s="327"/>
      <c r="V197" s="330" t="s">
        <v>609</v>
      </c>
      <c r="W197" s="330" t="s">
        <v>610</v>
      </c>
      <c r="X197" s="329"/>
      <c r="Y197" s="354">
        <f t="shared" si="66"/>
        <v>0</v>
      </c>
      <c r="Z197" s="318" cm="1">
        <f t="array" ref="Z197">+SUMPRODUCT(IF('Consolidado Costos'!$K$6:$K$158=$V197,('Consolidado Costos'!AE$6:AE$158*'Consolidado Costos'!$D$6:$D$158),0))</f>
        <v>0</v>
      </c>
      <c r="AA197" s="318" cm="1">
        <f t="array" ref="AA197">+SUMPRODUCT(IF('Consolidado Costos'!$K$6:$K$158=$V197,('Consolidado Costos'!AF$6:AF$158*'Consolidado Costos'!$D$6:$D$158),0))</f>
        <v>0</v>
      </c>
      <c r="AB197" s="318" cm="1">
        <f t="array" ref="AB197">+SUMPRODUCT(IF('Consolidado Costos'!$K$6:$K$158=$V197,('Consolidado Costos'!AG$6:AG$158*'Consolidado Costos'!$D$6:$D$158),0))</f>
        <v>0</v>
      </c>
      <c r="AC197" s="318" cm="1">
        <f t="array" ref="AC197">+SUMPRODUCT(IF('Consolidado Costos'!$K$6:$K$158=$V197,('Consolidado Costos'!AH$6:AH$158*'Consolidado Costos'!$D$6:$D$158),0))</f>
        <v>0</v>
      </c>
      <c r="AD197" s="318" cm="1">
        <f t="array" ref="AD197">+SUMPRODUCT(IF('Consolidado Costos'!$K$6:$K$158=$V197,('Consolidado Costos'!AI$6:AI$158*'Consolidado Costos'!$D$6:$D$158),0))</f>
        <v>0</v>
      </c>
      <c r="AE197" s="318" cm="1">
        <f t="array" ref="AE197">+SUMPRODUCT(IF('Consolidado Costos'!$K$6:$K$158=$V197,('Consolidado Costos'!AJ$6:AJ$158*'Consolidado Costos'!$D$6:$D$158),0))</f>
        <v>0</v>
      </c>
      <c r="AF197" s="318" cm="1">
        <f t="array" ref="AF197">+SUMPRODUCT(IF('Consolidado Costos'!$K$6:$K$158=$V197,('Consolidado Costos'!AK$6:AK$158*'Consolidado Costos'!$D$6:$D$158),0))</f>
        <v>0</v>
      </c>
      <c r="AG197" s="318" cm="1">
        <f t="array" ref="AG197">+SUMPRODUCT(IF('Consolidado Costos'!$K$6:$K$158=$V197,('Consolidado Costos'!AL$6:AL$158*'Consolidado Costos'!$D$6:$D$158),0))</f>
        <v>0</v>
      </c>
      <c r="AH197" s="318" cm="1">
        <f t="array" ref="AH197">+SUMPRODUCT(IF('Consolidado Costos'!$K$6:$K$158=$V197,('Consolidado Costos'!AM$6:AM$158*'Consolidado Costos'!$D$6:$D$158),0))</f>
        <v>0</v>
      </c>
      <c r="AI197" s="318" cm="1">
        <f t="array" ref="AI197">+SUMPRODUCT(IF('Consolidado Costos'!$K$6:$K$158=$V197,('Consolidado Costos'!AN$6:AN$158*'Consolidado Costos'!$D$6:$D$158),0))</f>
        <v>0</v>
      </c>
      <c r="AJ197" s="318" cm="1">
        <f t="array" ref="AJ197">+SUMPRODUCT(IF('Consolidado Costos'!$K$6:$K$158=$V197,('Consolidado Costos'!AO$6:AO$158*'Consolidado Costos'!$D$6:$D$158),0))</f>
        <v>0</v>
      </c>
      <c r="AK197" s="318" cm="1">
        <f t="array" ref="AK197">+SUMPRODUCT(IF('Consolidado Costos'!$K$6:$K$158=$V197,('Consolidado Costos'!AP$6:AP$158*'Consolidado Costos'!$D$6:$D$158),0))</f>
        <v>0</v>
      </c>
      <c r="AM197" s="327"/>
      <c r="AN197" s="330" t="s">
        <v>609</v>
      </c>
      <c r="AO197" s="330" t="s">
        <v>610</v>
      </c>
      <c r="AP197" s="329"/>
      <c r="AQ197" s="354">
        <f t="shared" si="67"/>
        <v>0</v>
      </c>
      <c r="AR197" s="318" cm="1">
        <f t="array" ref="AR197">+SUMPRODUCT(IF('Consolidado Costos'!$K$6:$K$158=$AN197,('Consolidado Costos'!AE$6:AE$158*'Consolidado Costos'!$E$6:$E$158),0))</f>
        <v>0</v>
      </c>
      <c r="AS197" s="318" cm="1">
        <f t="array" ref="AS197">+SUMPRODUCT(IF('Consolidado Costos'!$K$6:$K$158=$AN197,('Consolidado Costos'!AF$6:AF$158*'Consolidado Costos'!$E$6:$E$158),0))</f>
        <v>0</v>
      </c>
      <c r="AT197" s="318" cm="1">
        <f t="array" ref="AT197">+SUMPRODUCT(IF('Consolidado Costos'!$K$6:$K$158=$AN197,('Consolidado Costos'!AG$6:AG$158*'Consolidado Costos'!$E$6:$E$158),0))</f>
        <v>0</v>
      </c>
      <c r="AU197" s="318" cm="1">
        <f t="array" ref="AU197">+SUMPRODUCT(IF('Consolidado Costos'!$K$6:$K$158=$AN197,('Consolidado Costos'!AH$6:AH$158*'Consolidado Costos'!$E$6:$E$158),0))</f>
        <v>0</v>
      </c>
      <c r="AV197" s="318" cm="1">
        <f t="array" ref="AV197">+SUMPRODUCT(IF('Consolidado Costos'!$K$6:$K$158=$AN197,('Consolidado Costos'!AI$6:AI$158*'Consolidado Costos'!$E$6:$E$158),0))</f>
        <v>0</v>
      </c>
      <c r="AW197" s="318" cm="1">
        <f t="array" ref="AW197">+SUMPRODUCT(IF('Consolidado Costos'!$K$6:$K$158=$AN197,('Consolidado Costos'!AJ$6:AJ$158*'Consolidado Costos'!$E$6:$E$158),0))</f>
        <v>0</v>
      </c>
      <c r="AX197" s="318" cm="1">
        <f t="array" ref="AX197">+SUMPRODUCT(IF('Consolidado Costos'!$K$6:$K$158=$AN197,('Consolidado Costos'!AK$6:AK$158*'Consolidado Costos'!$E$6:$E$158),0))</f>
        <v>0</v>
      </c>
      <c r="AY197" s="318" cm="1">
        <f t="array" ref="AY197">+SUMPRODUCT(IF('Consolidado Costos'!$K$6:$K$158=$AN197,('Consolidado Costos'!AL$6:AL$158*'Consolidado Costos'!$E$6:$E$158),0))</f>
        <v>0</v>
      </c>
      <c r="AZ197" s="318" cm="1">
        <f t="array" ref="AZ197">+SUMPRODUCT(IF('Consolidado Costos'!$K$6:$K$158=$AN197,('Consolidado Costos'!AM$6:AM$158*'Consolidado Costos'!$E$6:$E$158),0))</f>
        <v>0</v>
      </c>
      <c r="BA197" s="318" cm="1">
        <f t="array" ref="BA197">+SUMPRODUCT(IF('Consolidado Costos'!$K$6:$K$158=$AN197,('Consolidado Costos'!AN$6:AN$158*'Consolidado Costos'!$E$6:$E$158),0))</f>
        <v>0</v>
      </c>
      <c r="BB197" s="318" cm="1">
        <f t="array" ref="BB197">+SUMPRODUCT(IF('Consolidado Costos'!$K$6:$K$158=$AN197,('Consolidado Costos'!AO$6:AO$158*'Consolidado Costos'!$E$6:$E$158),0))</f>
        <v>0</v>
      </c>
      <c r="BC197" s="318" cm="1">
        <f t="array" ref="BC197">+SUMPRODUCT(IF('Consolidado Costos'!$K$6:$K$158=$AN197,('Consolidado Costos'!AP$6:AP$158*'Consolidado Costos'!$E$6:$E$158),0))</f>
        <v>0</v>
      </c>
      <c r="BE197" s="327"/>
      <c r="BF197" s="330" t="s">
        <v>609</v>
      </c>
      <c r="BG197" s="330" t="s">
        <v>610</v>
      </c>
      <c r="BH197" s="329"/>
      <c r="BI197" s="354">
        <f t="shared" si="68"/>
        <v>0</v>
      </c>
      <c r="BJ197" s="318" cm="1">
        <f t="array" ref="BJ197">+SUMPRODUCT(IF('Consolidado Costos'!$K$6:$K$158=$BF197,('Consolidado Costos'!AE$6:AE$158*'Consolidado Costos'!$F$6:$F$158),0))</f>
        <v>0</v>
      </c>
      <c r="BK197" s="318" cm="1">
        <f t="array" ref="BK197">+SUMPRODUCT(IF('Consolidado Costos'!$K$6:$K$158=$BF197,('Consolidado Costos'!AF$6:AF$158*'Consolidado Costos'!$F$6:$F$158),0))</f>
        <v>0</v>
      </c>
      <c r="BL197" s="318" cm="1">
        <f t="array" ref="BL197">+SUMPRODUCT(IF('Consolidado Costos'!$K$6:$K$158=$BF197,('Consolidado Costos'!AG$6:AG$158*'Consolidado Costos'!$F$6:$F$158),0))</f>
        <v>0</v>
      </c>
      <c r="BM197" s="318" cm="1">
        <f t="array" ref="BM197">+SUMPRODUCT(IF('Consolidado Costos'!$K$6:$K$158=$BF197,('Consolidado Costos'!AH$6:AH$158*'Consolidado Costos'!$F$6:$F$158),0))</f>
        <v>0</v>
      </c>
      <c r="BN197" s="318" cm="1">
        <f t="array" ref="BN197">+SUMPRODUCT(IF('Consolidado Costos'!$K$6:$K$158=$BF197,('Consolidado Costos'!AI$6:AI$158*'Consolidado Costos'!$F$6:$F$158),0))</f>
        <v>0</v>
      </c>
      <c r="BO197" s="318" cm="1">
        <f t="array" ref="BO197">+SUMPRODUCT(IF('Consolidado Costos'!$K$6:$K$158=$BF197,('Consolidado Costos'!AJ$6:AJ$158*'Consolidado Costos'!$F$6:$F$158),0))</f>
        <v>0</v>
      </c>
      <c r="BP197" s="318" cm="1">
        <f t="array" ref="BP197">+SUMPRODUCT(IF('Consolidado Costos'!$K$6:$K$158=$BF197,('Consolidado Costos'!AK$6:AK$158*'Consolidado Costos'!$F$6:$F$158),0))</f>
        <v>0</v>
      </c>
      <c r="BQ197" s="318" cm="1">
        <f t="array" ref="BQ197">+SUMPRODUCT(IF('Consolidado Costos'!$K$6:$K$158=$BF197,('Consolidado Costos'!AL$6:AL$158*'Consolidado Costos'!$F$6:$F$158),0))</f>
        <v>0</v>
      </c>
      <c r="BR197" s="318" cm="1">
        <f t="array" ref="BR197">+SUMPRODUCT(IF('Consolidado Costos'!$K$6:$K$158=$BF197,('Consolidado Costos'!AM$6:AM$158*'Consolidado Costos'!$F$6:$F$158),0))</f>
        <v>0</v>
      </c>
      <c r="BS197" s="318" cm="1">
        <f t="array" ref="BS197">+SUMPRODUCT(IF('Consolidado Costos'!$K$6:$K$158=$BF197,('Consolidado Costos'!AN$6:AN$158*'Consolidado Costos'!$F$6:$F$158),0))</f>
        <v>0</v>
      </c>
      <c r="BT197" s="318" cm="1">
        <f t="array" ref="BT197">+SUMPRODUCT(IF('Consolidado Costos'!$K$6:$K$158=$BF197,('Consolidado Costos'!AO$6:AO$158*'Consolidado Costos'!$F$6:$F$158),0))</f>
        <v>0</v>
      </c>
      <c r="BU197" s="318" cm="1">
        <f t="array" ref="BU197">+SUMPRODUCT(IF('Consolidado Costos'!$K$6:$K$158=$BF197,('Consolidado Costos'!AP$6:AP$158*'Consolidado Costos'!$F$6:$F$158),0))</f>
        <v>0</v>
      </c>
      <c r="BW197" s="327"/>
      <c r="BX197" s="330" t="s">
        <v>609</v>
      </c>
      <c r="BY197" s="330" t="s">
        <v>610</v>
      </c>
      <c r="BZ197" s="329"/>
      <c r="CA197" s="354">
        <f t="shared" si="69"/>
        <v>0</v>
      </c>
      <c r="CB197" s="318" cm="1">
        <f t="array" ref="CB197">+SUMPRODUCT(IF('Consolidado Costos'!$K$6:$K$158=$BX197,('Consolidado Costos'!AE$6:AE$158*'Consolidado Costos'!$G$6:$G$158),0))</f>
        <v>0</v>
      </c>
      <c r="CC197" s="318" cm="1">
        <f t="array" ref="CC197">+SUMPRODUCT(IF('Consolidado Costos'!$K$6:$K$158=$BX197,('Consolidado Costos'!AF$6:AF$158*'Consolidado Costos'!$G$6:$G$158),0))</f>
        <v>0</v>
      </c>
      <c r="CD197" s="318" cm="1">
        <f t="array" ref="CD197">+SUMPRODUCT(IF('Consolidado Costos'!$K$6:$K$158=$BX197,('Consolidado Costos'!AG$6:AG$158*'Consolidado Costos'!$G$6:$G$158),0))</f>
        <v>0</v>
      </c>
      <c r="CE197" s="318" cm="1">
        <f t="array" ref="CE197">+SUMPRODUCT(IF('Consolidado Costos'!$K$6:$K$158=$BX197,('Consolidado Costos'!AH$6:AH$158*'Consolidado Costos'!$G$6:$G$158),0))</f>
        <v>0</v>
      </c>
      <c r="CF197" s="318" cm="1">
        <f t="array" ref="CF197">+SUMPRODUCT(IF('Consolidado Costos'!$K$6:$K$158=$BX197,('Consolidado Costos'!AI$6:AI$158*'Consolidado Costos'!$G$6:$G$158),0))</f>
        <v>0</v>
      </c>
      <c r="CG197" s="318" cm="1">
        <f t="array" ref="CG197">+SUMPRODUCT(IF('Consolidado Costos'!$K$6:$K$158=$BX197,('Consolidado Costos'!AJ$6:AJ$158*'Consolidado Costos'!$G$6:$G$158),0))</f>
        <v>0</v>
      </c>
      <c r="CH197" s="318" cm="1">
        <f t="array" ref="CH197">+SUMPRODUCT(IF('Consolidado Costos'!$K$6:$K$158=$BX197,('Consolidado Costos'!AK$6:AK$158*'Consolidado Costos'!$G$6:$G$158),0))</f>
        <v>0</v>
      </c>
      <c r="CI197" s="318" cm="1">
        <f t="array" ref="CI197">+SUMPRODUCT(IF('Consolidado Costos'!$K$6:$K$158=$BX197,('Consolidado Costos'!AL$6:AL$158*'Consolidado Costos'!$G$6:$G$158),0))</f>
        <v>0</v>
      </c>
      <c r="CJ197" s="318" cm="1">
        <f t="array" ref="CJ197">+SUMPRODUCT(IF('Consolidado Costos'!$K$6:$K$158=$BX197,('Consolidado Costos'!AM$6:AM$158*'Consolidado Costos'!$G$6:$G$158),0))</f>
        <v>0</v>
      </c>
      <c r="CK197" s="318" cm="1">
        <f t="array" ref="CK197">+SUMPRODUCT(IF('Consolidado Costos'!$K$6:$K$158=$BX197,('Consolidado Costos'!AN$6:AN$158*'Consolidado Costos'!$G$6:$G$158),0))</f>
        <v>0</v>
      </c>
      <c r="CL197" s="318" cm="1">
        <f t="array" ref="CL197">+SUMPRODUCT(IF('Consolidado Costos'!$K$6:$K$158=$BX197,('Consolidado Costos'!AO$6:AO$158*'Consolidado Costos'!$G$6:$G$158),0))</f>
        <v>0</v>
      </c>
      <c r="CM197" s="318" cm="1">
        <f t="array" ref="CM197">+SUMPRODUCT(IF('Consolidado Costos'!$K$6:$K$158=$BX197,('Consolidado Costos'!AP$6:AP$158*'Consolidado Costos'!$G$6:$G$158),0))</f>
        <v>0</v>
      </c>
      <c r="CN197" s="357">
        <f t="shared" si="51"/>
        <v>1</v>
      </c>
    </row>
    <row r="198" spans="2:92" s="310" customFormat="1" outlineLevel="1">
      <c r="B198" s="327"/>
      <c r="C198" s="330" t="s">
        <v>611</v>
      </c>
      <c r="D198" s="330" t="s">
        <v>612</v>
      </c>
      <c r="E198" s="329"/>
      <c r="F198" s="318">
        <f>+SUMIF('Consolidado Costos'!$K$6:$K$158,$C198,'Consolidado Costos'!$AD$6:$AD$158)</f>
        <v>0</v>
      </c>
      <c r="G198" s="318">
        <f>+SUMIF('Consolidado Costos'!$K$6:$K$158,$C198,'Consolidado Costos'!AE$6:AE$158)</f>
        <v>0</v>
      </c>
      <c r="H198" s="318">
        <f>+SUMIF('Consolidado Costos'!$K$6:$K$158,$C198,'Consolidado Costos'!AF$6:AF$158)</f>
        <v>0</v>
      </c>
      <c r="I198" s="318">
        <f>+SUMIF('Consolidado Costos'!$K$6:$K$158,$C198,'Consolidado Costos'!AG$6:AG$158)</f>
        <v>0</v>
      </c>
      <c r="J198" s="318">
        <f>+SUMIF('Consolidado Costos'!$K$6:$K$158,$C198,'Consolidado Costos'!AH$6:AH$158)</f>
        <v>0</v>
      </c>
      <c r="K198" s="318">
        <f>+SUMIF('Consolidado Costos'!$K$6:$K$158,$C198,'Consolidado Costos'!AI$6:AI$158)</f>
        <v>0</v>
      </c>
      <c r="L198" s="318">
        <f>+SUMIF('Consolidado Costos'!$K$6:$K$158,$C198,'Consolidado Costos'!AJ$6:AJ$158)</f>
        <v>0</v>
      </c>
      <c r="M198" s="318">
        <f>+SUMIF('Consolidado Costos'!$K$6:$K$158,$C198,'Consolidado Costos'!AK$6:AK$158)</f>
        <v>0</v>
      </c>
      <c r="N198" s="318">
        <f>+SUMIF('Consolidado Costos'!$K$6:$K$158,$C198,'Consolidado Costos'!AL$6:AL$158)</f>
        <v>0</v>
      </c>
      <c r="O198" s="318">
        <f>+SUMIF('Consolidado Costos'!$K$6:$K$158,$C198,'Consolidado Costos'!AM$6:AM$158)</f>
        <v>0</v>
      </c>
      <c r="P198" s="318">
        <f>+SUMIF('Consolidado Costos'!$K$6:$K$158,$C198,'Consolidado Costos'!AN$6:AN$158)</f>
        <v>0</v>
      </c>
      <c r="Q198" s="318">
        <f>+SUMIF('Consolidado Costos'!$K$6:$K$158,$C198,'Consolidado Costos'!AO$6:AO$158)</f>
        <v>0</v>
      </c>
      <c r="R198" s="318">
        <f>+SUMIF('Consolidado Costos'!$K$6:$K$158,$C198,'Consolidado Costos'!AP$6:AP$158)</f>
        <v>0</v>
      </c>
      <c r="S198" s="357">
        <f t="shared" si="50"/>
        <v>1</v>
      </c>
      <c r="U198" s="327"/>
      <c r="V198" s="330" t="s">
        <v>611</v>
      </c>
      <c r="W198" s="330" t="s">
        <v>612</v>
      </c>
      <c r="X198" s="329"/>
      <c r="Y198" s="354">
        <f t="shared" si="66"/>
        <v>0</v>
      </c>
      <c r="Z198" s="318" cm="1">
        <f t="array" ref="Z198">+SUMPRODUCT(IF('Consolidado Costos'!$K$6:$K$158=$V198,('Consolidado Costos'!AE$6:AE$158*'Consolidado Costos'!$D$6:$D$158),0))</f>
        <v>0</v>
      </c>
      <c r="AA198" s="318" cm="1">
        <f t="array" ref="AA198">+SUMPRODUCT(IF('Consolidado Costos'!$K$6:$K$158=$V198,('Consolidado Costos'!AF$6:AF$158*'Consolidado Costos'!$D$6:$D$158),0))</f>
        <v>0</v>
      </c>
      <c r="AB198" s="318" cm="1">
        <f t="array" ref="AB198">+SUMPRODUCT(IF('Consolidado Costos'!$K$6:$K$158=$V198,('Consolidado Costos'!AG$6:AG$158*'Consolidado Costos'!$D$6:$D$158),0))</f>
        <v>0</v>
      </c>
      <c r="AC198" s="318" cm="1">
        <f t="array" ref="AC198">+SUMPRODUCT(IF('Consolidado Costos'!$K$6:$K$158=$V198,('Consolidado Costos'!AH$6:AH$158*'Consolidado Costos'!$D$6:$D$158),0))</f>
        <v>0</v>
      </c>
      <c r="AD198" s="318" cm="1">
        <f t="array" ref="AD198">+SUMPRODUCT(IF('Consolidado Costos'!$K$6:$K$158=$V198,('Consolidado Costos'!AI$6:AI$158*'Consolidado Costos'!$D$6:$D$158),0))</f>
        <v>0</v>
      </c>
      <c r="AE198" s="318" cm="1">
        <f t="array" ref="AE198">+SUMPRODUCT(IF('Consolidado Costos'!$K$6:$K$158=$V198,('Consolidado Costos'!AJ$6:AJ$158*'Consolidado Costos'!$D$6:$D$158),0))</f>
        <v>0</v>
      </c>
      <c r="AF198" s="318" cm="1">
        <f t="array" ref="AF198">+SUMPRODUCT(IF('Consolidado Costos'!$K$6:$K$158=$V198,('Consolidado Costos'!AK$6:AK$158*'Consolidado Costos'!$D$6:$D$158),0))</f>
        <v>0</v>
      </c>
      <c r="AG198" s="318" cm="1">
        <f t="array" ref="AG198">+SUMPRODUCT(IF('Consolidado Costos'!$K$6:$K$158=$V198,('Consolidado Costos'!AL$6:AL$158*'Consolidado Costos'!$D$6:$D$158),0))</f>
        <v>0</v>
      </c>
      <c r="AH198" s="318" cm="1">
        <f t="array" ref="AH198">+SUMPRODUCT(IF('Consolidado Costos'!$K$6:$K$158=$V198,('Consolidado Costos'!AM$6:AM$158*'Consolidado Costos'!$D$6:$D$158),0))</f>
        <v>0</v>
      </c>
      <c r="AI198" s="318" cm="1">
        <f t="array" ref="AI198">+SUMPRODUCT(IF('Consolidado Costos'!$K$6:$K$158=$V198,('Consolidado Costos'!AN$6:AN$158*'Consolidado Costos'!$D$6:$D$158),0))</f>
        <v>0</v>
      </c>
      <c r="AJ198" s="318" cm="1">
        <f t="array" ref="AJ198">+SUMPRODUCT(IF('Consolidado Costos'!$K$6:$K$158=$V198,('Consolidado Costos'!AO$6:AO$158*'Consolidado Costos'!$D$6:$D$158),0))</f>
        <v>0</v>
      </c>
      <c r="AK198" s="318" cm="1">
        <f t="array" ref="AK198">+SUMPRODUCT(IF('Consolidado Costos'!$K$6:$K$158=$V198,('Consolidado Costos'!AP$6:AP$158*'Consolidado Costos'!$D$6:$D$158),0))</f>
        <v>0</v>
      </c>
      <c r="AM198" s="327"/>
      <c r="AN198" s="330" t="s">
        <v>611</v>
      </c>
      <c r="AO198" s="330" t="s">
        <v>612</v>
      </c>
      <c r="AP198" s="329"/>
      <c r="AQ198" s="354">
        <f t="shared" si="67"/>
        <v>0</v>
      </c>
      <c r="AR198" s="318" cm="1">
        <f t="array" ref="AR198">+SUMPRODUCT(IF('Consolidado Costos'!$K$6:$K$158=$AN198,('Consolidado Costos'!AE$6:AE$158*'Consolidado Costos'!$E$6:$E$158),0))</f>
        <v>0</v>
      </c>
      <c r="AS198" s="318" cm="1">
        <f t="array" ref="AS198">+SUMPRODUCT(IF('Consolidado Costos'!$K$6:$K$158=$AN198,('Consolidado Costos'!AF$6:AF$158*'Consolidado Costos'!$E$6:$E$158),0))</f>
        <v>0</v>
      </c>
      <c r="AT198" s="318" cm="1">
        <f t="array" ref="AT198">+SUMPRODUCT(IF('Consolidado Costos'!$K$6:$K$158=$AN198,('Consolidado Costos'!AG$6:AG$158*'Consolidado Costos'!$E$6:$E$158),0))</f>
        <v>0</v>
      </c>
      <c r="AU198" s="318" cm="1">
        <f t="array" ref="AU198">+SUMPRODUCT(IF('Consolidado Costos'!$K$6:$K$158=$AN198,('Consolidado Costos'!AH$6:AH$158*'Consolidado Costos'!$E$6:$E$158),0))</f>
        <v>0</v>
      </c>
      <c r="AV198" s="318" cm="1">
        <f t="array" ref="AV198">+SUMPRODUCT(IF('Consolidado Costos'!$K$6:$K$158=$AN198,('Consolidado Costos'!AI$6:AI$158*'Consolidado Costos'!$E$6:$E$158),0))</f>
        <v>0</v>
      </c>
      <c r="AW198" s="318" cm="1">
        <f t="array" ref="AW198">+SUMPRODUCT(IF('Consolidado Costos'!$K$6:$K$158=$AN198,('Consolidado Costos'!AJ$6:AJ$158*'Consolidado Costos'!$E$6:$E$158),0))</f>
        <v>0</v>
      </c>
      <c r="AX198" s="318" cm="1">
        <f t="array" ref="AX198">+SUMPRODUCT(IF('Consolidado Costos'!$K$6:$K$158=$AN198,('Consolidado Costos'!AK$6:AK$158*'Consolidado Costos'!$E$6:$E$158),0))</f>
        <v>0</v>
      </c>
      <c r="AY198" s="318" cm="1">
        <f t="array" ref="AY198">+SUMPRODUCT(IF('Consolidado Costos'!$K$6:$K$158=$AN198,('Consolidado Costos'!AL$6:AL$158*'Consolidado Costos'!$E$6:$E$158),0))</f>
        <v>0</v>
      </c>
      <c r="AZ198" s="318" cm="1">
        <f t="array" ref="AZ198">+SUMPRODUCT(IF('Consolidado Costos'!$K$6:$K$158=$AN198,('Consolidado Costos'!AM$6:AM$158*'Consolidado Costos'!$E$6:$E$158),0))</f>
        <v>0</v>
      </c>
      <c r="BA198" s="318" cm="1">
        <f t="array" ref="BA198">+SUMPRODUCT(IF('Consolidado Costos'!$K$6:$K$158=$AN198,('Consolidado Costos'!AN$6:AN$158*'Consolidado Costos'!$E$6:$E$158),0))</f>
        <v>0</v>
      </c>
      <c r="BB198" s="318" cm="1">
        <f t="array" ref="BB198">+SUMPRODUCT(IF('Consolidado Costos'!$K$6:$K$158=$AN198,('Consolidado Costos'!AO$6:AO$158*'Consolidado Costos'!$E$6:$E$158),0))</f>
        <v>0</v>
      </c>
      <c r="BC198" s="318" cm="1">
        <f t="array" ref="BC198">+SUMPRODUCT(IF('Consolidado Costos'!$K$6:$K$158=$AN198,('Consolidado Costos'!AP$6:AP$158*'Consolidado Costos'!$E$6:$E$158),0))</f>
        <v>0</v>
      </c>
      <c r="BE198" s="327"/>
      <c r="BF198" s="330" t="s">
        <v>611</v>
      </c>
      <c r="BG198" s="330" t="s">
        <v>612</v>
      </c>
      <c r="BH198" s="329"/>
      <c r="BI198" s="354">
        <f t="shared" si="68"/>
        <v>0</v>
      </c>
      <c r="BJ198" s="318" cm="1">
        <f t="array" ref="BJ198">+SUMPRODUCT(IF('Consolidado Costos'!$K$6:$K$158=$BF198,('Consolidado Costos'!AE$6:AE$158*'Consolidado Costos'!$F$6:$F$158),0))</f>
        <v>0</v>
      </c>
      <c r="BK198" s="318" cm="1">
        <f t="array" ref="BK198">+SUMPRODUCT(IF('Consolidado Costos'!$K$6:$K$158=$BF198,('Consolidado Costos'!AF$6:AF$158*'Consolidado Costos'!$F$6:$F$158),0))</f>
        <v>0</v>
      </c>
      <c r="BL198" s="318" cm="1">
        <f t="array" ref="BL198">+SUMPRODUCT(IF('Consolidado Costos'!$K$6:$K$158=$BF198,('Consolidado Costos'!AG$6:AG$158*'Consolidado Costos'!$F$6:$F$158),0))</f>
        <v>0</v>
      </c>
      <c r="BM198" s="318" cm="1">
        <f t="array" ref="BM198">+SUMPRODUCT(IF('Consolidado Costos'!$K$6:$K$158=$BF198,('Consolidado Costos'!AH$6:AH$158*'Consolidado Costos'!$F$6:$F$158),0))</f>
        <v>0</v>
      </c>
      <c r="BN198" s="318" cm="1">
        <f t="array" ref="BN198">+SUMPRODUCT(IF('Consolidado Costos'!$K$6:$K$158=$BF198,('Consolidado Costos'!AI$6:AI$158*'Consolidado Costos'!$F$6:$F$158),0))</f>
        <v>0</v>
      </c>
      <c r="BO198" s="318" cm="1">
        <f t="array" ref="BO198">+SUMPRODUCT(IF('Consolidado Costos'!$K$6:$K$158=$BF198,('Consolidado Costos'!AJ$6:AJ$158*'Consolidado Costos'!$F$6:$F$158),0))</f>
        <v>0</v>
      </c>
      <c r="BP198" s="318" cm="1">
        <f t="array" ref="BP198">+SUMPRODUCT(IF('Consolidado Costos'!$K$6:$K$158=$BF198,('Consolidado Costos'!AK$6:AK$158*'Consolidado Costos'!$F$6:$F$158),0))</f>
        <v>0</v>
      </c>
      <c r="BQ198" s="318" cm="1">
        <f t="array" ref="BQ198">+SUMPRODUCT(IF('Consolidado Costos'!$K$6:$K$158=$BF198,('Consolidado Costos'!AL$6:AL$158*'Consolidado Costos'!$F$6:$F$158),0))</f>
        <v>0</v>
      </c>
      <c r="BR198" s="318" cm="1">
        <f t="array" ref="BR198">+SUMPRODUCT(IF('Consolidado Costos'!$K$6:$K$158=$BF198,('Consolidado Costos'!AM$6:AM$158*'Consolidado Costos'!$F$6:$F$158),0))</f>
        <v>0</v>
      </c>
      <c r="BS198" s="318" cm="1">
        <f t="array" ref="BS198">+SUMPRODUCT(IF('Consolidado Costos'!$K$6:$K$158=$BF198,('Consolidado Costos'!AN$6:AN$158*'Consolidado Costos'!$F$6:$F$158),0))</f>
        <v>0</v>
      </c>
      <c r="BT198" s="318" cm="1">
        <f t="array" ref="BT198">+SUMPRODUCT(IF('Consolidado Costos'!$K$6:$K$158=$BF198,('Consolidado Costos'!AO$6:AO$158*'Consolidado Costos'!$F$6:$F$158),0))</f>
        <v>0</v>
      </c>
      <c r="BU198" s="318" cm="1">
        <f t="array" ref="BU198">+SUMPRODUCT(IF('Consolidado Costos'!$K$6:$K$158=$BF198,('Consolidado Costos'!AP$6:AP$158*'Consolidado Costos'!$F$6:$F$158),0))</f>
        <v>0</v>
      </c>
      <c r="BW198" s="327"/>
      <c r="BX198" s="330" t="s">
        <v>611</v>
      </c>
      <c r="BY198" s="330" t="s">
        <v>612</v>
      </c>
      <c r="BZ198" s="329"/>
      <c r="CA198" s="354">
        <f t="shared" si="69"/>
        <v>0</v>
      </c>
      <c r="CB198" s="318" cm="1">
        <f t="array" ref="CB198">+SUMPRODUCT(IF('Consolidado Costos'!$K$6:$K$158=$BX198,('Consolidado Costos'!AE$6:AE$158*'Consolidado Costos'!$G$6:$G$158),0))</f>
        <v>0</v>
      </c>
      <c r="CC198" s="318" cm="1">
        <f t="array" ref="CC198">+SUMPRODUCT(IF('Consolidado Costos'!$K$6:$K$158=$BX198,('Consolidado Costos'!AF$6:AF$158*'Consolidado Costos'!$G$6:$G$158),0))</f>
        <v>0</v>
      </c>
      <c r="CD198" s="318" cm="1">
        <f t="array" ref="CD198">+SUMPRODUCT(IF('Consolidado Costos'!$K$6:$K$158=$BX198,('Consolidado Costos'!AG$6:AG$158*'Consolidado Costos'!$G$6:$G$158),0))</f>
        <v>0</v>
      </c>
      <c r="CE198" s="318" cm="1">
        <f t="array" ref="CE198">+SUMPRODUCT(IF('Consolidado Costos'!$K$6:$K$158=$BX198,('Consolidado Costos'!AH$6:AH$158*'Consolidado Costos'!$G$6:$G$158),0))</f>
        <v>0</v>
      </c>
      <c r="CF198" s="318" cm="1">
        <f t="array" ref="CF198">+SUMPRODUCT(IF('Consolidado Costos'!$K$6:$K$158=$BX198,('Consolidado Costos'!AI$6:AI$158*'Consolidado Costos'!$G$6:$G$158),0))</f>
        <v>0</v>
      </c>
      <c r="CG198" s="318" cm="1">
        <f t="array" ref="CG198">+SUMPRODUCT(IF('Consolidado Costos'!$K$6:$K$158=$BX198,('Consolidado Costos'!AJ$6:AJ$158*'Consolidado Costos'!$G$6:$G$158),0))</f>
        <v>0</v>
      </c>
      <c r="CH198" s="318" cm="1">
        <f t="array" ref="CH198">+SUMPRODUCT(IF('Consolidado Costos'!$K$6:$K$158=$BX198,('Consolidado Costos'!AK$6:AK$158*'Consolidado Costos'!$G$6:$G$158),0))</f>
        <v>0</v>
      </c>
      <c r="CI198" s="318" cm="1">
        <f t="array" ref="CI198">+SUMPRODUCT(IF('Consolidado Costos'!$K$6:$K$158=$BX198,('Consolidado Costos'!AL$6:AL$158*'Consolidado Costos'!$G$6:$G$158),0))</f>
        <v>0</v>
      </c>
      <c r="CJ198" s="318" cm="1">
        <f t="array" ref="CJ198">+SUMPRODUCT(IF('Consolidado Costos'!$K$6:$K$158=$BX198,('Consolidado Costos'!AM$6:AM$158*'Consolidado Costos'!$G$6:$G$158),0))</f>
        <v>0</v>
      </c>
      <c r="CK198" s="318" cm="1">
        <f t="array" ref="CK198">+SUMPRODUCT(IF('Consolidado Costos'!$K$6:$K$158=$BX198,('Consolidado Costos'!AN$6:AN$158*'Consolidado Costos'!$G$6:$G$158),0))</f>
        <v>0</v>
      </c>
      <c r="CL198" s="318" cm="1">
        <f t="array" ref="CL198">+SUMPRODUCT(IF('Consolidado Costos'!$K$6:$K$158=$BX198,('Consolidado Costos'!AO$6:AO$158*'Consolidado Costos'!$G$6:$G$158),0))</f>
        <v>0</v>
      </c>
      <c r="CM198" s="318" cm="1">
        <f t="array" ref="CM198">+SUMPRODUCT(IF('Consolidado Costos'!$K$6:$K$158=$BX198,('Consolidado Costos'!AP$6:AP$158*'Consolidado Costos'!$G$6:$G$158),0))</f>
        <v>0</v>
      </c>
      <c r="CN198" s="357">
        <f t="shared" si="51"/>
        <v>1</v>
      </c>
    </row>
    <row r="199" spans="2:92" s="310" customFormat="1" outlineLevel="1">
      <c r="B199" s="327"/>
      <c r="C199" s="330" t="s">
        <v>613</v>
      </c>
      <c r="D199" s="330" t="s">
        <v>614</v>
      </c>
      <c r="E199" s="329"/>
      <c r="F199" s="318">
        <f>+SUMIF('Consolidado Costos'!$K$6:$K$158,$C199,'Consolidado Costos'!$AD$6:$AD$158)</f>
        <v>0</v>
      </c>
      <c r="G199" s="318">
        <f>+SUMIF('Consolidado Costos'!$K$6:$K$158,$C199,'Consolidado Costos'!AE$6:AE$158)</f>
        <v>0</v>
      </c>
      <c r="H199" s="318">
        <f>+SUMIF('Consolidado Costos'!$K$6:$K$158,$C199,'Consolidado Costos'!AF$6:AF$158)</f>
        <v>0</v>
      </c>
      <c r="I199" s="318">
        <f>+SUMIF('Consolidado Costos'!$K$6:$K$158,$C199,'Consolidado Costos'!AG$6:AG$158)</f>
        <v>0</v>
      </c>
      <c r="J199" s="318">
        <f>+SUMIF('Consolidado Costos'!$K$6:$K$158,$C199,'Consolidado Costos'!AH$6:AH$158)</f>
        <v>0</v>
      </c>
      <c r="K199" s="318">
        <f>+SUMIF('Consolidado Costos'!$K$6:$K$158,$C199,'Consolidado Costos'!AI$6:AI$158)</f>
        <v>0</v>
      </c>
      <c r="L199" s="318">
        <f>+SUMIF('Consolidado Costos'!$K$6:$K$158,$C199,'Consolidado Costos'!AJ$6:AJ$158)</f>
        <v>0</v>
      </c>
      <c r="M199" s="318">
        <f>+SUMIF('Consolidado Costos'!$K$6:$K$158,$C199,'Consolidado Costos'!AK$6:AK$158)</f>
        <v>0</v>
      </c>
      <c r="N199" s="318">
        <f>+SUMIF('Consolidado Costos'!$K$6:$K$158,$C199,'Consolidado Costos'!AL$6:AL$158)</f>
        <v>0</v>
      </c>
      <c r="O199" s="318">
        <f>+SUMIF('Consolidado Costos'!$K$6:$K$158,$C199,'Consolidado Costos'!AM$6:AM$158)</f>
        <v>0</v>
      </c>
      <c r="P199" s="318">
        <f>+SUMIF('Consolidado Costos'!$K$6:$K$158,$C199,'Consolidado Costos'!AN$6:AN$158)</f>
        <v>0</v>
      </c>
      <c r="Q199" s="318">
        <f>+SUMIF('Consolidado Costos'!$K$6:$K$158,$C199,'Consolidado Costos'!AO$6:AO$158)</f>
        <v>0</v>
      </c>
      <c r="R199" s="318">
        <f>+SUMIF('Consolidado Costos'!$K$6:$K$158,$C199,'Consolidado Costos'!AP$6:AP$158)</f>
        <v>0</v>
      </c>
      <c r="S199" s="357">
        <f t="shared" si="50"/>
        <v>1</v>
      </c>
      <c r="U199" s="327"/>
      <c r="V199" s="330" t="s">
        <v>613</v>
      </c>
      <c r="W199" s="330" t="s">
        <v>614</v>
      </c>
      <c r="X199" s="329"/>
      <c r="Y199" s="354">
        <f t="shared" si="66"/>
        <v>0</v>
      </c>
      <c r="Z199" s="318" cm="1">
        <f t="array" ref="Z199">+SUMPRODUCT(IF('Consolidado Costos'!$K$6:$K$158=$V199,('Consolidado Costos'!AE$6:AE$158*'Consolidado Costos'!$D$6:$D$158),0))</f>
        <v>0</v>
      </c>
      <c r="AA199" s="318" cm="1">
        <f t="array" ref="AA199">+SUMPRODUCT(IF('Consolidado Costos'!$K$6:$K$158=$V199,('Consolidado Costos'!AF$6:AF$158*'Consolidado Costos'!$D$6:$D$158),0))</f>
        <v>0</v>
      </c>
      <c r="AB199" s="318" cm="1">
        <f t="array" ref="AB199">+SUMPRODUCT(IF('Consolidado Costos'!$K$6:$K$158=$V199,('Consolidado Costos'!AG$6:AG$158*'Consolidado Costos'!$D$6:$D$158),0))</f>
        <v>0</v>
      </c>
      <c r="AC199" s="318" cm="1">
        <f t="array" ref="AC199">+SUMPRODUCT(IF('Consolidado Costos'!$K$6:$K$158=$V199,('Consolidado Costos'!AH$6:AH$158*'Consolidado Costos'!$D$6:$D$158),0))</f>
        <v>0</v>
      </c>
      <c r="AD199" s="318" cm="1">
        <f t="array" ref="AD199">+SUMPRODUCT(IF('Consolidado Costos'!$K$6:$K$158=$V199,('Consolidado Costos'!AI$6:AI$158*'Consolidado Costos'!$D$6:$D$158),0))</f>
        <v>0</v>
      </c>
      <c r="AE199" s="318" cm="1">
        <f t="array" ref="AE199">+SUMPRODUCT(IF('Consolidado Costos'!$K$6:$K$158=$V199,('Consolidado Costos'!AJ$6:AJ$158*'Consolidado Costos'!$D$6:$D$158),0))</f>
        <v>0</v>
      </c>
      <c r="AF199" s="318" cm="1">
        <f t="array" ref="AF199">+SUMPRODUCT(IF('Consolidado Costos'!$K$6:$K$158=$V199,('Consolidado Costos'!AK$6:AK$158*'Consolidado Costos'!$D$6:$D$158),0))</f>
        <v>0</v>
      </c>
      <c r="AG199" s="318" cm="1">
        <f t="array" ref="AG199">+SUMPRODUCT(IF('Consolidado Costos'!$K$6:$K$158=$V199,('Consolidado Costos'!AL$6:AL$158*'Consolidado Costos'!$D$6:$D$158),0))</f>
        <v>0</v>
      </c>
      <c r="AH199" s="318" cm="1">
        <f t="array" ref="AH199">+SUMPRODUCT(IF('Consolidado Costos'!$K$6:$K$158=$V199,('Consolidado Costos'!AM$6:AM$158*'Consolidado Costos'!$D$6:$D$158),0))</f>
        <v>0</v>
      </c>
      <c r="AI199" s="318" cm="1">
        <f t="array" ref="AI199">+SUMPRODUCT(IF('Consolidado Costos'!$K$6:$K$158=$V199,('Consolidado Costos'!AN$6:AN$158*'Consolidado Costos'!$D$6:$D$158),0))</f>
        <v>0</v>
      </c>
      <c r="AJ199" s="318" cm="1">
        <f t="array" ref="AJ199">+SUMPRODUCT(IF('Consolidado Costos'!$K$6:$K$158=$V199,('Consolidado Costos'!AO$6:AO$158*'Consolidado Costos'!$D$6:$D$158),0))</f>
        <v>0</v>
      </c>
      <c r="AK199" s="318" cm="1">
        <f t="array" ref="AK199">+SUMPRODUCT(IF('Consolidado Costos'!$K$6:$K$158=$V199,('Consolidado Costos'!AP$6:AP$158*'Consolidado Costos'!$D$6:$D$158),0))</f>
        <v>0</v>
      </c>
      <c r="AM199" s="327"/>
      <c r="AN199" s="330" t="s">
        <v>613</v>
      </c>
      <c r="AO199" s="330" t="s">
        <v>614</v>
      </c>
      <c r="AP199" s="329"/>
      <c r="AQ199" s="354">
        <f t="shared" si="67"/>
        <v>0</v>
      </c>
      <c r="AR199" s="318" cm="1">
        <f t="array" ref="AR199">+SUMPRODUCT(IF('Consolidado Costos'!$K$6:$K$158=$AN199,('Consolidado Costos'!AE$6:AE$158*'Consolidado Costos'!$E$6:$E$158),0))</f>
        <v>0</v>
      </c>
      <c r="AS199" s="318" cm="1">
        <f t="array" ref="AS199">+SUMPRODUCT(IF('Consolidado Costos'!$K$6:$K$158=$AN199,('Consolidado Costos'!AF$6:AF$158*'Consolidado Costos'!$E$6:$E$158),0))</f>
        <v>0</v>
      </c>
      <c r="AT199" s="318" cm="1">
        <f t="array" ref="AT199">+SUMPRODUCT(IF('Consolidado Costos'!$K$6:$K$158=$AN199,('Consolidado Costos'!AG$6:AG$158*'Consolidado Costos'!$E$6:$E$158),0))</f>
        <v>0</v>
      </c>
      <c r="AU199" s="318" cm="1">
        <f t="array" ref="AU199">+SUMPRODUCT(IF('Consolidado Costos'!$K$6:$K$158=$AN199,('Consolidado Costos'!AH$6:AH$158*'Consolidado Costos'!$E$6:$E$158),0))</f>
        <v>0</v>
      </c>
      <c r="AV199" s="318" cm="1">
        <f t="array" ref="AV199">+SUMPRODUCT(IF('Consolidado Costos'!$K$6:$K$158=$AN199,('Consolidado Costos'!AI$6:AI$158*'Consolidado Costos'!$E$6:$E$158),0))</f>
        <v>0</v>
      </c>
      <c r="AW199" s="318" cm="1">
        <f t="array" ref="AW199">+SUMPRODUCT(IF('Consolidado Costos'!$K$6:$K$158=$AN199,('Consolidado Costos'!AJ$6:AJ$158*'Consolidado Costos'!$E$6:$E$158),0))</f>
        <v>0</v>
      </c>
      <c r="AX199" s="318" cm="1">
        <f t="array" ref="AX199">+SUMPRODUCT(IF('Consolidado Costos'!$K$6:$K$158=$AN199,('Consolidado Costos'!AK$6:AK$158*'Consolidado Costos'!$E$6:$E$158),0))</f>
        <v>0</v>
      </c>
      <c r="AY199" s="318" cm="1">
        <f t="array" ref="AY199">+SUMPRODUCT(IF('Consolidado Costos'!$K$6:$K$158=$AN199,('Consolidado Costos'!AL$6:AL$158*'Consolidado Costos'!$E$6:$E$158),0))</f>
        <v>0</v>
      </c>
      <c r="AZ199" s="318" cm="1">
        <f t="array" ref="AZ199">+SUMPRODUCT(IF('Consolidado Costos'!$K$6:$K$158=$AN199,('Consolidado Costos'!AM$6:AM$158*'Consolidado Costos'!$E$6:$E$158),0))</f>
        <v>0</v>
      </c>
      <c r="BA199" s="318" cm="1">
        <f t="array" ref="BA199">+SUMPRODUCT(IF('Consolidado Costos'!$K$6:$K$158=$AN199,('Consolidado Costos'!AN$6:AN$158*'Consolidado Costos'!$E$6:$E$158),0))</f>
        <v>0</v>
      </c>
      <c r="BB199" s="318" cm="1">
        <f t="array" ref="BB199">+SUMPRODUCT(IF('Consolidado Costos'!$K$6:$K$158=$AN199,('Consolidado Costos'!AO$6:AO$158*'Consolidado Costos'!$E$6:$E$158),0))</f>
        <v>0</v>
      </c>
      <c r="BC199" s="318" cm="1">
        <f t="array" ref="BC199">+SUMPRODUCT(IF('Consolidado Costos'!$K$6:$K$158=$AN199,('Consolidado Costos'!AP$6:AP$158*'Consolidado Costos'!$E$6:$E$158),0))</f>
        <v>0</v>
      </c>
      <c r="BE199" s="327"/>
      <c r="BF199" s="330" t="s">
        <v>613</v>
      </c>
      <c r="BG199" s="330" t="s">
        <v>614</v>
      </c>
      <c r="BH199" s="329"/>
      <c r="BI199" s="354">
        <f t="shared" si="68"/>
        <v>0</v>
      </c>
      <c r="BJ199" s="318" cm="1">
        <f t="array" ref="BJ199">+SUMPRODUCT(IF('Consolidado Costos'!$K$6:$K$158=$BF199,('Consolidado Costos'!AE$6:AE$158*'Consolidado Costos'!$F$6:$F$158),0))</f>
        <v>0</v>
      </c>
      <c r="BK199" s="318" cm="1">
        <f t="array" ref="BK199">+SUMPRODUCT(IF('Consolidado Costos'!$K$6:$K$158=$BF199,('Consolidado Costos'!AF$6:AF$158*'Consolidado Costos'!$F$6:$F$158),0))</f>
        <v>0</v>
      </c>
      <c r="BL199" s="318" cm="1">
        <f t="array" ref="BL199">+SUMPRODUCT(IF('Consolidado Costos'!$K$6:$K$158=$BF199,('Consolidado Costos'!AG$6:AG$158*'Consolidado Costos'!$F$6:$F$158),0))</f>
        <v>0</v>
      </c>
      <c r="BM199" s="318" cm="1">
        <f t="array" ref="BM199">+SUMPRODUCT(IF('Consolidado Costos'!$K$6:$K$158=$BF199,('Consolidado Costos'!AH$6:AH$158*'Consolidado Costos'!$F$6:$F$158),0))</f>
        <v>0</v>
      </c>
      <c r="BN199" s="318" cm="1">
        <f t="array" ref="BN199">+SUMPRODUCT(IF('Consolidado Costos'!$K$6:$K$158=$BF199,('Consolidado Costos'!AI$6:AI$158*'Consolidado Costos'!$F$6:$F$158),0))</f>
        <v>0</v>
      </c>
      <c r="BO199" s="318" cm="1">
        <f t="array" ref="BO199">+SUMPRODUCT(IF('Consolidado Costos'!$K$6:$K$158=$BF199,('Consolidado Costos'!AJ$6:AJ$158*'Consolidado Costos'!$F$6:$F$158),0))</f>
        <v>0</v>
      </c>
      <c r="BP199" s="318" cm="1">
        <f t="array" ref="BP199">+SUMPRODUCT(IF('Consolidado Costos'!$K$6:$K$158=$BF199,('Consolidado Costos'!AK$6:AK$158*'Consolidado Costos'!$F$6:$F$158),0))</f>
        <v>0</v>
      </c>
      <c r="BQ199" s="318" cm="1">
        <f t="array" ref="BQ199">+SUMPRODUCT(IF('Consolidado Costos'!$K$6:$K$158=$BF199,('Consolidado Costos'!AL$6:AL$158*'Consolidado Costos'!$F$6:$F$158),0))</f>
        <v>0</v>
      </c>
      <c r="BR199" s="318" cm="1">
        <f t="array" ref="BR199">+SUMPRODUCT(IF('Consolidado Costos'!$K$6:$K$158=$BF199,('Consolidado Costos'!AM$6:AM$158*'Consolidado Costos'!$F$6:$F$158),0))</f>
        <v>0</v>
      </c>
      <c r="BS199" s="318" cm="1">
        <f t="array" ref="BS199">+SUMPRODUCT(IF('Consolidado Costos'!$K$6:$K$158=$BF199,('Consolidado Costos'!AN$6:AN$158*'Consolidado Costos'!$F$6:$F$158),0))</f>
        <v>0</v>
      </c>
      <c r="BT199" s="318" cm="1">
        <f t="array" ref="BT199">+SUMPRODUCT(IF('Consolidado Costos'!$K$6:$K$158=$BF199,('Consolidado Costos'!AO$6:AO$158*'Consolidado Costos'!$F$6:$F$158),0))</f>
        <v>0</v>
      </c>
      <c r="BU199" s="318" cm="1">
        <f t="array" ref="BU199">+SUMPRODUCT(IF('Consolidado Costos'!$K$6:$K$158=$BF199,('Consolidado Costos'!AP$6:AP$158*'Consolidado Costos'!$F$6:$F$158),0))</f>
        <v>0</v>
      </c>
      <c r="BW199" s="327"/>
      <c r="BX199" s="330" t="s">
        <v>613</v>
      </c>
      <c r="BY199" s="330" t="s">
        <v>614</v>
      </c>
      <c r="BZ199" s="329"/>
      <c r="CA199" s="354">
        <f t="shared" si="69"/>
        <v>0</v>
      </c>
      <c r="CB199" s="318" cm="1">
        <f t="array" ref="CB199">+SUMPRODUCT(IF('Consolidado Costos'!$K$6:$K$158=$BX199,('Consolidado Costos'!AE$6:AE$158*'Consolidado Costos'!$G$6:$G$158),0))</f>
        <v>0</v>
      </c>
      <c r="CC199" s="318" cm="1">
        <f t="array" ref="CC199">+SUMPRODUCT(IF('Consolidado Costos'!$K$6:$K$158=$BX199,('Consolidado Costos'!AF$6:AF$158*'Consolidado Costos'!$G$6:$G$158),0))</f>
        <v>0</v>
      </c>
      <c r="CD199" s="318" cm="1">
        <f t="array" ref="CD199">+SUMPRODUCT(IF('Consolidado Costos'!$K$6:$K$158=$BX199,('Consolidado Costos'!AG$6:AG$158*'Consolidado Costos'!$G$6:$G$158),0))</f>
        <v>0</v>
      </c>
      <c r="CE199" s="318" cm="1">
        <f t="array" ref="CE199">+SUMPRODUCT(IF('Consolidado Costos'!$K$6:$K$158=$BX199,('Consolidado Costos'!AH$6:AH$158*'Consolidado Costos'!$G$6:$G$158),0))</f>
        <v>0</v>
      </c>
      <c r="CF199" s="318" cm="1">
        <f t="array" ref="CF199">+SUMPRODUCT(IF('Consolidado Costos'!$K$6:$K$158=$BX199,('Consolidado Costos'!AI$6:AI$158*'Consolidado Costos'!$G$6:$G$158),0))</f>
        <v>0</v>
      </c>
      <c r="CG199" s="318" cm="1">
        <f t="array" ref="CG199">+SUMPRODUCT(IF('Consolidado Costos'!$K$6:$K$158=$BX199,('Consolidado Costos'!AJ$6:AJ$158*'Consolidado Costos'!$G$6:$G$158),0))</f>
        <v>0</v>
      </c>
      <c r="CH199" s="318" cm="1">
        <f t="array" ref="CH199">+SUMPRODUCT(IF('Consolidado Costos'!$K$6:$K$158=$BX199,('Consolidado Costos'!AK$6:AK$158*'Consolidado Costos'!$G$6:$G$158),0))</f>
        <v>0</v>
      </c>
      <c r="CI199" s="318" cm="1">
        <f t="array" ref="CI199">+SUMPRODUCT(IF('Consolidado Costos'!$K$6:$K$158=$BX199,('Consolidado Costos'!AL$6:AL$158*'Consolidado Costos'!$G$6:$G$158),0))</f>
        <v>0</v>
      </c>
      <c r="CJ199" s="318" cm="1">
        <f t="array" ref="CJ199">+SUMPRODUCT(IF('Consolidado Costos'!$K$6:$K$158=$BX199,('Consolidado Costos'!AM$6:AM$158*'Consolidado Costos'!$G$6:$G$158),0))</f>
        <v>0</v>
      </c>
      <c r="CK199" s="318" cm="1">
        <f t="array" ref="CK199">+SUMPRODUCT(IF('Consolidado Costos'!$K$6:$K$158=$BX199,('Consolidado Costos'!AN$6:AN$158*'Consolidado Costos'!$G$6:$G$158),0))</f>
        <v>0</v>
      </c>
      <c r="CL199" s="318" cm="1">
        <f t="array" ref="CL199">+SUMPRODUCT(IF('Consolidado Costos'!$K$6:$K$158=$BX199,('Consolidado Costos'!AO$6:AO$158*'Consolidado Costos'!$G$6:$G$158),0))</f>
        <v>0</v>
      </c>
      <c r="CM199" s="318" cm="1">
        <f t="array" ref="CM199">+SUMPRODUCT(IF('Consolidado Costos'!$K$6:$K$158=$BX199,('Consolidado Costos'!AP$6:AP$158*'Consolidado Costos'!$G$6:$G$158),0))</f>
        <v>0</v>
      </c>
      <c r="CN199" s="357">
        <f t="shared" si="51"/>
        <v>1</v>
      </c>
    </row>
    <row r="200" spans="2:92" s="5" customFormat="1">
      <c r="B200" s="319" t="s">
        <v>615</v>
      </c>
      <c r="C200" s="332"/>
      <c r="D200" s="332"/>
      <c r="E200" s="322"/>
      <c r="F200" s="335">
        <f>+SUM(F190:F199)</f>
        <v>4834.8717948717949</v>
      </c>
      <c r="G200" s="335">
        <f t="shared" ref="G200:R200" si="70">+SUM(G190:G199)</f>
        <v>317.43589743589746</v>
      </c>
      <c r="H200" s="335">
        <f t="shared" si="70"/>
        <v>317.43589743589746</v>
      </c>
      <c r="I200" s="335">
        <f t="shared" si="70"/>
        <v>1343.0769230769231</v>
      </c>
      <c r="J200" s="335">
        <f t="shared" si="70"/>
        <v>317.43589743589746</v>
      </c>
      <c r="K200" s="335">
        <f t="shared" si="70"/>
        <v>317.43589743589746</v>
      </c>
      <c r="L200" s="335">
        <f t="shared" si="70"/>
        <v>317.43589743589746</v>
      </c>
      <c r="M200" s="335">
        <f t="shared" si="70"/>
        <v>317.43589743589746</v>
      </c>
      <c r="N200" s="335">
        <f t="shared" si="70"/>
        <v>317.43589743589746</v>
      </c>
      <c r="O200" s="335">
        <f t="shared" si="70"/>
        <v>317.43589743589746</v>
      </c>
      <c r="P200" s="335">
        <f t="shared" si="70"/>
        <v>317.43589743589746</v>
      </c>
      <c r="Q200" s="335">
        <f t="shared" si="70"/>
        <v>317.43589743589746</v>
      </c>
      <c r="R200" s="335">
        <f t="shared" si="70"/>
        <v>317.43589743589746</v>
      </c>
      <c r="S200" s="357">
        <f t="shared" si="50"/>
        <v>1</v>
      </c>
      <c r="U200" s="319" t="s">
        <v>615</v>
      </c>
      <c r="V200" s="332"/>
      <c r="W200" s="332"/>
      <c r="X200" s="322"/>
      <c r="Y200" s="335">
        <f>+SUM(Y190:Y199)</f>
        <v>0</v>
      </c>
      <c r="Z200" s="335">
        <f t="shared" ref="Z200:AK200" si="71">+SUM(Z190:Z199)</f>
        <v>0</v>
      </c>
      <c r="AA200" s="335">
        <f t="shared" si="71"/>
        <v>0</v>
      </c>
      <c r="AB200" s="335">
        <f t="shared" si="71"/>
        <v>0</v>
      </c>
      <c r="AC200" s="335">
        <f t="shared" si="71"/>
        <v>0</v>
      </c>
      <c r="AD200" s="335">
        <f t="shared" si="71"/>
        <v>0</v>
      </c>
      <c r="AE200" s="335">
        <f t="shared" si="71"/>
        <v>0</v>
      </c>
      <c r="AF200" s="335">
        <f t="shared" si="71"/>
        <v>0</v>
      </c>
      <c r="AG200" s="335">
        <f t="shared" si="71"/>
        <v>0</v>
      </c>
      <c r="AH200" s="335">
        <f t="shared" si="71"/>
        <v>0</v>
      </c>
      <c r="AI200" s="335">
        <f t="shared" si="71"/>
        <v>0</v>
      </c>
      <c r="AJ200" s="335">
        <f t="shared" si="71"/>
        <v>0</v>
      </c>
      <c r="AK200" s="335">
        <f t="shared" si="71"/>
        <v>0</v>
      </c>
      <c r="AM200" s="319" t="s">
        <v>615</v>
      </c>
      <c r="AN200" s="332"/>
      <c r="AO200" s="332"/>
      <c r="AP200" s="322"/>
      <c r="AQ200" s="335">
        <f t="shared" ref="AQ200:BC200" si="72">+SUM(AQ190:AQ199)</f>
        <v>0</v>
      </c>
      <c r="AR200" s="335">
        <f t="shared" si="72"/>
        <v>0</v>
      </c>
      <c r="AS200" s="335">
        <f t="shared" si="72"/>
        <v>0</v>
      </c>
      <c r="AT200" s="335">
        <f t="shared" si="72"/>
        <v>0</v>
      </c>
      <c r="AU200" s="335">
        <f t="shared" si="72"/>
        <v>0</v>
      </c>
      <c r="AV200" s="335">
        <f t="shared" si="72"/>
        <v>0</v>
      </c>
      <c r="AW200" s="335">
        <f t="shared" si="72"/>
        <v>0</v>
      </c>
      <c r="AX200" s="335">
        <f t="shared" si="72"/>
        <v>0</v>
      </c>
      <c r="AY200" s="335">
        <f t="shared" si="72"/>
        <v>0</v>
      </c>
      <c r="AZ200" s="335">
        <f t="shared" si="72"/>
        <v>0</v>
      </c>
      <c r="BA200" s="335">
        <f t="shared" si="72"/>
        <v>0</v>
      </c>
      <c r="BB200" s="335">
        <f t="shared" si="72"/>
        <v>0</v>
      </c>
      <c r="BC200" s="335">
        <f t="shared" si="72"/>
        <v>0</v>
      </c>
      <c r="BE200" s="319" t="s">
        <v>615</v>
      </c>
      <c r="BF200" s="332"/>
      <c r="BG200" s="332"/>
      <c r="BH200" s="322"/>
      <c r="BI200" s="335">
        <f t="shared" ref="BI200:BU200" si="73">+SUM(BI190:BI199)</f>
        <v>0</v>
      </c>
      <c r="BJ200" s="335">
        <f t="shared" si="73"/>
        <v>0</v>
      </c>
      <c r="BK200" s="335">
        <f t="shared" si="73"/>
        <v>0</v>
      </c>
      <c r="BL200" s="335">
        <f t="shared" si="73"/>
        <v>0</v>
      </c>
      <c r="BM200" s="335">
        <f t="shared" si="73"/>
        <v>0</v>
      </c>
      <c r="BN200" s="335">
        <f t="shared" si="73"/>
        <v>0</v>
      </c>
      <c r="BO200" s="335">
        <f t="shared" si="73"/>
        <v>0</v>
      </c>
      <c r="BP200" s="335">
        <f t="shared" si="73"/>
        <v>0</v>
      </c>
      <c r="BQ200" s="335">
        <f t="shared" si="73"/>
        <v>0</v>
      </c>
      <c r="BR200" s="335">
        <f t="shared" si="73"/>
        <v>0</v>
      </c>
      <c r="BS200" s="335">
        <f t="shared" si="73"/>
        <v>0</v>
      </c>
      <c r="BT200" s="335">
        <f t="shared" si="73"/>
        <v>0</v>
      </c>
      <c r="BU200" s="335">
        <f t="shared" si="73"/>
        <v>0</v>
      </c>
      <c r="BW200" s="319" t="s">
        <v>615</v>
      </c>
      <c r="BX200" s="332"/>
      <c r="BY200" s="332"/>
      <c r="BZ200" s="322"/>
      <c r="CA200" s="335">
        <f t="shared" ref="CA200:CM200" si="74">+SUM(CA190:CA199)</f>
        <v>4834.8717948717949</v>
      </c>
      <c r="CB200" s="335">
        <f t="shared" si="74"/>
        <v>317.43589743589746</v>
      </c>
      <c r="CC200" s="335">
        <f t="shared" si="74"/>
        <v>317.43589743589746</v>
      </c>
      <c r="CD200" s="335">
        <f t="shared" si="74"/>
        <v>1343.0769230769231</v>
      </c>
      <c r="CE200" s="335">
        <f t="shared" si="74"/>
        <v>317.43589743589746</v>
      </c>
      <c r="CF200" s="335">
        <f t="shared" si="74"/>
        <v>317.43589743589746</v>
      </c>
      <c r="CG200" s="335">
        <f t="shared" si="74"/>
        <v>317.43589743589746</v>
      </c>
      <c r="CH200" s="335">
        <f t="shared" si="74"/>
        <v>317.43589743589746</v>
      </c>
      <c r="CI200" s="335">
        <f t="shared" si="74"/>
        <v>317.43589743589746</v>
      </c>
      <c r="CJ200" s="335">
        <f t="shared" si="74"/>
        <v>317.43589743589746</v>
      </c>
      <c r="CK200" s="335">
        <f t="shared" si="74"/>
        <v>317.43589743589746</v>
      </c>
      <c r="CL200" s="335">
        <f t="shared" si="74"/>
        <v>317.43589743589746</v>
      </c>
      <c r="CM200" s="335">
        <f t="shared" si="74"/>
        <v>317.43589743589746</v>
      </c>
      <c r="CN200" s="357">
        <f t="shared" si="51"/>
        <v>1</v>
      </c>
    </row>
    <row r="201" spans="2:92" ht="17" thickBot="1">
      <c r="B201" s="342"/>
      <c r="C201" s="343"/>
      <c r="D201" s="343"/>
      <c r="E201" s="344"/>
      <c r="F201" s="345"/>
      <c r="G201" s="345"/>
      <c r="H201" s="345"/>
      <c r="I201" s="345"/>
      <c r="J201" s="345"/>
      <c r="K201" s="345"/>
      <c r="L201" s="345"/>
      <c r="M201" s="345"/>
      <c r="N201" s="345"/>
      <c r="O201" s="345"/>
      <c r="P201" s="345"/>
      <c r="Q201" s="345"/>
      <c r="R201" s="345"/>
      <c r="S201" s="357">
        <f t="shared" si="50"/>
        <v>1</v>
      </c>
      <c r="U201" s="342"/>
      <c r="V201" s="343"/>
      <c r="W201" s="343"/>
      <c r="X201" s="344"/>
      <c r="Y201" s="345"/>
      <c r="Z201" s="345"/>
      <c r="AA201" s="345"/>
      <c r="AB201" s="345"/>
      <c r="AC201" s="345"/>
      <c r="AD201" s="345"/>
      <c r="AE201" s="345"/>
      <c r="AF201" s="345"/>
      <c r="AG201" s="345"/>
      <c r="AH201" s="345"/>
      <c r="AI201" s="345"/>
      <c r="AJ201" s="345"/>
      <c r="AK201" s="345"/>
      <c r="AM201" s="342"/>
      <c r="AN201" s="343"/>
      <c r="AO201" s="343"/>
      <c r="AP201" s="344"/>
      <c r="AQ201" s="345"/>
      <c r="AR201" s="345"/>
      <c r="AS201" s="345"/>
      <c r="AT201" s="345"/>
      <c r="AU201" s="345"/>
      <c r="AV201" s="345"/>
      <c r="AW201" s="345"/>
      <c r="AX201" s="345"/>
      <c r="AY201" s="345"/>
      <c r="AZ201" s="345"/>
      <c r="BA201" s="345"/>
      <c r="BB201" s="345"/>
      <c r="BC201" s="345"/>
      <c r="BE201" s="342"/>
      <c r="BF201" s="343"/>
      <c r="BG201" s="343"/>
      <c r="BH201" s="344"/>
      <c r="BI201" s="345"/>
      <c r="BJ201" s="345"/>
      <c r="BK201" s="345"/>
      <c r="BL201" s="345"/>
      <c r="BM201" s="345"/>
      <c r="BN201" s="345"/>
      <c r="BO201" s="345"/>
      <c r="BP201" s="345"/>
      <c r="BQ201" s="345"/>
      <c r="BR201" s="345"/>
      <c r="BS201" s="345"/>
      <c r="BT201" s="345"/>
      <c r="BU201" s="345"/>
      <c r="BW201" s="342"/>
      <c r="BX201" s="343"/>
      <c r="BY201" s="343"/>
      <c r="BZ201" s="344"/>
      <c r="CA201" s="345"/>
      <c r="CB201" s="345"/>
      <c r="CC201" s="345"/>
      <c r="CD201" s="345"/>
      <c r="CE201" s="345"/>
      <c r="CF201" s="345"/>
      <c r="CG201" s="345"/>
      <c r="CH201" s="345"/>
      <c r="CI201" s="345"/>
      <c r="CJ201" s="345"/>
      <c r="CK201" s="345"/>
      <c r="CL201" s="345"/>
      <c r="CM201" s="345"/>
      <c r="CN201" s="357">
        <f t="shared" si="51"/>
        <v>1</v>
      </c>
    </row>
    <row r="203" spans="2:92">
      <c r="AA203" s="544"/>
    </row>
  </sheetData>
  <mergeCells count="1">
    <mergeCell ref="E3:F3"/>
  </mergeCells>
  <conditionalFormatting sqref="L6:L99">
    <cfRule type="cellIs" dxfId="3" priority="3" operator="equal">
      <formula>0</formula>
    </cfRule>
  </conditionalFormatting>
  <conditionalFormatting sqref="S105:S201">
    <cfRule type="cellIs" dxfId="2" priority="2" operator="equal">
      <formula>0</formula>
    </cfRule>
  </conditionalFormatting>
  <conditionalFormatting sqref="CN105:CN201">
    <cfRule type="cellIs" dxfId="1" priority="1" operator="equal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B542D-0FD4-AC46-BECF-8351D27FA95F}">
  <sheetPr codeName="Sheet13" filterMode="1"/>
  <dimension ref="A2:AP166"/>
  <sheetViews>
    <sheetView showGridLines="0" tabSelected="1" zoomScale="75" zoomScaleNormal="125" workbookViewId="0">
      <selection activeCell="J161" sqref="J161"/>
    </sheetView>
  </sheetViews>
  <sheetFormatPr baseColWidth="10" defaultRowHeight="16" outlineLevelCol="1"/>
  <cols>
    <col min="4" max="7" width="10.83203125" style="191"/>
    <col min="15" max="17" width="14" hidden="1" customWidth="1" outlineLevel="1"/>
    <col min="18" max="28" width="12.5" hidden="1" customWidth="1" outlineLevel="1"/>
    <col min="29" max="29" width="11" bestFit="1" customWidth="1" collapsed="1"/>
    <col min="30" max="31" width="14" bestFit="1" customWidth="1"/>
    <col min="32" max="42" width="12.5" bestFit="1" customWidth="1"/>
  </cols>
  <sheetData>
    <row r="2" spans="2:42">
      <c r="AD2" s="1" t="s">
        <v>129</v>
      </c>
      <c r="AE2" s="512">
        <f>+Supuestos!M8</f>
        <v>19.5</v>
      </c>
    </row>
    <row r="3" spans="2:42">
      <c r="AD3" s="1" t="s">
        <v>27</v>
      </c>
      <c r="AE3" s="512">
        <f>+Supuestos!M9</f>
        <v>5.5</v>
      </c>
    </row>
    <row r="5" spans="2:42">
      <c r="B5" s="194" t="s">
        <v>130</v>
      </c>
      <c r="C5" s="194" t="s">
        <v>131</v>
      </c>
      <c r="D5" s="195" t="s">
        <v>132</v>
      </c>
      <c r="E5" s="196" t="s">
        <v>133</v>
      </c>
      <c r="F5" s="197" t="s">
        <v>134</v>
      </c>
      <c r="G5" s="198" t="s">
        <v>135</v>
      </c>
      <c r="H5" s="194" t="s">
        <v>136</v>
      </c>
      <c r="I5" s="194" t="s">
        <v>137</v>
      </c>
      <c r="J5" s="194" t="s">
        <v>138</v>
      </c>
      <c r="K5" s="194" t="s">
        <v>139</v>
      </c>
      <c r="L5" s="194" t="s">
        <v>140</v>
      </c>
      <c r="M5" s="194" t="s">
        <v>141</v>
      </c>
      <c r="N5" s="194" t="s">
        <v>142</v>
      </c>
      <c r="O5" s="199" t="s">
        <v>143</v>
      </c>
      <c r="P5" s="194" t="s">
        <v>143</v>
      </c>
      <c r="Q5" s="194" t="s">
        <v>144</v>
      </c>
      <c r="R5" s="194" t="s">
        <v>145</v>
      </c>
      <c r="S5" s="194" t="s">
        <v>146</v>
      </c>
      <c r="T5" s="194" t="s">
        <v>147</v>
      </c>
      <c r="U5" s="194" t="s">
        <v>34</v>
      </c>
      <c r="V5" s="194" t="s">
        <v>148</v>
      </c>
      <c r="W5" s="194" t="s">
        <v>149</v>
      </c>
      <c r="X5" s="194" t="s">
        <v>150</v>
      </c>
      <c r="Y5" s="194" t="s">
        <v>151</v>
      </c>
      <c r="Z5" s="194" t="s">
        <v>152</v>
      </c>
      <c r="AA5" s="194" t="s">
        <v>153</v>
      </c>
      <c r="AB5" s="194" t="s">
        <v>154</v>
      </c>
      <c r="AD5" s="510" t="s">
        <v>143</v>
      </c>
      <c r="AE5" s="510" t="s">
        <v>144</v>
      </c>
      <c r="AF5" s="510" t="s">
        <v>145</v>
      </c>
      <c r="AG5" s="510" t="s">
        <v>146</v>
      </c>
      <c r="AH5" s="510" t="s">
        <v>147</v>
      </c>
      <c r="AI5" s="510" t="s">
        <v>34</v>
      </c>
      <c r="AJ5" s="510" t="s">
        <v>148</v>
      </c>
      <c r="AK5" s="510" t="s">
        <v>149</v>
      </c>
      <c r="AL5" s="510" t="s">
        <v>150</v>
      </c>
      <c r="AM5" s="510" t="s">
        <v>151</v>
      </c>
      <c r="AN5" s="510" t="s">
        <v>152</v>
      </c>
      <c r="AO5" s="510" t="s">
        <v>153</v>
      </c>
      <c r="AP5" s="510" t="s">
        <v>154</v>
      </c>
    </row>
    <row r="6" spans="2:42" hidden="1">
      <c r="B6" t="str">
        <f>+'Admon 2025'!A49</f>
        <v>ADM</v>
      </c>
      <c r="C6" t="str">
        <f>+'Admon 2025'!B49</f>
        <v>Maria Josefa Avalos</v>
      </c>
      <c r="D6" s="191">
        <f>+'Admon 2025'!C49</f>
        <v>0</v>
      </c>
      <c r="E6" s="191">
        <f>+'Admon 2025'!D49</f>
        <v>0</v>
      </c>
      <c r="F6" s="191">
        <f>+'Admon 2025'!E49</f>
        <v>0</v>
      </c>
      <c r="G6" s="191">
        <f>+'Admon 2025'!F49</f>
        <v>1</v>
      </c>
      <c r="H6" t="str">
        <f>+'Admon 2025'!G49</f>
        <v>Arrendadora Laptops</v>
      </c>
      <c r="I6" t="str">
        <f>+'Admon 2025'!H49</f>
        <v>Laptops</v>
      </c>
      <c r="J6" t="str">
        <f>+'Admon 2025'!I49</f>
        <v>Laptops</v>
      </c>
      <c r="K6" t="str">
        <f>+'Admon 2025'!J49</f>
        <v>156.01.001</v>
      </c>
      <c r="L6" t="str">
        <f>+'Admon 2025'!K49</f>
        <v>EQUIPO DE COMPUTO</v>
      </c>
      <c r="M6" t="str">
        <f>+'Admon 2025'!L49</f>
        <v>CAPEX</v>
      </c>
      <c r="N6" t="str">
        <f>+'Admon 2025'!M49</f>
        <v>MXN</v>
      </c>
      <c r="O6" s="300">
        <f>+'Admon 2025'!N49</f>
        <v>3809.2307692307691</v>
      </c>
      <c r="P6" s="300">
        <f>+'Admon 2025'!O49</f>
        <v>74280</v>
      </c>
      <c r="Q6" s="300">
        <f>+'Admon 2025'!P49</f>
        <v>6190</v>
      </c>
      <c r="R6" s="300">
        <f>+'Admon 2025'!Q49</f>
        <v>6190</v>
      </c>
      <c r="S6" s="300">
        <f>+'Admon 2025'!R49</f>
        <v>6190</v>
      </c>
      <c r="T6" s="300">
        <f>+'Admon 2025'!S49</f>
        <v>6190</v>
      </c>
      <c r="U6" s="300">
        <f>+'Admon 2025'!T49</f>
        <v>6190</v>
      </c>
      <c r="V6" s="300">
        <f>+'Admon 2025'!U49</f>
        <v>6190</v>
      </c>
      <c r="W6" s="300">
        <f>+'Admon 2025'!V49</f>
        <v>6190</v>
      </c>
      <c r="X6" s="300">
        <f>+'Admon 2025'!W49</f>
        <v>6190</v>
      </c>
      <c r="Y6" s="300">
        <f>+'Admon 2025'!X49</f>
        <v>6190</v>
      </c>
      <c r="Z6" s="300">
        <f>+'Admon 2025'!Y49</f>
        <v>6190</v>
      </c>
      <c r="AA6" s="300">
        <f>+'Admon 2025'!Z49</f>
        <v>6190</v>
      </c>
      <c r="AB6" s="300">
        <f>+'Admon 2025'!AA49</f>
        <v>6190</v>
      </c>
      <c r="AC6" s="301">
        <f t="shared" ref="AC6:AC37" si="0">+IF(AD6=O6,1,0)</f>
        <v>1</v>
      </c>
      <c r="AD6" s="511">
        <f t="shared" ref="AD6:AD37" si="1">+SUM(AE6:AP6)</f>
        <v>3809.2307692307695</v>
      </c>
      <c r="AE6" s="300">
        <f t="shared" ref="AE6:AE37" si="2">+IF($N6="MXN",Q6/$AE$2,IF($N6="BRL",Q6/$AE$3,Q6))</f>
        <v>317.43589743589746</v>
      </c>
      <c r="AF6" s="300">
        <f t="shared" ref="AF6:AF37" si="3">+IF($N6="MXN",R6/$AE$2,IF($N6="BRL",R6/$AE$3,R6))</f>
        <v>317.43589743589746</v>
      </c>
      <c r="AG6" s="300">
        <f t="shared" ref="AG6:AG37" si="4">+IF($N6="MXN",S6/$AE$2,IF($N6="BRL",S6/$AE$3,S6))</f>
        <v>317.43589743589746</v>
      </c>
      <c r="AH6" s="300">
        <f t="shared" ref="AH6:AH37" si="5">+IF($N6="MXN",T6/$AE$2,IF($N6="BRL",T6/$AE$3,T6))</f>
        <v>317.43589743589746</v>
      </c>
      <c r="AI6" s="300">
        <f t="shared" ref="AI6:AI37" si="6">+IF($N6="MXN",U6/$AE$2,IF($N6="BRL",U6/$AE$3,U6))</f>
        <v>317.43589743589746</v>
      </c>
      <c r="AJ6" s="300">
        <f t="shared" ref="AJ6:AJ37" si="7">+IF($N6="MXN",V6/$AE$2,IF($N6="BRL",V6/$AE$3,V6))</f>
        <v>317.43589743589746</v>
      </c>
      <c r="AK6" s="300">
        <f t="shared" ref="AK6:AK37" si="8">+IF($N6="MXN",W6/$AE$2,IF($N6="BRL",W6/$AE$3,W6))</f>
        <v>317.43589743589746</v>
      </c>
      <c r="AL6" s="300">
        <f t="shared" ref="AL6:AL37" si="9">+IF($N6="MXN",X6/$AE$2,IF($N6="BRL",X6/$AE$3,X6))</f>
        <v>317.43589743589746</v>
      </c>
      <c r="AM6" s="300">
        <f t="shared" ref="AM6:AM37" si="10">+IF($N6="MXN",Y6/$AE$2,IF($N6="BRL",Y6/$AE$3,Y6))</f>
        <v>317.43589743589746</v>
      </c>
      <c r="AN6" s="300">
        <f t="shared" ref="AN6:AN37" si="11">+IF($N6="MXN",Z6/$AE$2,IF($N6="BRL",Z6/$AE$3,Z6))</f>
        <v>317.43589743589746</v>
      </c>
      <c r="AO6" s="300">
        <f t="shared" ref="AO6:AO37" si="12">+IF($N6="MXN",AA6/$AE$2,IF($N6="BRL",AA6/$AE$3,AA6))</f>
        <v>317.43589743589746</v>
      </c>
      <c r="AP6" s="300">
        <f t="shared" ref="AP6:AP37" si="13">+IF($N6="MXN",AB6/$AE$2,IF($N6="BRL",AB6/$AE$3,AB6))</f>
        <v>317.43589743589746</v>
      </c>
    </row>
    <row r="7" spans="2:42" hidden="1">
      <c r="B7" t="str">
        <f>+'Admon 2025'!A38</f>
        <v>ADM</v>
      </c>
      <c r="C7" t="str">
        <f>+'Admon 2025'!B38</f>
        <v>Maria Josefa Avalos</v>
      </c>
      <c r="D7" s="191">
        <f>+'Admon 2025'!C38</f>
        <v>0</v>
      </c>
      <c r="E7" s="191">
        <f>+'Admon 2025'!D38</f>
        <v>0</v>
      </c>
      <c r="F7" s="191">
        <f>+'Admon 2025'!E38</f>
        <v>0</v>
      </c>
      <c r="G7" s="191">
        <f>+'Admon 2025'!F38</f>
        <v>1</v>
      </c>
      <c r="H7" t="str">
        <f>+'Admon 2025'!G38</f>
        <v>Hotel</v>
      </c>
      <c r="I7" t="str">
        <f>+'Admon 2025'!H38</f>
        <v>Multiple</v>
      </c>
      <c r="J7" t="str">
        <f>+'Admon 2025'!I38</f>
        <v>2MX - 2 noches</v>
      </c>
      <c r="K7" t="str">
        <f>+'Admon 2025'!J38</f>
        <v>603.49.001</v>
      </c>
      <c r="L7" t="str">
        <f>+'Admon 2025'!K38</f>
        <v>Viaticos Hotel</v>
      </c>
      <c r="M7" t="str">
        <f>+'Admon 2025'!L38</f>
        <v>Gastos de Viaje</v>
      </c>
      <c r="N7" t="str">
        <f>+'Admon 2025'!M38</f>
        <v>MXN</v>
      </c>
      <c r="O7" s="300">
        <f>+'Admon 2025'!N38</f>
        <v>0</v>
      </c>
      <c r="P7" s="300">
        <f>+'Admon 2025'!O38</f>
        <v>0</v>
      </c>
      <c r="Q7" s="300">
        <f>+'Admon 2025'!P38</f>
        <v>0</v>
      </c>
      <c r="R7" s="300">
        <f>+'Admon 2025'!Q38</f>
        <v>0</v>
      </c>
      <c r="S7" s="300">
        <f>+'Admon 2025'!R38</f>
        <v>0</v>
      </c>
      <c r="T7" s="300">
        <f>+'Admon 2025'!S38</f>
        <v>0</v>
      </c>
      <c r="U7" s="300">
        <f>+'Admon 2025'!T38</f>
        <v>0</v>
      </c>
      <c r="V7" s="300">
        <f>+'Admon 2025'!U38</f>
        <v>0</v>
      </c>
      <c r="W7" s="300">
        <f>+'Admon 2025'!V38</f>
        <v>0</v>
      </c>
      <c r="X7" s="300">
        <f>+'Admon 2025'!W38</f>
        <v>0</v>
      </c>
      <c r="Y7" s="300">
        <f>+'Admon 2025'!X38</f>
        <v>0</v>
      </c>
      <c r="Z7" s="300">
        <f>+'Admon 2025'!Y38</f>
        <v>0</v>
      </c>
      <c r="AA7" s="300">
        <f>+'Admon 2025'!Z38</f>
        <v>0</v>
      </c>
      <c r="AB7" s="300">
        <f>+'Admon 2025'!AA38</f>
        <v>0</v>
      </c>
      <c r="AC7" s="301">
        <f t="shared" si="0"/>
        <v>1</v>
      </c>
      <c r="AD7" s="511">
        <f t="shared" si="1"/>
        <v>0</v>
      </c>
      <c r="AE7" s="300">
        <f t="shared" si="2"/>
        <v>0</v>
      </c>
      <c r="AF7" s="300">
        <f t="shared" si="3"/>
        <v>0</v>
      </c>
      <c r="AG7" s="300">
        <f t="shared" si="4"/>
        <v>0</v>
      </c>
      <c r="AH7" s="300">
        <f t="shared" si="5"/>
        <v>0</v>
      </c>
      <c r="AI7" s="300">
        <f t="shared" si="6"/>
        <v>0</v>
      </c>
      <c r="AJ7" s="300">
        <f t="shared" si="7"/>
        <v>0</v>
      </c>
      <c r="AK7" s="300">
        <f t="shared" si="8"/>
        <v>0</v>
      </c>
      <c r="AL7" s="300">
        <f t="shared" si="9"/>
        <v>0</v>
      </c>
      <c r="AM7" s="300">
        <f t="shared" si="10"/>
        <v>0</v>
      </c>
      <c r="AN7" s="300">
        <f t="shared" si="11"/>
        <v>0</v>
      </c>
      <c r="AO7" s="300">
        <f t="shared" si="12"/>
        <v>0</v>
      </c>
      <c r="AP7" s="300">
        <f t="shared" si="13"/>
        <v>0</v>
      </c>
    </row>
    <row r="8" spans="2:42" hidden="1">
      <c r="B8" t="str">
        <f>+'Admon 2025'!A39</f>
        <v>ADM</v>
      </c>
      <c r="C8" t="str">
        <f>+'Admon 2025'!B39</f>
        <v>Maria Josefa Avalos</v>
      </c>
      <c r="D8" s="191">
        <f>+'Admon 2025'!C39</f>
        <v>0</v>
      </c>
      <c r="E8" s="191">
        <f>+'Admon 2025'!D39</f>
        <v>0</v>
      </c>
      <c r="F8" s="191">
        <f>+'Admon 2025'!E39</f>
        <v>0</v>
      </c>
      <c r="G8" s="191">
        <f>+'Admon 2025'!F39</f>
        <v>1</v>
      </c>
      <c r="H8" t="str">
        <f>+'Admon 2025'!G39</f>
        <v>Taxi</v>
      </c>
      <c r="I8" t="str">
        <f>+'Admon 2025'!H39</f>
        <v>Multiple</v>
      </c>
      <c r="J8" t="str">
        <f>+'Admon 2025'!I39</f>
        <v>2MX - 2 noches</v>
      </c>
      <c r="K8" t="str">
        <f>+'Admon 2025'!J39</f>
        <v>603.49.002</v>
      </c>
      <c r="L8" t="str">
        <f>+'Admon 2025'!K39</f>
        <v>Vaticos Taxi</v>
      </c>
      <c r="M8" t="str">
        <f>+'Admon 2025'!L39</f>
        <v>Gastos de Viaje</v>
      </c>
      <c r="N8" t="str">
        <f>+'Admon 2025'!M39</f>
        <v>MXN</v>
      </c>
      <c r="O8" s="300">
        <f>+'Admon 2025'!N39</f>
        <v>0</v>
      </c>
      <c r="P8" s="300">
        <f>+'Admon 2025'!O39</f>
        <v>0</v>
      </c>
      <c r="Q8" s="300">
        <f>+'Admon 2025'!P39</f>
        <v>0</v>
      </c>
      <c r="R8" s="300">
        <f>+'Admon 2025'!Q39</f>
        <v>0</v>
      </c>
      <c r="S8" s="300">
        <f>+'Admon 2025'!R39</f>
        <v>0</v>
      </c>
      <c r="T8" s="300">
        <f>+'Admon 2025'!S39</f>
        <v>0</v>
      </c>
      <c r="U8" s="300">
        <f>+'Admon 2025'!T39</f>
        <v>0</v>
      </c>
      <c r="V8" s="300">
        <f>+'Admon 2025'!U39</f>
        <v>0</v>
      </c>
      <c r="W8" s="300">
        <f>+'Admon 2025'!V39</f>
        <v>0</v>
      </c>
      <c r="X8" s="300">
        <f>+'Admon 2025'!W39</f>
        <v>0</v>
      </c>
      <c r="Y8" s="300">
        <f>+'Admon 2025'!X39</f>
        <v>0</v>
      </c>
      <c r="Z8" s="300">
        <f>+'Admon 2025'!Y39</f>
        <v>0</v>
      </c>
      <c r="AA8" s="300">
        <f>+'Admon 2025'!Z39</f>
        <v>0</v>
      </c>
      <c r="AB8" s="300">
        <f>+'Admon 2025'!AA39</f>
        <v>0</v>
      </c>
      <c r="AC8" s="301">
        <f t="shared" si="0"/>
        <v>1</v>
      </c>
      <c r="AD8" s="511">
        <f t="shared" si="1"/>
        <v>0</v>
      </c>
      <c r="AE8" s="300">
        <f t="shared" si="2"/>
        <v>0</v>
      </c>
      <c r="AF8" s="300">
        <f t="shared" si="3"/>
        <v>0</v>
      </c>
      <c r="AG8" s="300">
        <f t="shared" si="4"/>
        <v>0</v>
      </c>
      <c r="AH8" s="300">
        <f t="shared" si="5"/>
        <v>0</v>
      </c>
      <c r="AI8" s="300">
        <f t="shared" si="6"/>
        <v>0</v>
      </c>
      <c r="AJ8" s="300">
        <f t="shared" si="7"/>
        <v>0</v>
      </c>
      <c r="AK8" s="300">
        <f t="shared" si="8"/>
        <v>0</v>
      </c>
      <c r="AL8" s="300">
        <f t="shared" si="9"/>
        <v>0</v>
      </c>
      <c r="AM8" s="300">
        <f t="shared" si="10"/>
        <v>0</v>
      </c>
      <c r="AN8" s="300">
        <f t="shared" si="11"/>
        <v>0</v>
      </c>
      <c r="AO8" s="300">
        <f t="shared" si="12"/>
        <v>0</v>
      </c>
      <c r="AP8" s="300">
        <f t="shared" si="13"/>
        <v>0</v>
      </c>
    </row>
    <row r="9" spans="2:42" hidden="1">
      <c r="B9" t="str">
        <f>+'Admon 2025'!A40</f>
        <v>ADM</v>
      </c>
      <c r="C9" t="str">
        <f>+'Admon 2025'!B40</f>
        <v>Maria Josefa Avalos</v>
      </c>
      <c r="D9" s="191">
        <f>+'Admon 2025'!C40</f>
        <v>0</v>
      </c>
      <c r="E9" s="191">
        <f>+'Admon 2025'!D40</f>
        <v>0</v>
      </c>
      <c r="F9" s="191">
        <f>+'Admon 2025'!E40</f>
        <v>0</v>
      </c>
      <c r="G9" s="191">
        <f>+'Admon 2025'!F40</f>
        <v>1</v>
      </c>
      <c r="H9" t="str">
        <f>+'Admon 2025'!G40</f>
        <v>Plane</v>
      </c>
      <c r="I9" t="str">
        <f>+'Admon 2025'!H40</f>
        <v>Multiple</v>
      </c>
      <c r="J9" t="str">
        <f>+'Admon 2025'!I40</f>
        <v>2MX - 2 noches</v>
      </c>
      <c r="K9" t="str">
        <f>+'Admon 2025'!J40</f>
        <v>603.49.003</v>
      </c>
      <c r="L9" t="str">
        <f>+'Admon 2025'!K40</f>
        <v>Viaticos Avion</v>
      </c>
      <c r="M9" t="str">
        <f>+'Admon 2025'!L40</f>
        <v>Gastos de Viaje</v>
      </c>
      <c r="N9" t="str">
        <f>+'Admon 2025'!M40</f>
        <v>MXN</v>
      </c>
      <c r="O9" s="300">
        <f>+'Admon 2025'!N40</f>
        <v>0</v>
      </c>
      <c r="P9" s="300">
        <f>+'Admon 2025'!O40</f>
        <v>0</v>
      </c>
      <c r="Q9" s="300">
        <f>+'Admon 2025'!P40</f>
        <v>0</v>
      </c>
      <c r="R9" s="300">
        <f>+'Admon 2025'!Q40</f>
        <v>0</v>
      </c>
      <c r="S9" s="300">
        <f>+'Admon 2025'!R40</f>
        <v>0</v>
      </c>
      <c r="T9" s="300">
        <f>+'Admon 2025'!S40</f>
        <v>0</v>
      </c>
      <c r="U9" s="300">
        <f>+'Admon 2025'!T40</f>
        <v>0</v>
      </c>
      <c r="V9" s="300">
        <f>+'Admon 2025'!U40</f>
        <v>0</v>
      </c>
      <c r="W9" s="300">
        <f>+'Admon 2025'!V40</f>
        <v>0</v>
      </c>
      <c r="X9" s="300">
        <f>+'Admon 2025'!W40</f>
        <v>0</v>
      </c>
      <c r="Y9" s="300">
        <f>+'Admon 2025'!X40</f>
        <v>0</v>
      </c>
      <c r="Z9" s="300">
        <f>+'Admon 2025'!Y40</f>
        <v>0</v>
      </c>
      <c r="AA9" s="300">
        <f>+'Admon 2025'!Z40</f>
        <v>0</v>
      </c>
      <c r="AB9" s="300">
        <f>+'Admon 2025'!AA40</f>
        <v>0</v>
      </c>
      <c r="AC9" s="301">
        <f t="shared" si="0"/>
        <v>1</v>
      </c>
      <c r="AD9" s="511">
        <f t="shared" si="1"/>
        <v>0</v>
      </c>
      <c r="AE9" s="300">
        <f t="shared" si="2"/>
        <v>0</v>
      </c>
      <c r="AF9" s="300">
        <f t="shared" si="3"/>
        <v>0</v>
      </c>
      <c r="AG9" s="300">
        <f t="shared" si="4"/>
        <v>0</v>
      </c>
      <c r="AH9" s="300">
        <f t="shared" si="5"/>
        <v>0</v>
      </c>
      <c r="AI9" s="300">
        <f t="shared" si="6"/>
        <v>0</v>
      </c>
      <c r="AJ9" s="300">
        <f t="shared" si="7"/>
        <v>0</v>
      </c>
      <c r="AK9" s="300">
        <f t="shared" si="8"/>
        <v>0</v>
      </c>
      <c r="AL9" s="300">
        <f t="shared" si="9"/>
        <v>0</v>
      </c>
      <c r="AM9" s="300">
        <f t="shared" si="10"/>
        <v>0</v>
      </c>
      <c r="AN9" s="300">
        <f t="shared" si="11"/>
        <v>0</v>
      </c>
      <c r="AO9" s="300">
        <f t="shared" si="12"/>
        <v>0</v>
      </c>
      <c r="AP9" s="300">
        <f t="shared" si="13"/>
        <v>0</v>
      </c>
    </row>
    <row r="10" spans="2:42" hidden="1">
      <c r="B10" t="str">
        <f>+'Admon 2025'!A41</f>
        <v>ADM</v>
      </c>
      <c r="C10" t="str">
        <f>+'Admon 2025'!B41</f>
        <v>Maria Josefa Avalos</v>
      </c>
      <c r="D10" s="191">
        <f>+'Admon 2025'!C41</f>
        <v>0</v>
      </c>
      <c r="E10" s="191">
        <f>+'Admon 2025'!D41</f>
        <v>0</v>
      </c>
      <c r="F10" s="191">
        <f>+'Admon 2025'!E41</f>
        <v>0</v>
      </c>
      <c r="G10" s="191">
        <f>+'Admon 2025'!F41</f>
        <v>1</v>
      </c>
      <c r="H10" t="str">
        <f>+'Admon 2025'!G41</f>
        <v>Food</v>
      </c>
      <c r="I10" t="str">
        <f>+'Admon 2025'!H41</f>
        <v>Multiple</v>
      </c>
      <c r="J10" t="str">
        <f>+'Admon 2025'!I41</f>
        <v>2MX - 2 noches</v>
      </c>
      <c r="K10" t="str">
        <f>+'Admon 2025'!J41</f>
        <v>603.49.004</v>
      </c>
      <c r="L10" t="str">
        <f>+'Admon 2025'!K41</f>
        <v>Viaticos Comidas</v>
      </c>
      <c r="M10" t="str">
        <f>+'Admon 2025'!L41</f>
        <v>Gastos de Viaje</v>
      </c>
      <c r="N10" t="str">
        <f>+'Admon 2025'!M41</f>
        <v>MXN</v>
      </c>
      <c r="O10" s="300">
        <f>+'Admon 2025'!N41</f>
        <v>0</v>
      </c>
      <c r="P10" s="300">
        <f>+'Admon 2025'!O41</f>
        <v>0</v>
      </c>
      <c r="Q10" s="300">
        <f>+'Admon 2025'!P41</f>
        <v>0</v>
      </c>
      <c r="R10" s="300">
        <f>+'Admon 2025'!Q41</f>
        <v>0</v>
      </c>
      <c r="S10" s="300">
        <f>+'Admon 2025'!R41</f>
        <v>0</v>
      </c>
      <c r="T10" s="300">
        <f>+'Admon 2025'!S41</f>
        <v>0</v>
      </c>
      <c r="U10" s="300">
        <f>+'Admon 2025'!T41</f>
        <v>0</v>
      </c>
      <c r="V10" s="300">
        <f>+'Admon 2025'!U41</f>
        <v>0</v>
      </c>
      <c r="W10" s="300">
        <f>+'Admon 2025'!V41</f>
        <v>0</v>
      </c>
      <c r="X10" s="300">
        <f>+'Admon 2025'!W41</f>
        <v>0</v>
      </c>
      <c r="Y10" s="300">
        <f>+'Admon 2025'!X41</f>
        <v>0</v>
      </c>
      <c r="Z10" s="300">
        <f>+'Admon 2025'!Y41</f>
        <v>0</v>
      </c>
      <c r="AA10" s="300">
        <f>+'Admon 2025'!Z41</f>
        <v>0</v>
      </c>
      <c r="AB10" s="300">
        <f>+'Admon 2025'!AA41</f>
        <v>0</v>
      </c>
      <c r="AC10" s="301">
        <f t="shared" si="0"/>
        <v>1</v>
      </c>
      <c r="AD10" s="511">
        <f t="shared" si="1"/>
        <v>0</v>
      </c>
      <c r="AE10" s="300">
        <f t="shared" si="2"/>
        <v>0</v>
      </c>
      <c r="AF10" s="300">
        <f t="shared" si="3"/>
        <v>0</v>
      </c>
      <c r="AG10" s="300">
        <f t="shared" si="4"/>
        <v>0</v>
      </c>
      <c r="AH10" s="300">
        <f t="shared" si="5"/>
        <v>0</v>
      </c>
      <c r="AI10" s="300">
        <f t="shared" si="6"/>
        <v>0</v>
      </c>
      <c r="AJ10" s="300">
        <f t="shared" si="7"/>
        <v>0</v>
      </c>
      <c r="AK10" s="300">
        <f t="shared" si="8"/>
        <v>0</v>
      </c>
      <c r="AL10" s="300">
        <f t="shared" si="9"/>
        <v>0</v>
      </c>
      <c r="AM10" s="300">
        <f t="shared" si="10"/>
        <v>0</v>
      </c>
      <c r="AN10" s="300">
        <f t="shared" si="11"/>
        <v>0</v>
      </c>
      <c r="AO10" s="300">
        <f t="shared" si="12"/>
        <v>0</v>
      </c>
      <c r="AP10" s="300">
        <f t="shared" si="13"/>
        <v>0</v>
      </c>
    </row>
    <row r="11" spans="2:42" hidden="1">
      <c r="B11" t="str">
        <f>+'Admon 2025'!A34</f>
        <v>ADM</v>
      </c>
      <c r="C11" t="str">
        <f>+'Admon 2025'!B34</f>
        <v>Maria Josefa Avalos</v>
      </c>
      <c r="D11" s="191">
        <f>+'Admon 2025'!C34</f>
        <v>0.92</v>
      </c>
      <c r="E11" s="191">
        <f>+'Admon 2025'!D34</f>
        <v>0.06</v>
      </c>
      <c r="F11" s="191">
        <f>+'Admon 2025'!E34</f>
        <v>0.02</v>
      </c>
      <c r="G11" s="191">
        <f>+'Admon 2025'!F34</f>
        <v>0</v>
      </c>
      <c r="H11" t="str">
        <f>+'Admon 2025'!G34</f>
        <v>Benefits</v>
      </c>
      <c r="I11" t="str">
        <f>+'Admon 2025'!H34</f>
        <v>Seguro Gastos Medicos Mayores</v>
      </c>
      <c r="J11" t="str">
        <f>+'Admon 2025'!I34</f>
        <v>Todos los empleados - 38 empleados</v>
      </c>
      <c r="K11" t="str">
        <f>+'Admon 2025'!J34</f>
        <v>603.57.001</v>
      </c>
      <c r="L11" t="str">
        <f>+'Admon 2025'!K34</f>
        <v>Seguros y Fianzas</v>
      </c>
      <c r="M11" t="str">
        <f>+'Admon 2025'!L34</f>
        <v>Otros</v>
      </c>
      <c r="N11" t="str">
        <f>+'Admon 2025'!M34</f>
        <v>MXN</v>
      </c>
      <c r="O11" s="300">
        <f>+'Admon 2025'!N34</f>
        <v>24205.128205128207</v>
      </c>
      <c r="P11" s="300">
        <f>+'Admon 2025'!O34</f>
        <v>472000</v>
      </c>
      <c r="Q11" s="300">
        <f>+'Admon 2025'!P34</f>
        <v>0</v>
      </c>
      <c r="R11" s="300">
        <f>+'Admon 2025'!Q34</f>
        <v>118000</v>
      </c>
      <c r="S11" s="300">
        <f>+'Admon 2025'!R34</f>
        <v>0</v>
      </c>
      <c r="T11" s="300">
        <f>+'Admon 2025'!S34</f>
        <v>118000</v>
      </c>
      <c r="U11" s="300">
        <f>+'Admon 2025'!T34</f>
        <v>0</v>
      </c>
      <c r="V11" s="300">
        <f>+'Admon 2025'!U34</f>
        <v>0</v>
      </c>
      <c r="W11" s="300">
        <f>+'Admon 2025'!V34</f>
        <v>0</v>
      </c>
      <c r="X11" s="300">
        <f>+'Admon 2025'!W34</f>
        <v>118000</v>
      </c>
      <c r="Y11" s="300">
        <f>+'Admon 2025'!X34</f>
        <v>0</v>
      </c>
      <c r="Z11" s="300">
        <f>+'Admon 2025'!Y34</f>
        <v>0</v>
      </c>
      <c r="AA11" s="300">
        <f>+'Admon 2025'!Z34</f>
        <v>118000</v>
      </c>
      <c r="AB11" s="300">
        <f>+'Admon 2025'!AA34</f>
        <v>0</v>
      </c>
      <c r="AC11" s="301">
        <f t="shared" si="0"/>
        <v>1</v>
      </c>
      <c r="AD11" s="511">
        <f t="shared" si="1"/>
        <v>24205.128205128207</v>
      </c>
      <c r="AE11" s="300">
        <f t="shared" si="2"/>
        <v>0</v>
      </c>
      <c r="AF11" s="300">
        <f t="shared" si="3"/>
        <v>6051.2820512820517</v>
      </c>
      <c r="AG11" s="300">
        <f t="shared" si="4"/>
        <v>0</v>
      </c>
      <c r="AH11" s="300">
        <f t="shared" si="5"/>
        <v>6051.2820512820517</v>
      </c>
      <c r="AI11" s="300">
        <f t="shared" si="6"/>
        <v>0</v>
      </c>
      <c r="AJ11" s="300">
        <f t="shared" si="7"/>
        <v>0</v>
      </c>
      <c r="AK11" s="300">
        <f t="shared" si="8"/>
        <v>0</v>
      </c>
      <c r="AL11" s="300">
        <f t="shared" si="9"/>
        <v>6051.2820512820517</v>
      </c>
      <c r="AM11" s="300">
        <f t="shared" si="10"/>
        <v>0</v>
      </c>
      <c r="AN11" s="300">
        <f t="shared" si="11"/>
        <v>0</v>
      </c>
      <c r="AO11" s="300">
        <f t="shared" si="12"/>
        <v>6051.2820512820517</v>
      </c>
      <c r="AP11" s="300">
        <f t="shared" si="13"/>
        <v>0</v>
      </c>
    </row>
    <row r="12" spans="2:42" hidden="1">
      <c r="B12" t="str">
        <f>+'Admon 2025'!A35</f>
        <v>ADM</v>
      </c>
      <c r="C12" t="str">
        <f>+'Admon 2025'!B35</f>
        <v>Maria Josefa Avalos</v>
      </c>
      <c r="D12" s="191">
        <f>+'Admon 2025'!C35</f>
        <v>0.92</v>
      </c>
      <c r="E12" s="191">
        <f>+'Admon 2025'!D35</f>
        <v>0.06</v>
      </c>
      <c r="F12" s="191">
        <f>+'Admon 2025'!E35</f>
        <v>0.02</v>
      </c>
      <c r="G12" s="191">
        <f>+'Admon 2025'!F35</f>
        <v>0</v>
      </c>
      <c r="H12" t="str">
        <f>+'Admon 2025'!G35</f>
        <v>Benefits</v>
      </c>
      <c r="I12" t="str">
        <f>+'Admon 2025'!H35</f>
        <v>Seguro Gastos Medicos Menores</v>
      </c>
      <c r="J12" t="str">
        <f>+'Admon 2025'!I35</f>
        <v>Todos los empleados - 38 empleados</v>
      </c>
      <c r="K12" t="str">
        <f>+'Admon 2025'!J35</f>
        <v>603.57.001</v>
      </c>
      <c r="L12" t="str">
        <f>+'Admon 2025'!K35</f>
        <v>Seguros y Fianzas</v>
      </c>
      <c r="M12" t="str">
        <f>+'Admon 2025'!L35</f>
        <v>Otros</v>
      </c>
      <c r="N12" t="str">
        <f>+'Admon 2025'!M35</f>
        <v>MXN</v>
      </c>
      <c r="O12" s="300">
        <f>+'Admon 2025'!N35</f>
        <v>3589.7435897435898</v>
      </c>
      <c r="P12" s="300">
        <f>+'Admon 2025'!O35</f>
        <v>70000</v>
      </c>
      <c r="Q12" s="300">
        <f>+'Admon 2025'!P35</f>
        <v>0</v>
      </c>
      <c r="R12" s="300">
        <f>+'Admon 2025'!Q35</f>
        <v>0</v>
      </c>
      <c r="S12" s="300">
        <f>+'Admon 2025'!R35</f>
        <v>0</v>
      </c>
      <c r="T12" s="300">
        <f>+'Admon 2025'!S35</f>
        <v>0</v>
      </c>
      <c r="U12" s="300">
        <f>+'Admon 2025'!T35</f>
        <v>0</v>
      </c>
      <c r="V12" s="300">
        <f>+'Admon 2025'!U35</f>
        <v>35000</v>
      </c>
      <c r="W12" s="300">
        <f>+'Admon 2025'!V35</f>
        <v>0</v>
      </c>
      <c r="X12" s="300">
        <f>+'Admon 2025'!W35</f>
        <v>0</v>
      </c>
      <c r="Y12" s="300">
        <f>+'Admon 2025'!X35</f>
        <v>0</v>
      </c>
      <c r="Z12" s="300">
        <f>+'Admon 2025'!Y35</f>
        <v>0</v>
      </c>
      <c r="AA12" s="300">
        <f>+'Admon 2025'!Z35</f>
        <v>0</v>
      </c>
      <c r="AB12" s="300">
        <f>+'Admon 2025'!AA35</f>
        <v>35000</v>
      </c>
      <c r="AC12" s="301">
        <f t="shared" si="0"/>
        <v>1</v>
      </c>
      <c r="AD12" s="511">
        <f t="shared" si="1"/>
        <v>3589.7435897435898</v>
      </c>
      <c r="AE12" s="300">
        <f t="shared" si="2"/>
        <v>0</v>
      </c>
      <c r="AF12" s="300">
        <f t="shared" si="3"/>
        <v>0</v>
      </c>
      <c r="AG12" s="300">
        <f t="shared" si="4"/>
        <v>0</v>
      </c>
      <c r="AH12" s="300">
        <f t="shared" si="5"/>
        <v>0</v>
      </c>
      <c r="AI12" s="300">
        <f t="shared" si="6"/>
        <v>0</v>
      </c>
      <c r="AJ12" s="300">
        <f t="shared" si="7"/>
        <v>1794.8717948717949</v>
      </c>
      <c r="AK12" s="300">
        <f t="shared" si="8"/>
        <v>0</v>
      </c>
      <c r="AL12" s="300">
        <f t="shared" si="9"/>
        <v>0</v>
      </c>
      <c r="AM12" s="300">
        <f t="shared" si="10"/>
        <v>0</v>
      </c>
      <c r="AN12" s="300">
        <f t="shared" si="11"/>
        <v>0</v>
      </c>
      <c r="AO12" s="300">
        <f t="shared" si="12"/>
        <v>0</v>
      </c>
      <c r="AP12" s="300">
        <f t="shared" si="13"/>
        <v>1794.8717948717949</v>
      </c>
    </row>
    <row r="13" spans="2:42" hidden="1">
      <c r="B13" t="str">
        <f>+'Admon 2025'!A36</f>
        <v>ADM</v>
      </c>
      <c r="C13" t="str">
        <f>+'Admon 2025'!B36</f>
        <v>Maria Josefa Avalos</v>
      </c>
      <c r="D13" s="191">
        <f>+'Admon 2025'!C36</f>
        <v>0.92</v>
      </c>
      <c r="E13" s="191">
        <f>+'Admon 2025'!D36</f>
        <v>0.06</v>
      </c>
      <c r="F13" s="191">
        <f>+'Admon 2025'!E36</f>
        <v>0.02</v>
      </c>
      <c r="G13" s="191">
        <f>+'Admon 2025'!F36</f>
        <v>0</v>
      </c>
      <c r="H13" t="str">
        <f>+'Admon 2025'!G36</f>
        <v>Benefits</v>
      </c>
      <c r="I13" t="str">
        <f>+'Admon 2025'!H36</f>
        <v>Seguro de Vida</v>
      </c>
      <c r="J13" t="str">
        <f>+'Admon 2025'!I36</f>
        <v>Todos los empleados - 38 empleados</v>
      </c>
      <c r="K13" t="str">
        <f>+'Admon 2025'!J36</f>
        <v>603.57.001</v>
      </c>
      <c r="L13" t="str">
        <f>+'Admon 2025'!K36</f>
        <v>Seguros y Fianzas</v>
      </c>
      <c r="M13" t="str">
        <f>+'Admon 2025'!L36</f>
        <v>Otros</v>
      </c>
      <c r="N13" t="str">
        <f>+'Admon 2025'!M36</f>
        <v>MXN</v>
      </c>
      <c r="O13" s="300">
        <f>+'Admon 2025'!N36</f>
        <v>512.82051282051282</v>
      </c>
      <c r="P13" s="300">
        <f>+'Admon 2025'!O36</f>
        <v>10000</v>
      </c>
      <c r="Q13" s="300">
        <f>+'Admon 2025'!P36</f>
        <v>10000</v>
      </c>
      <c r="R13" s="300">
        <f>+'Admon 2025'!Q36</f>
        <v>0</v>
      </c>
      <c r="S13" s="300">
        <f>+'Admon 2025'!R36</f>
        <v>0</v>
      </c>
      <c r="T13" s="300">
        <f>+'Admon 2025'!S36</f>
        <v>0</v>
      </c>
      <c r="U13" s="300">
        <f>+'Admon 2025'!T36</f>
        <v>0</v>
      </c>
      <c r="V13" s="300">
        <f>+'Admon 2025'!U36</f>
        <v>0</v>
      </c>
      <c r="W13" s="300">
        <f>+'Admon 2025'!V36</f>
        <v>0</v>
      </c>
      <c r="X13" s="300">
        <f>+'Admon 2025'!W36</f>
        <v>0</v>
      </c>
      <c r="Y13" s="300">
        <f>+'Admon 2025'!X36</f>
        <v>0</v>
      </c>
      <c r="Z13" s="300">
        <f>+'Admon 2025'!Y36</f>
        <v>0</v>
      </c>
      <c r="AA13" s="300">
        <f>+'Admon 2025'!Z36</f>
        <v>0</v>
      </c>
      <c r="AB13" s="300">
        <f>+'Admon 2025'!AA36</f>
        <v>0</v>
      </c>
      <c r="AC13" s="301">
        <f t="shared" si="0"/>
        <v>1</v>
      </c>
      <c r="AD13" s="511">
        <f t="shared" si="1"/>
        <v>512.82051282051282</v>
      </c>
      <c r="AE13" s="300">
        <f t="shared" si="2"/>
        <v>512.82051282051282</v>
      </c>
      <c r="AF13" s="300">
        <f t="shared" si="3"/>
        <v>0</v>
      </c>
      <c r="AG13" s="300">
        <f t="shared" si="4"/>
        <v>0</v>
      </c>
      <c r="AH13" s="300">
        <f t="shared" si="5"/>
        <v>0</v>
      </c>
      <c r="AI13" s="300">
        <f t="shared" si="6"/>
        <v>0</v>
      </c>
      <c r="AJ13" s="300">
        <f t="shared" si="7"/>
        <v>0</v>
      </c>
      <c r="AK13" s="300">
        <f t="shared" si="8"/>
        <v>0</v>
      </c>
      <c r="AL13" s="300">
        <f t="shared" si="9"/>
        <v>0</v>
      </c>
      <c r="AM13" s="300">
        <f t="shared" si="10"/>
        <v>0</v>
      </c>
      <c r="AN13" s="300">
        <f t="shared" si="11"/>
        <v>0</v>
      </c>
      <c r="AO13" s="300">
        <f t="shared" si="12"/>
        <v>0</v>
      </c>
      <c r="AP13" s="300">
        <f t="shared" si="13"/>
        <v>0</v>
      </c>
    </row>
    <row r="14" spans="2:42" hidden="1">
      <c r="B14" t="str">
        <f>+'Admon 2025'!A43</f>
        <v>ADM</v>
      </c>
      <c r="C14" t="str">
        <f>+'Admon 2025'!B43</f>
        <v>Maria Josefa Avalos</v>
      </c>
      <c r="D14" s="191">
        <f>+'Admon 2025'!C43</f>
        <v>0</v>
      </c>
      <c r="E14" s="191">
        <f>+'Admon 2025'!D43</f>
        <v>0</v>
      </c>
      <c r="F14" s="191">
        <f>+'Admon 2025'!E43</f>
        <v>0</v>
      </c>
      <c r="G14" s="191">
        <f>+'Admon 2025'!F43</f>
        <v>1</v>
      </c>
      <c r="H14" t="str">
        <f>+'Admon 2025'!G43</f>
        <v>Papeleria y Articulos De Oficina</v>
      </c>
      <c r="I14" t="str">
        <f>+'Admon 2025'!H43</f>
        <v>Multiple</v>
      </c>
      <c r="J14" t="str">
        <f>+'Admon 2025'!I43</f>
        <v>Papeleria / Articulos De Oficina / DHL</v>
      </c>
      <c r="K14" t="str">
        <f>+'Admon 2025'!J43</f>
        <v>603.55.001</v>
      </c>
      <c r="L14" t="str">
        <f>+'Admon 2025'!K43</f>
        <v>Papeleria y Articulos De Oficina</v>
      </c>
      <c r="M14" t="str">
        <f>+'Admon 2025'!L43</f>
        <v>Otros</v>
      </c>
      <c r="N14" t="str">
        <f>+'Admon 2025'!M43</f>
        <v>MXN</v>
      </c>
      <c r="O14" s="300">
        <f>+'Admon 2025'!N43</f>
        <v>3076.9230769230771</v>
      </c>
      <c r="P14" s="300">
        <f>+'Admon 2025'!O43</f>
        <v>60000</v>
      </c>
      <c r="Q14" s="300">
        <f>+'Admon 2025'!P43</f>
        <v>5000</v>
      </c>
      <c r="R14" s="300">
        <f>+'Admon 2025'!Q43</f>
        <v>5000</v>
      </c>
      <c r="S14" s="300">
        <f>+'Admon 2025'!R43</f>
        <v>5000</v>
      </c>
      <c r="T14" s="300">
        <f>+'Admon 2025'!S43</f>
        <v>5000</v>
      </c>
      <c r="U14" s="300">
        <f>+'Admon 2025'!T43</f>
        <v>5000</v>
      </c>
      <c r="V14" s="300">
        <f>+'Admon 2025'!U43</f>
        <v>5000</v>
      </c>
      <c r="W14" s="300">
        <f>+'Admon 2025'!V43</f>
        <v>5000</v>
      </c>
      <c r="X14" s="300">
        <f>+'Admon 2025'!W43</f>
        <v>5000</v>
      </c>
      <c r="Y14" s="300">
        <f>+'Admon 2025'!X43</f>
        <v>5000</v>
      </c>
      <c r="Z14" s="300">
        <f>+'Admon 2025'!Y43</f>
        <v>5000</v>
      </c>
      <c r="AA14" s="300">
        <f>+'Admon 2025'!Z43</f>
        <v>5000</v>
      </c>
      <c r="AB14" s="300">
        <f>+'Admon 2025'!AA43</f>
        <v>5000</v>
      </c>
      <c r="AC14" s="301">
        <f t="shared" si="0"/>
        <v>1</v>
      </c>
      <c r="AD14" s="511">
        <f t="shared" si="1"/>
        <v>3076.9230769230767</v>
      </c>
      <c r="AE14" s="300">
        <f t="shared" si="2"/>
        <v>256.41025641025641</v>
      </c>
      <c r="AF14" s="300">
        <f t="shared" si="3"/>
        <v>256.41025641025641</v>
      </c>
      <c r="AG14" s="300">
        <f t="shared" si="4"/>
        <v>256.41025641025641</v>
      </c>
      <c r="AH14" s="300">
        <f t="shared" si="5"/>
        <v>256.41025641025641</v>
      </c>
      <c r="AI14" s="300">
        <f t="shared" si="6"/>
        <v>256.41025641025641</v>
      </c>
      <c r="AJ14" s="300">
        <f t="shared" si="7"/>
        <v>256.41025641025641</v>
      </c>
      <c r="AK14" s="300">
        <f t="shared" si="8"/>
        <v>256.41025641025641</v>
      </c>
      <c r="AL14" s="300">
        <f t="shared" si="9"/>
        <v>256.41025641025641</v>
      </c>
      <c r="AM14" s="300">
        <f t="shared" si="10"/>
        <v>256.41025641025641</v>
      </c>
      <c r="AN14" s="300">
        <f t="shared" si="11"/>
        <v>256.41025641025641</v>
      </c>
      <c r="AO14" s="300">
        <f t="shared" si="12"/>
        <v>256.41025641025641</v>
      </c>
      <c r="AP14" s="300">
        <f t="shared" si="13"/>
        <v>256.41025641025641</v>
      </c>
    </row>
    <row r="15" spans="2:42" hidden="1">
      <c r="B15" t="str">
        <f>+'Admon 2025'!A44</f>
        <v>ADM</v>
      </c>
      <c r="C15" t="str">
        <f>+'Admon 2025'!B44</f>
        <v>Maria Josefa Avalos</v>
      </c>
      <c r="D15" s="191">
        <f>+'Admon 2025'!C44</f>
        <v>0</v>
      </c>
      <c r="E15" s="191">
        <f>+'Admon 2025'!D44</f>
        <v>0</v>
      </c>
      <c r="F15" s="191">
        <f>+'Admon 2025'!E44</f>
        <v>0</v>
      </c>
      <c r="G15" s="191">
        <f>+'Admon 2025'!F44</f>
        <v>1</v>
      </c>
      <c r="H15" t="str">
        <f>+'Admon 2025'!G44</f>
        <v>Recuitement</v>
      </c>
      <c r="I15" t="str">
        <f>+'Admon 2025'!H44</f>
        <v>OCC Bolsa de trabajo</v>
      </c>
      <c r="J15" t="str">
        <f>+'Admon 2025'!I44</f>
        <v>Linkedin Talent Solutions</v>
      </c>
      <c r="K15" t="str">
        <f>+'Admon 2025'!J44</f>
        <v>603.60.001</v>
      </c>
      <c r="L15" t="str">
        <f>+'Admon 2025'!K44</f>
        <v>Cuotas y Suscripciones</v>
      </c>
      <c r="M15" t="str">
        <f>+'Admon 2025'!L44</f>
        <v>Otros</v>
      </c>
      <c r="N15" t="str">
        <f>+'Admon 2025'!M44</f>
        <v>MXN</v>
      </c>
      <c r="O15" s="300">
        <f>+'Admon 2025'!N44</f>
        <v>1025.6410256410256</v>
      </c>
      <c r="P15" s="300">
        <f>+'Admon 2025'!O44</f>
        <v>20000</v>
      </c>
      <c r="Q15" s="300">
        <f>+'Admon 2025'!P44</f>
        <v>20000</v>
      </c>
      <c r="R15" s="300">
        <f>+'Admon 2025'!Q44</f>
        <v>0</v>
      </c>
      <c r="S15" s="300">
        <f>+'Admon 2025'!R44</f>
        <v>0</v>
      </c>
      <c r="T15" s="300">
        <f>+'Admon 2025'!S44</f>
        <v>0</v>
      </c>
      <c r="U15" s="300">
        <f>+'Admon 2025'!T44</f>
        <v>0</v>
      </c>
      <c r="V15" s="300">
        <f>+'Admon 2025'!U44</f>
        <v>0</v>
      </c>
      <c r="W15" s="300">
        <f>+'Admon 2025'!V44</f>
        <v>0</v>
      </c>
      <c r="X15" s="300">
        <f>+'Admon 2025'!W44</f>
        <v>0</v>
      </c>
      <c r="Y15" s="300">
        <f>+'Admon 2025'!X44</f>
        <v>0</v>
      </c>
      <c r="Z15" s="300">
        <f>+'Admon 2025'!Y44</f>
        <v>0</v>
      </c>
      <c r="AA15" s="300">
        <f>+'Admon 2025'!Z44</f>
        <v>0</v>
      </c>
      <c r="AB15" s="300">
        <f>+'Admon 2025'!AA44</f>
        <v>0</v>
      </c>
      <c r="AC15" s="301">
        <f t="shared" si="0"/>
        <v>1</v>
      </c>
      <c r="AD15" s="511">
        <f t="shared" si="1"/>
        <v>1025.6410256410256</v>
      </c>
      <c r="AE15" s="300">
        <f t="shared" si="2"/>
        <v>1025.6410256410256</v>
      </c>
      <c r="AF15" s="300">
        <f t="shared" si="3"/>
        <v>0</v>
      </c>
      <c r="AG15" s="300">
        <f t="shared" si="4"/>
        <v>0</v>
      </c>
      <c r="AH15" s="300">
        <f t="shared" si="5"/>
        <v>0</v>
      </c>
      <c r="AI15" s="300">
        <f t="shared" si="6"/>
        <v>0</v>
      </c>
      <c r="AJ15" s="300">
        <f t="shared" si="7"/>
        <v>0</v>
      </c>
      <c r="AK15" s="300">
        <f t="shared" si="8"/>
        <v>0</v>
      </c>
      <c r="AL15" s="300">
        <f t="shared" si="9"/>
        <v>0</v>
      </c>
      <c r="AM15" s="300">
        <f t="shared" si="10"/>
        <v>0</v>
      </c>
      <c r="AN15" s="300">
        <f t="shared" si="11"/>
        <v>0</v>
      </c>
      <c r="AO15" s="300">
        <f t="shared" si="12"/>
        <v>0</v>
      </c>
      <c r="AP15" s="300">
        <f t="shared" si="13"/>
        <v>0</v>
      </c>
    </row>
    <row r="16" spans="2:42" hidden="1">
      <c r="B16" t="str">
        <f>+'Admon 2025'!A45</f>
        <v>ADM</v>
      </c>
      <c r="C16" t="str">
        <f>+'Admon 2025'!B45</f>
        <v>Maria Josefa Avalos</v>
      </c>
      <c r="D16" s="191">
        <f>+'Admon 2025'!C45</f>
        <v>0</v>
      </c>
      <c r="E16" s="191">
        <f>+'Admon 2025'!D45</f>
        <v>0</v>
      </c>
      <c r="F16" s="191">
        <f>+'Admon 2025'!E45</f>
        <v>0</v>
      </c>
      <c r="G16" s="191">
        <f>+'Admon 2025'!F45</f>
        <v>1</v>
      </c>
      <c r="H16" t="str">
        <f>+'Admon 2025'!G45</f>
        <v>Varios cultura de trabajo HR</v>
      </c>
      <c r="I16" t="str">
        <f>+'Admon 2025'!H45</f>
        <v>Multiple</v>
      </c>
      <c r="J16" t="str">
        <f>+'Admon 2025'!I45</f>
        <v>Bday Cakes, Despensa, After Office, Comidas, Otros</v>
      </c>
      <c r="K16" t="str">
        <f>+'Admon 2025'!J45</f>
        <v>603.82.003</v>
      </c>
      <c r="L16" t="str">
        <f>+'Admon 2025'!K45</f>
        <v>Organizacion de eventos</v>
      </c>
      <c r="M16" t="str">
        <f>+'Admon 2025'!L45</f>
        <v>Otros</v>
      </c>
      <c r="N16" t="str">
        <f>+'Admon 2025'!M45</f>
        <v>MXN</v>
      </c>
      <c r="O16" s="300">
        <f>+'Admon 2025'!N45</f>
        <v>3076.9230769230771</v>
      </c>
      <c r="P16" s="300">
        <f>+'Admon 2025'!O45</f>
        <v>60000</v>
      </c>
      <c r="Q16" s="300">
        <f>+'Admon 2025'!P45</f>
        <v>5000</v>
      </c>
      <c r="R16" s="300">
        <f>+'Admon 2025'!Q45</f>
        <v>5000</v>
      </c>
      <c r="S16" s="300">
        <f>+'Admon 2025'!R45</f>
        <v>5000</v>
      </c>
      <c r="T16" s="300">
        <f>+'Admon 2025'!S45</f>
        <v>5000</v>
      </c>
      <c r="U16" s="300">
        <f>+'Admon 2025'!T45</f>
        <v>5000</v>
      </c>
      <c r="V16" s="300">
        <f>+'Admon 2025'!U45</f>
        <v>5000</v>
      </c>
      <c r="W16" s="300">
        <f>+'Admon 2025'!V45</f>
        <v>5000</v>
      </c>
      <c r="X16" s="300">
        <f>+'Admon 2025'!W45</f>
        <v>5000</v>
      </c>
      <c r="Y16" s="300">
        <f>+'Admon 2025'!X45</f>
        <v>5000</v>
      </c>
      <c r="Z16" s="300">
        <f>+'Admon 2025'!Y45</f>
        <v>5000</v>
      </c>
      <c r="AA16" s="300">
        <f>+'Admon 2025'!Z45</f>
        <v>5000</v>
      </c>
      <c r="AB16" s="300">
        <f>+'Admon 2025'!AA45</f>
        <v>5000</v>
      </c>
      <c r="AC16" s="301">
        <f t="shared" si="0"/>
        <v>1</v>
      </c>
      <c r="AD16" s="511">
        <f t="shared" si="1"/>
        <v>3076.9230769230767</v>
      </c>
      <c r="AE16" s="300">
        <f t="shared" si="2"/>
        <v>256.41025641025641</v>
      </c>
      <c r="AF16" s="300">
        <f t="shared" si="3"/>
        <v>256.41025641025641</v>
      </c>
      <c r="AG16" s="300">
        <f t="shared" si="4"/>
        <v>256.41025641025641</v>
      </c>
      <c r="AH16" s="300">
        <f t="shared" si="5"/>
        <v>256.41025641025641</v>
      </c>
      <c r="AI16" s="300">
        <f t="shared" si="6"/>
        <v>256.41025641025641</v>
      </c>
      <c r="AJ16" s="300">
        <f t="shared" si="7"/>
        <v>256.41025641025641</v>
      </c>
      <c r="AK16" s="300">
        <f t="shared" si="8"/>
        <v>256.41025641025641</v>
      </c>
      <c r="AL16" s="300">
        <f t="shared" si="9"/>
        <v>256.41025641025641</v>
      </c>
      <c r="AM16" s="300">
        <f t="shared" si="10"/>
        <v>256.41025641025641</v>
      </c>
      <c r="AN16" s="300">
        <f t="shared" si="11"/>
        <v>256.41025641025641</v>
      </c>
      <c r="AO16" s="300">
        <f t="shared" si="12"/>
        <v>256.41025641025641</v>
      </c>
      <c r="AP16" s="300">
        <f t="shared" si="13"/>
        <v>256.41025641025641</v>
      </c>
    </row>
    <row r="17" spans="2:42" hidden="1">
      <c r="B17" t="str">
        <f>+'Admon 2025'!A46</f>
        <v>ADM</v>
      </c>
      <c r="C17" t="str">
        <f>+'Admon 2025'!B46</f>
        <v>Maria Josefa Avalos</v>
      </c>
      <c r="D17" s="191">
        <f>+'Admon 2025'!C46</f>
        <v>0</v>
      </c>
      <c r="E17" s="191">
        <f>+'Admon 2025'!D46</f>
        <v>0</v>
      </c>
      <c r="F17" s="191">
        <f>+'Admon 2025'!E46</f>
        <v>0</v>
      </c>
      <c r="G17" s="191">
        <f>+'Admon 2025'!F46</f>
        <v>1</v>
      </c>
      <c r="H17" t="str">
        <f>+'Admon 2025'!G46</f>
        <v>Christmas Party</v>
      </c>
      <c r="I17" t="str">
        <f>+'Admon 2025'!H46</f>
        <v>Multiple</v>
      </c>
      <c r="J17" t="str">
        <f>+'Admon 2025'!I46</f>
        <v>Christmas Party</v>
      </c>
      <c r="K17" t="str">
        <f>+'Admon 2025'!J46</f>
        <v>603.82.003</v>
      </c>
      <c r="L17" t="str">
        <f>+'Admon 2025'!K46</f>
        <v>Organizacion de eventos</v>
      </c>
      <c r="M17" t="str">
        <f>+'Admon 2025'!L46</f>
        <v>Otros</v>
      </c>
      <c r="N17" t="str">
        <f>+'Admon 2025'!M46</f>
        <v>MXN</v>
      </c>
      <c r="O17" s="300">
        <f>+'Admon 2025'!N46</f>
        <v>1025.6410256410256</v>
      </c>
      <c r="P17" s="300">
        <f>+'Admon 2025'!O46</f>
        <v>20000</v>
      </c>
      <c r="Q17" s="300">
        <f>+'Admon 2025'!P46</f>
        <v>0</v>
      </c>
      <c r="R17" s="300">
        <f>+'Admon 2025'!Q46</f>
        <v>0</v>
      </c>
      <c r="S17" s="300">
        <f>+'Admon 2025'!R46</f>
        <v>0</v>
      </c>
      <c r="T17" s="300">
        <f>+'Admon 2025'!S46</f>
        <v>0</v>
      </c>
      <c r="U17" s="300">
        <f>+'Admon 2025'!T46</f>
        <v>0</v>
      </c>
      <c r="V17" s="300">
        <f>+'Admon 2025'!U46</f>
        <v>0</v>
      </c>
      <c r="W17" s="300">
        <f>+'Admon 2025'!V46</f>
        <v>0</v>
      </c>
      <c r="X17" s="300">
        <f>+'Admon 2025'!W46</f>
        <v>0</v>
      </c>
      <c r="Y17" s="300">
        <f>+'Admon 2025'!X46</f>
        <v>0</v>
      </c>
      <c r="Z17" s="300">
        <f>+'Admon 2025'!Y46</f>
        <v>0</v>
      </c>
      <c r="AA17" s="300">
        <f>+'Admon 2025'!Z46</f>
        <v>0</v>
      </c>
      <c r="AB17" s="300">
        <f>+'Admon 2025'!AA46</f>
        <v>20000</v>
      </c>
      <c r="AC17" s="301">
        <f t="shared" si="0"/>
        <v>1</v>
      </c>
      <c r="AD17" s="511">
        <f t="shared" si="1"/>
        <v>1025.6410256410256</v>
      </c>
      <c r="AE17" s="300">
        <f t="shared" si="2"/>
        <v>0</v>
      </c>
      <c r="AF17" s="300">
        <f t="shared" si="3"/>
        <v>0</v>
      </c>
      <c r="AG17" s="300">
        <f t="shared" si="4"/>
        <v>0</v>
      </c>
      <c r="AH17" s="300">
        <f t="shared" si="5"/>
        <v>0</v>
      </c>
      <c r="AI17" s="300">
        <f t="shared" si="6"/>
        <v>0</v>
      </c>
      <c r="AJ17" s="300">
        <f t="shared" si="7"/>
        <v>0</v>
      </c>
      <c r="AK17" s="300">
        <f t="shared" si="8"/>
        <v>0</v>
      </c>
      <c r="AL17" s="300">
        <f t="shared" si="9"/>
        <v>0</v>
      </c>
      <c r="AM17" s="300">
        <f t="shared" si="10"/>
        <v>0</v>
      </c>
      <c r="AN17" s="300">
        <f t="shared" si="11"/>
        <v>0</v>
      </c>
      <c r="AO17" s="300">
        <f t="shared" si="12"/>
        <v>0</v>
      </c>
      <c r="AP17" s="300">
        <f t="shared" si="13"/>
        <v>1025.6410256410256</v>
      </c>
    </row>
    <row r="18" spans="2:42" hidden="1">
      <c r="B18" t="str">
        <f>+'Admon 2025'!A47</f>
        <v>ADM</v>
      </c>
      <c r="C18" t="str">
        <f>+'Admon 2025'!B47</f>
        <v>Maria Josefa Avalos</v>
      </c>
      <c r="D18" s="191">
        <f>+'Admon 2025'!C47</f>
        <v>0</v>
      </c>
      <c r="E18" s="191">
        <f>+'Admon 2025'!D47</f>
        <v>0</v>
      </c>
      <c r="F18" s="191">
        <f>+'Admon 2025'!E47</f>
        <v>0</v>
      </c>
      <c r="G18" s="191">
        <f>+'Admon 2025'!F47</f>
        <v>1</v>
      </c>
      <c r="H18" t="str">
        <f>+'Admon 2025'!G47</f>
        <v>Trainings</v>
      </c>
      <c r="I18" t="str">
        <f>+'Admon 2025'!H47</f>
        <v>Pleroma GMP</v>
      </c>
      <c r="J18" t="str">
        <f>+'Admon 2025'!I47</f>
        <v>Gian Marco (one on ones)</v>
      </c>
      <c r="K18" t="str">
        <f>+'Admon 2025'!J47</f>
        <v>603.62.001</v>
      </c>
      <c r="L18" t="str">
        <f>+'Admon 2025'!K47</f>
        <v>Capacitacion al Personal</v>
      </c>
      <c r="M18" t="str">
        <f>+'Admon 2025'!L47</f>
        <v>Otros</v>
      </c>
      <c r="N18" t="str">
        <f>+'Admon 2025'!M47</f>
        <v>MXN</v>
      </c>
      <c r="O18" s="300">
        <f>+'Admon 2025'!N47</f>
        <v>2564.102564102564</v>
      </c>
      <c r="P18" s="300">
        <f>+'Admon 2025'!O47</f>
        <v>50000</v>
      </c>
      <c r="Q18" s="300">
        <f>+'Admon 2025'!P47</f>
        <v>0</v>
      </c>
      <c r="R18" s="300">
        <f>+'Admon 2025'!Q47</f>
        <v>10000</v>
      </c>
      <c r="S18" s="300">
        <f>+'Admon 2025'!R47</f>
        <v>0</v>
      </c>
      <c r="T18" s="300">
        <f>+'Admon 2025'!S47</f>
        <v>10000</v>
      </c>
      <c r="U18" s="300">
        <f>+'Admon 2025'!T47</f>
        <v>0</v>
      </c>
      <c r="V18" s="300">
        <f>+'Admon 2025'!U47</f>
        <v>10000</v>
      </c>
      <c r="W18" s="300">
        <f>+'Admon 2025'!V47</f>
        <v>0</v>
      </c>
      <c r="X18" s="300">
        <f>+'Admon 2025'!W47</f>
        <v>10000</v>
      </c>
      <c r="Y18" s="300">
        <f>+'Admon 2025'!X47</f>
        <v>0</v>
      </c>
      <c r="Z18" s="300">
        <f>+'Admon 2025'!Y47</f>
        <v>10000</v>
      </c>
      <c r="AA18" s="300">
        <f>+'Admon 2025'!Z47</f>
        <v>0</v>
      </c>
      <c r="AB18" s="300">
        <f>+'Admon 2025'!AA47</f>
        <v>0</v>
      </c>
      <c r="AC18" s="301">
        <f t="shared" si="0"/>
        <v>1</v>
      </c>
      <c r="AD18" s="511">
        <f t="shared" si="1"/>
        <v>2564.102564102564</v>
      </c>
      <c r="AE18" s="300">
        <f t="shared" si="2"/>
        <v>0</v>
      </c>
      <c r="AF18" s="300">
        <f t="shared" si="3"/>
        <v>512.82051282051282</v>
      </c>
      <c r="AG18" s="300">
        <f t="shared" si="4"/>
        <v>0</v>
      </c>
      <c r="AH18" s="300">
        <f t="shared" si="5"/>
        <v>512.82051282051282</v>
      </c>
      <c r="AI18" s="300">
        <f t="shared" si="6"/>
        <v>0</v>
      </c>
      <c r="AJ18" s="300">
        <f t="shared" si="7"/>
        <v>512.82051282051282</v>
      </c>
      <c r="AK18" s="300">
        <f t="shared" si="8"/>
        <v>0</v>
      </c>
      <c r="AL18" s="300">
        <f t="shared" si="9"/>
        <v>512.82051282051282</v>
      </c>
      <c r="AM18" s="300">
        <f t="shared" si="10"/>
        <v>0</v>
      </c>
      <c r="AN18" s="300">
        <f t="shared" si="11"/>
        <v>512.82051282051282</v>
      </c>
      <c r="AO18" s="300">
        <f t="shared" si="12"/>
        <v>0</v>
      </c>
      <c r="AP18" s="300">
        <f t="shared" si="13"/>
        <v>0</v>
      </c>
    </row>
    <row r="19" spans="2:42" hidden="1">
      <c r="B19" t="str">
        <f>+'Admon 2025'!A48</f>
        <v>ADM</v>
      </c>
      <c r="C19" t="str">
        <f>+'Admon 2025'!B48</f>
        <v>Maria Josefa Avalos</v>
      </c>
      <c r="D19" s="191">
        <f>+'Admon 2025'!C48</f>
        <v>0</v>
      </c>
      <c r="E19" s="191">
        <f>+'Admon 2025'!D48</f>
        <v>0</v>
      </c>
      <c r="F19" s="191">
        <f>+'Admon 2025'!E48</f>
        <v>0</v>
      </c>
      <c r="G19" s="191">
        <f>+'Admon 2025'!F48</f>
        <v>1</v>
      </c>
      <c r="H19" t="str">
        <f>+'Admon 2025'!G48</f>
        <v>Rent Offices</v>
      </c>
      <c r="I19" t="str">
        <f>+'Admon 2025'!H48</f>
        <v>Universidad Regiomontana</v>
      </c>
      <c r="J19" t="str">
        <f>+'Admon 2025'!I48</f>
        <v>Renta de Oficinas Monterrey</v>
      </c>
      <c r="K19" t="str">
        <f>+'Admon 2025'!J48</f>
        <v>603.46.001</v>
      </c>
      <c r="L19" t="str">
        <f>+'Admon 2025'!K48</f>
        <v>Arrendamiento a Personas Morales</v>
      </c>
      <c r="M19" t="str">
        <f>+'Admon 2025'!L48</f>
        <v>Renta de Inmuebles</v>
      </c>
      <c r="N19" t="str">
        <f>+'Admon 2025'!M48</f>
        <v>MXN</v>
      </c>
      <c r="O19" s="300">
        <f>+'Admon 2025'!N48</f>
        <v>0</v>
      </c>
      <c r="P19" s="300">
        <f>+'Admon 2025'!O48</f>
        <v>0</v>
      </c>
      <c r="Q19" s="300">
        <f>+'Admon 2025'!P48</f>
        <v>0</v>
      </c>
      <c r="R19" s="300">
        <f>+'Admon 2025'!Q48</f>
        <v>0</v>
      </c>
      <c r="S19" s="300">
        <f>+'Admon 2025'!R48</f>
        <v>0</v>
      </c>
      <c r="T19" s="300">
        <f>+'Admon 2025'!S48</f>
        <v>0</v>
      </c>
      <c r="U19" s="300">
        <f>+'Admon 2025'!T48</f>
        <v>0</v>
      </c>
      <c r="V19" s="300">
        <f>+'Admon 2025'!U48</f>
        <v>0</v>
      </c>
      <c r="W19" s="300">
        <f>+'Admon 2025'!V48</f>
        <v>0</v>
      </c>
      <c r="X19" s="300">
        <f>+'Admon 2025'!W48</f>
        <v>0</v>
      </c>
      <c r="Y19" s="300">
        <f>+'Admon 2025'!X48</f>
        <v>0</v>
      </c>
      <c r="Z19" s="300">
        <f>+'Admon 2025'!Y48</f>
        <v>0</v>
      </c>
      <c r="AA19" s="300">
        <f>+'Admon 2025'!Z48</f>
        <v>0</v>
      </c>
      <c r="AB19" s="300">
        <f>+'Admon 2025'!AA48</f>
        <v>0</v>
      </c>
      <c r="AC19" s="301">
        <f t="shared" si="0"/>
        <v>1</v>
      </c>
      <c r="AD19" s="511">
        <f t="shared" si="1"/>
        <v>0</v>
      </c>
      <c r="AE19" s="300">
        <f t="shared" si="2"/>
        <v>0</v>
      </c>
      <c r="AF19" s="300">
        <f t="shared" si="3"/>
        <v>0</v>
      </c>
      <c r="AG19" s="300">
        <f t="shared" si="4"/>
        <v>0</v>
      </c>
      <c r="AH19" s="300">
        <f t="shared" si="5"/>
        <v>0</v>
      </c>
      <c r="AI19" s="300">
        <f t="shared" si="6"/>
        <v>0</v>
      </c>
      <c r="AJ19" s="300">
        <f t="shared" si="7"/>
        <v>0</v>
      </c>
      <c r="AK19" s="300">
        <f t="shared" si="8"/>
        <v>0</v>
      </c>
      <c r="AL19" s="300">
        <f t="shared" si="9"/>
        <v>0</v>
      </c>
      <c r="AM19" s="300">
        <f t="shared" si="10"/>
        <v>0</v>
      </c>
      <c r="AN19" s="300">
        <f t="shared" si="11"/>
        <v>0</v>
      </c>
      <c r="AO19" s="300">
        <f t="shared" si="12"/>
        <v>0</v>
      </c>
      <c r="AP19" s="300">
        <f t="shared" si="13"/>
        <v>0</v>
      </c>
    </row>
    <row r="20" spans="2:42" hidden="1">
      <c r="B20" t="str">
        <f>+'Admon 2025'!A6</f>
        <v>ADM</v>
      </c>
      <c r="C20" t="str">
        <f>+'Admon 2025'!B6</f>
        <v>Maria Josefa Avalos</v>
      </c>
      <c r="D20" s="191">
        <f>+'Admon 2025'!C6</f>
        <v>0</v>
      </c>
      <c r="E20" s="191">
        <f>+'Admon 2025'!D6</f>
        <v>0</v>
      </c>
      <c r="F20" s="191">
        <f>+'Admon 2025'!E6</f>
        <v>0</v>
      </c>
      <c r="G20" s="191">
        <f>+'Admon 2025'!F6</f>
        <v>1</v>
      </c>
      <c r="H20" t="str">
        <f>+'Admon 2025'!G6</f>
        <v>Google G Suite</v>
      </c>
      <c r="I20" t="str">
        <f>+'Admon 2025'!H6</f>
        <v>Google</v>
      </c>
      <c r="J20" t="str">
        <f>+'Admon 2025'!I6</f>
        <v>Google G Suite - 53 usuarios</v>
      </c>
      <c r="K20" t="str">
        <f>+'Admon 2025'!J6</f>
        <v>603.64.001</v>
      </c>
      <c r="L20" t="str">
        <f>+'Admon 2025'!K6</f>
        <v>Servicios de Informatica</v>
      </c>
      <c r="M20" t="str">
        <f>+'Admon 2025'!L6</f>
        <v>Servicios</v>
      </c>
      <c r="N20" t="str">
        <f>+'Admon 2025'!M6</f>
        <v>MXN</v>
      </c>
      <c r="O20" s="300">
        <f>+'Admon 2025'!N6</f>
        <v>12307.692307692309</v>
      </c>
      <c r="P20" s="300">
        <f>+'Admon 2025'!O6</f>
        <v>240000</v>
      </c>
      <c r="Q20" s="300">
        <f>+'Admon 2025'!P6</f>
        <v>20000</v>
      </c>
      <c r="R20" s="300">
        <f>+'Admon 2025'!Q6</f>
        <v>20000</v>
      </c>
      <c r="S20" s="300">
        <f>+'Admon 2025'!R6</f>
        <v>20000</v>
      </c>
      <c r="T20" s="300">
        <f>+'Admon 2025'!S6</f>
        <v>20000</v>
      </c>
      <c r="U20" s="300">
        <f>+'Admon 2025'!T6</f>
        <v>20000</v>
      </c>
      <c r="V20" s="300">
        <f>+'Admon 2025'!U6</f>
        <v>20000</v>
      </c>
      <c r="W20" s="300">
        <f>+'Admon 2025'!V6</f>
        <v>20000</v>
      </c>
      <c r="X20" s="300">
        <f>+'Admon 2025'!W6</f>
        <v>20000</v>
      </c>
      <c r="Y20" s="300">
        <f>+'Admon 2025'!X6</f>
        <v>20000</v>
      </c>
      <c r="Z20" s="300">
        <f>+'Admon 2025'!Y6</f>
        <v>20000</v>
      </c>
      <c r="AA20" s="300">
        <f>+'Admon 2025'!Z6</f>
        <v>20000</v>
      </c>
      <c r="AB20" s="300">
        <f>+'Admon 2025'!AA6</f>
        <v>20000</v>
      </c>
      <c r="AC20" s="301">
        <f t="shared" si="0"/>
        <v>1</v>
      </c>
      <c r="AD20" s="511">
        <f t="shared" si="1"/>
        <v>12307.692307692307</v>
      </c>
      <c r="AE20" s="300">
        <f t="shared" si="2"/>
        <v>1025.6410256410256</v>
      </c>
      <c r="AF20" s="300">
        <f t="shared" si="3"/>
        <v>1025.6410256410256</v>
      </c>
      <c r="AG20" s="300">
        <f t="shared" si="4"/>
        <v>1025.6410256410256</v>
      </c>
      <c r="AH20" s="300">
        <f t="shared" si="5"/>
        <v>1025.6410256410256</v>
      </c>
      <c r="AI20" s="300">
        <f t="shared" si="6"/>
        <v>1025.6410256410256</v>
      </c>
      <c r="AJ20" s="300">
        <f t="shared" si="7"/>
        <v>1025.6410256410256</v>
      </c>
      <c r="AK20" s="300">
        <f t="shared" si="8"/>
        <v>1025.6410256410256</v>
      </c>
      <c r="AL20" s="300">
        <f t="shared" si="9"/>
        <v>1025.6410256410256</v>
      </c>
      <c r="AM20" s="300">
        <f t="shared" si="10"/>
        <v>1025.6410256410256</v>
      </c>
      <c r="AN20" s="300">
        <f t="shared" si="11"/>
        <v>1025.6410256410256</v>
      </c>
      <c r="AO20" s="300">
        <f t="shared" si="12"/>
        <v>1025.6410256410256</v>
      </c>
      <c r="AP20" s="300">
        <f t="shared" si="13"/>
        <v>1025.6410256410256</v>
      </c>
    </row>
    <row r="21" spans="2:42" hidden="1">
      <c r="B21" t="str">
        <f>+'Admon 2025'!A7</f>
        <v>ADM</v>
      </c>
      <c r="C21" t="str">
        <f>+'Admon 2025'!B7</f>
        <v>Maria Josefa Avalos</v>
      </c>
      <c r="D21" s="191">
        <f>+'Admon 2025'!C7</f>
        <v>0</v>
      </c>
      <c r="E21" s="191">
        <f>+'Admon 2025'!D7</f>
        <v>0</v>
      </c>
      <c r="F21" s="191">
        <f>+'Admon 2025'!E7</f>
        <v>1</v>
      </c>
      <c r="G21" s="191">
        <f>+'Admon 2025'!F7</f>
        <v>0</v>
      </c>
      <c r="H21" t="str">
        <f>+'Admon 2025'!G7</f>
        <v>Communication</v>
      </c>
      <c r="I21" t="str">
        <f>+'Admon 2025'!H7</f>
        <v>Zoom</v>
      </c>
      <c r="J21" t="str">
        <f>+'Admon 2025'!I7</f>
        <v>Zoom services - INBOUND licence</v>
      </c>
      <c r="K21" t="str">
        <f>+'Admon 2025'!J7</f>
        <v>603.64.001</v>
      </c>
      <c r="L21" t="str">
        <f>+'Admon 2025'!K7</f>
        <v>Servicios de Informatica</v>
      </c>
      <c r="M21" t="str">
        <f>+'Admon 2025'!L7</f>
        <v>Servicios</v>
      </c>
      <c r="N21" t="str">
        <f>+'Admon 2025'!M7</f>
        <v>USD</v>
      </c>
      <c r="O21" s="300">
        <f>+'Admon 2025'!N7</f>
        <v>191.88000000000002</v>
      </c>
      <c r="P21" s="300">
        <f>+'Admon 2025'!O7</f>
        <v>191.88000000000002</v>
      </c>
      <c r="Q21" s="300">
        <f>+'Admon 2025'!P7</f>
        <v>15.99</v>
      </c>
      <c r="R21" s="300">
        <f>+'Admon 2025'!Q7</f>
        <v>15.99</v>
      </c>
      <c r="S21" s="300">
        <f>+'Admon 2025'!R7</f>
        <v>15.99</v>
      </c>
      <c r="T21" s="300">
        <f>+'Admon 2025'!S7</f>
        <v>15.99</v>
      </c>
      <c r="U21" s="300">
        <f>+'Admon 2025'!T7</f>
        <v>15.99</v>
      </c>
      <c r="V21" s="300">
        <f>+'Admon 2025'!U7</f>
        <v>15.99</v>
      </c>
      <c r="W21" s="300">
        <f>+'Admon 2025'!V7</f>
        <v>15.99</v>
      </c>
      <c r="X21" s="300">
        <f>+'Admon 2025'!W7</f>
        <v>15.99</v>
      </c>
      <c r="Y21" s="300">
        <f>+'Admon 2025'!X7</f>
        <v>15.99</v>
      </c>
      <c r="Z21" s="300">
        <f>+'Admon 2025'!Y7</f>
        <v>15.99</v>
      </c>
      <c r="AA21" s="300">
        <f>+'Admon 2025'!Z7</f>
        <v>15.99</v>
      </c>
      <c r="AB21" s="300">
        <f>+'Admon 2025'!AA7</f>
        <v>15.99</v>
      </c>
      <c r="AC21" s="301">
        <f t="shared" si="0"/>
        <v>1</v>
      </c>
      <c r="AD21" s="511">
        <f t="shared" si="1"/>
        <v>191.88000000000002</v>
      </c>
      <c r="AE21" s="300">
        <f t="shared" si="2"/>
        <v>15.99</v>
      </c>
      <c r="AF21" s="300">
        <f t="shared" si="3"/>
        <v>15.99</v>
      </c>
      <c r="AG21" s="300">
        <f t="shared" si="4"/>
        <v>15.99</v>
      </c>
      <c r="AH21" s="300">
        <f t="shared" si="5"/>
        <v>15.99</v>
      </c>
      <c r="AI21" s="300">
        <f t="shared" si="6"/>
        <v>15.99</v>
      </c>
      <c r="AJ21" s="300">
        <f t="shared" si="7"/>
        <v>15.99</v>
      </c>
      <c r="AK21" s="300">
        <f t="shared" si="8"/>
        <v>15.99</v>
      </c>
      <c r="AL21" s="300">
        <f t="shared" si="9"/>
        <v>15.99</v>
      </c>
      <c r="AM21" s="300">
        <f t="shared" si="10"/>
        <v>15.99</v>
      </c>
      <c r="AN21" s="300">
        <f t="shared" si="11"/>
        <v>15.99</v>
      </c>
      <c r="AO21" s="300">
        <f t="shared" si="12"/>
        <v>15.99</v>
      </c>
      <c r="AP21" s="300">
        <f t="shared" si="13"/>
        <v>15.99</v>
      </c>
    </row>
    <row r="22" spans="2:42" hidden="1">
      <c r="B22" t="str">
        <f>+'Admon 2025'!A8</f>
        <v>ADM</v>
      </c>
      <c r="C22" t="str">
        <f>+'Admon 2025'!B8</f>
        <v>Maria Josefa Avalos</v>
      </c>
      <c r="D22" s="191">
        <f>+'Admon 2025'!C8</f>
        <v>0</v>
      </c>
      <c r="E22" s="191">
        <f>+'Admon 2025'!D8</f>
        <v>0</v>
      </c>
      <c r="F22" s="191">
        <f>+'Admon 2025'!E8</f>
        <v>0</v>
      </c>
      <c r="G22" s="191">
        <f>+'Admon 2025'!F8</f>
        <v>1</v>
      </c>
      <c r="H22" t="str">
        <f>+'Admon 2025'!G8</f>
        <v>Communication</v>
      </c>
      <c r="I22" t="str">
        <f>+'Admon 2025'!H8</f>
        <v>Slack - 39 users</v>
      </c>
      <c r="J22" t="str">
        <f>+'Admon 2025'!I8</f>
        <v>Communication tool</v>
      </c>
      <c r="K22" t="str">
        <f>+'Admon 2025'!J8</f>
        <v>603.64.001</v>
      </c>
      <c r="L22" t="str">
        <f>+'Admon 2025'!K8</f>
        <v>Servicios de Informatica</v>
      </c>
      <c r="M22" t="str">
        <f>+'Admon 2025'!L8</f>
        <v>Servicios</v>
      </c>
      <c r="N22" t="str">
        <f>+'Admon 2025'!M8</f>
        <v>USD</v>
      </c>
      <c r="O22" s="300">
        <f>+'Admon 2025'!N8</f>
        <v>4272</v>
      </c>
      <c r="P22" s="300">
        <f>+'Admon 2025'!O8</f>
        <v>4272</v>
      </c>
      <c r="Q22" s="300">
        <f>+'Admon 2025'!P8</f>
        <v>356</v>
      </c>
      <c r="R22" s="300">
        <f>+'Admon 2025'!Q8</f>
        <v>356</v>
      </c>
      <c r="S22" s="300">
        <f>+'Admon 2025'!R8</f>
        <v>356</v>
      </c>
      <c r="T22" s="300">
        <f>+'Admon 2025'!S8</f>
        <v>356</v>
      </c>
      <c r="U22" s="300">
        <f>+'Admon 2025'!T8</f>
        <v>356</v>
      </c>
      <c r="V22" s="300">
        <f>+'Admon 2025'!U8</f>
        <v>356</v>
      </c>
      <c r="W22" s="300">
        <f>+'Admon 2025'!V8</f>
        <v>356</v>
      </c>
      <c r="X22" s="300">
        <f>+'Admon 2025'!W8</f>
        <v>356</v>
      </c>
      <c r="Y22" s="300">
        <f>+'Admon 2025'!X8</f>
        <v>356</v>
      </c>
      <c r="Z22" s="300">
        <f>+'Admon 2025'!Y8</f>
        <v>356</v>
      </c>
      <c r="AA22" s="300">
        <f>+'Admon 2025'!Z8</f>
        <v>356</v>
      </c>
      <c r="AB22" s="300">
        <f>+'Admon 2025'!AA8</f>
        <v>356</v>
      </c>
      <c r="AC22" s="301">
        <f t="shared" si="0"/>
        <v>1</v>
      </c>
      <c r="AD22" s="511">
        <f t="shared" si="1"/>
        <v>4272</v>
      </c>
      <c r="AE22" s="300">
        <f t="shared" si="2"/>
        <v>356</v>
      </c>
      <c r="AF22" s="300">
        <f t="shared" si="3"/>
        <v>356</v>
      </c>
      <c r="AG22" s="300">
        <f t="shared" si="4"/>
        <v>356</v>
      </c>
      <c r="AH22" s="300">
        <f t="shared" si="5"/>
        <v>356</v>
      </c>
      <c r="AI22" s="300">
        <f t="shared" si="6"/>
        <v>356</v>
      </c>
      <c r="AJ22" s="300">
        <f t="shared" si="7"/>
        <v>356</v>
      </c>
      <c r="AK22" s="300">
        <f t="shared" si="8"/>
        <v>356</v>
      </c>
      <c r="AL22" s="300">
        <f t="shared" si="9"/>
        <v>356</v>
      </c>
      <c r="AM22" s="300">
        <f t="shared" si="10"/>
        <v>356</v>
      </c>
      <c r="AN22" s="300">
        <f t="shared" si="11"/>
        <v>356</v>
      </c>
      <c r="AO22" s="300">
        <f t="shared" si="12"/>
        <v>356</v>
      </c>
      <c r="AP22" s="300">
        <f t="shared" si="13"/>
        <v>356</v>
      </c>
    </row>
    <row r="23" spans="2:42" hidden="1">
      <c r="B23" t="str">
        <f>+'Admon 2025'!A9</f>
        <v>ADM</v>
      </c>
      <c r="C23" t="str">
        <f>+'Admon 2025'!B9</f>
        <v>Maria Josefa Avalos</v>
      </c>
      <c r="D23" s="191">
        <f>+'Admon 2025'!C9</f>
        <v>0</v>
      </c>
      <c r="E23" s="191">
        <f>+'Admon 2025'!D9</f>
        <v>0</v>
      </c>
      <c r="F23" s="191">
        <f>+'Admon 2025'!E9</f>
        <v>0</v>
      </c>
      <c r="G23" s="191">
        <f>+'Admon 2025'!F9</f>
        <v>1</v>
      </c>
      <c r="H23" t="str">
        <f>+'Admon 2025'!G9</f>
        <v>Human Resources</v>
      </c>
      <c r="I23" t="str">
        <f>+'Admon 2025'!H9</f>
        <v>BambooHR</v>
      </c>
      <c r="J23" t="str">
        <f>+'Admon 2025'!I9</f>
        <v>RH tool - 38 employees</v>
      </c>
      <c r="K23" t="str">
        <f>+'Admon 2025'!J9</f>
        <v>603.64.001</v>
      </c>
      <c r="L23" t="str">
        <f>+'Admon 2025'!K9</f>
        <v>Servicios de Informatica</v>
      </c>
      <c r="M23" t="str">
        <f>+'Admon 2025'!L9</f>
        <v>Servicios</v>
      </c>
      <c r="N23" t="str">
        <f>+'Admon 2025'!M9</f>
        <v>USD</v>
      </c>
      <c r="O23" s="300">
        <f>+'Admon 2025'!N9</f>
        <v>6096</v>
      </c>
      <c r="P23" s="300">
        <f>+'Admon 2025'!O9</f>
        <v>6096</v>
      </c>
      <c r="Q23" s="300">
        <f>+'Admon 2025'!P9</f>
        <v>508</v>
      </c>
      <c r="R23" s="300">
        <f>+'Admon 2025'!Q9</f>
        <v>508</v>
      </c>
      <c r="S23" s="300">
        <f>+'Admon 2025'!R9</f>
        <v>508</v>
      </c>
      <c r="T23" s="300">
        <f>+'Admon 2025'!S9</f>
        <v>508</v>
      </c>
      <c r="U23" s="300">
        <f>+'Admon 2025'!T9</f>
        <v>508</v>
      </c>
      <c r="V23" s="300">
        <f>+'Admon 2025'!U9</f>
        <v>508</v>
      </c>
      <c r="W23" s="300">
        <f>+'Admon 2025'!V9</f>
        <v>508</v>
      </c>
      <c r="X23" s="300">
        <f>+'Admon 2025'!W9</f>
        <v>508</v>
      </c>
      <c r="Y23" s="300">
        <f>+'Admon 2025'!X9</f>
        <v>508</v>
      </c>
      <c r="Z23" s="300">
        <f>+'Admon 2025'!Y9</f>
        <v>508</v>
      </c>
      <c r="AA23" s="300">
        <f>+'Admon 2025'!Z9</f>
        <v>508</v>
      </c>
      <c r="AB23" s="300">
        <f>+'Admon 2025'!AA9</f>
        <v>508</v>
      </c>
      <c r="AC23" s="301">
        <f t="shared" si="0"/>
        <v>1</v>
      </c>
      <c r="AD23" s="511">
        <f t="shared" si="1"/>
        <v>6096</v>
      </c>
      <c r="AE23" s="300">
        <f t="shared" si="2"/>
        <v>508</v>
      </c>
      <c r="AF23" s="300">
        <f t="shared" si="3"/>
        <v>508</v>
      </c>
      <c r="AG23" s="300">
        <f t="shared" si="4"/>
        <v>508</v>
      </c>
      <c r="AH23" s="300">
        <f t="shared" si="5"/>
        <v>508</v>
      </c>
      <c r="AI23" s="300">
        <f t="shared" si="6"/>
        <v>508</v>
      </c>
      <c r="AJ23" s="300">
        <f t="shared" si="7"/>
        <v>508</v>
      </c>
      <c r="AK23" s="300">
        <f t="shared" si="8"/>
        <v>508</v>
      </c>
      <c r="AL23" s="300">
        <f t="shared" si="9"/>
        <v>508</v>
      </c>
      <c r="AM23" s="300">
        <f t="shared" si="10"/>
        <v>508</v>
      </c>
      <c r="AN23" s="300">
        <f t="shared" si="11"/>
        <v>508</v>
      </c>
      <c r="AO23" s="300">
        <f t="shared" si="12"/>
        <v>508</v>
      </c>
      <c r="AP23" s="300">
        <f t="shared" si="13"/>
        <v>508</v>
      </c>
    </row>
    <row r="24" spans="2:42" hidden="1">
      <c r="B24" t="str">
        <f>+'Admon 2025'!A10</f>
        <v>ADM</v>
      </c>
      <c r="C24" t="str">
        <f>+'Admon 2025'!B10</f>
        <v>Maria Josefa Avalos</v>
      </c>
      <c r="D24" s="191">
        <f>+'Admon 2025'!C10</f>
        <v>0</v>
      </c>
      <c r="E24" s="191">
        <f>+'Admon 2025'!D10</f>
        <v>0</v>
      </c>
      <c r="F24" s="191">
        <f>+'Admon 2025'!E10</f>
        <v>0</v>
      </c>
      <c r="G24" s="191">
        <f>+'Admon 2025'!F10</f>
        <v>1</v>
      </c>
      <c r="H24" t="str">
        <f>+'Admon 2025'!G10</f>
        <v>Payroll Platform</v>
      </c>
      <c r="I24" t="str">
        <f>+'Admon 2025'!H10</f>
        <v>DEEL</v>
      </c>
      <c r="J24" t="str">
        <f>+'Admon 2025'!I10</f>
        <v>Payroll, filing and handling (Concierge) - 2 employees</v>
      </c>
      <c r="K24" t="str">
        <f>+'Admon 2025'!J10</f>
        <v>603.64.001</v>
      </c>
      <c r="L24" t="str">
        <f>+'Admon 2025'!K10</f>
        <v>Servicios de Informatica</v>
      </c>
      <c r="M24" t="str">
        <f>+'Admon 2025'!L10</f>
        <v>Servicios</v>
      </c>
      <c r="N24" t="str">
        <f>+'Admon 2025'!M10</f>
        <v>USD</v>
      </c>
      <c r="O24" s="300">
        <f>+'Admon 2025'!N10</f>
        <v>840</v>
      </c>
      <c r="P24" s="300">
        <f>+'Admon 2025'!O10</f>
        <v>840</v>
      </c>
      <c r="Q24" s="300">
        <f>+'Admon 2025'!P10</f>
        <v>70</v>
      </c>
      <c r="R24" s="300">
        <f>+'Admon 2025'!Q10</f>
        <v>70</v>
      </c>
      <c r="S24" s="300">
        <f>+'Admon 2025'!R10</f>
        <v>70</v>
      </c>
      <c r="T24" s="300">
        <f>+'Admon 2025'!S10</f>
        <v>70</v>
      </c>
      <c r="U24" s="300">
        <f>+'Admon 2025'!T10</f>
        <v>70</v>
      </c>
      <c r="V24" s="300">
        <f>+'Admon 2025'!U10</f>
        <v>70</v>
      </c>
      <c r="W24" s="300">
        <f>+'Admon 2025'!V10</f>
        <v>70</v>
      </c>
      <c r="X24" s="300">
        <f>+'Admon 2025'!W10</f>
        <v>70</v>
      </c>
      <c r="Y24" s="300">
        <f>+'Admon 2025'!X10</f>
        <v>70</v>
      </c>
      <c r="Z24" s="300">
        <f>+'Admon 2025'!Y10</f>
        <v>70</v>
      </c>
      <c r="AA24" s="300">
        <f>+'Admon 2025'!Z10</f>
        <v>70</v>
      </c>
      <c r="AB24" s="300">
        <f>+'Admon 2025'!AA10</f>
        <v>70</v>
      </c>
      <c r="AC24" s="301">
        <f t="shared" si="0"/>
        <v>1</v>
      </c>
      <c r="AD24" s="511">
        <f t="shared" si="1"/>
        <v>840</v>
      </c>
      <c r="AE24" s="300">
        <f t="shared" si="2"/>
        <v>70</v>
      </c>
      <c r="AF24" s="300">
        <f t="shared" si="3"/>
        <v>70</v>
      </c>
      <c r="AG24" s="300">
        <f t="shared" si="4"/>
        <v>70</v>
      </c>
      <c r="AH24" s="300">
        <f t="shared" si="5"/>
        <v>70</v>
      </c>
      <c r="AI24" s="300">
        <f t="shared" si="6"/>
        <v>70</v>
      </c>
      <c r="AJ24" s="300">
        <f t="shared" si="7"/>
        <v>70</v>
      </c>
      <c r="AK24" s="300">
        <f t="shared" si="8"/>
        <v>70</v>
      </c>
      <c r="AL24" s="300">
        <f t="shared" si="9"/>
        <v>70</v>
      </c>
      <c r="AM24" s="300">
        <f t="shared" si="10"/>
        <v>70</v>
      </c>
      <c r="AN24" s="300">
        <f t="shared" si="11"/>
        <v>70</v>
      </c>
      <c r="AO24" s="300">
        <f t="shared" si="12"/>
        <v>70</v>
      </c>
      <c r="AP24" s="300">
        <f t="shared" si="13"/>
        <v>70</v>
      </c>
    </row>
    <row r="25" spans="2:42" hidden="1">
      <c r="B25" t="str">
        <f>+'Admon 2025'!A11</f>
        <v>ADM</v>
      </c>
      <c r="C25" t="str">
        <f>+'Admon 2025'!B11</f>
        <v>Maria Josefa Avalos</v>
      </c>
      <c r="D25" s="191">
        <f>+'Admon 2025'!C11</f>
        <v>0</v>
      </c>
      <c r="E25" s="191">
        <f>+'Admon 2025'!D11</f>
        <v>0</v>
      </c>
      <c r="F25" s="191">
        <f>+'Admon 2025'!E11</f>
        <v>0</v>
      </c>
      <c r="G25" s="191">
        <f>+'Admon 2025'!F11</f>
        <v>1</v>
      </c>
      <c r="H25" t="str">
        <f>+'Admon 2025'!G11</f>
        <v>Investment Platform</v>
      </c>
      <c r="I25" t="str">
        <f>+'Admon 2025'!H11</f>
        <v>Carta</v>
      </c>
      <c r="J25" t="str">
        <f>+'Admon 2025'!I11</f>
        <v>Investment Platform</v>
      </c>
      <c r="K25" t="str">
        <f>+'Admon 2025'!J11</f>
        <v>603.64.001</v>
      </c>
      <c r="L25" t="str">
        <f>+'Admon 2025'!K11</f>
        <v>Servicios de Informatica</v>
      </c>
      <c r="M25" t="str">
        <f>+'Admon 2025'!L11</f>
        <v>Servicios</v>
      </c>
      <c r="N25" t="str">
        <f>+'Admon 2025'!M11</f>
        <v>USD</v>
      </c>
      <c r="O25" s="300">
        <f>+'Admon 2025'!N11</f>
        <v>6010.72</v>
      </c>
      <c r="P25" s="300">
        <f>+'Admon 2025'!O11</f>
        <v>6010.72</v>
      </c>
      <c r="Q25" s="300">
        <f>+'Admon 2025'!P11</f>
        <v>0</v>
      </c>
      <c r="R25" s="300">
        <f>+'Admon 2025'!Q11</f>
        <v>0</v>
      </c>
      <c r="S25" s="300">
        <f>+'Admon 2025'!R11</f>
        <v>0</v>
      </c>
      <c r="T25" s="300">
        <f>+'Admon 2025'!S11</f>
        <v>0</v>
      </c>
      <c r="U25" s="300">
        <f>+'Admon 2025'!T11</f>
        <v>0</v>
      </c>
      <c r="V25" s="300">
        <f>+'Admon 2025'!U11</f>
        <v>0</v>
      </c>
      <c r="W25" s="300">
        <f>+'Admon 2025'!V11</f>
        <v>0</v>
      </c>
      <c r="X25" s="300">
        <f>+'Admon 2025'!W11</f>
        <v>0</v>
      </c>
      <c r="Y25" s="300">
        <f>+'Admon 2025'!X11</f>
        <v>6010.72</v>
      </c>
      <c r="Z25" s="300">
        <f>+'Admon 2025'!Y11</f>
        <v>0</v>
      </c>
      <c r="AA25" s="300">
        <f>+'Admon 2025'!Z11</f>
        <v>0</v>
      </c>
      <c r="AB25" s="300">
        <f>+'Admon 2025'!AA11</f>
        <v>0</v>
      </c>
      <c r="AC25" s="301">
        <f t="shared" si="0"/>
        <v>1</v>
      </c>
      <c r="AD25" s="511">
        <f t="shared" si="1"/>
        <v>6010.72</v>
      </c>
      <c r="AE25" s="300">
        <f t="shared" si="2"/>
        <v>0</v>
      </c>
      <c r="AF25" s="300">
        <f t="shared" si="3"/>
        <v>0</v>
      </c>
      <c r="AG25" s="300">
        <f t="shared" si="4"/>
        <v>0</v>
      </c>
      <c r="AH25" s="300">
        <f t="shared" si="5"/>
        <v>0</v>
      </c>
      <c r="AI25" s="300">
        <f t="shared" si="6"/>
        <v>0</v>
      </c>
      <c r="AJ25" s="300">
        <f t="shared" si="7"/>
        <v>0</v>
      </c>
      <c r="AK25" s="300">
        <f t="shared" si="8"/>
        <v>0</v>
      </c>
      <c r="AL25" s="300">
        <f t="shared" si="9"/>
        <v>0</v>
      </c>
      <c r="AM25" s="300">
        <f t="shared" si="10"/>
        <v>6010.72</v>
      </c>
      <c r="AN25" s="300">
        <f t="shared" si="11"/>
        <v>0</v>
      </c>
      <c r="AO25" s="300">
        <f t="shared" si="12"/>
        <v>0</v>
      </c>
      <c r="AP25" s="300">
        <f t="shared" si="13"/>
        <v>0</v>
      </c>
    </row>
    <row r="26" spans="2:42" hidden="1">
      <c r="B26" t="str">
        <f>+'Admon 2025'!A12</f>
        <v>ADM</v>
      </c>
      <c r="C26" t="str">
        <f>+'Admon 2025'!B12</f>
        <v>Maria Josefa Avalos</v>
      </c>
      <c r="D26" s="191">
        <f>+'Admon 2025'!C12</f>
        <v>0</v>
      </c>
      <c r="E26" s="191">
        <f>+'Admon 2025'!D12</f>
        <v>0</v>
      </c>
      <c r="F26" s="191">
        <f>+'Admon 2025'!E12</f>
        <v>0</v>
      </c>
      <c r="G26" s="191">
        <f>+'Admon 2025'!F12</f>
        <v>1</v>
      </c>
      <c r="H26" t="str">
        <f>+'Admon 2025'!G12</f>
        <v>Amazon Market place MX</v>
      </c>
      <c r="I26" t="str">
        <f>+'Admon 2025'!H12</f>
        <v>Amazon Marketplace Mx</v>
      </c>
      <c r="J26" t="str">
        <f>+'Admon 2025'!I12</f>
        <v>Amazon Marketplace Mx</v>
      </c>
      <c r="K26" t="str">
        <f>+'Admon 2025'!J12</f>
        <v>603.64.001</v>
      </c>
      <c r="L26" t="str">
        <f>+'Admon 2025'!K12</f>
        <v>Servicios de Informatica</v>
      </c>
      <c r="M26" t="str">
        <f>+'Admon 2025'!L12</f>
        <v>Servicios</v>
      </c>
      <c r="N26" t="str">
        <f>+'Admon 2025'!M12</f>
        <v>USD</v>
      </c>
      <c r="O26" s="300">
        <f>+'Admon 2025'!N12</f>
        <v>100</v>
      </c>
      <c r="P26" s="300">
        <f>+'Admon 2025'!O12</f>
        <v>100</v>
      </c>
      <c r="Q26" s="300">
        <f>+'Admon 2025'!P12</f>
        <v>0</v>
      </c>
      <c r="R26" s="300">
        <f>+'Admon 2025'!Q12</f>
        <v>0</v>
      </c>
      <c r="S26" s="300">
        <f>+'Admon 2025'!R12</f>
        <v>0</v>
      </c>
      <c r="T26" s="300">
        <f>+'Admon 2025'!S12</f>
        <v>0</v>
      </c>
      <c r="U26" s="300">
        <f>+'Admon 2025'!T12</f>
        <v>100</v>
      </c>
      <c r="V26" s="300">
        <f>+'Admon 2025'!U12</f>
        <v>0</v>
      </c>
      <c r="W26" s="300">
        <f>+'Admon 2025'!V12</f>
        <v>0</v>
      </c>
      <c r="X26" s="300">
        <f>+'Admon 2025'!W12</f>
        <v>0</v>
      </c>
      <c r="Y26" s="300">
        <f>+'Admon 2025'!X12</f>
        <v>0</v>
      </c>
      <c r="Z26" s="300">
        <f>+'Admon 2025'!Y12</f>
        <v>0</v>
      </c>
      <c r="AA26" s="300">
        <f>+'Admon 2025'!Z12</f>
        <v>0</v>
      </c>
      <c r="AB26" s="300">
        <f>+'Admon 2025'!AA12</f>
        <v>0</v>
      </c>
      <c r="AC26" s="301">
        <f t="shared" si="0"/>
        <v>1</v>
      </c>
      <c r="AD26" s="511">
        <f t="shared" si="1"/>
        <v>100</v>
      </c>
      <c r="AE26" s="300">
        <f t="shared" si="2"/>
        <v>0</v>
      </c>
      <c r="AF26" s="300">
        <f t="shared" si="3"/>
        <v>0</v>
      </c>
      <c r="AG26" s="300">
        <f t="shared" si="4"/>
        <v>0</v>
      </c>
      <c r="AH26" s="300">
        <f t="shared" si="5"/>
        <v>0</v>
      </c>
      <c r="AI26" s="300">
        <f t="shared" si="6"/>
        <v>100</v>
      </c>
      <c r="AJ26" s="300">
        <f t="shared" si="7"/>
        <v>0</v>
      </c>
      <c r="AK26" s="300">
        <f t="shared" si="8"/>
        <v>0</v>
      </c>
      <c r="AL26" s="300">
        <f t="shared" si="9"/>
        <v>0</v>
      </c>
      <c r="AM26" s="300">
        <f t="shared" si="10"/>
        <v>0</v>
      </c>
      <c r="AN26" s="300">
        <f t="shared" si="11"/>
        <v>0</v>
      </c>
      <c r="AO26" s="300">
        <f t="shared" si="12"/>
        <v>0</v>
      </c>
      <c r="AP26" s="300">
        <f t="shared" si="13"/>
        <v>0</v>
      </c>
    </row>
    <row r="27" spans="2:42" hidden="1">
      <c r="B27" t="str">
        <f>+'Admon 2025'!A13</f>
        <v>ADM</v>
      </c>
      <c r="C27" t="str">
        <f>+'Admon 2025'!B13</f>
        <v>Maria Josefa Avalos</v>
      </c>
      <c r="D27" s="191">
        <f>+'Admon 2025'!C13</f>
        <v>0</v>
      </c>
      <c r="E27" s="191">
        <f>+'Admon 2025'!D13</f>
        <v>0</v>
      </c>
      <c r="F27" s="191">
        <f>+'Admon 2025'!E13</f>
        <v>0</v>
      </c>
      <c r="G27" s="191">
        <f>+'Admon 2025'!F13</f>
        <v>1</v>
      </c>
      <c r="H27" t="str">
        <f>+'Admon 2025'!G13</f>
        <v>Calendly Luis</v>
      </c>
      <c r="I27" t="str">
        <f>+'Admon 2025'!H13</f>
        <v xml:space="preserve">Calendly </v>
      </c>
      <c r="J27" t="str">
        <f>+'Admon 2025'!I13</f>
        <v xml:space="preserve">Calendly </v>
      </c>
      <c r="K27" t="str">
        <f>+'Admon 2025'!J13</f>
        <v>603.64.001</v>
      </c>
      <c r="L27" t="str">
        <f>+'Admon 2025'!K13</f>
        <v>Servicios de Informatica</v>
      </c>
      <c r="M27" t="str">
        <f>+'Admon 2025'!L13</f>
        <v>Servicios</v>
      </c>
      <c r="N27" t="str">
        <f>+'Admon 2025'!M13</f>
        <v>USD</v>
      </c>
      <c r="O27" s="300">
        <f>+'Admon 2025'!N13</f>
        <v>0</v>
      </c>
      <c r="P27" s="300">
        <f>+'Admon 2025'!O13</f>
        <v>0</v>
      </c>
      <c r="Q27" s="300">
        <f>+'Admon 2025'!P13</f>
        <v>0</v>
      </c>
      <c r="R27" s="300">
        <f>+'Admon 2025'!Q13</f>
        <v>0</v>
      </c>
      <c r="S27" s="300">
        <f>+'Admon 2025'!R13</f>
        <v>0</v>
      </c>
      <c r="T27" s="300">
        <f>+'Admon 2025'!S13</f>
        <v>0</v>
      </c>
      <c r="U27" s="300">
        <f>+'Admon 2025'!T13</f>
        <v>0</v>
      </c>
      <c r="V27" s="300">
        <f>+'Admon 2025'!U13</f>
        <v>0</v>
      </c>
      <c r="W27" s="300">
        <f>+'Admon 2025'!V13</f>
        <v>0</v>
      </c>
      <c r="X27" s="300">
        <f>+'Admon 2025'!W13</f>
        <v>0</v>
      </c>
      <c r="Y27" s="300">
        <f>+'Admon 2025'!X13</f>
        <v>0</v>
      </c>
      <c r="Z27" s="300">
        <f>+'Admon 2025'!Y13</f>
        <v>0</v>
      </c>
      <c r="AA27" s="300">
        <f>+'Admon 2025'!Z13</f>
        <v>0</v>
      </c>
      <c r="AB27" s="300">
        <f>+'Admon 2025'!AA13</f>
        <v>0</v>
      </c>
      <c r="AC27" s="301">
        <f t="shared" si="0"/>
        <v>1</v>
      </c>
      <c r="AD27" s="511">
        <f t="shared" si="1"/>
        <v>0</v>
      </c>
      <c r="AE27" s="300">
        <f t="shared" si="2"/>
        <v>0</v>
      </c>
      <c r="AF27" s="300">
        <f t="shared" si="3"/>
        <v>0</v>
      </c>
      <c r="AG27" s="300">
        <f t="shared" si="4"/>
        <v>0</v>
      </c>
      <c r="AH27" s="300">
        <f t="shared" si="5"/>
        <v>0</v>
      </c>
      <c r="AI27" s="300">
        <f t="shared" si="6"/>
        <v>0</v>
      </c>
      <c r="AJ27" s="300">
        <f t="shared" si="7"/>
        <v>0</v>
      </c>
      <c r="AK27" s="300">
        <f t="shared" si="8"/>
        <v>0</v>
      </c>
      <c r="AL27" s="300">
        <f t="shared" si="9"/>
        <v>0</v>
      </c>
      <c r="AM27" s="300">
        <f t="shared" si="10"/>
        <v>0</v>
      </c>
      <c r="AN27" s="300">
        <f t="shared" si="11"/>
        <v>0</v>
      </c>
      <c r="AO27" s="300">
        <f t="shared" si="12"/>
        <v>0</v>
      </c>
      <c r="AP27" s="300">
        <f t="shared" si="13"/>
        <v>0</v>
      </c>
    </row>
    <row r="28" spans="2:42" hidden="1">
      <c r="B28" t="str">
        <f>+'Admon 2025'!A15</f>
        <v>ADM</v>
      </c>
      <c r="C28" t="str">
        <f>+'Admon 2025'!B15</f>
        <v>Maria Josefa Avalos</v>
      </c>
      <c r="D28" s="191">
        <f>+'Admon 2025'!C15</f>
        <v>0</v>
      </c>
      <c r="E28" s="191">
        <f>+'Admon 2025'!D15</f>
        <v>0</v>
      </c>
      <c r="F28" s="191">
        <f>+'Admon 2025'!E15</f>
        <v>0</v>
      </c>
      <c r="G28" s="191">
        <f>+'Admon 2025'!F15</f>
        <v>1</v>
      </c>
      <c r="H28" t="str">
        <f>+'Admon 2025'!G15</f>
        <v>Financial Services</v>
      </c>
      <c r="I28" t="str">
        <f>+'Admon 2025'!H15</f>
        <v>ISS/QS Payroll</v>
      </c>
      <c r="J28" t="str">
        <f>+'Admon 2025'!I15</f>
        <v>Monthly Accounting, Payroll, Reporting, Taxes</v>
      </c>
      <c r="K28" t="str">
        <f>+'Admon 2025'!J15</f>
        <v>603.38.001</v>
      </c>
      <c r="L28" t="str">
        <f>+'Admon 2025'!K15</f>
        <v>Honorarios A Personas Morales Nacionales</v>
      </c>
      <c r="M28" t="str">
        <f>+'Admon 2025'!L15</f>
        <v>Servicios Externos</v>
      </c>
      <c r="N28" t="str">
        <f>+'Admon 2025'!M15</f>
        <v>MXN</v>
      </c>
      <c r="O28" s="300">
        <f>+'Admon 2025'!N15</f>
        <v>8367.6492307692279</v>
      </c>
      <c r="P28" s="300">
        <f>+'Admon 2025'!O15</f>
        <v>163169.15999999995</v>
      </c>
      <c r="Q28" s="300">
        <f>+'Admon 2025'!P15</f>
        <v>13597.43</v>
      </c>
      <c r="R28" s="300">
        <f>+'Admon 2025'!Q15</f>
        <v>13597.43</v>
      </c>
      <c r="S28" s="300">
        <f>+'Admon 2025'!R15</f>
        <v>13597.43</v>
      </c>
      <c r="T28" s="300">
        <f>+'Admon 2025'!S15</f>
        <v>13597.43</v>
      </c>
      <c r="U28" s="300">
        <f>+'Admon 2025'!T15</f>
        <v>13597.43</v>
      </c>
      <c r="V28" s="300">
        <f>+'Admon 2025'!U15</f>
        <v>13597.43</v>
      </c>
      <c r="W28" s="300">
        <f>+'Admon 2025'!V15</f>
        <v>13597.43</v>
      </c>
      <c r="X28" s="300">
        <f>+'Admon 2025'!W15</f>
        <v>13597.43</v>
      </c>
      <c r="Y28" s="300">
        <f>+'Admon 2025'!X15</f>
        <v>13597.43</v>
      </c>
      <c r="Z28" s="300">
        <f>+'Admon 2025'!Y15</f>
        <v>13597.43</v>
      </c>
      <c r="AA28" s="300">
        <f>+'Admon 2025'!Z15</f>
        <v>13597.43</v>
      </c>
      <c r="AB28" s="300">
        <f>+'Admon 2025'!AA15</f>
        <v>13597.43</v>
      </c>
      <c r="AC28" s="301">
        <f t="shared" si="0"/>
        <v>1</v>
      </c>
      <c r="AD28" s="511">
        <f t="shared" si="1"/>
        <v>8367.6492307692297</v>
      </c>
      <c r="AE28" s="300">
        <f t="shared" si="2"/>
        <v>697.30410256410255</v>
      </c>
      <c r="AF28" s="300">
        <f t="shared" si="3"/>
        <v>697.30410256410255</v>
      </c>
      <c r="AG28" s="300">
        <f t="shared" si="4"/>
        <v>697.30410256410255</v>
      </c>
      <c r="AH28" s="300">
        <f t="shared" si="5"/>
        <v>697.30410256410255</v>
      </c>
      <c r="AI28" s="300">
        <f t="shared" si="6"/>
        <v>697.30410256410255</v>
      </c>
      <c r="AJ28" s="300">
        <f t="shared" si="7"/>
        <v>697.30410256410255</v>
      </c>
      <c r="AK28" s="300">
        <f t="shared" si="8"/>
        <v>697.30410256410255</v>
      </c>
      <c r="AL28" s="300">
        <f t="shared" si="9"/>
        <v>697.30410256410255</v>
      </c>
      <c r="AM28" s="300">
        <f t="shared" si="10"/>
        <v>697.30410256410255</v>
      </c>
      <c r="AN28" s="300">
        <f t="shared" si="11"/>
        <v>697.30410256410255</v>
      </c>
      <c r="AO28" s="300">
        <f t="shared" si="12"/>
        <v>697.30410256410255</v>
      </c>
      <c r="AP28" s="300">
        <f t="shared" si="13"/>
        <v>697.30410256410255</v>
      </c>
    </row>
    <row r="29" spans="2:42" hidden="1">
      <c r="B29" t="str">
        <f>+'Admon 2025'!A16</f>
        <v>ADM</v>
      </c>
      <c r="C29" t="str">
        <f>+'Admon 2025'!B16</f>
        <v>Maria Josefa Avalos</v>
      </c>
      <c r="D29" s="191">
        <f>+'Admon 2025'!C16</f>
        <v>0</v>
      </c>
      <c r="E29" s="191">
        <f>+'Admon 2025'!D16</f>
        <v>0</v>
      </c>
      <c r="F29" s="191">
        <f>+'Admon 2025'!E16</f>
        <v>0</v>
      </c>
      <c r="G29" s="191">
        <f>+'Admon 2025'!F16</f>
        <v>1</v>
      </c>
      <c r="H29" t="str">
        <f>+'Admon 2025'!G16</f>
        <v>Legal Services</v>
      </c>
      <c r="I29" t="str">
        <f>+'Admon 2025'!H16</f>
        <v>Garza Duran Abogados</v>
      </c>
      <c r="J29" t="str">
        <f>+'Admon 2025'!I16</f>
        <v>Servicios legales</v>
      </c>
      <c r="K29" t="str">
        <f>+'Admon 2025'!J16</f>
        <v>603.38.002</v>
      </c>
      <c r="L29" t="str">
        <f>+'Admon 2025'!K16</f>
        <v>Honorarios Legales PM</v>
      </c>
      <c r="M29" t="str">
        <f>+'Admon 2025'!L16</f>
        <v>Servicios Externos</v>
      </c>
      <c r="N29" t="str">
        <f>+'Admon 2025'!M16</f>
        <v>USD</v>
      </c>
      <c r="O29" s="300">
        <f>+'Admon 2025'!N16</f>
        <v>24000</v>
      </c>
      <c r="P29" s="300">
        <f>+'Admon 2025'!O16</f>
        <v>24000</v>
      </c>
      <c r="Q29" s="300">
        <f>+'Admon 2025'!P16</f>
        <v>2000</v>
      </c>
      <c r="R29" s="300">
        <f>+'Admon 2025'!Q16</f>
        <v>2000</v>
      </c>
      <c r="S29" s="300">
        <f>+'Admon 2025'!R16</f>
        <v>2000</v>
      </c>
      <c r="T29" s="300">
        <f>+'Admon 2025'!S16</f>
        <v>2000</v>
      </c>
      <c r="U29" s="300">
        <f>+'Admon 2025'!T16</f>
        <v>2000</v>
      </c>
      <c r="V29" s="300">
        <f>+'Admon 2025'!U16</f>
        <v>2000</v>
      </c>
      <c r="W29" s="300">
        <f>+'Admon 2025'!V16</f>
        <v>2000</v>
      </c>
      <c r="X29" s="300">
        <f>+'Admon 2025'!W16</f>
        <v>2000</v>
      </c>
      <c r="Y29" s="300">
        <f>+'Admon 2025'!X16</f>
        <v>2000</v>
      </c>
      <c r="Z29" s="300">
        <f>+'Admon 2025'!Y16</f>
        <v>2000</v>
      </c>
      <c r="AA29" s="300">
        <f>+'Admon 2025'!Z16</f>
        <v>2000</v>
      </c>
      <c r="AB29" s="300">
        <f>+'Admon 2025'!AA16</f>
        <v>2000</v>
      </c>
      <c r="AC29" s="301">
        <f t="shared" si="0"/>
        <v>1</v>
      </c>
      <c r="AD29" s="511">
        <f t="shared" si="1"/>
        <v>24000</v>
      </c>
      <c r="AE29" s="300">
        <f t="shared" si="2"/>
        <v>2000</v>
      </c>
      <c r="AF29" s="300">
        <f t="shared" si="3"/>
        <v>2000</v>
      </c>
      <c r="AG29" s="300">
        <f t="shared" si="4"/>
        <v>2000</v>
      </c>
      <c r="AH29" s="300">
        <f t="shared" si="5"/>
        <v>2000</v>
      </c>
      <c r="AI29" s="300">
        <f t="shared" si="6"/>
        <v>2000</v>
      </c>
      <c r="AJ29" s="300">
        <f t="shared" si="7"/>
        <v>2000</v>
      </c>
      <c r="AK29" s="300">
        <f t="shared" si="8"/>
        <v>2000</v>
      </c>
      <c r="AL29" s="300">
        <f t="shared" si="9"/>
        <v>2000</v>
      </c>
      <c r="AM29" s="300">
        <f t="shared" si="10"/>
        <v>2000</v>
      </c>
      <c r="AN29" s="300">
        <f t="shared" si="11"/>
        <v>2000</v>
      </c>
      <c r="AO29" s="300">
        <f t="shared" si="12"/>
        <v>2000</v>
      </c>
      <c r="AP29" s="300">
        <f t="shared" si="13"/>
        <v>2000</v>
      </c>
    </row>
    <row r="30" spans="2:42" hidden="1">
      <c r="B30" t="str">
        <f>+'Admon 2025'!A17</f>
        <v>ADM</v>
      </c>
      <c r="C30" t="str">
        <f>+'Admon 2025'!B17</f>
        <v>Maria Josefa Avalos</v>
      </c>
      <c r="D30" s="191">
        <f>+'Admon 2025'!C17</f>
        <v>0</v>
      </c>
      <c r="E30" s="191">
        <f>+'Admon 2025'!D17</f>
        <v>0</v>
      </c>
      <c r="F30" s="191">
        <f>+'Admon 2025'!E17</f>
        <v>0</v>
      </c>
      <c r="G30" s="191">
        <f>+'Admon 2025'!F17</f>
        <v>1</v>
      </c>
      <c r="H30" t="str">
        <f>+'Admon 2025'!G17</f>
        <v>Legal</v>
      </c>
      <c r="I30" t="str">
        <f>+'Admon 2025'!H17</f>
        <v>Acceleron Law Group</v>
      </c>
      <c r="J30" t="str">
        <f>+'Admon 2025'!I17</f>
        <v>Legal services</v>
      </c>
      <c r="K30" t="str">
        <f>+'Admon 2025'!J17</f>
        <v>603.38.001</v>
      </c>
      <c r="L30" t="str">
        <f>+'Admon 2025'!K17</f>
        <v>Honorarios A Personas Morales Nacionales</v>
      </c>
      <c r="M30" t="str">
        <f>+'Admon 2025'!L17</f>
        <v>Servicios Externos</v>
      </c>
      <c r="N30" t="str">
        <f>+'Admon 2025'!M17</f>
        <v>USD</v>
      </c>
      <c r="O30" s="300">
        <f>+'Admon 2025'!N17</f>
        <v>30066</v>
      </c>
      <c r="P30" s="300">
        <f>+'Admon 2025'!O17</f>
        <v>30066</v>
      </c>
      <c r="Q30" s="300">
        <f>+'Admon 2025'!P17</f>
        <v>2500</v>
      </c>
      <c r="R30" s="300">
        <f>+'Admon 2025'!Q17</f>
        <v>2501</v>
      </c>
      <c r="S30" s="300">
        <f>+'Admon 2025'!R17</f>
        <v>2502</v>
      </c>
      <c r="T30" s="300">
        <f>+'Admon 2025'!S17</f>
        <v>2503</v>
      </c>
      <c r="U30" s="300">
        <f>+'Admon 2025'!T17</f>
        <v>2504</v>
      </c>
      <c r="V30" s="300">
        <f>+'Admon 2025'!U17</f>
        <v>2505</v>
      </c>
      <c r="W30" s="300">
        <f>+'Admon 2025'!V17</f>
        <v>2506</v>
      </c>
      <c r="X30" s="300">
        <f>+'Admon 2025'!W17</f>
        <v>2507</v>
      </c>
      <c r="Y30" s="300">
        <f>+'Admon 2025'!X17</f>
        <v>2508</v>
      </c>
      <c r="Z30" s="300">
        <f>+'Admon 2025'!Y17</f>
        <v>2509</v>
      </c>
      <c r="AA30" s="300">
        <f>+'Admon 2025'!Z17</f>
        <v>2510</v>
      </c>
      <c r="AB30" s="300">
        <f>+'Admon 2025'!AA17</f>
        <v>2511</v>
      </c>
      <c r="AC30" s="301">
        <f t="shared" si="0"/>
        <v>1</v>
      </c>
      <c r="AD30" s="511">
        <f t="shared" si="1"/>
        <v>30066</v>
      </c>
      <c r="AE30" s="300">
        <f t="shared" si="2"/>
        <v>2500</v>
      </c>
      <c r="AF30" s="300">
        <f t="shared" si="3"/>
        <v>2501</v>
      </c>
      <c r="AG30" s="300">
        <f t="shared" si="4"/>
        <v>2502</v>
      </c>
      <c r="AH30" s="300">
        <f t="shared" si="5"/>
        <v>2503</v>
      </c>
      <c r="AI30" s="300">
        <f t="shared" si="6"/>
        <v>2504</v>
      </c>
      <c r="AJ30" s="300">
        <f t="shared" si="7"/>
        <v>2505</v>
      </c>
      <c r="AK30" s="300">
        <f t="shared" si="8"/>
        <v>2506</v>
      </c>
      <c r="AL30" s="300">
        <f t="shared" si="9"/>
        <v>2507</v>
      </c>
      <c r="AM30" s="300">
        <f t="shared" si="10"/>
        <v>2508</v>
      </c>
      <c r="AN30" s="300">
        <f t="shared" si="11"/>
        <v>2509</v>
      </c>
      <c r="AO30" s="300">
        <f t="shared" si="12"/>
        <v>2510</v>
      </c>
      <c r="AP30" s="300">
        <f t="shared" si="13"/>
        <v>2511</v>
      </c>
    </row>
    <row r="31" spans="2:42" hidden="1">
      <c r="B31" t="str">
        <f>+'Admon 2025'!A18</f>
        <v>ADM</v>
      </c>
      <c r="C31" t="str">
        <f>+'Admon 2025'!B18</f>
        <v>Maria Josefa Avalos</v>
      </c>
      <c r="D31" s="191">
        <f>+'Admon 2025'!C18</f>
        <v>0</v>
      </c>
      <c r="E31" s="191">
        <f>+'Admon 2025'!D18</f>
        <v>0</v>
      </c>
      <c r="F31" s="191">
        <f>+'Admon 2025'!E18</f>
        <v>0</v>
      </c>
      <c r="G31" s="191">
        <f>+'Admon 2025'!F18</f>
        <v>1</v>
      </c>
      <c r="H31" t="str">
        <f>+'Admon 2025'!G18</f>
        <v>Accounting &amp; Tax</v>
      </c>
      <c r="I31" t="str">
        <f>+'Admon 2025'!H18</f>
        <v>Nichols, Dominguez &amp; Velazquez</v>
      </c>
      <c r="J31" t="str">
        <f>+'Admon 2025'!I18</f>
        <v>Accounting and tax services</v>
      </c>
      <c r="K31" t="str">
        <f>+'Admon 2025'!J18</f>
        <v>603.38.001</v>
      </c>
      <c r="L31" t="str">
        <f>+'Admon 2025'!K18</f>
        <v>Honorarios A Personas Morales Nacionales</v>
      </c>
      <c r="M31" t="str">
        <f>+'Admon 2025'!L18</f>
        <v>Servicios Externos</v>
      </c>
      <c r="N31" t="str">
        <f>+'Admon 2025'!M18</f>
        <v>USD</v>
      </c>
      <c r="O31" s="300">
        <f>+'Admon 2025'!N18</f>
        <v>89100</v>
      </c>
      <c r="P31" s="300">
        <f>+'Admon 2025'!O18</f>
        <v>89100</v>
      </c>
      <c r="Q31" s="300">
        <f>+'Admon 2025'!P18</f>
        <v>7425</v>
      </c>
      <c r="R31" s="300">
        <f>+'Admon 2025'!Q18</f>
        <v>7425</v>
      </c>
      <c r="S31" s="300">
        <f>+'Admon 2025'!R18</f>
        <v>7425</v>
      </c>
      <c r="T31" s="300">
        <f>+'Admon 2025'!S18</f>
        <v>7425</v>
      </c>
      <c r="U31" s="300">
        <f>+'Admon 2025'!T18</f>
        <v>7425</v>
      </c>
      <c r="V31" s="300">
        <f>+'Admon 2025'!U18</f>
        <v>7425</v>
      </c>
      <c r="W31" s="300">
        <f>+'Admon 2025'!V18</f>
        <v>7425</v>
      </c>
      <c r="X31" s="300">
        <f>+'Admon 2025'!W18</f>
        <v>7425</v>
      </c>
      <c r="Y31" s="300">
        <f>+'Admon 2025'!X18</f>
        <v>7425</v>
      </c>
      <c r="Z31" s="300">
        <f>+'Admon 2025'!Y18</f>
        <v>7425</v>
      </c>
      <c r="AA31" s="300">
        <f>+'Admon 2025'!Z18</f>
        <v>7425</v>
      </c>
      <c r="AB31" s="300">
        <f>+'Admon 2025'!AA18</f>
        <v>7425</v>
      </c>
      <c r="AC31" s="301">
        <f t="shared" si="0"/>
        <v>1</v>
      </c>
      <c r="AD31" s="511">
        <f t="shared" si="1"/>
        <v>89100</v>
      </c>
      <c r="AE31" s="300">
        <f t="shared" si="2"/>
        <v>7425</v>
      </c>
      <c r="AF31" s="300">
        <f t="shared" si="3"/>
        <v>7425</v>
      </c>
      <c r="AG31" s="300">
        <f t="shared" si="4"/>
        <v>7425</v>
      </c>
      <c r="AH31" s="300">
        <f t="shared" si="5"/>
        <v>7425</v>
      </c>
      <c r="AI31" s="300">
        <f t="shared" si="6"/>
        <v>7425</v>
      </c>
      <c r="AJ31" s="300">
        <f t="shared" si="7"/>
        <v>7425</v>
      </c>
      <c r="AK31" s="300">
        <f t="shared" si="8"/>
        <v>7425</v>
      </c>
      <c r="AL31" s="300">
        <f t="shared" si="9"/>
        <v>7425</v>
      </c>
      <c r="AM31" s="300">
        <f t="shared" si="10"/>
        <v>7425</v>
      </c>
      <c r="AN31" s="300">
        <f t="shared" si="11"/>
        <v>7425</v>
      </c>
      <c r="AO31" s="300">
        <f t="shared" si="12"/>
        <v>7425</v>
      </c>
      <c r="AP31" s="300">
        <f t="shared" si="13"/>
        <v>7425</v>
      </c>
    </row>
    <row r="32" spans="2:42" hidden="1">
      <c r="B32" t="str">
        <f>+'Admon 2025'!A19</f>
        <v>ADM</v>
      </c>
      <c r="C32" t="str">
        <f>+'Admon 2025'!B19</f>
        <v>Maria Josefa Avalos</v>
      </c>
      <c r="D32" s="191">
        <f>+'Admon 2025'!C19</f>
        <v>0</v>
      </c>
      <c r="E32" s="191">
        <f>+'Admon 2025'!D19</f>
        <v>0</v>
      </c>
      <c r="F32" s="191">
        <f>+'Admon 2025'!E19</f>
        <v>0</v>
      </c>
      <c r="G32" s="191">
        <f>+'Admon 2025'!F19</f>
        <v>1</v>
      </c>
      <c r="H32" t="str">
        <f>+'Admon 2025'!G19</f>
        <v>Accounting &amp; Tax</v>
      </c>
      <c r="I32" t="str">
        <f>+'Admon 2025'!H19</f>
        <v>Arrowpoint</v>
      </c>
      <c r="J32" t="str">
        <f>+'Admon 2025'!I19</f>
        <v>Treasury as a service</v>
      </c>
      <c r="K32" t="str">
        <f>+'Admon 2025'!J19</f>
        <v>603.38.001</v>
      </c>
      <c r="L32" t="str">
        <f>+'Admon 2025'!K19</f>
        <v>Honorarios A Personas Morales Nacionales</v>
      </c>
      <c r="M32" t="str">
        <f>+'Admon 2025'!L19</f>
        <v>Servicios Externos</v>
      </c>
      <c r="N32" t="str">
        <f>+'Admon 2025'!M19</f>
        <v>MXN</v>
      </c>
      <c r="O32" s="300">
        <f>+'Admon 2025'!N19</f>
        <v>8003.3846153846152</v>
      </c>
      <c r="P32" s="300">
        <f>+'Admon 2025'!O19</f>
        <v>156066</v>
      </c>
      <c r="Q32" s="300">
        <f>+'Admon 2025'!P19</f>
        <v>13000</v>
      </c>
      <c r="R32" s="300">
        <f>+'Admon 2025'!Q19</f>
        <v>13001</v>
      </c>
      <c r="S32" s="300">
        <f>+'Admon 2025'!R19</f>
        <v>13002</v>
      </c>
      <c r="T32" s="300">
        <f>+'Admon 2025'!S19</f>
        <v>13003</v>
      </c>
      <c r="U32" s="300">
        <f>+'Admon 2025'!T19</f>
        <v>13004</v>
      </c>
      <c r="V32" s="300">
        <f>+'Admon 2025'!U19</f>
        <v>13005</v>
      </c>
      <c r="W32" s="300">
        <f>+'Admon 2025'!V19</f>
        <v>13006</v>
      </c>
      <c r="X32" s="300">
        <f>+'Admon 2025'!W19</f>
        <v>13007</v>
      </c>
      <c r="Y32" s="300">
        <f>+'Admon 2025'!X19</f>
        <v>13008</v>
      </c>
      <c r="Z32" s="300">
        <f>+'Admon 2025'!Y19</f>
        <v>13009</v>
      </c>
      <c r="AA32" s="300">
        <f>+'Admon 2025'!Z19</f>
        <v>13010</v>
      </c>
      <c r="AB32" s="300">
        <f>+'Admon 2025'!AA19</f>
        <v>13011</v>
      </c>
      <c r="AC32" s="301">
        <f t="shared" si="0"/>
        <v>1</v>
      </c>
      <c r="AD32" s="511">
        <f t="shared" si="1"/>
        <v>8003.3846153846152</v>
      </c>
      <c r="AE32" s="300">
        <f t="shared" si="2"/>
        <v>666.66666666666663</v>
      </c>
      <c r="AF32" s="300">
        <f t="shared" si="3"/>
        <v>666.71794871794873</v>
      </c>
      <c r="AG32" s="300">
        <f t="shared" si="4"/>
        <v>666.76923076923072</v>
      </c>
      <c r="AH32" s="300">
        <f t="shared" si="5"/>
        <v>666.82051282051282</v>
      </c>
      <c r="AI32" s="300">
        <f t="shared" si="6"/>
        <v>666.87179487179492</v>
      </c>
      <c r="AJ32" s="300">
        <f t="shared" si="7"/>
        <v>666.92307692307691</v>
      </c>
      <c r="AK32" s="300">
        <f t="shared" si="8"/>
        <v>666.97435897435901</v>
      </c>
      <c r="AL32" s="300">
        <f t="shared" si="9"/>
        <v>667.02564102564099</v>
      </c>
      <c r="AM32" s="300">
        <f t="shared" si="10"/>
        <v>667.07692307692309</v>
      </c>
      <c r="AN32" s="300">
        <f t="shared" si="11"/>
        <v>667.12820512820508</v>
      </c>
      <c r="AO32" s="300">
        <f t="shared" si="12"/>
        <v>667.17948717948718</v>
      </c>
      <c r="AP32" s="300">
        <f t="shared" si="13"/>
        <v>667.23076923076928</v>
      </c>
    </row>
    <row r="33" spans="1:42" hidden="1">
      <c r="B33" t="str">
        <f>+'Admon 2025'!A20</f>
        <v>ADM</v>
      </c>
      <c r="C33" t="str">
        <f>+'Admon 2025'!B20</f>
        <v>Maria Josefa Avalos</v>
      </c>
      <c r="D33" s="191">
        <f>+'Admon 2025'!C20</f>
        <v>0</v>
      </c>
      <c r="E33" s="191">
        <f>+'Admon 2025'!D20</f>
        <v>0</v>
      </c>
      <c r="F33" s="191">
        <f>+'Admon 2025'!E20</f>
        <v>0</v>
      </c>
      <c r="G33" s="191">
        <f>+'Admon 2025'!F20</f>
        <v>1</v>
      </c>
      <c r="H33" t="str">
        <f>+'Admon 2025'!G20</f>
        <v>Accounting &amp; Tax</v>
      </c>
      <c r="I33" t="str">
        <f>+'Admon 2025'!H20</f>
        <v>OPERAM</v>
      </c>
      <c r="J33" t="str">
        <f>+'Admon 2025'!I20</f>
        <v>Accounting and tresury services</v>
      </c>
      <c r="K33" t="str">
        <f>+'Admon 2025'!J20</f>
        <v>603.38.001</v>
      </c>
      <c r="L33" t="str">
        <f>+'Admon 2025'!K20</f>
        <v>Honorarios A Personas Morales Nacionales</v>
      </c>
      <c r="M33" t="str">
        <f>+'Admon 2025'!L20</f>
        <v>Servicios Externos</v>
      </c>
      <c r="N33" t="str">
        <f>+'Admon 2025'!M20</f>
        <v>MXN</v>
      </c>
      <c r="O33" s="300">
        <f>+'Admon 2025'!N20</f>
        <v>314.09230769230766</v>
      </c>
      <c r="P33" s="300">
        <f>+'Admon 2025'!O20</f>
        <v>6124.7999999999993</v>
      </c>
      <c r="Q33" s="300">
        <f>+'Admon 2025'!P20</f>
        <v>510.4</v>
      </c>
      <c r="R33" s="300">
        <f>+'Admon 2025'!Q20</f>
        <v>510.4</v>
      </c>
      <c r="S33" s="300">
        <f>+'Admon 2025'!R20</f>
        <v>510.4</v>
      </c>
      <c r="T33" s="300">
        <f>+'Admon 2025'!S20</f>
        <v>510.4</v>
      </c>
      <c r="U33" s="300">
        <f>+'Admon 2025'!T20</f>
        <v>510.4</v>
      </c>
      <c r="V33" s="300">
        <f>+'Admon 2025'!U20</f>
        <v>510.4</v>
      </c>
      <c r="W33" s="300">
        <f>+'Admon 2025'!V20</f>
        <v>510.4</v>
      </c>
      <c r="X33" s="300">
        <f>+'Admon 2025'!W20</f>
        <v>510.4</v>
      </c>
      <c r="Y33" s="300">
        <f>+'Admon 2025'!X20</f>
        <v>510.4</v>
      </c>
      <c r="Z33" s="300">
        <f>+'Admon 2025'!Y20</f>
        <v>510.4</v>
      </c>
      <c r="AA33" s="300">
        <f>+'Admon 2025'!Z20</f>
        <v>510.4</v>
      </c>
      <c r="AB33" s="300">
        <f>+'Admon 2025'!AA20</f>
        <v>510.4</v>
      </c>
      <c r="AC33" s="301">
        <f t="shared" si="0"/>
        <v>1</v>
      </c>
      <c r="AD33" s="511">
        <f t="shared" si="1"/>
        <v>314.09230769230771</v>
      </c>
      <c r="AE33" s="300">
        <f t="shared" si="2"/>
        <v>26.174358974358974</v>
      </c>
      <c r="AF33" s="300">
        <f t="shared" si="3"/>
        <v>26.174358974358974</v>
      </c>
      <c r="AG33" s="300">
        <f t="shared" si="4"/>
        <v>26.174358974358974</v>
      </c>
      <c r="AH33" s="300">
        <f t="shared" si="5"/>
        <v>26.174358974358974</v>
      </c>
      <c r="AI33" s="300">
        <f t="shared" si="6"/>
        <v>26.174358974358974</v>
      </c>
      <c r="AJ33" s="300">
        <f t="shared" si="7"/>
        <v>26.174358974358974</v>
      </c>
      <c r="AK33" s="300">
        <f t="shared" si="8"/>
        <v>26.174358974358974</v>
      </c>
      <c r="AL33" s="300">
        <f t="shared" si="9"/>
        <v>26.174358974358974</v>
      </c>
      <c r="AM33" s="300">
        <f t="shared" si="10"/>
        <v>26.174358974358974</v>
      </c>
      <c r="AN33" s="300">
        <f t="shared" si="11"/>
        <v>26.174358974358974</v>
      </c>
      <c r="AO33" s="300">
        <f t="shared" si="12"/>
        <v>26.174358974358974</v>
      </c>
      <c r="AP33" s="300">
        <f t="shared" si="13"/>
        <v>26.174358974358974</v>
      </c>
    </row>
    <row r="34" spans="1:42" hidden="1">
      <c r="B34" t="str">
        <f>+'Admon 2025'!A21</f>
        <v>ADM</v>
      </c>
      <c r="C34" t="str">
        <f>+'Admon 2025'!B21</f>
        <v>Maria Josefa Avalos</v>
      </c>
      <c r="D34" s="191">
        <f>+'Admon 2025'!C21</f>
        <v>0</v>
      </c>
      <c r="E34" s="191">
        <f>+'Admon 2025'!D21</f>
        <v>0</v>
      </c>
      <c r="F34" s="191">
        <f>+'Admon 2025'!E21</f>
        <v>0</v>
      </c>
      <c r="G34" s="191">
        <f>+'Admon 2025'!F21</f>
        <v>1</v>
      </c>
      <c r="H34" t="str">
        <f>+'Admon 2025'!G21</f>
        <v>Accounting &amp; Tax</v>
      </c>
      <c r="I34" t="str">
        <f>+'Admon 2025'!H21</f>
        <v>Topaz</v>
      </c>
      <c r="J34" t="str">
        <f>+'Admon 2025'!I21</f>
        <v>Accounting and tresury services</v>
      </c>
      <c r="K34" t="str">
        <f>+'Admon 2025'!J21</f>
        <v>603.38.001</v>
      </c>
      <c r="L34" t="str">
        <f>+'Admon 2025'!K21</f>
        <v>Honorarios A Personas Morales Nacionales</v>
      </c>
      <c r="M34" t="str">
        <f>+'Admon 2025'!L21</f>
        <v>Servicios Externos</v>
      </c>
      <c r="N34" t="str">
        <f>+'Admon 2025'!M21</f>
        <v>MXN</v>
      </c>
      <c r="O34" s="300">
        <f>+'Admon 2025'!N21</f>
        <v>18461.538461538461</v>
      </c>
      <c r="P34" s="300">
        <f>+'Admon 2025'!O21</f>
        <v>360000</v>
      </c>
      <c r="Q34" s="300">
        <f>+'Admon 2025'!P21</f>
        <v>30000</v>
      </c>
      <c r="R34" s="300">
        <f>+'Admon 2025'!Q21</f>
        <v>30000</v>
      </c>
      <c r="S34" s="300">
        <f>+'Admon 2025'!R21</f>
        <v>30000</v>
      </c>
      <c r="T34" s="300">
        <f>+'Admon 2025'!S21</f>
        <v>30000</v>
      </c>
      <c r="U34" s="300">
        <f>+'Admon 2025'!T21</f>
        <v>30000</v>
      </c>
      <c r="V34" s="300">
        <f>+'Admon 2025'!U21</f>
        <v>30000</v>
      </c>
      <c r="W34" s="300">
        <f>+'Admon 2025'!V21</f>
        <v>30000</v>
      </c>
      <c r="X34" s="300">
        <f>+'Admon 2025'!W21</f>
        <v>30000</v>
      </c>
      <c r="Y34" s="300">
        <f>+'Admon 2025'!X21</f>
        <v>30000</v>
      </c>
      <c r="Z34" s="300">
        <f>+'Admon 2025'!Y21</f>
        <v>30000</v>
      </c>
      <c r="AA34" s="300">
        <f>+'Admon 2025'!Z21</f>
        <v>30000</v>
      </c>
      <c r="AB34" s="300">
        <f>+'Admon 2025'!AA21</f>
        <v>30000</v>
      </c>
      <c r="AC34" s="301">
        <f t="shared" si="0"/>
        <v>1</v>
      </c>
      <c r="AD34" s="511">
        <f t="shared" si="1"/>
        <v>18461.538461538465</v>
      </c>
      <c r="AE34" s="300">
        <f t="shared" si="2"/>
        <v>1538.4615384615386</v>
      </c>
      <c r="AF34" s="300">
        <f t="shared" si="3"/>
        <v>1538.4615384615386</v>
      </c>
      <c r="AG34" s="300">
        <f t="shared" si="4"/>
        <v>1538.4615384615386</v>
      </c>
      <c r="AH34" s="300">
        <f t="shared" si="5"/>
        <v>1538.4615384615386</v>
      </c>
      <c r="AI34" s="300">
        <f t="shared" si="6"/>
        <v>1538.4615384615386</v>
      </c>
      <c r="AJ34" s="300">
        <f t="shared" si="7"/>
        <v>1538.4615384615386</v>
      </c>
      <c r="AK34" s="300">
        <f t="shared" si="8"/>
        <v>1538.4615384615386</v>
      </c>
      <c r="AL34" s="300">
        <f t="shared" si="9"/>
        <v>1538.4615384615386</v>
      </c>
      <c r="AM34" s="300">
        <f t="shared" si="10"/>
        <v>1538.4615384615386</v>
      </c>
      <c r="AN34" s="300">
        <f t="shared" si="11"/>
        <v>1538.4615384615386</v>
      </c>
      <c r="AO34" s="300">
        <f t="shared" si="12"/>
        <v>1538.4615384615386</v>
      </c>
      <c r="AP34" s="300">
        <f t="shared" si="13"/>
        <v>1538.4615384615386</v>
      </c>
    </row>
    <row r="35" spans="1:42" hidden="1">
      <c r="B35" t="str">
        <f>+'Admon 2025'!A22</f>
        <v>ADM</v>
      </c>
      <c r="C35" t="str">
        <f>+'Admon 2025'!B22</f>
        <v>Maria Josefa Avalos</v>
      </c>
      <c r="D35" s="191">
        <f>+'Admon 2025'!C22</f>
        <v>0</v>
      </c>
      <c r="E35" s="191">
        <f>+'Admon 2025'!D22</f>
        <v>0</v>
      </c>
      <c r="F35" s="191">
        <f>+'Admon 2025'!E22</f>
        <v>0</v>
      </c>
      <c r="G35" s="191">
        <f>+'Admon 2025'!F22</f>
        <v>1</v>
      </c>
      <c r="H35" t="str">
        <f>+'Admon 2025'!G22</f>
        <v>Talisis.com</v>
      </c>
      <c r="I35" t="str">
        <f>+'Admon 2025'!H22</f>
        <v>UERRE</v>
      </c>
      <c r="J35" t="str">
        <f>+'Admon 2025'!I22</f>
        <v>Talisis.com</v>
      </c>
      <c r="K35" t="str">
        <f>+'Admon 2025'!J22</f>
        <v>603.38.001</v>
      </c>
      <c r="L35" t="str">
        <f>+'Admon 2025'!K22</f>
        <v>Honorarios A Personas Morales Nacionales</v>
      </c>
      <c r="M35" t="str">
        <f>+'Admon 2025'!L22</f>
        <v>Servicios Externos</v>
      </c>
      <c r="N35" t="str">
        <f>+'Admon 2025'!M22</f>
        <v>MXN</v>
      </c>
      <c r="O35" s="300">
        <f>+'Admon 2025'!N22</f>
        <v>0</v>
      </c>
      <c r="P35" s="300">
        <f>+'Admon 2025'!O22</f>
        <v>0</v>
      </c>
      <c r="Q35" s="300">
        <f>+'Admon 2025'!P22</f>
        <v>0</v>
      </c>
      <c r="R35" s="300">
        <f>+'Admon 2025'!Q22</f>
        <v>0</v>
      </c>
      <c r="S35" s="300">
        <f>+'Admon 2025'!R22</f>
        <v>0</v>
      </c>
      <c r="T35" s="300">
        <f>+'Admon 2025'!S22</f>
        <v>0</v>
      </c>
      <c r="U35" s="300">
        <f>+'Admon 2025'!T22</f>
        <v>0</v>
      </c>
      <c r="V35" s="300">
        <f>+'Admon 2025'!U22</f>
        <v>0</v>
      </c>
      <c r="W35" s="300">
        <f>+'Admon 2025'!V22</f>
        <v>0</v>
      </c>
      <c r="X35" s="300">
        <f>+'Admon 2025'!W22</f>
        <v>0</v>
      </c>
      <c r="Y35" s="300">
        <f>+'Admon 2025'!X22</f>
        <v>0</v>
      </c>
      <c r="Z35" s="300">
        <f>+'Admon 2025'!Y22</f>
        <v>0</v>
      </c>
      <c r="AA35" s="300">
        <f>+'Admon 2025'!Z22</f>
        <v>0</v>
      </c>
      <c r="AB35" s="300">
        <f>+'Admon 2025'!AA22</f>
        <v>0</v>
      </c>
      <c r="AC35" s="301">
        <f t="shared" si="0"/>
        <v>1</v>
      </c>
      <c r="AD35" s="511">
        <f t="shared" si="1"/>
        <v>0</v>
      </c>
      <c r="AE35" s="300">
        <f t="shared" si="2"/>
        <v>0</v>
      </c>
      <c r="AF35" s="300">
        <f t="shared" si="3"/>
        <v>0</v>
      </c>
      <c r="AG35" s="300">
        <f t="shared" si="4"/>
        <v>0</v>
      </c>
      <c r="AH35" s="300">
        <f t="shared" si="5"/>
        <v>0</v>
      </c>
      <c r="AI35" s="300">
        <f t="shared" si="6"/>
        <v>0</v>
      </c>
      <c r="AJ35" s="300">
        <f t="shared" si="7"/>
        <v>0</v>
      </c>
      <c r="AK35" s="300">
        <f t="shared" si="8"/>
        <v>0</v>
      </c>
      <c r="AL35" s="300">
        <f t="shared" si="9"/>
        <v>0</v>
      </c>
      <c r="AM35" s="300">
        <f t="shared" si="10"/>
        <v>0</v>
      </c>
      <c r="AN35" s="300">
        <f t="shared" si="11"/>
        <v>0</v>
      </c>
      <c r="AO35" s="300">
        <f t="shared" si="12"/>
        <v>0</v>
      </c>
      <c r="AP35" s="300">
        <f t="shared" si="13"/>
        <v>0</v>
      </c>
    </row>
    <row r="36" spans="1:42" hidden="1">
      <c r="B36" t="str">
        <f>+'Admon 2025'!A25</f>
        <v>ADM</v>
      </c>
      <c r="C36" t="str">
        <f>+'Admon 2025'!B25</f>
        <v>Maria Josefa Avalos</v>
      </c>
      <c r="D36" s="191">
        <f>+'Admon 2025'!C25</f>
        <v>0.4</v>
      </c>
      <c r="E36" s="191">
        <f>+'Admon 2025'!D25</f>
        <v>0.4</v>
      </c>
      <c r="F36" s="191">
        <f>+'Admon 2025'!E25</f>
        <v>0.2</v>
      </c>
      <c r="G36" s="191">
        <f>+'Admon 2025'!F25</f>
        <v>0</v>
      </c>
      <c r="H36" t="str">
        <f>+'Admon 2025'!G25</f>
        <v>Payroll</v>
      </c>
      <c r="I36" t="str">
        <f>+'Admon 2025'!H25</f>
        <v>Luis Garza</v>
      </c>
      <c r="J36" t="str">
        <f>+'Admon 2025'!I25</f>
        <v>Asimilados</v>
      </c>
      <c r="K36" t="str">
        <f>+'Admon 2025'!J25</f>
        <v>603.31.001</v>
      </c>
      <c r="L36" t="str">
        <f>+'Admon 2025'!K25</f>
        <v>Asimilados a salarios</v>
      </c>
      <c r="M36" t="str">
        <f>+'Admon 2025'!L25</f>
        <v>Sueldos y Salarios</v>
      </c>
      <c r="N36" t="str">
        <f>+'Admon 2025'!M25</f>
        <v>MXN</v>
      </c>
      <c r="O36" s="300">
        <f>+'Admon 2025'!N25</f>
        <v>0</v>
      </c>
      <c r="P36" s="300">
        <f>+'Admon 2025'!O25</f>
        <v>0</v>
      </c>
      <c r="Q36" s="300">
        <f>+'Admon 2025'!P25</f>
        <v>0</v>
      </c>
      <c r="R36" s="300">
        <f>+'Admon 2025'!Q25</f>
        <v>0</v>
      </c>
      <c r="S36" s="300">
        <f>+'Admon 2025'!R25</f>
        <v>0</v>
      </c>
      <c r="T36" s="300">
        <f>+'Admon 2025'!S25</f>
        <v>0</v>
      </c>
      <c r="U36" s="300">
        <f>+'Admon 2025'!T25</f>
        <v>0</v>
      </c>
      <c r="V36" s="300">
        <f>+'Admon 2025'!U25</f>
        <v>0</v>
      </c>
      <c r="W36" s="300">
        <f>+'Admon 2025'!V25</f>
        <v>0</v>
      </c>
      <c r="X36" s="300">
        <f>+'Admon 2025'!W25</f>
        <v>0</v>
      </c>
      <c r="Y36" s="300">
        <f>+'Admon 2025'!X25</f>
        <v>0</v>
      </c>
      <c r="Z36" s="300">
        <f>+'Admon 2025'!Y25</f>
        <v>0</v>
      </c>
      <c r="AA36" s="300">
        <f>+'Admon 2025'!Z25</f>
        <v>0</v>
      </c>
      <c r="AB36" s="300">
        <f>+'Admon 2025'!AA25</f>
        <v>0</v>
      </c>
      <c r="AC36" s="301">
        <f t="shared" si="0"/>
        <v>1</v>
      </c>
      <c r="AD36" s="511">
        <f t="shared" si="1"/>
        <v>0</v>
      </c>
      <c r="AE36" s="300">
        <f t="shared" si="2"/>
        <v>0</v>
      </c>
      <c r="AF36" s="300">
        <f t="shared" si="3"/>
        <v>0</v>
      </c>
      <c r="AG36" s="300">
        <f t="shared" si="4"/>
        <v>0</v>
      </c>
      <c r="AH36" s="300">
        <f t="shared" si="5"/>
        <v>0</v>
      </c>
      <c r="AI36" s="300">
        <f t="shared" si="6"/>
        <v>0</v>
      </c>
      <c r="AJ36" s="300">
        <f t="shared" si="7"/>
        <v>0</v>
      </c>
      <c r="AK36" s="300">
        <f t="shared" si="8"/>
        <v>0</v>
      </c>
      <c r="AL36" s="300">
        <f t="shared" si="9"/>
        <v>0</v>
      </c>
      <c r="AM36" s="300">
        <f t="shared" si="10"/>
        <v>0</v>
      </c>
      <c r="AN36" s="300">
        <f t="shared" si="11"/>
        <v>0</v>
      </c>
      <c r="AO36" s="300">
        <f t="shared" si="12"/>
        <v>0</v>
      </c>
      <c r="AP36" s="300">
        <f t="shared" si="13"/>
        <v>0</v>
      </c>
    </row>
    <row r="37" spans="1:42" hidden="1">
      <c r="B37" t="str">
        <f>+'Admon 2025'!A27</f>
        <v>ADM</v>
      </c>
      <c r="C37" t="str">
        <f>+'Admon 2025'!B27</f>
        <v>Maria Josefa Avalos</v>
      </c>
      <c r="D37" s="191">
        <f>+'Admon 2025'!C27</f>
        <v>0.2</v>
      </c>
      <c r="E37" s="191">
        <f>+'Admon 2025'!D27</f>
        <v>0.2</v>
      </c>
      <c r="F37" s="191">
        <f>+'Admon 2025'!E27</f>
        <v>0.4</v>
      </c>
      <c r="G37" s="191">
        <f>+'Admon 2025'!F27</f>
        <v>0.2</v>
      </c>
      <c r="H37" t="str">
        <f>+'Admon 2025'!G27</f>
        <v>Payroll</v>
      </c>
      <c r="I37" t="str">
        <f>+'Admon 2025'!H27</f>
        <v>Maria Josefa Avalos</v>
      </c>
      <c r="J37" t="str">
        <f>+'Admon 2025'!I27</f>
        <v>Dir Strategic Projects and Excellence</v>
      </c>
      <c r="K37" t="str">
        <f>+'Admon 2025'!J27</f>
        <v>603.01.001</v>
      </c>
      <c r="L37" t="str">
        <f>+'Admon 2025'!K27</f>
        <v>Sueldos y salarios</v>
      </c>
      <c r="M37" t="str">
        <f>+'Admon 2025'!L27</f>
        <v>Sueldos y Salarios</v>
      </c>
      <c r="N37" t="str">
        <f>+'Admon 2025'!M27</f>
        <v>MXN</v>
      </c>
      <c r="O37" s="300">
        <f>+'Admon 2025'!N27</f>
        <v>64146.461538461539</v>
      </c>
      <c r="P37" s="300">
        <f>+'Admon 2025'!O27</f>
        <v>1250856</v>
      </c>
      <c r="Q37" s="300">
        <f>+'Admon 2025'!P27</f>
        <v>104238</v>
      </c>
      <c r="R37" s="300">
        <f>+'Admon 2025'!Q27</f>
        <v>104238</v>
      </c>
      <c r="S37" s="300">
        <f>+'Admon 2025'!R27</f>
        <v>104238</v>
      </c>
      <c r="T37" s="300">
        <f>+'Admon 2025'!S27</f>
        <v>104238</v>
      </c>
      <c r="U37" s="300">
        <f>+'Admon 2025'!T27</f>
        <v>104238</v>
      </c>
      <c r="V37" s="300">
        <f>+'Admon 2025'!U27</f>
        <v>104238</v>
      </c>
      <c r="W37" s="300">
        <f>+'Admon 2025'!V27</f>
        <v>104238</v>
      </c>
      <c r="X37" s="300">
        <f>+'Admon 2025'!W27</f>
        <v>104238</v>
      </c>
      <c r="Y37" s="300">
        <f>+'Admon 2025'!X27</f>
        <v>104238</v>
      </c>
      <c r="Z37" s="300">
        <f>+'Admon 2025'!Y27</f>
        <v>104238</v>
      </c>
      <c r="AA37" s="300">
        <f>+'Admon 2025'!Z27</f>
        <v>104238</v>
      </c>
      <c r="AB37" s="300">
        <f>+'Admon 2025'!AA27</f>
        <v>104238</v>
      </c>
      <c r="AC37" s="301">
        <f t="shared" si="0"/>
        <v>1</v>
      </c>
      <c r="AD37" s="511">
        <f t="shared" si="1"/>
        <v>64146.461538461539</v>
      </c>
      <c r="AE37" s="300">
        <f t="shared" si="2"/>
        <v>5345.5384615384619</v>
      </c>
      <c r="AF37" s="300">
        <f t="shared" si="3"/>
        <v>5345.5384615384619</v>
      </c>
      <c r="AG37" s="300">
        <f t="shared" si="4"/>
        <v>5345.5384615384619</v>
      </c>
      <c r="AH37" s="300">
        <f t="shared" si="5"/>
        <v>5345.5384615384619</v>
      </c>
      <c r="AI37" s="300">
        <f t="shared" si="6"/>
        <v>5345.5384615384619</v>
      </c>
      <c r="AJ37" s="300">
        <f t="shared" si="7"/>
        <v>5345.5384615384619</v>
      </c>
      <c r="AK37" s="300">
        <f t="shared" si="8"/>
        <v>5345.5384615384619</v>
      </c>
      <c r="AL37" s="300">
        <f t="shared" si="9"/>
        <v>5345.5384615384619</v>
      </c>
      <c r="AM37" s="300">
        <f t="shared" si="10"/>
        <v>5345.5384615384619</v>
      </c>
      <c r="AN37" s="300">
        <f t="shared" si="11"/>
        <v>5345.5384615384619</v>
      </c>
      <c r="AO37" s="300">
        <f t="shared" si="12"/>
        <v>5345.5384615384619</v>
      </c>
      <c r="AP37" s="300">
        <f t="shared" si="13"/>
        <v>5345.5384615384619</v>
      </c>
    </row>
    <row r="38" spans="1:42" hidden="1">
      <c r="B38" t="str">
        <f>+'Admon 2025'!A28</f>
        <v>ADM</v>
      </c>
      <c r="C38" t="str">
        <f>+'Admon 2025'!B28</f>
        <v>Maria Josefa Avalos</v>
      </c>
      <c r="D38" s="191">
        <f>+'Admon 2025'!C28</f>
        <v>0</v>
      </c>
      <c r="E38" s="191">
        <f>+'Admon 2025'!D28</f>
        <v>0</v>
      </c>
      <c r="F38" s="191">
        <f>+'Admon 2025'!E28</f>
        <v>0</v>
      </c>
      <c r="G38" s="191">
        <f>+'Admon 2025'!F28</f>
        <v>1</v>
      </c>
      <c r="H38" t="str">
        <f>+'Admon 2025'!G28</f>
        <v>Payroll</v>
      </c>
      <c r="I38" t="str">
        <f>+'Admon 2025'!H28</f>
        <v>Mariana Villarreal</v>
      </c>
      <c r="J38" t="str">
        <f>+'Admon 2025'!I28</f>
        <v>People Opps</v>
      </c>
      <c r="K38" t="str">
        <f>+'Admon 2025'!J28</f>
        <v>603.01.001</v>
      </c>
      <c r="L38" t="str">
        <f>+'Admon 2025'!K28</f>
        <v>Sueldos y salarios</v>
      </c>
      <c r="M38" t="str">
        <f>+'Admon 2025'!L28</f>
        <v>Sueldos y Salarios</v>
      </c>
      <c r="N38" t="str">
        <f>+'Admon 2025'!M28</f>
        <v>MXN</v>
      </c>
      <c r="O38" s="300">
        <f>+'Admon 2025'!N28</f>
        <v>13476.923076923076</v>
      </c>
      <c r="P38" s="300">
        <f>+'Admon 2025'!O28</f>
        <v>262800</v>
      </c>
      <c r="Q38" s="300">
        <f>+'Admon 2025'!P28</f>
        <v>21900</v>
      </c>
      <c r="R38" s="300">
        <f>+'Admon 2025'!Q28</f>
        <v>21900</v>
      </c>
      <c r="S38" s="300">
        <f>+'Admon 2025'!R28</f>
        <v>21900</v>
      </c>
      <c r="T38" s="300">
        <f>+'Admon 2025'!S28</f>
        <v>21900</v>
      </c>
      <c r="U38" s="300">
        <f>+'Admon 2025'!T28</f>
        <v>21900</v>
      </c>
      <c r="V38" s="300">
        <f>+'Admon 2025'!U28</f>
        <v>21900</v>
      </c>
      <c r="W38" s="300">
        <f>+'Admon 2025'!V28</f>
        <v>21900</v>
      </c>
      <c r="X38" s="300">
        <f>+'Admon 2025'!W28</f>
        <v>21900</v>
      </c>
      <c r="Y38" s="300">
        <f>+'Admon 2025'!X28</f>
        <v>21900</v>
      </c>
      <c r="Z38" s="300">
        <f>+'Admon 2025'!Y28</f>
        <v>21900</v>
      </c>
      <c r="AA38" s="300">
        <f>+'Admon 2025'!Z28</f>
        <v>21900</v>
      </c>
      <c r="AB38" s="300">
        <f>+'Admon 2025'!AA28</f>
        <v>21900</v>
      </c>
      <c r="AC38" s="301">
        <f t="shared" ref="AC38:AC69" si="14">+IF(AD38=O38,1,0)</f>
        <v>1</v>
      </c>
      <c r="AD38" s="511">
        <f t="shared" ref="AD38:AD69" si="15">+SUM(AE38:AP38)</f>
        <v>13476.92307692308</v>
      </c>
      <c r="AE38" s="300">
        <f t="shared" ref="AE38:AE69" si="16">+IF($N38="MXN",Q38/$AE$2,IF($N38="BRL",Q38/$AE$3,Q38))</f>
        <v>1123.0769230769231</v>
      </c>
      <c r="AF38" s="300">
        <f t="shared" ref="AF38:AF69" si="17">+IF($N38="MXN",R38/$AE$2,IF($N38="BRL",R38/$AE$3,R38))</f>
        <v>1123.0769230769231</v>
      </c>
      <c r="AG38" s="300">
        <f t="shared" ref="AG38:AG69" si="18">+IF($N38="MXN",S38/$AE$2,IF($N38="BRL",S38/$AE$3,S38))</f>
        <v>1123.0769230769231</v>
      </c>
      <c r="AH38" s="300">
        <f t="shared" ref="AH38:AH69" si="19">+IF($N38="MXN",T38/$AE$2,IF($N38="BRL",T38/$AE$3,T38))</f>
        <v>1123.0769230769231</v>
      </c>
      <c r="AI38" s="300">
        <f t="shared" ref="AI38:AI69" si="20">+IF($N38="MXN",U38/$AE$2,IF($N38="BRL",U38/$AE$3,U38))</f>
        <v>1123.0769230769231</v>
      </c>
      <c r="AJ38" s="300">
        <f t="shared" ref="AJ38:AJ69" si="21">+IF($N38="MXN",V38/$AE$2,IF($N38="BRL",V38/$AE$3,V38))</f>
        <v>1123.0769230769231</v>
      </c>
      <c r="AK38" s="300">
        <f t="shared" ref="AK38:AK69" si="22">+IF($N38="MXN",W38/$AE$2,IF($N38="BRL",W38/$AE$3,W38))</f>
        <v>1123.0769230769231</v>
      </c>
      <c r="AL38" s="300">
        <f t="shared" ref="AL38:AL69" si="23">+IF($N38="MXN",X38/$AE$2,IF($N38="BRL",X38/$AE$3,X38))</f>
        <v>1123.0769230769231</v>
      </c>
      <c r="AM38" s="300">
        <f t="shared" ref="AM38:AM69" si="24">+IF($N38="MXN",Y38/$AE$2,IF($N38="BRL",Y38/$AE$3,Y38))</f>
        <v>1123.0769230769231</v>
      </c>
      <c r="AN38" s="300">
        <f t="shared" ref="AN38:AN69" si="25">+IF($N38="MXN",Z38/$AE$2,IF($N38="BRL",Z38/$AE$3,Z38))</f>
        <v>1123.0769230769231</v>
      </c>
      <c r="AO38" s="300">
        <f t="shared" ref="AO38:AO69" si="26">+IF($N38="MXN",AA38/$AE$2,IF($N38="BRL",AA38/$AE$3,AA38))</f>
        <v>1123.0769230769231</v>
      </c>
      <c r="AP38" s="300">
        <f t="shared" ref="AP38:AP69" si="27">+IF($N38="MXN",AB38/$AE$2,IF($N38="BRL",AB38/$AE$3,AB38))</f>
        <v>1123.0769230769231</v>
      </c>
    </row>
    <row r="39" spans="1:42" hidden="1">
      <c r="B39" t="str">
        <f>+'Admon 2025'!A29</f>
        <v>ADM</v>
      </c>
      <c r="C39" t="str">
        <f>+'Admon 2025'!B29</f>
        <v>Maria Josefa Avalos</v>
      </c>
      <c r="D39" s="191">
        <f>+'Admon 2025'!C29</f>
        <v>0.05</v>
      </c>
      <c r="E39" s="191">
        <f>+'Admon 2025'!D29</f>
        <v>0.05</v>
      </c>
      <c r="F39" s="191">
        <f>+'Admon 2025'!E29</f>
        <v>0.8</v>
      </c>
      <c r="G39" s="191">
        <f>+'Admon 2025'!F29</f>
        <v>0.1</v>
      </c>
      <c r="H39" t="str">
        <f>+'Admon 2025'!G29</f>
        <v>Payroll</v>
      </c>
      <c r="I39" t="str">
        <f>+'Admon 2025'!H29</f>
        <v>Regina Elizondo</v>
      </c>
      <c r="J39" t="str">
        <f>+'Admon 2025'!I29</f>
        <v>Strategy Specialist</v>
      </c>
      <c r="K39" t="str">
        <f>+'Admon 2025'!J29</f>
        <v>603.01.001</v>
      </c>
      <c r="L39" t="str">
        <f>+'Admon 2025'!K29</f>
        <v>Sueldos y salarios</v>
      </c>
      <c r="M39" t="str">
        <f>+'Admon 2025'!L29</f>
        <v>Sueldos y Salarios</v>
      </c>
      <c r="N39" t="str">
        <f>+'Admon 2025'!M29</f>
        <v>MXN</v>
      </c>
      <c r="O39" s="300">
        <f>+'Admon 2025'!N29</f>
        <v>18953.846153846152</v>
      </c>
      <c r="P39" s="300">
        <f>+'Admon 2025'!O29</f>
        <v>369600</v>
      </c>
      <c r="Q39" s="300">
        <f>+'Admon 2025'!P29</f>
        <v>30800</v>
      </c>
      <c r="R39" s="300">
        <f>+'Admon 2025'!Q29</f>
        <v>30800</v>
      </c>
      <c r="S39" s="300">
        <f>+'Admon 2025'!R29</f>
        <v>30800</v>
      </c>
      <c r="T39" s="300">
        <f>+'Admon 2025'!S29</f>
        <v>30800</v>
      </c>
      <c r="U39" s="300">
        <f>+'Admon 2025'!T29</f>
        <v>30800</v>
      </c>
      <c r="V39" s="300">
        <f>+'Admon 2025'!U29</f>
        <v>30800</v>
      </c>
      <c r="W39" s="300">
        <f>+'Admon 2025'!V29</f>
        <v>30800</v>
      </c>
      <c r="X39" s="300">
        <f>+'Admon 2025'!W29</f>
        <v>30800</v>
      </c>
      <c r="Y39" s="300">
        <f>+'Admon 2025'!X29</f>
        <v>30800</v>
      </c>
      <c r="Z39" s="300">
        <f>+'Admon 2025'!Y29</f>
        <v>30800</v>
      </c>
      <c r="AA39" s="300">
        <f>+'Admon 2025'!Z29</f>
        <v>30800</v>
      </c>
      <c r="AB39" s="300">
        <f>+'Admon 2025'!AA29</f>
        <v>30800</v>
      </c>
      <c r="AC39" s="301">
        <f t="shared" si="14"/>
        <v>1</v>
      </c>
      <c r="AD39" s="511">
        <f t="shared" si="15"/>
        <v>18953.846153846152</v>
      </c>
      <c r="AE39" s="300">
        <f t="shared" si="16"/>
        <v>1579.4871794871794</v>
      </c>
      <c r="AF39" s="300">
        <f t="shared" si="17"/>
        <v>1579.4871794871794</v>
      </c>
      <c r="AG39" s="300">
        <f t="shared" si="18"/>
        <v>1579.4871794871794</v>
      </c>
      <c r="AH39" s="300">
        <f t="shared" si="19"/>
        <v>1579.4871794871794</v>
      </c>
      <c r="AI39" s="300">
        <f t="shared" si="20"/>
        <v>1579.4871794871794</v>
      </c>
      <c r="AJ39" s="300">
        <f t="shared" si="21"/>
        <v>1579.4871794871794</v>
      </c>
      <c r="AK39" s="300">
        <f t="shared" si="22"/>
        <v>1579.4871794871794</v>
      </c>
      <c r="AL39" s="300">
        <f t="shared" si="23"/>
        <v>1579.4871794871794</v>
      </c>
      <c r="AM39" s="300">
        <f t="shared" si="24"/>
        <v>1579.4871794871794</v>
      </c>
      <c r="AN39" s="300">
        <f t="shared" si="25"/>
        <v>1579.4871794871794</v>
      </c>
      <c r="AO39" s="300">
        <f t="shared" si="26"/>
        <v>1579.4871794871794</v>
      </c>
      <c r="AP39" s="300">
        <f t="shared" si="27"/>
        <v>1579.4871794871794</v>
      </c>
    </row>
    <row r="40" spans="1:42" hidden="1">
      <c r="B40" t="str">
        <f>+'Admon 2025'!A31</f>
        <v>ADM</v>
      </c>
      <c r="C40" t="str">
        <f>+'Admon 2025'!B31</f>
        <v>Maria Josefa Avalos</v>
      </c>
      <c r="D40" s="191">
        <f>+'Admon 2025'!C31</f>
        <v>0.4</v>
      </c>
      <c r="E40" s="191">
        <f>+'Admon 2025'!D31</f>
        <v>0.4</v>
      </c>
      <c r="F40" s="191">
        <f>+'Admon 2025'!E31</f>
        <v>0.2</v>
      </c>
      <c r="G40" s="191">
        <f>+'Admon 2025'!F31</f>
        <v>0</v>
      </c>
      <c r="H40" t="str">
        <f>+'Admon 2025'!G31</f>
        <v>Benefits</v>
      </c>
      <c r="I40" t="str">
        <f>+'Admon 2025'!H31</f>
        <v>SiVale</v>
      </c>
      <c r="J40" t="str">
        <f>+'Admon 2025'!I31</f>
        <v>1 empleado</v>
      </c>
      <c r="K40" t="str">
        <f>+'Admon 2025'!J31</f>
        <v>603.15.001</v>
      </c>
      <c r="L40" t="str">
        <f>+'Admon 2025'!K31</f>
        <v>Despensa</v>
      </c>
      <c r="M40" t="str">
        <f>+'Admon 2025'!L31</f>
        <v>Sueldos y Salarios</v>
      </c>
      <c r="N40" t="str">
        <f>+'Admon 2025'!M31</f>
        <v>MXN</v>
      </c>
      <c r="O40" s="300">
        <f>+'Admon 2025'!N31</f>
        <v>931.07692307692309</v>
      </c>
      <c r="P40" s="300">
        <f>+'Admon 2025'!O31</f>
        <v>18156</v>
      </c>
      <c r="Q40" s="300">
        <f>+'Admon 2025'!P31</f>
        <v>1513</v>
      </c>
      <c r="R40" s="300">
        <f>+'Admon 2025'!Q31</f>
        <v>1513</v>
      </c>
      <c r="S40" s="300">
        <f>+'Admon 2025'!R31</f>
        <v>1513</v>
      </c>
      <c r="T40" s="300">
        <f>+'Admon 2025'!S31</f>
        <v>1513</v>
      </c>
      <c r="U40" s="300">
        <f>+'Admon 2025'!T31</f>
        <v>1513</v>
      </c>
      <c r="V40" s="300">
        <f>+'Admon 2025'!U31</f>
        <v>1513</v>
      </c>
      <c r="W40" s="300">
        <f>+'Admon 2025'!V31</f>
        <v>1513</v>
      </c>
      <c r="X40" s="300">
        <f>+'Admon 2025'!W31</f>
        <v>1513</v>
      </c>
      <c r="Y40" s="300">
        <f>+'Admon 2025'!X31</f>
        <v>1513</v>
      </c>
      <c r="Z40" s="300">
        <f>+'Admon 2025'!Y31</f>
        <v>1513</v>
      </c>
      <c r="AA40" s="300">
        <f>+'Admon 2025'!Z31</f>
        <v>1513</v>
      </c>
      <c r="AB40" s="300">
        <f>+'Admon 2025'!AA31</f>
        <v>1513</v>
      </c>
      <c r="AC40" s="301">
        <f t="shared" si="14"/>
        <v>1</v>
      </c>
      <c r="AD40" s="511">
        <f t="shared" si="15"/>
        <v>931.07692307692332</v>
      </c>
      <c r="AE40" s="300">
        <f t="shared" si="16"/>
        <v>77.589743589743591</v>
      </c>
      <c r="AF40" s="300">
        <f t="shared" si="17"/>
        <v>77.589743589743591</v>
      </c>
      <c r="AG40" s="300">
        <f t="shared" si="18"/>
        <v>77.589743589743591</v>
      </c>
      <c r="AH40" s="300">
        <f t="shared" si="19"/>
        <v>77.589743589743591</v>
      </c>
      <c r="AI40" s="300">
        <f t="shared" si="20"/>
        <v>77.589743589743591</v>
      </c>
      <c r="AJ40" s="300">
        <f t="shared" si="21"/>
        <v>77.589743589743591</v>
      </c>
      <c r="AK40" s="300">
        <f t="shared" si="22"/>
        <v>77.589743589743591</v>
      </c>
      <c r="AL40" s="300">
        <f t="shared" si="23"/>
        <v>77.589743589743591</v>
      </c>
      <c r="AM40" s="300">
        <f t="shared" si="24"/>
        <v>77.589743589743591</v>
      </c>
      <c r="AN40" s="300">
        <f t="shared" si="25"/>
        <v>77.589743589743591</v>
      </c>
      <c r="AO40" s="300">
        <f t="shared" si="26"/>
        <v>77.589743589743591</v>
      </c>
      <c r="AP40" s="300">
        <f t="shared" si="27"/>
        <v>77.589743589743591</v>
      </c>
    </row>
    <row r="41" spans="1:42" hidden="1">
      <c r="A41" s="46">
        <f>SUM(D41:G41)</f>
        <v>1</v>
      </c>
      <c r="B41" t="str">
        <f>+'Admon 2025'!A32</f>
        <v>ADM</v>
      </c>
      <c r="C41" t="str">
        <f>+'Admon 2025'!B32</f>
        <v>Maria Josefa Avalos</v>
      </c>
      <c r="D41" s="191">
        <f>+'Admon 2025'!C32</f>
        <v>0.16250000000000003</v>
      </c>
      <c r="E41" s="191">
        <f>+'Admon 2025'!D32</f>
        <v>0.16250000000000003</v>
      </c>
      <c r="F41" s="191">
        <f>+'Admon 2025'!E32</f>
        <v>0.35000000000000003</v>
      </c>
      <c r="G41" s="191">
        <f>+'Admon 2025'!F32</f>
        <v>0.32500000000000001</v>
      </c>
      <c r="H41" t="str">
        <f>+'Admon 2025'!G32</f>
        <v>Benefits</v>
      </c>
      <c r="I41" t="str">
        <f>+'Admon 2025'!H32</f>
        <v>Aguinaldo</v>
      </c>
      <c r="J41" t="str">
        <f>+'Admon 2025'!I32</f>
        <v>Aguinaldo 4 empleados</v>
      </c>
      <c r="K41" t="str">
        <f>+'Admon 2025'!J32</f>
        <v>603.12.001</v>
      </c>
      <c r="L41" t="str">
        <f>+'Admon 2025'!K32</f>
        <v>Aguinaldo</v>
      </c>
      <c r="M41" t="str">
        <f>+'Admon 2025'!L32</f>
        <v>Sueldos y Salarios</v>
      </c>
      <c r="N41" t="str">
        <f>+'Admon 2025'!M32</f>
        <v>MXN</v>
      </c>
      <c r="O41" s="300">
        <f>+'Admon 2025'!N32</f>
        <v>5633.6717948717942</v>
      </c>
      <c r="P41" s="300">
        <f>+'Admon 2025'!O32</f>
        <v>109856.59999999999</v>
      </c>
      <c r="Q41" s="300">
        <f>+'Admon 2025'!P32</f>
        <v>0</v>
      </c>
      <c r="R41" s="300">
        <f>+'Admon 2025'!Q32</f>
        <v>0</v>
      </c>
      <c r="S41" s="300">
        <f>+'Admon 2025'!R32</f>
        <v>0</v>
      </c>
      <c r="T41" s="300">
        <f>+'Admon 2025'!S32</f>
        <v>0</v>
      </c>
      <c r="U41" s="300">
        <f>+'Admon 2025'!T32</f>
        <v>0</v>
      </c>
      <c r="V41" s="300">
        <f>+'Admon 2025'!U32</f>
        <v>0</v>
      </c>
      <c r="W41" s="300">
        <f>+'Admon 2025'!V32</f>
        <v>0</v>
      </c>
      <c r="X41" s="300">
        <f>+'Admon 2025'!W32</f>
        <v>0</v>
      </c>
      <c r="Y41" s="300">
        <f>+'Admon 2025'!X32</f>
        <v>0</v>
      </c>
      <c r="Z41" s="300">
        <f>+'Admon 2025'!Y32</f>
        <v>0</v>
      </c>
      <c r="AA41" s="300">
        <f>+'Admon 2025'!Z32</f>
        <v>0</v>
      </c>
      <c r="AB41" s="300">
        <f>+'Admon 2025'!AA32</f>
        <v>109856.59999999999</v>
      </c>
      <c r="AC41" s="301">
        <f t="shared" si="14"/>
        <v>1</v>
      </c>
      <c r="AD41" s="511">
        <f>+SUM(AE41:AP41)</f>
        <v>5633.6717948717942</v>
      </c>
      <c r="AE41" s="300">
        <f t="shared" si="16"/>
        <v>0</v>
      </c>
      <c r="AF41" s="300">
        <f t="shared" si="17"/>
        <v>0</v>
      </c>
      <c r="AG41" s="300">
        <f t="shared" si="18"/>
        <v>0</v>
      </c>
      <c r="AH41" s="300">
        <f t="shared" si="19"/>
        <v>0</v>
      </c>
      <c r="AI41" s="300">
        <f t="shared" si="20"/>
        <v>0</v>
      </c>
      <c r="AJ41" s="300">
        <f t="shared" si="21"/>
        <v>0</v>
      </c>
      <c r="AK41" s="300">
        <f t="shared" si="22"/>
        <v>0</v>
      </c>
      <c r="AL41" s="300">
        <f t="shared" si="23"/>
        <v>0</v>
      </c>
      <c r="AM41" s="300">
        <f t="shared" si="24"/>
        <v>0</v>
      </c>
      <c r="AN41" s="300">
        <f t="shared" si="25"/>
        <v>0</v>
      </c>
      <c r="AO41" s="300">
        <f t="shared" si="26"/>
        <v>0</v>
      </c>
      <c r="AP41" s="300">
        <f t="shared" si="27"/>
        <v>5633.6717948717942</v>
      </c>
    </row>
    <row r="42" spans="1:42" hidden="1">
      <c r="B42" t="str">
        <f>+'Admon 2025'!A33</f>
        <v>ADM</v>
      </c>
      <c r="C42" t="str">
        <f>+'Admon 2025'!B33</f>
        <v>Maria Josefa Avalos</v>
      </c>
      <c r="D42" s="191">
        <f>+'Admon 2025'!C33</f>
        <v>0</v>
      </c>
      <c r="E42" s="191">
        <f>+'Admon 2025'!D33</f>
        <v>0</v>
      </c>
      <c r="F42" s="191">
        <f>+'Admon 2025'!E33</f>
        <v>0</v>
      </c>
      <c r="G42" s="191">
        <f>+'Admon 2025'!F33</f>
        <v>1</v>
      </c>
      <c r="H42" t="str">
        <f>+'Admon 2025'!G33</f>
        <v>Benefits</v>
      </c>
      <c r="I42" t="str">
        <f>+'Admon 2025'!H33</f>
        <v>Bono Anual</v>
      </c>
      <c r="J42" t="str">
        <f>+'Admon 2025'!I33</f>
        <v>Bono Anual</v>
      </c>
      <c r="K42" t="str">
        <f>+'Admon 2025'!J33</f>
        <v>603.22.001</v>
      </c>
      <c r="L42" t="str">
        <f>+'Admon 2025'!K33</f>
        <v>Estimulo al personal</v>
      </c>
      <c r="M42" t="str">
        <f>+'Admon 2025'!L33</f>
        <v>Sueldos y Salarios</v>
      </c>
      <c r="N42" t="str">
        <f>+'Admon 2025'!M33</f>
        <v>USD</v>
      </c>
      <c r="O42" s="300">
        <f>+'Admon 2025'!N33</f>
        <v>0</v>
      </c>
      <c r="P42" s="300">
        <f>+'Admon 2025'!O33</f>
        <v>0</v>
      </c>
      <c r="Q42" s="300">
        <f>+'Admon 2025'!P33</f>
        <v>0</v>
      </c>
      <c r="R42" s="300">
        <f>+'Admon 2025'!Q33</f>
        <v>0</v>
      </c>
      <c r="S42" s="300">
        <f>+'Admon 2025'!R33</f>
        <v>0</v>
      </c>
      <c r="T42" s="300">
        <f>+'Admon 2025'!S33</f>
        <v>0</v>
      </c>
      <c r="U42" s="300">
        <f>+'Admon 2025'!T33</f>
        <v>0</v>
      </c>
      <c r="V42" s="300">
        <f>+'Admon 2025'!U33</f>
        <v>0</v>
      </c>
      <c r="W42" s="300">
        <f>+'Admon 2025'!V33</f>
        <v>0</v>
      </c>
      <c r="X42" s="300">
        <f>+'Admon 2025'!W33</f>
        <v>0</v>
      </c>
      <c r="Y42" s="300">
        <f>+'Admon 2025'!X33</f>
        <v>0</v>
      </c>
      <c r="Z42" s="300">
        <f>+'Admon 2025'!Y33</f>
        <v>0</v>
      </c>
      <c r="AA42" s="300">
        <f>+'Admon 2025'!Z33</f>
        <v>0</v>
      </c>
      <c r="AB42" s="300">
        <f>+'Admon 2025'!AA33</f>
        <v>0</v>
      </c>
      <c r="AC42" s="301">
        <f t="shared" si="14"/>
        <v>1</v>
      </c>
      <c r="AD42" s="511">
        <f t="shared" si="15"/>
        <v>0</v>
      </c>
      <c r="AE42" s="300">
        <f t="shared" si="16"/>
        <v>0</v>
      </c>
      <c r="AF42" s="300">
        <f t="shared" si="17"/>
        <v>0</v>
      </c>
      <c r="AG42" s="300">
        <f t="shared" si="18"/>
        <v>0</v>
      </c>
      <c r="AH42" s="300">
        <f t="shared" si="19"/>
        <v>0</v>
      </c>
      <c r="AI42" s="300">
        <f t="shared" si="20"/>
        <v>0</v>
      </c>
      <c r="AJ42" s="300">
        <f t="shared" si="21"/>
        <v>0</v>
      </c>
      <c r="AK42" s="300">
        <f t="shared" si="22"/>
        <v>0</v>
      </c>
      <c r="AL42" s="300">
        <f t="shared" si="23"/>
        <v>0</v>
      </c>
      <c r="AM42" s="300">
        <f t="shared" si="24"/>
        <v>0</v>
      </c>
      <c r="AN42" s="300">
        <f t="shared" si="25"/>
        <v>0</v>
      </c>
      <c r="AO42" s="300">
        <f t="shared" si="26"/>
        <v>0</v>
      </c>
      <c r="AP42" s="300">
        <f t="shared" si="27"/>
        <v>0</v>
      </c>
    </row>
    <row r="43" spans="1:42" hidden="1">
      <c r="B43" t="str">
        <f>+'Content 2025'!A48</f>
        <v>Content</v>
      </c>
      <c r="C43" t="str">
        <f>+'Content 2025'!B48</f>
        <v>Nathalia Pontes</v>
      </c>
      <c r="D43" s="191">
        <f>+'Content 2025'!C48</f>
        <v>0</v>
      </c>
      <c r="E43" s="191">
        <f>+'Content 2025'!D48</f>
        <v>0</v>
      </c>
      <c r="F43" s="191">
        <f>+'Content 2025'!E48</f>
        <v>0</v>
      </c>
      <c r="G43" s="191">
        <f>+'Content 2025'!F48</f>
        <v>1</v>
      </c>
      <c r="H43" t="str">
        <f>+'Content 2025'!G48</f>
        <v>Hotel</v>
      </c>
      <c r="I43" t="str">
        <f>+'Content 2025'!H48</f>
        <v>Multiple</v>
      </c>
      <c r="J43">
        <f>+'Content 2025'!I48</f>
        <v>0</v>
      </c>
      <c r="K43" t="str">
        <f>+'Content 2025'!J48</f>
        <v>603.49.001</v>
      </c>
      <c r="L43" t="str">
        <f>+'Content 2025'!K48</f>
        <v>Viaticos Hotel</v>
      </c>
      <c r="M43" t="str">
        <f>+'Content 2025'!L48</f>
        <v>Gastos de Viaje</v>
      </c>
      <c r="N43" t="str">
        <f>+'Content 2025'!M48</f>
        <v>MXN</v>
      </c>
      <c r="O43" s="300">
        <f>+'Content 2025'!N48</f>
        <v>0</v>
      </c>
      <c r="P43" s="300">
        <f>+'Content 2025'!O48</f>
        <v>0</v>
      </c>
      <c r="Q43" s="300">
        <f>+'Content 2025'!P48</f>
        <v>0</v>
      </c>
      <c r="R43" s="300">
        <f>+'Content 2025'!Q48</f>
        <v>0</v>
      </c>
      <c r="S43" s="300">
        <f>+'Content 2025'!R48</f>
        <v>0</v>
      </c>
      <c r="T43" s="300">
        <f>+'Content 2025'!S48</f>
        <v>0</v>
      </c>
      <c r="U43" s="300">
        <f>+'Content 2025'!T48</f>
        <v>0</v>
      </c>
      <c r="V43" s="300">
        <f>+'Content 2025'!U48</f>
        <v>0</v>
      </c>
      <c r="W43" s="300">
        <f>+'Content 2025'!V48</f>
        <v>0</v>
      </c>
      <c r="X43" s="300">
        <f>+'Content 2025'!W48</f>
        <v>0</v>
      </c>
      <c r="Y43" s="300">
        <f>+'Content 2025'!X48</f>
        <v>0</v>
      </c>
      <c r="Z43" s="300">
        <f>+'Content 2025'!Y48</f>
        <v>0</v>
      </c>
      <c r="AA43" s="300">
        <f>+'Content 2025'!Z48</f>
        <v>0</v>
      </c>
      <c r="AB43" s="300">
        <f>+'Content 2025'!AA48</f>
        <v>0</v>
      </c>
      <c r="AC43" s="301">
        <f t="shared" si="14"/>
        <v>1</v>
      </c>
      <c r="AD43" s="511">
        <f t="shared" si="15"/>
        <v>0</v>
      </c>
      <c r="AE43" s="300">
        <f t="shared" si="16"/>
        <v>0</v>
      </c>
      <c r="AF43" s="300">
        <f t="shared" si="17"/>
        <v>0</v>
      </c>
      <c r="AG43" s="300">
        <f t="shared" si="18"/>
        <v>0</v>
      </c>
      <c r="AH43" s="300">
        <f t="shared" si="19"/>
        <v>0</v>
      </c>
      <c r="AI43" s="300">
        <f t="shared" si="20"/>
        <v>0</v>
      </c>
      <c r="AJ43" s="300">
        <f t="shared" si="21"/>
        <v>0</v>
      </c>
      <c r="AK43" s="300">
        <f t="shared" si="22"/>
        <v>0</v>
      </c>
      <c r="AL43" s="300">
        <f t="shared" si="23"/>
        <v>0</v>
      </c>
      <c r="AM43" s="300">
        <f t="shared" si="24"/>
        <v>0</v>
      </c>
      <c r="AN43" s="300">
        <f t="shared" si="25"/>
        <v>0</v>
      </c>
      <c r="AO43" s="300">
        <f t="shared" si="26"/>
        <v>0</v>
      </c>
      <c r="AP43" s="300">
        <f t="shared" si="27"/>
        <v>0</v>
      </c>
    </row>
    <row r="44" spans="1:42" hidden="1">
      <c r="B44" t="str">
        <f>+'Content 2025'!A49</f>
        <v>Content</v>
      </c>
      <c r="C44" t="str">
        <f>+'Content 2025'!B49</f>
        <v>Nathalia Pontes</v>
      </c>
      <c r="D44" s="191">
        <f>+'Content 2025'!C49</f>
        <v>0</v>
      </c>
      <c r="E44" s="191">
        <f>+'Content 2025'!D49</f>
        <v>0</v>
      </c>
      <c r="F44" s="191">
        <f>+'Content 2025'!E49</f>
        <v>0</v>
      </c>
      <c r="G44" s="191">
        <f>+'Content 2025'!F49</f>
        <v>1</v>
      </c>
      <c r="H44" t="str">
        <f>+'Content 2025'!G49</f>
        <v>Taxi</v>
      </c>
      <c r="I44" t="str">
        <f>+'Content 2025'!H49</f>
        <v>Multiple</v>
      </c>
      <c r="J44">
        <f>+'Content 2025'!I49</f>
        <v>0</v>
      </c>
      <c r="K44" t="str">
        <f>+'Content 2025'!J49</f>
        <v>603.49.002</v>
      </c>
      <c r="L44" t="str">
        <f>+'Content 2025'!K49</f>
        <v>Vaticos Taxi</v>
      </c>
      <c r="M44" t="str">
        <f>+'Content 2025'!L49</f>
        <v>Gastos de Viaje</v>
      </c>
      <c r="N44" t="str">
        <f>+'Content 2025'!M49</f>
        <v>MXN</v>
      </c>
      <c r="O44" s="300">
        <f>+'Content 2025'!N49</f>
        <v>0</v>
      </c>
      <c r="P44" s="300">
        <f>+'Content 2025'!O49</f>
        <v>0</v>
      </c>
      <c r="Q44" s="300">
        <f>+'Content 2025'!P49</f>
        <v>0</v>
      </c>
      <c r="R44" s="300">
        <f>+'Content 2025'!Q49</f>
        <v>0</v>
      </c>
      <c r="S44" s="300">
        <f>+'Content 2025'!R49</f>
        <v>0</v>
      </c>
      <c r="T44" s="300">
        <f>+'Content 2025'!S49</f>
        <v>0</v>
      </c>
      <c r="U44" s="300">
        <f>+'Content 2025'!T49</f>
        <v>0</v>
      </c>
      <c r="V44" s="300">
        <f>+'Content 2025'!U49</f>
        <v>0</v>
      </c>
      <c r="W44" s="300">
        <f>+'Content 2025'!V49</f>
        <v>0</v>
      </c>
      <c r="X44" s="300">
        <f>+'Content 2025'!W49</f>
        <v>0</v>
      </c>
      <c r="Y44" s="300">
        <f>+'Content 2025'!X49</f>
        <v>0</v>
      </c>
      <c r="Z44" s="300">
        <f>+'Content 2025'!Y49</f>
        <v>0</v>
      </c>
      <c r="AA44" s="300">
        <f>+'Content 2025'!Z49</f>
        <v>0</v>
      </c>
      <c r="AB44" s="300">
        <f>+'Content 2025'!AA49</f>
        <v>0</v>
      </c>
      <c r="AC44" s="301">
        <f t="shared" si="14"/>
        <v>1</v>
      </c>
      <c r="AD44" s="511">
        <f t="shared" si="15"/>
        <v>0</v>
      </c>
      <c r="AE44" s="300">
        <f t="shared" si="16"/>
        <v>0</v>
      </c>
      <c r="AF44" s="300">
        <f t="shared" si="17"/>
        <v>0</v>
      </c>
      <c r="AG44" s="300">
        <f t="shared" si="18"/>
        <v>0</v>
      </c>
      <c r="AH44" s="300">
        <f t="shared" si="19"/>
        <v>0</v>
      </c>
      <c r="AI44" s="300">
        <f t="shared" si="20"/>
        <v>0</v>
      </c>
      <c r="AJ44" s="300">
        <f t="shared" si="21"/>
        <v>0</v>
      </c>
      <c r="AK44" s="300">
        <f t="shared" si="22"/>
        <v>0</v>
      </c>
      <c r="AL44" s="300">
        <f t="shared" si="23"/>
        <v>0</v>
      </c>
      <c r="AM44" s="300">
        <f t="shared" si="24"/>
        <v>0</v>
      </c>
      <c r="AN44" s="300">
        <f t="shared" si="25"/>
        <v>0</v>
      </c>
      <c r="AO44" s="300">
        <f t="shared" si="26"/>
        <v>0</v>
      </c>
      <c r="AP44" s="300">
        <f t="shared" si="27"/>
        <v>0</v>
      </c>
    </row>
    <row r="45" spans="1:42" hidden="1">
      <c r="B45" t="str">
        <f>+'Content 2025'!A50</f>
        <v>Content</v>
      </c>
      <c r="C45" t="str">
        <f>+'Content 2025'!B50</f>
        <v>Nathalia Pontes</v>
      </c>
      <c r="D45" s="191">
        <f>+'Content 2025'!C50</f>
        <v>0</v>
      </c>
      <c r="E45" s="191">
        <f>+'Content 2025'!D50</f>
        <v>0</v>
      </c>
      <c r="F45" s="191">
        <f>+'Content 2025'!E50</f>
        <v>0</v>
      </c>
      <c r="G45" s="191">
        <f>+'Content 2025'!F50</f>
        <v>1</v>
      </c>
      <c r="H45" t="str">
        <f>+'Content 2025'!G50</f>
        <v>Plane</v>
      </c>
      <c r="I45" t="str">
        <f>+'Content 2025'!H50</f>
        <v>Multiple</v>
      </c>
      <c r="J45">
        <f>+'Content 2025'!I50</f>
        <v>0</v>
      </c>
      <c r="K45" t="str">
        <f>+'Content 2025'!J50</f>
        <v>603.49.003</v>
      </c>
      <c r="L45" t="str">
        <f>+'Content 2025'!K50</f>
        <v>Viaticos Avion</v>
      </c>
      <c r="M45" t="str">
        <f>+'Content 2025'!L50</f>
        <v>Gastos de Viaje</v>
      </c>
      <c r="N45" t="str">
        <f>+'Content 2025'!M50</f>
        <v>BRL</v>
      </c>
      <c r="O45" s="300">
        <f>+'Content 2025'!N50</f>
        <v>0</v>
      </c>
      <c r="P45" s="300">
        <f>+'Content 2025'!O50</f>
        <v>0</v>
      </c>
      <c r="Q45" s="300">
        <f>+'Content 2025'!P50</f>
        <v>0</v>
      </c>
      <c r="R45" s="300">
        <f>+'Content 2025'!Q50</f>
        <v>0</v>
      </c>
      <c r="S45" s="300">
        <f>+'Content 2025'!R50</f>
        <v>0</v>
      </c>
      <c r="T45" s="300">
        <f>+'Content 2025'!S50</f>
        <v>0</v>
      </c>
      <c r="U45" s="300">
        <f>+'Content 2025'!T50</f>
        <v>0</v>
      </c>
      <c r="V45" s="300">
        <f>+'Content 2025'!U50</f>
        <v>0</v>
      </c>
      <c r="W45" s="300">
        <f>+'Content 2025'!V50</f>
        <v>0</v>
      </c>
      <c r="X45" s="300">
        <f>+'Content 2025'!W50</f>
        <v>0</v>
      </c>
      <c r="Y45" s="300">
        <f>+'Content 2025'!X50</f>
        <v>0</v>
      </c>
      <c r="Z45" s="300">
        <f>+'Content 2025'!Y50</f>
        <v>0</v>
      </c>
      <c r="AA45" s="300">
        <f>+'Content 2025'!Z50</f>
        <v>0</v>
      </c>
      <c r="AB45" s="300">
        <f>+'Content 2025'!AA50</f>
        <v>0</v>
      </c>
      <c r="AC45" s="301">
        <f t="shared" si="14"/>
        <v>1</v>
      </c>
      <c r="AD45" s="511">
        <f t="shared" si="15"/>
        <v>0</v>
      </c>
      <c r="AE45" s="300">
        <f t="shared" si="16"/>
        <v>0</v>
      </c>
      <c r="AF45" s="300">
        <f t="shared" si="17"/>
        <v>0</v>
      </c>
      <c r="AG45" s="300">
        <f t="shared" si="18"/>
        <v>0</v>
      </c>
      <c r="AH45" s="300">
        <f t="shared" si="19"/>
        <v>0</v>
      </c>
      <c r="AI45" s="300">
        <f t="shared" si="20"/>
        <v>0</v>
      </c>
      <c r="AJ45" s="300">
        <f t="shared" si="21"/>
        <v>0</v>
      </c>
      <c r="AK45" s="300">
        <f t="shared" si="22"/>
        <v>0</v>
      </c>
      <c r="AL45" s="300">
        <f t="shared" si="23"/>
        <v>0</v>
      </c>
      <c r="AM45" s="300">
        <f t="shared" si="24"/>
        <v>0</v>
      </c>
      <c r="AN45" s="300">
        <f t="shared" si="25"/>
        <v>0</v>
      </c>
      <c r="AO45" s="300">
        <f t="shared" si="26"/>
        <v>0</v>
      </c>
      <c r="AP45" s="300">
        <f t="shared" si="27"/>
        <v>0</v>
      </c>
    </row>
    <row r="46" spans="1:42" hidden="1">
      <c r="B46" t="str">
        <f>+'Content 2025'!A51</f>
        <v>Content</v>
      </c>
      <c r="C46" t="str">
        <f>+'Content 2025'!B51</f>
        <v>Nathalia Pontes</v>
      </c>
      <c r="D46" s="191">
        <f>+'Content 2025'!C51</f>
        <v>0</v>
      </c>
      <c r="E46" s="191">
        <f>+'Content 2025'!D51</f>
        <v>0</v>
      </c>
      <c r="F46" s="191">
        <f>+'Content 2025'!E51</f>
        <v>0</v>
      </c>
      <c r="G46" s="191">
        <f>+'Content 2025'!F51</f>
        <v>1</v>
      </c>
      <c r="H46" t="str">
        <f>+'Content 2025'!G51</f>
        <v>Food</v>
      </c>
      <c r="I46" t="str">
        <f>+'Content 2025'!H51</f>
        <v>Multiple</v>
      </c>
      <c r="J46">
        <f>+'Content 2025'!I51</f>
        <v>0</v>
      </c>
      <c r="K46" t="str">
        <f>+'Content 2025'!J51</f>
        <v>603.49.004</v>
      </c>
      <c r="L46" t="str">
        <f>+'Content 2025'!K51</f>
        <v>Viaticos Comidas</v>
      </c>
      <c r="M46" t="str">
        <f>+'Content 2025'!L51</f>
        <v>Gastos de Viaje</v>
      </c>
      <c r="N46" t="str">
        <f>+'Content 2025'!M51</f>
        <v>MXN</v>
      </c>
      <c r="O46" s="300">
        <f>+'Content 2025'!N51</f>
        <v>0</v>
      </c>
      <c r="P46" s="300">
        <f>+'Content 2025'!O51</f>
        <v>0</v>
      </c>
      <c r="Q46" s="300">
        <f>+'Content 2025'!P51</f>
        <v>0</v>
      </c>
      <c r="R46" s="300">
        <f>+'Content 2025'!Q51</f>
        <v>0</v>
      </c>
      <c r="S46" s="300">
        <f>+'Content 2025'!R51</f>
        <v>0</v>
      </c>
      <c r="T46" s="300">
        <f>+'Content 2025'!S51</f>
        <v>0</v>
      </c>
      <c r="U46" s="300">
        <f>+'Content 2025'!T51</f>
        <v>0</v>
      </c>
      <c r="V46" s="300">
        <f>+'Content 2025'!U51</f>
        <v>0</v>
      </c>
      <c r="W46" s="300">
        <f>+'Content 2025'!V51</f>
        <v>0</v>
      </c>
      <c r="X46" s="300">
        <f>+'Content 2025'!W51</f>
        <v>0</v>
      </c>
      <c r="Y46" s="300">
        <f>+'Content 2025'!X51</f>
        <v>0</v>
      </c>
      <c r="Z46" s="300">
        <f>+'Content 2025'!Y51</f>
        <v>0</v>
      </c>
      <c r="AA46" s="300">
        <f>+'Content 2025'!Z51</f>
        <v>0</v>
      </c>
      <c r="AB46" s="300">
        <f>+'Content 2025'!AA51</f>
        <v>0</v>
      </c>
      <c r="AC46" s="301">
        <f t="shared" si="14"/>
        <v>1</v>
      </c>
      <c r="AD46" s="511">
        <f t="shared" si="15"/>
        <v>0</v>
      </c>
      <c r="AE46" s="300">
        <f t="shared" si="16"/>
        <v>0</v>
      </c>
      <c r="AF46" s="300">
        <f t="shared" si="17"/>
        <v>0</v>
      </c>
      <c r="AG46" s="300">
        <f t="shared" si="18"/>
        <v>0</v>
      </c>
      <c r="AH46" s="300">
        <f t="shared" si="19"/>
        <v>0</v>
      </c>
      <c r="AI46" s="300">
        <f t="shared" si="20"/>
        <v>0</v>
      </c>
      <c r="AJ46" s="300">
        <f t="shared" si="21"/>
        <v>0</v>
      </c>
      <c r="AK46" s="300">
        <f t="shared" si="22"/>
        <v>0</v>
      </c>
      <c r="AL46" s="300">
        <f t="shared" si="23"/>
        <v>0</v>
      </c>
      <c r="AM46" s="300">
        <f t="shared" si="24"/>
        <v>0</v>
      </c>
      <c r="AN46" s="300">
        <f t="shared" si="25"/>
        <v>0</v>
      </c>
      <c r="AO46" s="300">
        <f t="shared" si="26"/>
        <v>0</v>
      </c>
      <c r="AP46" s="300">
        <f t="shared" si="27"/>
        <v>0</v>
      </c>
    </row>
    <row r="47" spans="1:42" hidden="1">
      <c r="B47" t="str">
        <f>+'Content 2025'!A6</f>
        <v>Content</v>
      </c>
      <c r="C47" t="str">
        <f>+'Content 2025'!B6</f>
        <v>Nathalia Pontes</v>
      </c>
      <c r="D47" s="191">
        <f>+'Content 2025'!C6</f>
        <v>0</v>
      </c>
      <c r="E47" s="191">
        <f>+'Content 2025'!D6</f>
        <v>1</v>
      </c>
      <c r="F47" s="191">
        <f>+'Content 2025'!E6</f>
        <v>0</v>
      </c>
      <c r="G47" s="191">
        <f>+'Content 2025'!F6</f>
        <v>0</v>
      </c>
      <c r="H47" t="str">
        <f>+'Content 2025'!G6</f>
        <v>Content &amp; Programs</v>
      </c>
      <c r="I47" t="str">
        <f>+'Content 2025'!H6</f>
        <v>Shopify</v>
      </c>
      <c r="J47">
        <f>+'Content 2025'!I6</f>
        <v>0</v>
      </c>
      <c r="K47" t="str">
        <f>+'Content 2025'!J6</f>
        <v>603.64.001</v>
      </c>
      <c r="L47" t="str">
        <f>+'Content 2025'!K6</f>
        <v>Servicios de Informatica</v>
      </c>
      <c r="M47" t="str">
        <f>+'Content 2025'!L6</f>
        <v>Servicios</v>
      </c>
      <c r="N47" t="str">
        <f>+'Content 2025'!M6</f>
        <v>USD</v>
      </c>
      <c r="O47" s="300">
        <f>+'Content 2025'!N6</f>
        <v>419.88000000000005</v>
      </c>
      <c r="P47" s="300">
        <f>+'Content 2025'!O6</f>
        <v>419.88000000000005</v>
      </c>
      <c r="Q47" s="300">
        <f>+'Content 2025'!P6</f>
        <v>34.99</v>
      </c>
      <c r="R47" s="300">
        <f>+'Content 2025'!Q6</f>
        <v>34.99</v>
      </c>
      <c r="S47" s="300">
        <f>+'Content 2025'!R6</f>
        <v>34.99</v>
      </c>
      <c r="T47" s="300">
        <f>+'Content 2025'!S6</f>
        <v>34.99</v>
      </c>
      <c r="U47" s="300">
        <f>+'Content 2025'!T6</f>
        <v>34.99</v>
      </c>
      <c r="V47" s="300">
        <f>+'Content 2025'!U6</f>
        <v>34.99</v>
      </c>
      <c r="W47" s="300">
        <f>+'Content 2025'!V6</f>
        <v>34.99</v>
      </c>
      <c r="X47" s="300">
        <f>+'Content 2025'!W6</f>
        <v>34.99</v>
      </c>
      <c r="Y47" s="300">
        <f>+'Content 2025'!X6</f>
        <v>34.99</v>
      </c>
      <c r="Z47" s="300">
        <f>+'Content 2025'!Y6</f>
        <v>34.99</v>
      </c>
      <c r="AA47" s="300">
        <f>+'Content 2025'!Z6</f>
        <v>34.99</v>
      </c>
      <c r="AB47" s="300">
        <f>+'Content 2025'!AA6</f>
        <v>34.99</v>
      </c>
      <c r="AC47" s="301">
        <f t="shared" si="14"/>
        <v>1</v>
      </c>
      <c r="AD47" s="511">
        <f t="shared" si="15"/>
        <v>419.88000000000005</v>
      </c>
      <c r="AE47" s="300">
        <f t="shared" si="16"/>
        <v>34.99</v>
      </c>
      <c r="AF47" s="300">
        <f t="shared" si="17"/>
        <v>34.99</v>
      </c>
      <c r="AG47" s="300">
        <f t="shared" si="18"/>
        <v>34.99</v>
      </c>
      <c r="AH47" s="300">
        <f t="shared" si="19"/>
        <v>34.99</v>
      </c>
      <c r="AI47" s="300">
        <f t="shared" si="20"/>
        <v>34.99</v>
      </c>
      <c r="AJ47" s="300">
        <f t="shared" si="21"/>
        <v>34.99</v>
      </c>
      <c r="AK47" s="300">
        <f t="shared" si="22"/>
        <v>34.99</v>
      </c>
      <c r="AL47" s="300">
        <f t="shared" si="23"/>
        <v>34.99</v>
      </c>
      <c r="AM47" s="300">
        <f t="shared" si="24"/>
        <v>34.99</v>
      </c>
      <c r="AN47" s="300">
        <f t="shared" si="25"/>
        <v>34.99</v>
      </c>
      <c r="AO47" s="300">
        <f t="shared" si="26"/>
        <v>34.99</v>
      </c>
      <c r="AP47" s="300">
        <f t="shared" si="27"/>
        <v>34.99</v>
      </c>
    </row>
    <row r="48" spans="1:42" hidden="1">
      <c r="B48" t="str">
        <f>+'Content 2025'!A7</f>
        <v>Content</v>
      </c>
      <c r="C48" t="str">
        <f>+'Content 2025'!B7</f>
        <v>Nathalia Pontes</v>
      </c>
      <c r="D48" s="191">
        <f>+'Content 2025'!C7</f>
        <v>0.9</v>
      </c>
      <c r="E48" s="191">
        <f>+'Content 2025'!D7</f>
        <v>0.1</v>
      </c>
      <c r="F48" s="191">
        <f>+'Content 2025'!E7</f>
        <v>0</v>
      </c>
      <c r="G48" s="191">
        <f>+'Content 2025'!F7</f>
        <v>0</v>
      </c>
      <c r="H48" t="str">
        <f>+'Content 2025'!G7</f>
        <v>Content &amp; Programs</v>
      </c>
      <c r="I48" t="str">
        <f>+'Content 2025'!H7</f>
        <v>Freshworks</v>
      </c>
      <c r="J48">
        <f>+'Content 2025'!I7</f>
        <v>0</v>
      </c>
      <c r="K48" t="str">
        <f>+'Content 2025'!J7</f>
        <v>603.64.001</v>
      </c>
      <c r="L48" t="str">
        <f>+'Content 2025'!K7</f>
        <v>Servicios de Informatica</v>
      </c>
      <c r="M48" t="str">
        <f>+'Content 2025'!L7</f>
        <v>Servicios</v>
      </c>
      <c r="N48" t="str">
        <f>+'Content 2025'!M7</f>
        <v>USD</v>
      </c>
      <c r="O48" s="300">
        <f>+'Content 2025'!N7</f>
        <v>2304</v>
      </c>
      <c r="P48" s="300">
        <f>+'Content 2025'!O7</f>
        <v>2304</v>
      </c>
      <c r="Q48" s="300">
        <f>+'Content 2025'!P7</f>
        <v>0</v>
      </c>
      <c r="R48" s="300">
        <f>+'Content 2025'!Q7</f>
        <v>0</v>
      </c>
      <c r="S48" s="300">
        <f>+'Content 2025'!R7</f>
        <v>0</v>
      </c>
      <c r="T48" s="300">
        <f>+'Content 2025'!S7</f>
        <v>0</v>
      </c>
      <c r="U48" s="300">
        <f>+'Content 2025'!T7</f>
        <v>0</v>
      </c>
      <c r="V48" s="300">
        <f>+'Content 2025'!U7</f>
        <v>0</v>
      </c>
      <c r="W48" s="300">
        <f>+'Content 2025'!V7</f>
        <v>2304</v>
      </c>
      <c r="X48" s="300">
        <f>+'Content 2025'!W7</f>
        <v>0</v>
      </c>
      <c r="Y48" s="300">
        <f>+'Content 2025'!X7</f>
        <v>0</v>
      </c>
      <c r="Z48" s="300">
        <f>+'Content 2025'!Y7</f>
        <v>0</v>
      </c>
      <c r="AA48" s="300">
        <f>+'Content 2025'!Z7</f>
        <v>0</v>
      </c>
      <c r="AB48" s="300">
        <f>+'Content 2025'!AA7</f>
        <v>0</v>
      </c>
      <c r="AC48" s="301">
        <f t="shared" si="14"/>
        <v>1</v>
      </c>
      <c r="AD48" s="511">
        <f t="shared" si="15"/>
        <v>2304</v>
      </c>
      <c r="AE48" s="300">
        <f t="shared" si="16"/>
        <v>0</v>
      </c>
      <c r="AF48" s="300">
        <f t="shared" si="17"/>
        <v>0</v>
      </c>
      <c r="AG48" s="300">
        <f t="shared" si="18"/>
        <v>0</v>
      </c>
      <c r="AH48" s="300">
        <f t="shared" si="19"/>
        <v>0</v>
      </c>
      <c r="AI48" s="300">
        <f t="shared" si="20"/>
        <v>0</v>
      </c>
      <c r="AJ48" s="300">
        <f t="shared" si="21"/>
        <v>0</v>
      </c>
      <c r="AK48" s="300">
        <f t="shared" si="22"/>
        <v>2304</v>
      </c>
      <c r="AL48" s="300">
        <f t="shared" si="23"/>
        <v>0</v>
      </c>
      <c r="AM48" s="300">
        <f t="shared" si="24"/>
        <v>0</v>
      </c>
      <c r="AN48" s="300">
        <f t="shared" si="25"/>
        <v>0</v>
      </c>
      <c r="AO48" s="300">
        <f t="shared" si="26"/>
        <v>0</v>
      </c>
      <c r="AP48" s="300">
        <f t="shared" si="27"/>
        <v>0</v>
      </c>
    </row>
    <row r="49" spans="2:42" hidden="1">
      <c r="B49" t="str">
        <f>+'Content 2025'!A8</f>
        <v>Content</v>
      </c>
      <c r="C49" t="str">
        <f>+'Content 2025'!B8</f>
        <v>Nathalia Pontes</v>
      </c>
      <c r="D49" s="191">
        <f>+'Content 2025'!C8</f>
        <v>0.9</v>
      </c>
      <c r="E49" s="191">
        <f>+'Content 2025'!D8</f>
        <v>0.1</v>
      </c>
      <c r="F49" s="191">
        <f>+'Content 2025'!E8</f>
        <v>0</v>
      </c>
      <c r="G49" s="191">
        <f>+'Content 2025'!F8</f>
        <v>0</v>
      </c>
      <c r="H49" t="str">
        <f>+'Content 2025'!G8</f>
        <v>Content &amp; Programs</v>
      </c>
      <c r="I49" t="str">
        <f>+'Content 2025'!H8</f>
        <v>Hellosign</v>
      </c>
      <c r="J49">
        <f>+'Content 2025'!I8</f>
        <v>0</v>
      </c>
      <c r="K49" t="str">
        <f>+'Content 2025'!J8</f>
        <v>603.64.001</v>
      </c>
      <c r="L49" t="str">
        <f>+'Content 2025'!K8</f>
        <v>Servicios de Informatica</v>
      </c>
      <c r="M49" t="str">
        <f>+'Content 2025'!L8</f>
        <v>Servicios</v>
      </c>
      <c r="N49" t="str">
        <f>+'Content 2025'!M8</f>
        <v>USD</v>
      </c>
      <c r="O49" s="300">
        <f>+'Content 2025'!N8</f>
        <v>180</v>
      </c>
      <c r="P49" s="300">
        <f>+'Content 2025'!O8</f>
        <v>180</v>
      </c>
      <c r="Q49" s="300">
        <f>+'Content 2025'!P8</f>
        <v>0</v>
      </c>
      <c r="R49" s="300">
        <f>+'Content 2025'!Q8</f>
        <v>0</v>
      </c>
      <c r="S49" s="300">
        <f>+'Content 2025'!R8</f>
        <v>0</v>
      </c>
      <c r="T49" s="300">
        <f>+'Content 2025'!S8</f>
        <v>0</v>
      </c>
      <c r="U49" s="300">
        <f>+'Content 2025'!T8</f>
        <v>0</v>
      </c>
      <c r="V49" s="300">
        <f>+'Content 2025'!U8</f>
        <v>0</v>
      </c>
      <c r="W49" s="300">
        <f>+'Content 2025'!V8</f>
        <v>0</v>
      </c>
      <c r="X49" s="300">
        <f>+'Content 2025'!W8</f>
        <v>0</v>
      </c>
      <c r="Y49" s="300">
        <f>+'Content 2025'!X8</f>
        <v>0</v>
      </c>
      <c r="Z49" s="300">
        <f>+'Content 2025'!Y8</f>
        <v>180</v>
      </c>
      <c r="AA49" s="300">
        <f>+'Content 2025'!Z8</f>
        <v>0</v>
      </c>
      <c r="AB49" s="300">
        <f>+'Content 2025'!AA8</f>
        <v>0</v>
      </c>
      <c r="AC49" s="301">
        <f t="shared" si="14"/>
        <v>1</v>
      </c>
      <c r="AD49" s="511">
        <f t="shared" si="15"/>
        <v>180</v>
      </c>
      <c r="AE49" s="300">
        <f t="shared" si="16"/>
        <v>0</v>
      </c>
      <c r="AF49" s="300">
        <f t="shared" si="17"/>
        <v>0</v>
      </c>
      <c r="AG49" s="300">
        <f t="shared" si="18"/>
        <v>0</v>
      </c>
      <c r="AH49" s="300">
        <f t="shared" si="19"/>
        <v>0</v>
      </c>
      <c r="AI49" s="300">
        <f t="shared" si="20"/>
        <v>0</v>
      </c>
      <c r="AJ49" s="300">
        <f t="shared" si="21"/>
        <v>0</v>
      </c>
      <c r="AK49" s="300">
        <f t="shared" si="22"/>
        <v>0</v>
      </c>
      <c r="AL49" s="300">
        <f t="shared" si="23"/>
        <v>0</v>
      </c>
      <c r="AM49" s="300">
        <f t="shared" si="24"/>
        <v>0</v>
      </c>
      <c r="AN49" s="300">
        <f t="shared" si="25"/>
        <v>180</v>
      </c>
      <c r="AO49" s="300">
        <f t="shared" si="26"/>
        <v>0</v>
      </c>
      <c r="AP49" s="300">
        <f t="shared" si="27"/>
        <v>0</v>
      </c>
    </row>
    <row r="50" spans="2:42" hidden="1">
      <c r="B50" t="str">
        <f>+'Content 2025'!A9</f>
        <v>Content</v>
      </c>
      <c r="C50" t="str">
        <f>+'Content 2025'!B9</f>
        <v>Nathalia Pontes</v>
      </c>
      <c r="D50" s="191">
        <f>+'Content 2025'!C9</f>
        <v>0.9</v>
      </c>
      <c r="E50" s="191">
        <f>+'Content 2025'!D9</f>
        <v>0.1</v>
      </c>
      <c r="F50" s="191">
        <f>+'Content 2025'!E9</f>
        <v>0</v>
      </c>
      <c r="G50" s="191">
        <f>+'Content 2025'!F9</f>
        <v>0</v>
      </c>
      <c r="H50" t="str">
        <f>+'Content 2025'!G9</f>
        <v>Content &amp; Programs</v>
      </c>
      <c r="I50" t="str">
        <f>+'Content 2025'!H9</f>
        <v>Adobe</v>
      </c>
      <c r="J50" t="str">
        <f>+'Content 2025'!I9</f>
        <v>Plan anual</v>
      </c>
      <c r="K50" t="str">
        <f>+'Content 2025'!J9</f>
        <v>603.64.001</v>
      </c>
      <c r="L50" t="str">
        <f>+'Content 2025'!K9</f>
        <v>Servicios de Informatica</v>
      </c>
      <c r="M50" t="str">
        <f>+'Content 2025'!L9</f>
        <v>Servicios</v>
      </c>
      <c r="N50" t="str">
        <f>+'Content 2025'!M9</f>
        <v>MXN</v>
      </c>
      <c r="O50" s="300">
        <f>+'Content 2025'!N9</f>
        <v>854.70153846153823</v>
      </c>
      <c r="P50" s="300">
        <f>+'Content 2025'!O9</f>
        <v>16666.679999999997</v>
      </c>
      <c r="Q50" s="300">
        <f>+'Content 2025'!P9</f>
        <v>1388.89</v>
      </c>
      <c r="R50" s="300">
        <f>+'Content 2025'!Q9</f>
        <v>1388.89</v>
      </c>
      <c r="S50" s="300">
        <f>+'Content 2025'!R9</f>
        <v>1388.89</v>
      </c>
      <c r="T50" s="300">
        <f>+'Content 2025'!S9</f>
        <v>1388.89</v>
      </c>
      <c r="U50" s="300">
        <f>+'Content 2025'!T9</f>
        <v>1388.89</v>
      </c>
      <c r="V50" s="300">
        <f>+'Content 2025'!U9</f>
        <v>1388.89</v>
      </c>
      <c r="W50" s="300">
        <f>+'Content 2025'!V9</f>
        <v>1388.89</v>
      </c>
      <c r="X50" s="300">
        <f>+'Content 2025'!W9</f>
        <v>1388.89</v>
      </c>
      <c r="Y50" s="300">
        <f>+'Content 2025'!X9</f>
        <v>1388.89</v>
      </c>
      <c r="Z50" s="300">
        <f>+'Content 2025'!Y9</f>
        <v>1388.89</v>
      </c>
      <c r="AA50" s="300">
        <f>+'Content 2025'!Z9</f>
        <v>1388.89</v>
      </c>
      <c r="AB50" s="300">
        <f>+'Content 2025'!AA9</f>
        <v>1388.89</v>
      </c>
      <c r="AC50" s="301">
        <f t="shared" si="14"/>
        <v>1</v>
      </c>
      <c r="AD50" s="511">
        <f t="shared" si="15"/>
        <v>854.70153846153835</v>
      </c>
      <c r="AE50" s="300">
        <f t="shared" si="16"/>
        <v>71.225128205128215</v>
      </c>
      <c r="AF50" s="300">
        <f t="shared" si="17"/>
        <v>71.225128205128215</v>
      </c>
      <c r="AG50" s="300">
        <f t="shared" si="18"/>
        <v>71.225128205128215</v>
      </c>
      <c r="AH50" s="300">
        <f t="shared" si="19"/>
        <v>71.225128205128215</v>
      </c>
      <c r="AI50" s="300">
        <f t="shared" si="20"/>
        <v>71.225128205128215</v>
      </c>
      <c r="AJ50" s="300">
        <f t="shared" si="21"/>
        <v>71.225128205128215</v>
      </c>
      <c r="AK50" s="300">
        <f t="shared" si="22"/>
        <v>71.225128205128215</v>
      </c>
      <c r="AL50" s="300">
        <f t="shared" si="23"/>
        <v>71.225128205128215</v>
      </c>
      <c r="AM50" s="300">
        <f t="shared" si="24"/>
        <v>71.225128205128215</v>
      </c>
      <c r="AN50" s="300">
        <f t="shared" si="25"/>
        <v>71.225128205128215</v>
      </c>
      <c r="AO50" s="300">
        <f t="shared" si="26"/>
        <v>71.225128205128215</v>
      </c>
      <c r="AP50" s="300">
        <f t="shared" si="27"/>
        <v>71.225128205128215</v>
      </c>
    </row>
    <row r="51" spans="2:42" hidden="1">
      <c r="B51" t="str">
        <f>+'Content 2025'!A10</f>
        <v>Content</v>
      </c>
      <c r="C51" t="str">
        <f>+'Content 2025'!B10</f>
        <v>Nathalia Pontes</v>
      </c>
      <c r="D51" s="191">
        <f>+'Content 2025'!C10</f>
        <v>0.9</v>
      </c>
      <c r="E51" s="191">
        <f>+'Content 2025'!D10</f>
        <v>0.1</v>
      </c>
      <c r="F51" s="191">
        <f>+'Content 2025'!E10</f>
        <v>0</v>
      </c>
      <c r="G51" s="191">
        <f>+'Content 2025'!F10</f>
        <v>0</v>
      </c>
      <c r="H51" t="str">
        <f>+'Content 2025'!G10</f>
        <v>Content &amp; Programs</v>
      </c>
      <c r="I51" t="str">
        <f>+'Content 2025'!H10</f>
        <v>Envato</v>
      </c>
      <c r="J51">
        <f>+'Content 2025'!I10</f>
        <v>0</v>
      </c>
      <c r="K51" t="str">
        <f>+'Content 2025'!J10</f>
        <v>603.64.001</v>
      </c>
      <c r="L51" t="str">
        <f>+'Content 2025'!K10</f>
        <v>Servicios de Informatica</v>
      </c>
      <c r="M51" t="str">
        <f>+'Content 2025'!L10</f>
        <v>Servicios</v>
      </c>
      <c r="N51" t="str">
        <f>+'Content 2025'!M10</f>
        <v>USD</v>
      </c>
      <c r="O51" s="300">
        <f>+'Content 2025'!N10</f>
        <v>198</v>
      </c>
      <c r="P51" s="300">
        <f>+'Content 2025'!O10</f>
        <v>198</v>
      </c>
      <c r="Q51" s="300">
        <f>+'Content 2025'!P10</f>
        <v>0</v>
      </c>
      <c r="R51" s="300">
        <f>+'Content 2025'!Q10</f>
        <v>0</v>
      </c>
      <c r="S51" s="300">
        <f>+'Content 2025'!R10</f>
        <v>198</v>
      </c>
      <c r="T51" s="300">
        <f>+'Content 2025'!S10</f>
        <v>0</v>
      </c>
      <c r="U51" s="300">
        <f>+'Content 2025'!T10</f>
        <v>0</v>
      </c>
      <c r="V51" s="300">
        <f>+'Content 2025'!U10</f>
        <v>0</v>
      </c>
      <c r="W51" s="300">
        <f>+'Content 2025'!V10</f>
        <v>0</v>
      </c>
      <c r="X51" s="300">
        <f>+'Content 2025'!W10</f>
        <v>0</v>
      </c>
      <c r="Y51" s="300">
        <f>+'Content 2025'!X10</f>
        <v>0</v>
      </c>
      <c r="Z51" s="300">
        <f>+'Content 2025'!Y10</f>
        <v>0</v>
      </c>
      <c r="AA51" s="300">
        <f>+'Content 2025'!Z10</f>
        <v>0</v>
      </c>
      <c r="AB51" s="300">
        <f>+'Content 2025'!AA10</f>
        <v>0</v>
      </c>
      <c r="AC51" s="301">
        <f t="shared" si="14"/>
        <v>1</v>
      </c>
      <c r="AD51" s="511">
        <f t="shared" si="15"/>
        <v>198</v>
      </c>
      <c r="AE51" s="300">
        <f t="shared" si="16"/>
        <v>0</v>
      </c>
      <c r="AF51" s="300">
        <f t="shared" si="17"/>
        <v>0</v>
      </c>
      <c r="AG51" s="300">
        <f t="shared" si="18"/>
        <v>198</v>
      </c>
      <c r="AH51" s="300">
        <f t="shared" si="19"/>
        <v>0</v>
      </c>
      <c r="AI51" s="300">
        <f t="shared" si="20"/>
        <v>0</v>
      </c>
      <c r="AJ51" s="300">
        <f t="shared" si="21"/>
        <v>0</v>
      </c>
      <c r="AK51" s="300">
        <f t="shared" si="22"/>
        <v>0</v>
      </c>
      <c r="AL51" s="300">
        <f t="shared" si="23"/>
        <v>0</v>
      </c>
      <c r="AM51" s="300">
        <f t="shared" si="24"/>
        <v>0</v>
      </c>
      <c r="AN51" s="300">
        <f t="shared" si="25"/>
        <v>0</v>
      </c>
      <c r="AO51" s="300">
        <f t="shared" si="26"/>
        <v>0</v>
      </c>
      <c r="AP51" s="300">
        <f t="shared" si="27"/>
        <v>0</v>
      </c>
    </row>
    <row r="52" spans="2:42" hidden="1">
      <c r="B52" t="str">
        <f>+'Content 2025'!A11</f>
        <v>Content</v>
      </c>
      <c r="C52" t="str">
        <f>+'Content 2025'!B11</f>
        <v>Nathalia Pontes</v>
      </c>
      <c r="D52" s="191">
        <f>+'Content 2025'!C11</f>
        <v>0.9</v>
      </c>
      <c r="E52" s="191">
        <f>+'Content 2025'!D11</f>
        <v>0.1</v>
      </c>
      <c r="F52" s="191">
        <f>+'Content 2025'!E11</f>
        <v>0</v>
      </c>
      <c r="G52" s="191">
        <f>+'Content 2025'!F11</f>
        <v>0</v>
      </c>
      <c r="H52" t="str">
        <f>+'Content 2025'!G11</f>
        <v>Content &amp; Programs</v>
      </c>
      <c r="I52" t="str">
        <f>+'Content 2025'!H11</f>
        <v>Veed</v>
      </c>
      <c r="J52">
        <f>+'Content 2025'!I11</f>
        <v>0</v>
      </c>
      <c r="K52" t="str">
        <f>+'Content 2025'!J11</f>
        <v>603.64.001</v>
      </c>
      <c r="L52" t="str">
        <f>+'Content 2025'!K11</f>
        <v>Servicios de Informatica</v>
      </c>
      <c r="M52" t="str">
        <f>+'Content 2025'!L11</f>
        <v>Servicios</v>
      </c>
      <c r="N52" t="str">
        <f>+'Content 2025'!M11</f>
        <v>USD</v>
      </c>
      <c r="O52" s="300">
        <f>+'Content 2025'!N11</f>
        <v>288</v>
      </c>
      <c r="P52" s="300">
        <f>+'Content 2025'!O11</f>
        <v>288</v>
      </c>
      <c r="Q52" s="300">
        <f>+'Content 2025'!P11</f>
        <v>288</v>
      </c>
      <c r="R52" s="300">
        <f>+'Content 2025'!Q11</f>
        <v>0</v>
      </c>
      <c r="S52" s="300">
        <f>+'Content 2025'!R11</f>
        <v>0</v>
      </c>
      <c r="T52" s="300">
        <f>+'Content 2025'!S11</f>
        <v>0</v>
      </c>
      <c r="U52" s="300">
        <f>+'Content 2025'!T11</f>
        <v>0</v>
      </c>
      <c r="V52" s="300">
        <f>+'Content 2025'!U11</f>
        <v>0</v>
      </c>
      <c r="W52" s="300">
        <f>+'Content 2025'!V11</f>
        <v>0</v>
      </c>
      <c r="X52" s="300">
        <f>+'Content 2025'!W11</f>
        <v>0</v>
      </c>
      <c r="Y52" s="300">
        <f>+'Content 2025'!X11</f>
        <v>0</v>
      </c>
      <c r="Z52" s="300">
        <f>+'Content 2025'!Y11</f>
        <v>0</v>
      </c>
      <c r="AA52" s="300">
        <f>+'Content 2025'!Z11</f>
        <v>0</v>
      </c>
      <c r="AB52" s="300">
        <f>+'Content 2025'!AA11</f>
        <v>0</v>
      </c>
      <c r="AC52" s="301">
        <f t="shared" si="14"/>
        <v>1</v>
      </c>
      <c r="AD52" s="511">
        <f t="shared" si="15"/>
        <v>288</v>
      </c>
      <c r="AE52" s="300">
        <f t="shared" si="16"/>
        <v>288</v>
      </c>
      <c r="AF52" s="300">
        <f t="shared" si="17"/>
        <v>0</v>
      </c>
      <c r="AG52" s="300">
        <f t="shared" si="18"/>
        <v>0</v>
      </c>
      <c r="AH52" s="300">
        <f t="shared" si="19"/>
        <v>0</v>
      </c>
      <c r="AI52" s="300">
        <f t="shared" si="20"/>
        <v>0</v>
      </c>
      <c r="AJ52" s="300">
        <f t="shared" si="21"/>
        <v>0</v>
      </c>
      <c r="AK52" s="300">
        <f t="shared" si="22"/>
        <v>0</v>
      </c>
      <c r="AL52" s="300">
        <f t="shared" si="23"/>
        <v>0</v>
      </c>
      <c r="AM52" s="300">
        <f t="shared" si="24"/>
        <v>0</v>
      </c>
      <c r="AN52" s="300">
        <f t="shared" si="25"/>
        <v>0</v>
      </c>
      <c r="AO52" s="300">
        <f t="shared" si="26"/>
        <v>0</v>
      </c>
      <c r="AP52" s="300">
        <f t="shared" si="27"/>
        <v>0</v>
      </c>
    </row>
    <row r="53" spans="2:42" hidden="1">
      <c r="B53" t="str">
        <f>+'Content 2025'!A12</f>
        <v>Content</v>
      </c>
      <c r="C53" t="str">
        <f>+'Content 2025'!B12</f>
        <v>Nathalia Pontes</v>
      </c>
      <c r="D53" s="191">
        <f>+'Content 2025'!C12</f>
        <v>0.9</v>
      </c>
      <c r="E53" s="191">
        <f>+'Content 2025'!D12</f>
        <v>0.1</v>
      </c>
      <c r="F53" s="191">
        <f>+'Content 2025'!E12</f>
        <v>0</v>
      </c>
      <c r="G53" s="191">
        <f>+'Content 2025'!F12</f>
        <v>0</v>
      </c>
      <c r="H53" t="str">
        <f>+'Content 2025'!G12</f>
        <v>Content &amp; Programs</v>
      </c>
      <c r="I53" t="str">
        <f>+'Content 2025'!H12</f>
        <v>Other A.I. licensings</v>
      </c>
      <c r="J53">
        <f>+'Content 2025'!I12</f>
        <v>0</v>
      </c>
      <c r="K53" t="str">
        <f>+'Content 2025'!J12</f>
        <v>603.64.001</v>
      </c>
      <c r="L53" t="str">
        <f>+'Content 2025'!K12</f>
        <v>Servicios de Informatica</v>
      </c>
      <c r="M53" t="str">
        <f>+'Content 2025'!L12</f>
        <v>Servicios</v>
      </c>
      <c r="N53" t="str">
        <f>+'Content 2025'!M12</f>
        <v>USD</v>
      </c>
      <c r="O53" s="300">
        <f>+'Content 2025'!N12</f>
        <v>300</v>
      </c>
      <c r="P53" s="300">
        <f>+'Content 2025'!O12</f>
        <v>300</v>
      </c>
      <c r="Q53" s="300">
        <f>+'Content 2025'!P12</f>
        <v>20</v>
      </c>
      <c r="R53" s="300">
        <f>+'Content 2025'!Q12</f>
        <v>20</v>
      </c>
      <c r="S53" s="300">
        <f>+'Content 2025'!R12</f>
        <v>20</v>
      </c>
      <c r="T53" s="300">
        <f>+'Content 2025'!S12</f>
        <v>20</v>
      </c>
      <c r="U53" s="300">
        <f>+'Content 2025'!T12</f>
        <v>20</v>
      </c>
      <c r="V53" s="300">
        <f>+'Content 2025'!U12</f>
        <v>20</v>
      </c>
      <c r="W53" s="300">
        <f>+'Content 2025'!V12</f>
        <v>30</v>
      </c>
      <c r="X53" s="300">
        <f>+'Content 2025'!W12</f>
        <v>30</v>
      </c>
      <c r="Y53" s="300">
        <f>+'Content 2025'!X12</f>
        <v>30</v>
      </c>
      <c r="Z53" s="300">
        <f>+'Content 2025'!Y12</f>
        <v>30</v>
      </c>
      <c r="AA53" s="300">
        <f>+'Content 2025'!Z12</f>
        <v>30</v>
      </c>
      <c r="AB53" s="300">
        <f>+'Content 2025'!AA12</f>
        <v>30</v>
      </c>
      <c r="AC53" s="301">
        <f t="shared" si="14"/>
        <v>1</v>
      </c>
      <c r="AD53" s="511">
        <f t="shared" si="15"/>
        <v>300</v>
      </c>
      <c r="AE53" s="300">
        <f t="shared" si="16"/>
        <v>20</v>
      </c>
      <c r="AF53" s="300">
        <f t="shared" si="17"/>
        <v>20</v>
      </c>
      <c r="AG53" s="300">
        <f t="shared" si="18"/>
        <v>20</v>
      </c>
      <c r="AH53" s="300">
        <f t="shared" si="19"/>
        <v>20</v>
      </c>
      <c r="AI53" s="300">
        <f t="shared" si="20"/>
        <v>20</v>
      </c>
      <c r="AJ53" s="300">
        <f t="shared" si="21"/>
        <v>20</v>
      </c>
      <c r="AK53" s="300">
        <f t="shared" si="22"/>
        <v>30</v>
      </c>
      <c r="AL53" s="300">
        <f t="shared" si="23"/>
        <v>30</v>
      </c>
      <c r="AM53" s="300">
        <f t="shared" si="24"/>
        <v>30</v>
      </c>
      <c r="AN53" s="300">
        <f t="shared" si="25"/>
        <v>30</v>
      </c>
      <c r="AO53" s="300">
        <f t="shared" si="26"/>
        <v>30</v>
      </c>
      <c r="AP53" s="300">
        <f t="shared" si="27"/>
        <v>30</v>
      </c>
    </row>
    <row r="54" spans="2:42" hidden="1">
      <c r="B54" t="str">
        <f>+'Content 2025'!A13</f>
        <v>Content</v>
      </c>
      <c r="C54" t="str">
        <f>+'Content 2025'!B13</f>
        <v>Nathalia Pontes</v>
      </c>
      <c r="D54" s="191">
        <f>+'Content 2025'!C13</f>
        <v>0.9</v>
      </c>
      <c r="E54" s="191">
        <f>+'Content 2025'!D13</f>
        <v>0.1</v>
      </c>
      <c r="F54" s="191">
        <f>+'Content 2025'!E13</f>
        <v>0</v>
      </c>
      <c r="G54" s="191">
        <f>+'Content 2025'!F13</f>
        <v>0</v>
      </c>
      <c r="H54" t="str">
        <f>+'Content 2025'!G13</f>
        <v>Content &amp; Programs</v>
      </c>
      <c r="I54" t="str">
        <f>+'Content 2025'!H13</f>
        <v>HeyGen</v>
      </c>
      <c r="J54">
        <f>+'Content 2025'!I13</f>
        <v>0</v>
      </c>
      <c r="K54" t="str">
        <f>+'Content 2025'!J13</f>
        <v>603.64.001</v>
      </c>
      <c r="L54" t="str">
        <f>+'Content 2025'!K13</f>
        <v>Servicios de Informatica</v>
      </c>
      <c r="M54" t="str">
        <f>+'Content 2025'!L13</f>
        <v>Servicios</v>
      </c>
      <c r="N54" t="str">
        <f>+'Content 2025'!M13</f>
        <v>USD</v>
      </c>
      <c r="O54" s="300">
        <f>+'Content 2025'!N13</f>
        <v>1068</v>
      </c>
      <c r="P54" s="300">
        <f>+'Content 2025'!O13</f>
        <v>1068</v>
      </c>
      <c r="Q54" s="300">
        <f>+'Content 2025'!P13</f>
        <v>89</v>
      </c>
      <c r="R54" s="300">
        <f>+'Content 2025'!Q13</f>
        <v>89</v>
      </c>
      <c r="S54" s="300">
        <f>+'Content 2025'!R13</f>
        <v>89</v>
      </c>
      <c r="T54" s="300">
        <f>+'Content 2025'!S13</f>
        <v>89</v>
      </c>
      <c r="U54" s="300">
        <f>+'Content 2025'!T13</f>
        <v>89</v>
      </c>
      <c r="V54" s="300">
        <f>+'Content 2025'!U13</f>
        <v>89</v>
      </c>
      <c r="W54" s="300">
        <f>+'Content 2025'!V13</f>
        <v>89</v>
      </c>
      <c r="X54" s="300">
        <f>+'Content 2025'!W13</f>
        <v>89</v>
      </c>
      <c r="Y54" s="300">
        <f>+'Content 2025'!X13</f>
        <v>89</v>
      </c>
      <c r="Z54" s="300">
        <f>+'Content 2025'!Y13</f>
        <v>89</v>
      </c>
      <c r="AA54" s="300">
        <f>+'Content 2025'!Z13</f>
        <v>89</v>
      </c>
      <c r="AB54" s="300">
        <f>+'Content 2025'!AA13</f>
        <v>89</v>
      </c>
      <c r="AC54" s="301">
        <f t="shared" si="14"/>
        <v>1</v>
      </c>
      <c r="AD54" s="511">
        <f t="shared" si="15"/>
        <v>1068</v>
      </c>
      <c r="AE54" s="300">
        <f t="shared" si="16"/>
        <v>89</v>
      </c>
      <c r="AF54" s="300">
        <f t="shared" si="17"/>
        <v>89</v>
      </c>
      <c r="AG54" s="300">
        <f t="shared" si="18"/>
        <v>89</v>
      </c>
      <c r="AH54" s="300">
        <f t="shared" si="19"/>
        <v>89</v>
      </c>
      <c r="AI54" s="300">
        <f t="shared" si="20"/>
        <v>89</v>
      </c>
      <c r="AJ54" s="300">
        <f t="shared" si="21"/>
        <v>89</v>
      </c>
      <c r="AK54" s="300">
        <f t="shared" si="22"/>
        <v>89</v>
      </c>
      <c r="AL54" s="300">
        <f t="shared" si="23"/>
        <v>89</v>
      </c>
      <c r="AM54" s="300">
        <f t="shared" si="24"/>
        <v>89</v>
      </c>
      <c r="AN54" s="300">
        <f t="shared" si="25"/>
        <v>89</v>
      </c>
      <c r="AO54" s="300">
        <f t="shared" si="26"/>
        <v>89</v>
      </c>
      <c r="AP54" s="300">
        <f t="shared" si="27"/>
        <v>89</v>
      </c>
    </row>
    <row r="55" spans="2:42" hidden="1">
      <c r="B55" t="str">
        <f>+'Content 2025'!A14</f>
        <v>Content</v>
      </c>
      <c r="C55" t="str">
        <f>+'Content 2025'!B14</f>
        <v>Nathalia Pontes</v>
      </c>
      <c r="D55" s="191">
        <f>+'Content 2025'!C14</f>
        <v>0.9</v>
      </c>
      <c r="E55" s="191">
        <f>+'Content 2025'!D14</f>
        <v>0.1</v>
      </c>
      <c r="F55" s="191">
        <f>+'Content 2025'!E14</f>
        <v>0</v>
      </c>
      <c r="G55" s="191">
        <f>+'Content 2025'!F14</f>
        <v>0</v>
      </c>
      <c r="H55" t="str">
        <f>+'Content 2025'!G14</f>
        <v>Content &amp; Programs</v>
      </c>
      <c r="I55" t="str">
        <f>+'Content 2025'!H14</f>
        <v>LearnWorlds</v>
      </c>
      <c r="J55" t="str">
        <f>+'Content 2025'!I14</f>
        <v xml:space="preserve"> </v>
      </c>
      <c r="K55" t="str">
        <f>+'Content 2025'!J14</f>
        <v>603.64.001</v>
      </c>
      <c r="L55" t="str">
        <f>+'Content 2025'!K14</f>
        <v>Servicios de Informatica</v>
      </c>
      <c r="M55" t="str">
        <f>+'Content 2025'!L14</f>
        <v>Servicios</v>
      </c>
      <c r="N55" t="str">
        <f>+'Content 2025'!M14</f>
        <v>USD</v>
      </c>
      <c r="O55" s="300">
        <f>+'Content 2025'!N14</f>
        <v>0</v>
      </c>
      <c r="P55" s="300">
        <f>+'Content 2025'!O14</f>
        <v>0</v>
      </c>
      <c r="Q55" s="300">
        <f>+'Content 2025'!P14</f>
        <v>0</v>
      </c>
      <c r="R55" s="300">
        <f>+'Content 2025'!Q14</f>
        <v>0</v>
      </c>
      <c r="S55" s="300">
        <f>+'Content 2025'!R14</f>
        <v>0</v>
      </c>
      <c r="T55" s="300">
        <f>+'Content 2025'!S14</f>
        <v>0</v>
      </c>
      <c r="U55" s="300">
        <f>+'Content 2025'!T14</f>
        <v>0</v>
      </c>
      <c r="V55" s="300">
        <f>+'Content 2025'!U14</f>
        <v>0</v>
      </c>
      <c r="W55" s="300">
        <f>+'Content 2025'!V14</f>
        <v>0</v>
      </c>
      <c r="X55" s="300">
        <f>+'Content 2025'!W14</f>
        <v>0</v>
      </c>
      <c r="Y55" s="300">
        <f>+'Content 2025'!X14</f>
        <v>0</v>
      </c>
      <c r="Z55" s="300">
        <f>+'Content 2025'!Y14</f>
        <v>0</v>
      </c>
      <c r="AA55" s="300">
        <f>+'Content 2025'!Z14</f>
        <v>0</v>
      </c>
      <c r="AB55" s="300">
        <f>+'Content 2025'!AA14</f>
        <v>0</v>
      </c>
      <c r="AC55" s="301">
        <f t="shared" si="14"/>
        <v>1</v>
      </c>
      <c r="AD55" s="511">
        <f t="shared" si="15"/>
        <v>0</v>
      </c>
      <c r="AE55" s="300">
        <f t="shared" si="16"/>
        <v>0</v>
      </c>
      <c r="AF55" s="300">
        <f t="shared" si="17"/>
        <v>0</v>
      </c>
      <c r="AG55" s="300">
        <f t="shared" si="18"/>
        <v>0</v>
      </c>
      <c r="AH55" s="300">
        <f t="shared" si="19"/>
        <v>0</v>
      </c>
      <c r="AI55" s="300">
        <f t="shared" si="20"/>
        <v>0</v>
      </c>
      <c r="AJ55" s="300">
        <f t="shared" si="21"/>
        <v>0</v>
      </c>
      <c r="AK55" s="300">
        <f t="shared" si="22"/>
        <v>0</v>
      </c>
      <c r="AL55" s="300">
        <f t="shared" si="23"/>
        <v>0</v>
      </c>
      <c r="AM55" s="300">
        <f t="shared" si="24"/>
        <v>0</v>
      </c>
      <c r="AN55" s="300">
        <f t="shared" si="25"/>
        <v>0</v>
      </c>
      <c r="AO55" s="300">
        <f t="shared" si="26"/>
        <v>0</v>
      </c>
      <c r="AP55" s="300">
        <f t="shared" si="27"/>
        <v>0</v>
      </c>
    </row>
    <row r="56" spans="2:42" hidden="1">
      <c r="B56" t="str">
        <f>+'Content 2025'!A15</f>
        <v>Content</v>
      </c>
      <c r="C56" t="str">
        <f>+'Content 2025'!B15</f>
        <v>Nathalia Pontes</v>
      </c>
      <c r="D56" s="191">
        <f>+'Content 2025'!C15</f>
        <v>0.9</v>
      </c>
      <c r="E56" s="191">
        <f>+'Content 2025'!D15</f>
        <v>0.1</v>
      </c>
      <c r="F56" s="191">
        <f>+'Content 2025'!E15</f>
        <v>0</v>
      </c>
      <c r="G56" s="191">
        <f>+'Content 2025'!F15</f>
        <v>0</v>
      </c>
      <c r="H56" t="str">
        <f>+'Content 2025'!G15</f>
        <v>Content &amp; Programs</v>
      </c>
      <c r="I56" t="str">
        <f>+'Content 2025'!H15</f>
        <v>Weglot</v>
      </c>
      <c r="J56">
        <f>+'Content 2025'!I15</f>
        <v>0</v>
      </c>
      <c r="K56" t="str">
        <f>+'Content 2025'!J15</f>
        <v>603.64.001</v>
      </c>
      <c r="L56" t="str">
        <f>+'Content 2025'!K15</f>
        <v>Servicios de Informatica</v>
      </c>
      <c r="M56" t="str">
        <f>+'Content 2025'!L15</f>
        <v>Servicios</v>
      </c>
      <c r="N56" t="str">
        <f>+'Content 2025'!M15</f>
        <v>EUR</v>
      </c>
      <c r="O56" s="300">
        <f>+'Content 2025'!N15</f>
        <v>0</v>
      </c>
      <c r="P56" s="300">
        <f>+'Content 2025'!O15</f>
        <v>0</v>
      </c>
      <c r="Q56" s="300">
        <f>+'Content 2025'!P15</f>
        <v>0</v>
      </c>
      <c r="R56" s="300">
        <f>+'Content 2025'!Q15</f>
        <v>0</v>
      </c>
      <c r="S56" s="300">
        <f>+'Content 2025'!R15</f>
        <v>0</v>
      </c>
      <c r="T56" s="300">
        <f>+'Content 2025'!S15</f>
        <v>0</v>
      </c>
      <c r="U56" s="300">
        <f>+'Content 2025'!T15</f>
        <v>0</v>
      </c>
      <c r="V56" s="300">
        <f>+'Content 2025'!U15</f>
        <v>0</v>
      </c>
      <c r="W56" s="300">
        <f>+'Content 2025'!V15</f>
        <v>0</v>
      </c>
      <c r="X56" s="300">
        <f>+'Content 2025'!W15</f>
        <v>0</v>
      </c>
      <c r="Y56" s="300">
        <f>+'Content 2025'!X15</f>
        <v>0</v>
      </c>
      <c r="Z56" s="300">
        <f>+'Content 2025'!Y15</f>
        <v>0</v>
      </c>
      <c r="AA56" s="300">
        <f>+'Content 2025'!Z15</f>
        <v>0</v>
      </c>
      <c r="AB56" s="300">
        <f>+'Content 2025'!AA15</f>
        <v>0</v>
      </c>
      <c r="AC56" s="301">
        <f t="shared" si="14"/>
        <v>1</v>
      </c>
      <c r="AD56" s="511">
        <f t="shared" si="15"/>
        <v>0</v>
      </c>
      <c r="AE56" s="300">
        <f t="shared" si="16"/>
        <v>0</v>
      </c>
      <c r="AF56" s="300">
        <f t="shared" si="17"/>
        <v>0</v>
      </c>
      <c r="AG56" s="300">
        <f t="shared" si="18"/>
        <v>0</v>
      </c>
      <c r="AH56" s="300">
        <f t="shared" si="19"/>
        <v>0</v>
      </c>
      <c r="AI56" s="300">
        <f t="shared" si="20"/>
        <v>0</v>
      </c>
      <c r="AJ56" s="300">
        <f t="shared" si="21"/>
        <v>0</v>
      </c>
      <c r="AK56" s="300">
        <f t="shared" si="22"/>
        <v>0</v>
      </c>
      <c r="AL56" s="300">
        <f t="shared" si="23"/>
        <v>0</v>
      </c>
      <c r="AM56" s="300">
        <f t="shared" si="24"/>
        <v>0</v>
      </c>
      <c r="AN56" s="300">
        <f t="shared" si="25"/>
        <v>0</v>
      </c>
      <c r="AO56" s="300">
        <f t="shared" si="26"/>
        <v>0</v>
      </c>
      <c r="AP56" s="300">
        <f t="shared" si="27"/>
        <v>0</v>
      </c>
    </row>
    <row r="57" spans="2:42" hidden="1">
      <c r="B57" t="str">
        <f>+'Content 2025'!A16</f>
        <v>Content</v>
      </c>
      <c r="C57" t="str">
        <f>+'Content 2025'!B16</f>
        <v>Nathalia Pontes</v>
      </c>
      <c r="D57" s="191">
        <f>+'Content 2025'!C16</f>
        <v>0.9</v>
      </c>
      <c r="E57" s="191">
        <f>+'Content 2025'!D16</f>
        <v>0.1</v>
      </c>
      <c r="F57" s="191">
        <f>+'Content 2025'!E16</f>
        <v>0</v>
      </c>
      <c r="G57" s="191">
        <f>+'Content 2025'!F16</f>
        <v>0</v>
      </c>
      <c r="H57" t="str">
        <f>+'Content 2025'!G16</f>
        <v>Content &amp; Programs</v>
      </c>
      <c r="I57" t="str">
        <f>+'Content 2025'!H16</f>
        <v>Zoom</v>
      </c>
      <c r="J57">
        <f>+'Content 2025'!I16</f>
        <v>0</v>
      </c>
      <c r="K57" t="str">
        <f>+'Content 2025'!J16</f>
        <v>603.64.001</v>
      </c>
      <c r="L57" t="str">
        <f>+'Content 2025'!K16</f>
        <v>Servicios de Informatica</v>
      </c>
      <c r="M57" t="str">
        <f>+'Content 2025'!L16</f>
        <v>Servicios</v>
      </c>
      <c r="N57" t="str">
        <f>+'Content 2025'!M16</f>
        <v>USD</v>
      </c>
      <c r="O57" s="300">
        <f>+'Content 2025'!N16</f>
        <v>459.70000000000005</v>
      </c>
      <c r="P57" s="300">
        <f>+'Content 2025'!O16</f>
        <v>459.70000000000005</v>
      </c>
      <c r="Q57" s="300">
        <f>+'Content 2025'!P16</f>
        <v>0</v>
      </c>
      <c r="R57" s="300">
        <f>+'Content 2025'!Q16</f>
        <v>0</v>
      </c>
      <c r="S57" s="300">
        <f>+'Content 2025'!R16</f>
        <v>0</v>
      </c>
      <c r="T57" s="300">
        <f>+'Content 2025'!S16</f>
        <v>0</v>
      </c>
      <c r="U57" s="300">
        <f>+'Content 2025'!T16</f>
        <v>0</v>
      </c>
      <c r="V57" s="300">
        <f>+'Content 2025'!U16</f>
        <v>0</v>
      </c>
      <c r="W57" s="300">
        <f>+'Content 2025'!V16</f>
        <v>0</v>
      </c>
      <c r="X57" s="300">
        <f>+'Content 2025'!W16</f>
        <v>0</v>
      </c>
      <c r="Y57" s="300">
        <f>+'Content 2025'!X16</f>
        <v>159.9</v>
      </c>
      <c r="Z57" s="300">
        <f>+'Content 2025'!Y16</f>
        <v>299.8</v>
      </c>
      <c r="AA57" s="300">
        <f>+'Content 2025'!Z16</f>
        <v>0</v>
      </c>
      <c r="AB57" s="300">
        <f>+'Content 2025'!AA16</f>
        <v>0</v>
      </c>
      <c r="AC57" s="301">
        <f t="shared" si="14"/>
        <v>1</v>
      </c>
      <c r="AD57" s="511">
        <f t="shared" si="15"/>
        <v>459.70000000000005</v>
      </c>
      <c r="AE57" s="300">
        <f t="shared" si="16"/>
        <v>0</v>
      </c>
      <c r="AF57" s="300">
        <f t="shared" si="17"/>
        <v>0</v>
      </c>
      <c r="AG57" s="300">
        <f t="shared" si="18"/>
        <v>0</v>
      </c>
      <c r="AH57" s="300">
        <f t="shared" si="19"/>
        <v>0</v>
      </c>
      <c r="AI57" s="300">
        <f t="shared" si="20"/>
        <v>0</v>
      </c>
      <c r="AJ57" s="300">
        <f t="shared" si="21"/>
        <v>0</v>
      </c>
      <c r="AK57" s="300">
        <f t="shared" si="22"/>
        <v>0</v>
      </c>
      <c r="AL57" s="300">
        <f t="shared" si="23"/>
        <v>0</v>
      </c>
      <c r="AM57" s="300">
        <f t="shared" si="24"/>
        <v>159.9</v>
      </c>
      <c r="AN57" s="300">
        <f t="shared" si="25"/>
        <v>299.8</v>
      </c>
      <c r="AO57" s="300">
        <f t="shared" si="26"/>
        <v>0</v>
      </c>
      <c r="AP57" s="300">
        <f t="shared" si="27"/>
        <v>0</v>
      </c>
    </row>
    <row r="58" spans="2:42" hidden="1">
      <c r="B58" t="str">
        <f>+'Content 2025'!A17</f>
        <v>Content</v>
      </c>
      <c r="C58" t="str">
        <f>+'Content 2025'!B17</f>
        <v>Nathalia Pontes</v>
      </c>
      <c r="D58" s="191">
        <f>+'Content 2025'!C17</f>
        <v>0.9</v>
      </c>
      <c r="E58" s="191">
        <f>+'Content 2025'!D17</f>
        <v>0.1</v>
      </c>
      <c r="F58" s="191">
        <f>+'Content 2025'!E17</f>
        <v>0</v>
      </c>
      <c r="G58" s="191">
        <f>+'Content 2025'!F17</f>
        <v>0</v>
      </c>
      <c r="H58" t="str">
        <f>+'Content 2025'!G17</f>
        <v>Content &amp; Programs</v>
      </c>
      <c r="I58" t="str">
        <f>+'Content 2025'!H17</f>
        <v>GUSTO fee</v>
      </c>
      <c r="J58" t="str">
        <f>+'Content 2025'!I17</f>
        <v>* 12 USD * 6.6% TAX per contractor (coach)</v>
      </c>
      <c r="K58" t="str">
        <f>+'Content 2025'!J17</f>
        <v>603.64.001</v>
      </c>
      <c r="L58" t="str">
        <f>+'Content 2025'!K17</f>
        <v>Servicios de Informatica</v>
      </c>
      <c r="M58" t="str">
        <f>+'Content 2025'!L17</f>
        <v>Servicios</v>
      </c>
      <c r="N58" t="str">
        <f>+'Content 2025'!M17</f>
        <v>USD</v>
      </c>
      <c r="O58" s="300">
        <f>+'Content 2025'!N17</f>
        <v>460.51199999999994</v>
      </c>
      <c r="P58" s="300">
        <f>+'Content 2025'!O17</f>
        <v>460.51199999999994</v>
      </c>
      <c r="Q58" s="300">
        <f>+'Content 2025'!P17</f>
        <v>38.376000000000005</v>
      </c>
      <c r="R58" s="300">
        <f>+'Content 2025'!Q17</f>
        <v>38.376000000000005</v>
      </c>
      <c r="S58" s="300">
        <f>+'Content 2025'!R17</f>
        <v>38.376000000000005</v>
      </c>
      <c r="T58" s="300">
        <f>+'Content 2025'!S17</f>
        <v>38.376000000000005</v>
      </c>
      <c r="U58" s="300">
        <f>+'Content 2025'!T17</f>
        <v>38.376000000000005</v>
      </c>
      <c r="V58" s="300">
        <f>+'Content 2025'!U17</f>
        <v>38.376000000000005</v>
      </c>
      <c r="W58" s="300">
        <f>+'Content 2025'!V17</f>
        <v>38.376000000000005</v>
      </c>
      <c r="X58" s="300">
        <f>+'Content 2025'!W17</f>
        <v>38.376000000000005</v>
      </c>
      <c r="Y58" s="300">
        <f>+'Content 2025'!X17</f>
        <v>38.376000000000005</v>
      </c>
      <c r="Z58" s="300">
        <f>+'Content 2025'!Y17</f>
        <v>38.376000000000005</v>
      </c>
      <c r="AA58" s="300">
        <f>+'Content 2025'!Z17</f>
        <v>38.376000000000005</v>
      </c>
      <c r="AB58" s="300">
        <f>+'Content 2025'!AA17</f>
        <v>38.376000000000005</v>
      </c>
      <c r="AC58" s="301">
        <f t="shared" si="14"/>
        <v>1</v>
      </c>
      <c r="AD58" s="511">
        <f t="shared" si="15"/>
        <v>460.51199999999994</v>
      </c>
      <c r="AE58" s="300">
        <f t="shared" si="16"/>
        <v>38.376000000000005</v>
      </c>
      <c r="AF58" s="300">
        <f t="shared" si="17"/>
        <v>38.376000000000005</v>
      </c>
      <c r="AG58" s="300">
        <f t="shared" si="18"/>
        <v>38.376000000000005</v>
      </c>
      <c r="AH58" s="300">
        <f t="shared" si="19"/>
        <v>38.376000000000005</v>
      </c>
      <c r="AI58" s="300">
        <f t="shared" si="20"/>
        <v>38.376000000000005</v>
      </c>
      <c r="AJ58" s="300">
        <f t="shared" si="21"/>
        <v>38.376000000000005</v>
      </c>
      <c r="AK58" s="300">
        <f t="shared" si="22"/>
        <v>38.376000000000005</v>
      </c>
      <c r="AL58" s="300">
        <f t="shared" si="23"/>
        <v>38.376000000000005</v>
      </c>
      <c r="AM58" s="300">
        <f t="shared" si="24"/>
        <v>38.376000000000005</v>
      </c>
      <c r="AN58" s="300">
        <f t="shared" si="25"/>
        <v>38.376000000000005</v>
      </c>
      <c r="AO58" s="300">
        <f t="shared" si="26"/>
        <v>38.376000000000005</v>
      </c>
      <c r="AP58" s="300">
        <f t="shared" si="27"/>
        <v>38.376000000000005</v>
      </c>
    </row>
    <row r="59" spans="2:42" hidden="1">
      <c r="B59" t="str">
        <f>+'Content 2025'!A18</f>
        <v>Content</v>
      </c>
      <c r="C59" t="str">
        <f>+'Content 2025'!B18</f>
        <v>Nathalia Pontes</v>
      </c>
      <c r="D59" s="191">
        <f>+'Content 2025'!C18</f>
        <v>0.9</v>
      </c>
      <c r="E59" s="191">
        <f>+'Content 2025'!D18</f>
        <v>0.1</v>
      </c>
      <c r="F59" s="191">
        <f>+'Content 2025'!E18</f>
        <v>0</v>
      </c>
      <c r="G59" s="191">
        <f>+'Content 2025'!F18</f>
        <v>0</v>
      </c>
      <c r="H59" t="str">
        <f>+'Content 2025'!G18</f>
        <v>Content &amp; Programs</v>
      </c>
      <c r="I59" t="str">
        <f>+'Content 2025'!H18</f>
        <v>DEEL fee</v>
      </c>
      <c r="J59" t="str">
        <f>+'Content 2025'!I18</f>
        <v>* 35 USD per contractor (coach)</v>
      </c>
      <c r="K59" t="str">
        <f>+'Content 2025'!J18</f>
        <v>603.64.001</v>
      </c>
      <c r="L59" t="str">
        <f>+'Content 2025'!K18</f>
        <v>Servicios de Informatica</v>
      </c>
      <c r="M59" t="str">
        <f>+'Content 2025'!L18</f>
        <v>Servicios</v>
      </c>
      <c r="N59" t="str">
        <f>+'Content 2025'!M18</f>
        <v>USD</v>
      </c>
      <c r="O59" s="300">
        <f>+'Content 2025'!N18</f>
        <v>3360</v>
      </c>
      <c r="P59" s="300">
        <f>+'Content 2025'!O18</f>
        <v>3360</v>
      </c>
      <c r="Q59" s="300">
        <f>+'Content 2025'!P18</f>
        <v>280</v>
      </c>
      <c r="R59" s="300">
        <f>+'Content 2025'!Q18</f>
        <v>280</v>
      </c>
      <c r="S59" s="300">
        <f>+'Content 2025'!R18</f>
        <v>280</v>
      </c>
      <c r="T59" s="300">
        <f>+'Content 2025'!S18</f>
        <v>280</v>
      </c>
      <c r="U59" s="300">
        <f>+'Content 2025'!T18</f>
        <v>280</v>
      </c>
      <c r="V59" s="300">
        <f>+'Content 2025'!U18</f>
        <v>280</v>
      </c>
      <c r="W59" s="300">
        <f>+'Content 2025'!V18</f>
        <v>280</v>
      </c>
      <c r="X59" s="300">
        <f>+'Content 2025'!W18</f>
        <v>280</v>
      </c>
      <c r="Y59" s="300">
        <f>+'Content 2025'!X18</f>
        <v>280</v>
      </c>
      <c r="Z59" s="300">
        <f>+'Content 2025'!Y18</f>
        <v>280</v>
      </c>
      <c r="AA59" s="300">
        <f>+'Content 2025'!Z18</f>
        <v>280</v>
      </c>
      <c r="AB59" s="300">
        <f>+'Content 2025'!AA18</f>
        <v>280</v>
      </c>
      <c r="AC59" s="301">
        <f t="shared" si="14"/>
        <v>1</v>
      </c>
      <c r="AD59" s="511">
        <f t="shared" si="15"/>
        <v>3360</v>
      </c>
      <c r="AE59" s="300">
        <f t="shared" si="16"/>
        <v>280</v>
      </c>
      <c r="AF59" s="300">
        <f t="shared" si="17"/>
        <v>280</v>
      </c>
      <c r="AG59" s="300">
        <f t="shared" si="18"/>
        <v>280</v>
      </c>
      <c r="AH59" s="300">
        <f t="shared" si="19"/>
        <v>280</v>
      </c>
      <c r="AI59" s="300">
        <f t="shared" si="20"/>
        <v>280</v>
      </c>
      <c r="AJ59" s="300">
        <f t="shared" si="21"/>
        <v>280</v>
      </c>
      <c r="AK59" s="300">
        <f t="shared" si="22"/>
        <v>280</v>
      </c>
      <c r="AL59" s="300">
        <f t="shared" si="23"/>
        <v>280</v>
      </c>
      <c r="AM59" s="300">
        <f t="shared" si="24"/>
        <v>280</v>
      </c>
      <c r="AN59" s="300">
        <f t="shared" si="25"/>
        <v>280</v>
      </c>
      <c r="AO59" s="300">
        <f t="shared" si="26"/>
        <v>280</v>
      </c>
      <c r="AP59" s="300">
        <f t="shared" si="27"/>
        <v>280</v>
      </c>
    </row>
    <row r="60" spans="2:42" hidden="1">
      <c r="B60" t="str">
        <f>+'Content 2025'!A20</f>
        <v>Content</v>
      </c>
      <c r="C60" t="str">
        <f>+'Content 2025'!B20</f>
        <v>Nathalia Pontes</v>
      </c>
      <c r="D60" s="191">
        <f>+'Content 2025'!C20</f>
        <v>1</v>
      </c>
      <c r="E60" s="191">
        <f>+'Content 2025'!D20</f>
        <v>0</v>
      </c>
      <c r="F60" s="191">
        <f>+'Content 2025'!E20</f>
        <v>0</v>
      </c>
      <c r="G60" s="191">
        <f>+'Content 2025'!F20</f>
        <v>0</v>
      </c>
      <c r="H60" t="str">
        <f>+'Content 2025'!G20</f>
        <v>Experts PT</v>
      </c>
      <c r="I60" t="str">
        <f>+'Content 2025'!H20</f>
        <v>Portuguese Coaches</v>
      </c>
      <c r="J60" t="str">
        <f>+'Content 2025'!I20</f>
        <v>Coaches</v>
      </c>
      <c r="K60" t="str">
        <f>+'Content 2025'!J20</f>
        <v>603.38.001</v>
      </c>
      <c r="L60" t="str">
        <f>+'Content 2025'!K20</f>
        <v>Honorarios A Personas Morales Nacionales</v>
      </c>
      <c r="M60" t="str">
        <f>+'Content 2025'!L20</f>
        <v>Servicios Externos</v>
      </c>
      <c r="N60" t="str">
        <f>+'Content 2025'!M20</f>
        <v>USD</v>
      </c>
      <c r="O60" s="300">
        <f>+'Content 2025'!N20</f>
        <v>18000</v>
      </c>
      <c r="P60" s="300">
        <f>+'Content 2025'!O20</f>
        <v>18000</v>
      </c>
      <c r="Q60" s="300">
        <f>+'Content 2025'!P20</f>
        <v>1500</v>
      </c>
      <c r="R60" s="300">
        <f>+'Content 2025'!Q20</f>
        <v>1500</v>
      </c>
      <c r="S60" s="300">
        <f>+'Content 2025'!R20</f>
        <v>1500</v>
      </c>
      <c r="T60" s="300">
        <f>+'Content 2025'!S20</f>
        <v>1500</v>
      </c>
      <c r="U60" s="300">
        <f>+'Content 2025'!T20</f>
        <v>1500</v>
      </c>
      <c r="V60" s="300">
        <f>+'Content 2025'!U20</f>
        <v>1500</v>
      </c>
      <c r="W60" s="300">
        <f>+'Content 2025'!V20</f>
        <v>1500</v>
      </c>
      <c r="X60" s="300">
        <f>+'Content 2025'!W20</f>
        <v>1500</v>
      </c>
      <c r="Y60" s="300">
        <f>+'Content 2025'!X20</f>
        <v>1500</v>
      </c>
      <c r="Z60" s="300">
        <f>+'Content 2025'!Y20</f>
        <v>1500</v>
      </c>
      <c r="AA60" s="300">
        <f>+'Content 2025'!Z20</f>
        <v>1500</v>
      </c>
      <c r="AB60" s="300">
        <f>+'Content 2025'!AA20</f>
        <v>1500</v>
      </c>
      <c r="AC60" s="301">
        <f t="shared" si="14"/>
        <v>1</v>
      </c>
      <c r="AD60" s="511">
        <f t="shared" si="15"/>
        <v>18000</v>
      </c>
      <c r="AE60" s="300">
        <f t="shared" si="16"/>
        <v>1500</v>
      </c>
      <c r="AF60" s="300">
        <f t="shared" si="17"/>
        <v>1500</v>
      </c>
      <c r="AG60" s="300">
        <f t="shared" si="18"/>
        <v>1500</v>
      </c>
      <c r="AH60" s="300">
        <f t="shared" si="19"/>
        <v>1500</v>
      </c>
      <c r="AI60" s="300">
        <f t="shared" si="20"/>
        <v>1500</v>
      </c>
      <c r="AJ60" s="300">
        <f t="shared" si="21"/>
        <v>1500</v>
      </c>
      <c r="AK60" s="300">
        <f t="shared" si="22"/>
        <v>1500</v>
      </c>
      <c r="AL60" s="300">
        <f t="shared" si="23"/>
        <v>1500</v>
      </c>
      <c r="AM60" s="300">
        <f t="shared" si="24"/>
        <v>1500</v>
      </c>
      <c r="AN60" s="300">
        <f t="shared" si="25"/>
        <v>1500</v>
      </c>
      <c r="AO60" s="300">
        <f t="shared" si="26"/>
        <v>1500</v>
      </c>
      <c r="AP60" s="300">
        <f t="shared" si="27"/>
        <v>1500</v>
      </c>
    </row>
    <row r="61" spans="2:42" hidden="1">
      <c r="B61" t="str">
        <f>+'Content 2025'!A21</f>
        <v>Content</v>
      </c>
      <c r="C61" t="str">
        <f>+'Content 2025'!B21</f>
        <v>Nathalia Pontes</v>
      </c>
      <c r="D61" s="191">
        <f>+'Content 2025'!C21</f>
        <v>1</v>
      </c>
      <c r="E61" s="191">
        <f>+'Content 2025'!D21</f>
        <v>0</v>
      </c>
      <c r="F61" s="191">
        <f>+'Content 2025'!E21</f>
        <v>0</v>
      </c>
      <c r="G61" s="191">
        <f>+'Content 2025'!F21</f>
        <v>0</v>
      </c>
      <c r="H61" t="str">
        <f>+'Content 2025'!G21</f>
        <v>Experts ES</v>
      </c>
      <c r="I61" t="str">
        <f>+'Content 2025'!H21</f>
        <v>Spanish Coaches</v>
      </c>
      <c r="J61" t="str">
        <f>+'Content 2025'!I21</f>
        <v>Coaches</v>
      </c>
      <c r="K61" t="str">
        <f>+'Content 2025'!J21</f>
        <v>603.38.001</v>
      </c>
      <c r="L61" t="str">
        <f>+'Content 2025'!K21</f>
        <v>Honorarios A Personas Morales Nacionales</v>
      </c>
      <c r="M61" t="str">
        <f>+'Content 2025'!L21</f>
        <v>Servicios Externos</v>
      </c>
      <c r="N61" t="str">
        <f>+'Content 2025'!M21</f>
        <v>USD</v>
      </c>
      <c r="O61" s="300">
        <f>+'Content 2025'!N21</f>
        <v>24000</v>
      </c>
      <c r="P61" s="300">
        <f>+'Content 2025'!O21</f>
        <v>24000</v>
      </c>
      <c r="Q61" s="300">
        <f>+'Content 2025'!P21</f>
        <v>2000</v>
      </c>
      <c r="R61" s="300">
        <f>+'Content 2025'!Q21</f>
        <v>2000</v>
      </c>
      <c r="S61" s="300">
        <f>+'Content 2025'!R21</f>
        <v>2000</v>
      </c>
      <c r="T61" s="300">
        <f>+'Content 2025'!S21</f>
        <v>2000</v>
      </c>
      <c r="U61" s="300">
        <f>+'Content 2025'!T21</f>
        <v>2000</v>
      </c>
      <c r="V61" s="300">
        <f>+'Content 2025'!U21</f>
        <v>2000</v>
      </c>
      <c r="W61" s="300">
        <f>+'Content 2025'!V21</f>
        <v>2000</v>
      </c>
      <c r="X61" s="300">
        <f>+'Content 2025'!W21</f>
        <v>2000</v>
      </c>
      <c r="Y61" s="300">
        <f>+'Content 2025'!X21</f>
        <v>2000</v>
      </c>
      <c r="Z61" s="300">
        <f>+'Content 2025'!Y21</f>
        <v>2000</v>
      </c>
      <c r="AA61" s="300">
        <f>+'Content 2025'!Z21</f>
        <v>2000</v>
      </c>
      <c r="AB61" s="300">
        <f>+'Content 2025'!AA21</f>
        <v>2000</v>
      </c>
      <c r="AC61" s="301">
        <f t="shared" si="14"/>
        <v>1</v>
      </c>
      <c r="AD61" s="511">
        <f t="shared" si="15"/>
        <v>24000</v>
      </c>
      <c r="AE61" s="300">
        <f t="shared" si="16"/>
        <v>2000</v>
      </c>
      <c r="AF61" s="300">
        <f t="shared" si="17"/>
        <v>2000</v>
      </c>
      <c r="AG61" s="300">
        <f t="shared" si="18"/>
        <v>2000</v>
      </c>
      <c r="AH61" s="300">
        <f t="shared" si="19"/>
        <v>2000</v>
      </c>
      <c r="AI61" s="300">
        <f t="shared" si="20"/>
        <v>2000</v>
      </c>
      <c r="AJ61" s="300">
        <f t="shared" si="21"/>
        <v>2000</v>
      </c>
      <c r="AK61" s="300">
        <f t="shared" si="22"/>
        <v>2000</v>
      </c>
      <c r="AL61" s="300">
        <f t="shared" si="23"/>
        <v>2000</v>
      </c>
      <c r="AM61" s="300">
        <f t="shared" si="24"/>
        <v>2000</v>
      </c>
      <c r="AN61" s="300">
        <f t="shared" si="25"/>
        <v>2000</v>
      </c>
      <c r="AO61" s="300">
        <f t="shared" si="26"/>
        <v>2000</v>
      </c>
      <c r="AP61" s="300">
        <f t="shared" si="27"/>
        <v>2000</v>
      </c>
    </row>
    <row r="62" spans="2:42" hidden="1">
      <c r="B62" t="str">
        <f>+'Content 2025'!A22</f>
        <v>Content</v>
      </c>
      <c r="C62" t="str">
        <f>+'Content 2025'!B22</f>
        <v>Nathalia Pontes</v>
      </c>
      <c r="D62" s="191">
        <f>+'Content 2025'!C22</f>
        <v>1</v>
      </c>
      <c r="E62" s="191">
        <f>+'Content 2025'!D22</f>
        <v>0</v>
      </c>
      <c r="F62" s="191">
        <f>+'Content 2025'!E22</f>
        <v>0</v>
      </c>
      <c r="G62" s="191">
        <f>+'Content 2025'!F22</f>
        <v>0</v>
      </c>
      <c r="H62" t="str">
        <f>+'Content 2025'!G22</f>
        <v>Experts EN</v>
      </c>
      <c r="I62" t="str">
        <f>+'Content 2025'!H22</f>
        <v>English Coaches</v>
      </c>
      <c r="J62" t="str">
        <f>+'Content 2025'!I22</f>
        <v>Coaches</v>
      </c>
      <c r="K62" t="str">
        <f>+'Content 2025'!J22</f>
        <v>603.38.001</v>
      </c>
      <c r="L62" t="str">
        <f>+'Content 2025'!K22</f>
        <v>Honorarios A Personas Morales Nacionales</v>
      </c>
      <c r="M62" t="str">
        <f>+'Content 2025'!L22</f>
        <v>Servicios Externos</v>
      </c>
      <c r="N62" t="str">
        <f>+'Content 2025'!M22</f>
        <v>USD</v>
      </c>
      <c r="O62" s="300">
        <f>+'Content 2025'!N22</f>
        <v>36000</v>
      </c>
      <c r="P62" s="300">
        <f>+'Content 2025'!O22</f>
        <v>36000</v>
      </c>
      <c r="Q62" s="300">
        <f>+'Content 2025'!P22</f>
        <v>3000</v>
      </c>
      <c r="R62" s="300">
        <f>+'Content 2025'!Q22</f>
        <v>3000</v>
      </c>
      <c r="S62" s="300">
        <f>+'Content 2025'!R22</f>
        <v>3000</v>
      </c>
      <c r="T62" s="300">
        <f>+'Content 2025'!S22</f>
        <v>3000</v>
      </c>
      <c r="U62" s="300">
        <f>+'Content 2025'!T22</f>
        <v>3000</v>
      </c>
      <c r="V62" s="300">
        <f>+'Content 2025'!U22</f>
        <v>3000</v>
      </c>
      <c r="W62" s="300">
        <f>+'Content 2025'!V22</f>
        <v>3000</v>
      </c>
      <c r="X62" s="300">
        <f>+'Content 2025'!W22</f>
        <v>3000</v>
      </c>
      <c r="Y62" s="300">
        <f>+'Content 2025'!X22</f>
        <v>3000</v>
      </c>
      <c r="Z62" s="300">
        <f>+'Content 2025'!Y22</f>
        <v>3000</v>
      </c>
      <c r="AA62" s="300">
        <f>+'Content 2025'!Z22</f>
        <v>3000</v>
      </c>
      <c r="AB62" s="300">
        <f>+'Content 2025'!AA22</f>
        <v>3000</v>
      </c>
      <c r="AC62" s="301">
        <f t="shared" si="14"/>
        <v>1</v>
      </c>
      <c r="AD62" s="511">
        <f t="shared" si="15"/>
        <v>36000</v>
      </c>
      <c r="AE62" s="300">
        <f t="shared" si="16"/>
        <v>3000</v>
      </c>
      <c r="AF62" s="300">
        <f t="shared" si="17"/>
        <v>3000</v>
      </c>
      <c r="AG62" s="300">
        <f t="shared" si="18"/>
        <v>3000</v>
      </c>
      <c r="AH62" s="300">
        <f t="shared" si="19"/>
        <v>3000</v>
      </c>
      <c r="AI62" s="300">
        <f t="shared" si="20"/>
        <v>3000</v>
      </c>
      <c r="AJ62" s="300">
        <f t="shared" si="21"/>
        <v>3000</v>
      </c>
      <c r="AK62" s="300">
        <f t="shared" si="22"/>
        <v>3000</v>
      </c>
      <c r="AL62" s="300">
        <f t="shared" si="23"/>
        <v>3000</v>
      </c>
      <c r="AM62" s="300">
        <f t="shared" si="24"/>
        <v>3000</v>
      </c>
      <c r="AN62" s="300">
        <f t="shared" si="25"/>
        <v>3000</v>
      </c>
      <c r="AO62" s="300">
        <f t="shared" si="26"/>
        <v>3000</v>
      </c>
      <c r="AP62" s="300">
        <f t="shared" si="27"/>
        <v>3000</v>
      </c>
    </row>
    <row r="63" spans="2:42" hidden="1">
      <c r="B63" t="str">
        <f>+'Content 2025'!A23</f>
        <v>Content</v>
      </c>
      <c r="C63" t="str">
        <f>+'Content 2025'!B23</f>
        <v>Nathalia Pontes</v>
      </c>
      <c r="D63" s="191">
        <f>+'Content 2025'!C23</f>
        <v>0</v>
      </c>
      <c r="E63" s="191">
        <f>+'Content 2025'!D23</f>
        <v>0</v>
      </c>
      <c r="F63" s="191">
        <f>+'Content 2025'!E23</f>
        <v>1</v>
      </c>
      <c r="G63" s="191">
        <f>+'Content 2025'!F23</f>
        <v>0</v>
      </c>
      <c r="H63" t="str">
        <f>+'Content 2025'!G23</f>
        <v>Experts ES</v>
      </c>
      <c r="I63" t="str">
        <f>+'Content 2025'!H23</f>
        <v>EXPERTS NESTLE</v>
      </c>
      <c r="J63" t="str">
        <f>+'Content 2025'!I23</f>
        <v>Coaches</v>
      </c>
      <c r="K63" t="str">
        <f>+'Content 2025'!J23</f>
        <v>603.38.001</v>
      </c>
      <c r="L63" t="str">
        <f>+'Content 2025'!K23</f>
        <v>Honorarios A Personas Morales Nacionales</v>
      </c>
      <c r="M63" t="str">
        <f>+'Content 2025'!L23</f>
        <v>Servicios Externos</v>
      </c>
      <c r="N63" t="str">
        <f>+'Content 2025'!M23</f>
        <v>USD</v>
      </c>
      <c r="O63" s="300">
        <f>+'Content 2025'!N23</f>
        <v>12000</v>
      </c>
      <c r="P63" s="300">
        <f>+'Content 2025'!O23</f>
        <v>12000</v>
      </c>
      <c r="Q63" s="300">
        <f>+'Content 2025'!P23</f>
        <v>1000</v>
      </c>
      <c r="R63" s="300">
        <f>+'Content 2025'!Q23</f>
        <v>1000</v>
      </c>
      <c r="S63" s="300">
        <f>+'Content 2025'!R23</f>
        <v>1000</v>
      </c>
      <c r="T63" s="300">
        <f>+'Content 2025'!S23</f>
        <v>1000</v>
      </c>
      <c r="U63" s="300">
        <f>+'Content 2025'!T23</f>
        <v>1000</v>
      </c>
      <c r="V63" s="300">
        <f>+'Content 2025'!U23</f>
        <v>1000</v>
      </c>
      <c r="W63" s="300">
        <f>+'Content 2025'!V23</f>
        <v>1000</v>
      </c>
      <c r="X63" s="300">
        <f>+'Content 2025'!W23</f>
        <v>1000</v>
      </c>
      <c r="Y63" s="300">
        <f>+'Content 2025'!X23</f>
        <v>1000</v>
      </c>
      <c r="Z63" s="300">
        <f>+'Content 2025'!Y23</f>
        <v>1000</v>
      </c>
      <c r="AA63" s="300">
        <f>+'Content 2025'!Z23</f>
        <v>1000</v>
      </c>
      <c r="AB63" s="300">
        <f>+'Content 2025'!AA23</f>
        <v>1000</v>
      </c>
      <c r="AC63" s="301">
        <f t="shared" si="14"/>
        <v>1</v>
      </c>
      <c r="AD63" s="511">
        <f t="shared" si="15"/>
        <v>12000</v>
      </c>
      <c r="AE63" s="300">
        <f t="shared" si="16"/>
        <v>1000</v>
      </c>
      <c r="AF63" s="300">
        <f t="shared" si="17"/>
        <v>1000</v>
      </c>
      <c r="AG63" s="300">
        <f t="shared" si="18"/>
        <v>1000</v>
      </c>
      <c r="AH63" s="300">
        <f t="shared" si="19"/>
        <v>1000</v>
      </c>
      <c r="AI63" s="300">
        <f t="shared" si="20"/>
        <v>1000</v>
      </c>
      <c r="AJ63" s="300">
        <f t="shared" si="21"/>
        <v>1000</v>
      </c>
      <c r="AK63" s="300">
        <f t="shared" si="22"/>
        <v>1000</v>
      </c>
      <c r="AL63" s="300">
        <f t="shared" si="23"/>
        <v>1000</v>
      </c>
      <c r="AM63" s="300">
        <f t="shared" si="24"/>
        <v>1000</v>
      </c>
      <c r="AN63" s="300">
        <f t="shared" si="25"/>
        <v>1000</v>
      </c>
      <c r="AO63" s="300">
        <f t="shared" si="26"/>
        <v>1000</v>
      </c>
      <c r="AP63" s="300">
        <f t="shared" si="27"/>
        <v>1000</v>
      </c>
    </row>
    <row r="64" spans="2:42" hidden="1">
      <c r="B64" t="str">
        <f>+'Content 2025'!A24</f>
        <v>Content</v>
      </c>
      <c r="C64" t="str">
        <f>+'Content 2025'!B24</f>
        <v>Nathalia Pontes</v>
      </c>
      <c r="D64" s="191">
        <f>+'Content 2025'!C24</f>
        <v>0.9</v>
      </c>
      <c r="E64" s="191">
        <f>+'Content 2025'!D24</f>
        <v>0.1</v>
      </c>
      <c r="F64" s="191">
        <f>+'Content 2025'!E24</f>
        <v>0</v>
      </c>
      <c r="G64" s="191">
        <f>+'Content 2025'!F24</f>
        <v>0</v>
      </c>
      <c r="H64" t="str">
        <f>+'Content 2025'!G24</f>
        <v>Content &amp; Programs</v>
      </c>
      <c r="I64" t="str">
        <f>+'Content 2025'!H24</f>
        <v>Project Only Hires</v>
      </c>
      <c r="J64" t="str">
        <f>+'Content 2025'!I24</f>
        <v>Project Dependent (Writers, Production Asst)</v>
      </c>
      <c r="K64" t="str">
        <f>+'Content 2025'!J24</f>
        <v>603.38.001</v>
      </c>
      <c r="L64" t="str">
        <f>+'Content 2025'!K24</f>
        <v>Honorarios A Personas Morales Nacionales</v>
      </c>
      <c r="M64" t="str">
        <f>+'Content 2025'!L24</f>
        <v>Servicios Externos</v>
      </c>
      <c r="N64" t="str">
        <f>+'Content 2025'!M24</f>
        <v>USD</v>
      </c>
      <c r="O64" s="300">
        <f>+'Content 2025'!N24</f>
        <v>0</v>
      </c>
      <c r="P64" s="300">
        <f>+'Content 2025'!O24</f>
        <v>0</v>
      </c>
      <c r="Q64" s="300">
        <f>+'Content 2025'!P24</f>
        <v>0</v>
      </c>
      <c r="R64" s="300">
        <f>+'Content 2025'!Q24</f>
        <v>0</v>
      </c>
      <c r="S64" s="300">
        <f>+'Content 2025'!R24</f>
        <v>0</v>
      </c>
      <c r="T64" s="300">
        <f>+'Content 2025'!S24</f>
        <v>0</v>
      </c>
      <c r="U64" s="300">
        <f>+'Content 2025'!T24</f>
        <v>0</v>
      </c>
      <c r="V64" s="300">
        <f>+'Content 2025'!U24</f>
        <v>0</v>
      </c>
      <c r="W64" s="300">
        <f>+'Content 2025'!V24</f>
        <v>0</v>
      </c>
      <c r="X64" s="300">
        <f>+'Content 2025'!W24</f>
        <v>0</v>
      </c>
      <c r="Y64" s="300">
        <f>+'Content 2025'!X24</f>
        <v>0</v>
      </c>
      <c r="Z64" s="300">
        <f>+'Content 2025'!Y24</f>
        <v>0</v>
      </c>
      <c r="AA64" s="300">
        <f>+'Content 2025'!Z24</f>
        <v>0</v>
      </c>
      <c r="AB64" s="300">
        <f>+'Content 2025'!AA24</f>
        <v>0</v>
      </c>
      <c r="AC64" s="301">
        <f t="shared" si="14"/>
        <v>1</v>
      </c>
      <c r="AD64" s="511">
        <f t="shared" si="15"/>
        <v>0</v>
      </c>
      <c r="AE64" s="300">
        <f t="shared" si="16"/>
        <v>0</v>
      </c>
      <c r="AF64" s="300">
        <f t="shared" si="17"/>
        <v>0</v>
      </c>
      <c r="AG64" s="300">
        <f t="shared" si="18"/>
        <v>0</v>
      </c>
      <c r="AH64" s="300">
        <f t="shared" si="19"/>
        <v>0</v>
      </c>
      <c r="AI64" s="300">
        <f t="shared" si="20"/>
        <v>0</v>
      </c>
      <c r="AJ64" s="300">
        <f t="shared" si="21"/>
        <v>0</v>
      </c>
      <c r="AK64" s="300">
        <f t="shared" si="22"/>
        <v>0</v>
      </c>
      <c r="AL64" s="300">
        <f t="shared" si="23"/>
        <v>0</v>
      </c>
      <c r="AM64" s="300">
        <f t="shared" si="24"/>
        <v>0</v>
      </c>
      <c r="AN64" s="300">
        <f t="shared" si="25"/>
        <v>0</v>
      </c>
      <c r="AO64" s="300">
        <f t="shared" si="26"/>
        <v>0</v>
      </c>
      <c r="AP64" s="300">
        <f t="shared" si="27"/>
        <v>0</v>
      </c>
    </row>
    <row r="65" spans="1:42" hidden="1">
      <c r="B65" t="str">
        <f>+'Content 2025'!A25</f>
        <v>Content</v>
      </c>
      <c r="C65" t="str">
        <f>+'Content 2025'!B25</f>
        <v>Nathalia Pontes</v>
      </c>
      <c r="D65" s="191">
        <f>+'Content 2025'!C25</f>
        <v>0.9</v>
      </c>
      <c r="E65" s="191">
        <f>+'Content 2025'!D25</f>
        <v>0.1</v>
      </c>
      <c r="F65" s="191">
        <f>+'Content 2025'!E25</f>
        <v>0</v>
      </c>
      <c r="G65" s="191">
        <f>+'Content 2025'!F25</f>
        <v>0</v>
      </c>
      <c r="H65" t="str">
        <f>+'Content 2025'!G25</f>
        <v>Content &amp; Programs</v>
      </c>
      <c r="I65" t="str">
        <f>+'Content 2025'!H25</f>
        <v>Project Dependent Production</v>
      </c>
      <c r="J65" t="str">
        <f>+'Content 2025'!I25</f>
        <v>Filming, Production</v>
      </c>
      <c r="K65" t="str">
        <f>+'Content 2025'!J25</f>
        <v>603.38.001</v>
      </c>
      <c r="L65" t="str">
        <f>+'Content 2025'!K25</f>
        <v>Honorarios A Personas Morales Nacionales</v>
      </c>
      <c r="M65" t="str">
        <f>+'Content 2025'!L25</f>
        <v>Servicios Externos</v>
      </c>
      <c r="N65" t="str">
        <f>+'Content 2025'!M25</f>
        <v>USD</v>
      </c>
      <c r="O65" s="300">
        <f>+'Content 2025'!N25</f>
        <v>0</v>
      </c>
      <c r="P65" s="300">
        <f>+'Content 2025'!O25</f>
        <v>0</v>
      </c>
      <c r="Q65" s="300">
        <f>+'Content 2025'!P25</f>
        <v>0</v>
      </c>
      <c r="R65" s="300">
        <f>+'Content 2025'!Q25</f>
        <v>0</v>
      </c>
      <c r="S65" s="300">
        <f>+'Content 2025'!R25</f>
        <v>0</v>
      </c>
      <c r="T65" s="300">
        <f>+'Content 2025'!S25</f>
        <v>0</v>
      </c>
      <c r="U65" s="300">
        <f>+'Content 2025'!T25</f>
        <v>0</v>
      </c>
      <c r="V65" s="300">
        <f>+'Content 2025'!U25</f>
        <v>0</v>
      </c>
      <c r="W65" s="300">
        <f>+'Content 2025'!V25</f>
        <v>0</v>
      </c>
      <c r="X65" s="300">
        <f>+'Content 2025'!W25</f>
        <v>0</v>
      </c>
      <c r="Y65" s="300">
        <f>+'Content 2025'!X25</f>
        <v>0</v>
      </c>
      <c r="Z65" s="300">
        <f>+'Content 2025'!Y25</f>
        <v>0</v>
      </c>
      <c r="AA65" s="300">
        <f>+'Content 2025'!Z25</f>
        <v>0</v>
      </c>
      <c r="AB65" s="300">
        <f>+'Content 2025'!AA25</f>
        <v>0</v>
      </c>
      <c r="AC65" s="301">
        <f t="shared" si="14"/>
        <v>1</v>
      </c>
      <c r="AD65" s="511">
        <f t="shared" si="15"/>
        <v>0</v>
      </c>
      <c r="AE65" s="300">
        <f t="shared" si="16"/>
        <v>0</v>
      </c>
      <c r="AF65" s="300">
        <f t="shared" si="17"/>
        <v>0</v>
      </c>
      <c r="AG65" s="300">
        <f t="shared" si="18"/>
        <v>0</v>
      </c>
      <c r="AH65" s="300">
        <f t="shared" si="19"/>
        <v>0</v>
      </c>
      <c r="AI65" s="300">
        <f t="shared" si="20"/>
        <v>0</v>
      </c>
      <c r="AJ65" s="300">
        <f t="shared" si="21"/>
        <v>0</v>
      </c>
      <c r="AK65" s="300">
        <f t="shared" si="22"/>
        <v>0</v>
      </c>
      <c r="AL65" s="300">
        <f t="shared" si="23"/>
        <v>0</v>
      </c>
      <c r="AM65" s="300">
        <f t="shared" si="24"/>
        <v>0</v>
      </c>
      <c r="AN65" s="300">
        <f t="shared" si="25"/>
        <v>0</v>
      </c>
      <c r="AO65" s="300">
        <f t="shared" si="26"/>
        <v>0</v>
      </c>
      <c r="AP65" s="300">
        <f t="shared" si="27"/>
        <v>0</v>
      </c>
    </row>
    <row r="66" spans="1:42" hidden="1">
      <c r="B66" t="str">
        <f>+'Content 2025'!A28</f>
        <v>Content</v>
      </c>
      <c r="C66" t="str">
        <f>+'Content 2025'!B28</f>
        <v>Nathalia Pontes</v>
      </c>
      <c r="D66" s="191">
        <f>+'Content 2025'!C28</f>
        <v>0.8</v>
      </c>
      <c r="E66" s="191">
        <f>+'Content 2025'!D28</f>
        <v>0.1</v>
      </c>
      <c r="F66" s="191">
        <f>+'Content 2025'!E28</f>
        <v>0.1</v>
      </c>
      <c r="G66" s="191">
        <f>+'Content 2025'!F28</f>
        <v>0</v>
      </c>
      <c r="H66" t="str">
        <f>+'Content 2025'!G28</f>
        <v>Payroll</v>
      </c>
      <c r="I66" t="str">
        <f>+'Content 2025'!H28</f>
        <v>Nathalia Pontes</v>
      </c>
      <c r="J66" t="str">
        <f>+'Content 2025'!I28</f>
        <v>Director Live Programs &amp; Content</v>
      </c>
      <c r="K66" t="str">
        <f>+'Content 2025'!J28</f>
        <v>603.01.001</v>
      </c>
      <c r="L66" t="str">
        <f>+'Content 2025'!K28</f>
        <v>Sueldos y salarios</v>
      </c>
      <c r="M66" t="str">
        <f>+'Content 2025'!L28</f>
        <v>Sueldos y Salarios</v>
      </c>
      <c r="N66" t="str">
        <f>+'Content 2025'!M28</f>
        <v>BRL</v>
      </c>
      <c r="O66" s="300">
        <f>+'Content 2025'!N28</f>
        <v>61090.909090909088</v>
      </c>
      <c r="P66" s="300">
        <f>+'Content 2025'!O28</f>
        <v>336000</v>
      </c>
      <c r="Q66" s="300">
        <f>+'Content 2025'!P28</f>
        <v>28000</v>
      </c>
      <c r="R66" s="300">
        <f>+'Content 2025'!Q28</f>
        <v>28000</v>
      </c>
      <c r="S66" s="300">
        <f>+'Content 2025'!R28</f>
        <v>28000</v>
      </c>
      <c r="T66" s="300">
        <f>+'Content 2025'!S28</f>
        <v>28000</v>
      </c>
      <c r="U66" s="300">
        <f>+'Content 2025'!T28</f>
        <v>28000</v>
      </c>
      <c r="V66" s="300">
        <f>+'Content 2025'!U28</f>
        <v>28000</v>
      </c>
      <c r="W66" s="300">
        <f>+'Content 2025'!V28</f>
        <v>28000</v>
      </c>
      <c r="X66" s="300">
        <f>+'Content 2025'!W28</f>
        <v>28000</v>
      </c>
      <c r="Y66" s="300">
        <f>+'Content 2025'!X28</f>
        <v>28000</v>
      </c>
      <c r="Z66" s="300">
        <f>+'Content 2025'!Y28</f>
        <v>28000</v>
      </c>
      <c r="AA66" s="300">
        <f>+'Content 2025'!Z28</f>
        <v>28000</v>
      </c>
      <c r="AB66" s="300">
        <f>+'Content 2025'!AA28</f>
        <v>28000</v>
      </c>
      <c r="AC66" s="301">
        <f t="shared" si="14"/>
        <v>1</v>
      </c>
      <c r="AD66" s="511">
        <f t="shared" si="15"/>
        <v>61090.909090909081</v>
      </c>
      <c r="AE66" s="300">
        <f t="shared" si="16"/>
        <v>5090.909090909091</v>
      </c>
      <c r="AF66" s="300">
        <f t="shared" si="17"/>
        <v>5090.909090909091</v>
      </c>
      <c r="AG66" s="300">
        <f t="shared" si="18"/>
        <v>5090.909090909091</v>
      </c>
      <c r="AH66" s="300">
        <f t="shared" si="19"/>
        <v>5090.909090909091</v>
      </c>
      <c r="AI66" s="300">
        <f t="shared" si="20"/>
        <v>5090.909090909091</v>
      </c>
      <c r="AJ66" s="300">
        <f t="shared" si="21"/>
        <v>5090.909090909091</v>
      </c>
      <c r="AK66" s="300">
        <f t="shared" si="22"/>
        <v>5090.909090909091</v>
      </c>
      <c r="AL66" s="300">
        <f t="shared" si="23"/>
        <v>5090.909090909091</v>
      </c>
      <c r="AM66" s="300">
        <f t="shared" si="24"/>
        <v>5090.909090909091</v>
      </c>
      <c r="AN66" s="300">
        <f t="shared" si="25"/>
        <v>5090.909090909091</v>
      </c>
      <c r="AO66" s="300">
        <f t="shared" si="26"/>
        <v>5090.909090909091</v>
      </c>
      <c r="AP66" s="300">
        <f t="shared" si="27"/>
        <v>5090.909090909091</v>
      </c>
    </row>
    <row r="67" spans="1:42" hidden="1">
      <c r="B67" t="str">
        <f>+'Content 2025'!A30</f>
        <v>Content</v>
      </c>
      <c r="C67" t="str">
        <f>+'Content 2025'!B30</f>
        <v>Nathalia Pontes</v>
      </c>
      <c r="D67" s="191">
        <f>+'Content 2025'!C30</f>
        <v>0.9</v>
      </c>
      <c r="E67" s="191">
        <f>+'Content 2025'!D30</f>
        <v>0.1</v>
      </c>
      <c r="F67" s="191">
        <f>+'Content 2025'!E30</f>
        <v>0</v>
      </c>
      <c r="G67" s="191">
        <f>+'Content 2025'!F30</f>
        <v>0</v>
      </c>
      <c r="H67" t="str">
        <f>+'Content 2025'!G30</f>
        <v>Payroll</v>
      </c>
      <c r="I67" t="str">
        <f>+'Content 2025'!H30</f>
        <v>VISCONTI JUNGE ALESSANDRA</v>
      </c>
      <c r="J67" t="str">
        <f>+'Content 2025'!I30</f>
        <v>Content Copywriter</v>
      </c>
      <c r="K67" t="str">
        <f>+'Content 2025'!J30</f>
        <v>603.01.001</v>
      </c>
      <c r="L67" t="str">
        <f>+'Content 2025'!K30</f>
        <v>Sueldos y salarios</v>
      </c>
      <c r="M67" t="str">
        <f>+'Content 2025'!L30</f>
        <v>Sueldos y Salarios</v>
      </c>
      <c r="N67" t="str">
        <f>+'Content 2025'!M30</f>
        <v>USD</v>
      </c>
      <c r="O67" s="300">
        <f>+'Content 2025'!N30</f>
        <v>18000</v>
      </c>
      <c r="P67" s="300">
        <f>+'Content 2025'!O30</f>
        <v>18000</v>
      </c>
      <c r="Q67" s="300">
        <f>+'Content 2025'!P30</f>
        <v>1500</v>
      </c>
      <c r="R67" s="300">
        <f>+'Content 2025'!Q30</f>
        <v>1500</v>
      </c>
      <c r="S67" s="300">
        <f>+'Content 2025'!R30</f>
        <v>1500</v>
      </c>
      <c r="T67" s="300">
        <f>+'Content 2025'!S30</f>
        <v>1500</v>
      </c>
      <c r="U67" s="300">
        <f>+'Content 2025'!T30</f>
        <v>1500</v>
      </c>
      <c r="V67" s="300">
        <f>+'Content 2025'!U30</f>
        <v>1500</v>
      </c>
      <c r="W67" s="300">
        <f>+'Content 2025'!V30</f>
        <v>1500</v>
      </c>
      <c r="X67" s="300">
        <f>+'Content 2025'!W30</f>
        <v>1500</v>
      </c>
      <c r="Y67" s="300">
        <f>+'Content 2025'!X30</f>
        <v>1500</v>
      </c>
      <c r="Z67" s="300">
        <f>+'Content 2025'!Y30</f>
        <v>1500</v>
      </c>
      <c r="AA67" s="300">
        <f>+'Content 2025'!Z30</f>
        <v>1500</v>
      </c>
      <c r="AB67" s="300">
        <f>+'Content 2025'!AA30</f>
        <v>1500</v>
      </c>
      <c r="AC67" s="301">
        <f t="shared" si="14"/>
        <v>1</v>
      </c>
      <c r="AD67" s="511">
        <f t="shared" si="15"/>
        <v>18000</v>
      </c>
      <c r="AE67" s="300">
        <f t="shared" si="16"/>
        <v>1500</v>
      </c>
      <c r="AF67" s="300">
        <f t="shared" si="17"/>
        <v>1500</v>
      </c>
      <c r="AG67" s="300">
        <f t="shared" si="18"/>
        <v>1500</v>
      </c>
      <c r="AH67" s="300">
        <f t="shared" si="19"/>
        <v>1500</v>
      </c>
      <c r="AI67" s="300">
        <f t="shared" si="20"/>
        <v>1500</v>
      </c>
      <c r="AJ67" s="300">
        <f t="shared" si="21"/>
        <v>1500</v>
      </c>
      <c r="AK67" s="300">
        <f t="shared" si="22"/>
        <v>1500</v>
      </c>
      <c r="AL67" s="300">
        <f t="shared" si="23"/>
        <v>1500</v>
      </c>
      <c r="AM67" s="300">
        <f t="shared" si="24"/>
        <v>1500</v>
      </c>
      <c r="AN67" s="300">
        <f t="shared" si="25"/>
        <v>1500</v>
      </c>
      <c r="AO67" s="300">
        <f t="shared" si="26"/>
        <v>1500</v>
      </c>
      <c r="AP67" s="300">
        <f t="shared" si="27"/>
        <v>1500</v>
      </c>
    </row>
    <row r="68" spans="1:42" hidden="1">
      <c r="B68" t="str">
        <f>+'Content 2025'!A31</f>
        <v>Content</v>
      </c>
      <c r="C68" t="str">
        <f>+'Content 2025'!B31</f>
        <v>Nathalia Pontes</v>
      </c>
      <c r="D68" s="191">
        <f>+'Content 2025'!C31</f>
        <v>0.9</v>
      </c>
      <c r="E68" s="191">
        <f>+'Content 2025'!D31</f>
        <v>0.1</v>
      </c>
      <c r="F68" s="191">
        <f>+'Content 2025'!E31</f>
        <v>0</v>
      </c>
      <c r="G68" s="191">
        <f>+'Content 2025'!F31</f>
        <v>0</v>
      </c>
      <c r="H68" t="str">
        <f>+'Content 2025'!G31</f>
        <v>Payroll</v>
      </c>
      <c r="I68" t="str">
        <f>+'Content 2025'!H31</f>
        <v>BRUNO VELOSO IRAHA</v>
      </c>
      <c r="J68" t="str">
        <f>+'Content 2025'!I31</f>
        <v>Content &amp; Programs Analyst</v>
      </c>
      <c r="K68" t="str">
        <f>+'Content 2025'!J31</f>
        <v>603.01.001</v>
      </c>
      <c r="L68" t="str">
        <f>+'Content 2025'!K31</f>
        <v>Sueldos y salarios</v>
      </c>
      <c r="M68" t="str">
        <f>+'Content 2025'!L31</f>
        <v>Sueldos y Salarios</v>
      </c>
      <c r="N68" t="str">
        <f>+'Content 2025'!M31</f>
        <v>USD</v>
      </c>
      <c r="O68" s="300">
        <f>+'Content 2025'!N31</f>
        <v>13200</v>
      </c>
      <c r="P68" s="300">
        <f>+'Content 2025'!O31</f>
        <v>13200</v>
      </c>
      <c r="Q68" s="300">
        <f>+'Content 2025'!P31</f>
        <v>1100</v>
      </c>
      <c r="R68" s="300">
        <f>+'Content 2025'!Q31</f>
        <v>1100</v>
      </c>
      <c r="S68" s="300">
        <f>+'Content 2025'!R31</f>
        <v>1100</v>
      </c>
      <c r="T68" s="300">
        <f>+'Content 2025'!S31</f>
        <v>1100</v>
      </c>
      <c r="U68" s="300">
        <f>+'Content 2025'!T31</f>
        <v>1100</v>
      </c>
      <c r="V68" s="300">
        <f>+'Content 2025'!U31</f>
        <v>1100</v>
      </c>
      <c r="W68" s="300">
        <f>+'Content 2025'!V31</f>
        <v>1100</v>
      </c>
      <c r="X68" s="300">
        <f>+'Content 2025'!W31</f>
        <v>1100</v>
      </c>
      <c r="Y68" s="300">
        <f>+'Content 2025'!X31</f>
        <v>1100</v>
      </c>
      <c r="Z68" s="300">
        <f>+'Content 2025'!Y31</f>
        <v>1100</v>
      </c>
      <c r="AA68" s="300">
        <f>+'Content 2025'!Z31</f>
        <v>1100</v>
      </c>
      <c r="AB68" s="300">
        <f>+'Content 2025'!AA31</f>
        <v>1100</v>
      </c>
      <c r="AC68" s="301">
        <f t="shared" si="14"/>
        <v>1</v>
      </c>
      <c r="AD68" s="511">
        <f t="shared" si="15"/>
        <v>13200</v>
      </c>
      <c r="AE68" s="300">
        <f t="shared" si="16"/>
        <v>1100</v>
      </c>
      <c r="AF68" s="300">
        <f t="shared" si="17"/>
        <v>1100</v>
      </c>
      <c r="AG68" s="300">
        <f t="shared" si="18"/>
        <v>1100</v>
      </c>
      <c r="AH68" s="300">
        <f t="shared" si="19"/>
        <v>1100</v>
      </c>
      <c r="AI68" s="300">
        <f t="shared" si="20"/>
        <v>1100</v>
      </c>
      <c r="AJ68" s="300">
        <f t="shared" si="21"/>
        <v>1100</v>
      </c>
      <c r="AK68" s="300">
        <f t="shared" si="22"/>
        <v>1100</v>
      </c>
      <c r="AL68" s="300">
        <f t="shared" si="23"/>
        <v>1100</v>
      </c>
      <c r="AM68" s="300">
        <f t="shared" si="24"/>
        <v>1100</v>
      </c>
      <c r="AN68" s="300">
        <f t="shared" si="25"/>
        <v>1100</v>
      </c>
      <c r="AO68" s="300">
        <f t="shared" si="26"/>
        <v>1100</v>
      </c>
      <c r="AP68" s="300">
        <f t="shared" si="27"/>
        <v>1100</v>
      </c>
    </row>
    <row r="69" spans="1:42" hidden="1">
      <c r="B69" t="str">
        <f>+'Content 2025'!A33</f>
        <v>Content</v>
      </c>
      <c r="C69" t="str">
        <f>+'Content 2025'!B33</f>
        <v>Nathalia Pontes</v>
      </c>
      <c r="D69" s="191">
        <f>+'Content 2025'!C33</f>
        <v>0</v>
      </c>
      <c r="E69" s="191">
        <f>+'Content 2025'!D33</f>
        <v>0</v>
      </c>
      <c r="F69" s="191">
        <f>+'Content 2025'!E33</f>
        <v>0</v>
      </c>
      <c r="G69" s="191">
        <f>+'Content 2025'!F33</f>
        <v>0</v>
      </c>
      <c r="H69" t="str">
        <f>+'Content 2025'!G33</f>
        <v>Payroll</v>
      </c>
      <c r="I69" t="str">
        <f>+'Content 2025'!H33</f>
        <v>RICO SARIÑANA KARLA</v>
      </c>
      <c r="J69" t="str">
        <f>+'Content 2025'!I33</f>
        <v>Head of Content</v>
      </c>
      <c r="K69" t="str">
        <f>+'Content 2025'!J33</f>
        <v>603.01.001</v>
      </c>
      <c r="L69" t="str">
        <f>+'Content 2025'!K33</f>
        <v>Sueldos y salarios</v>
      </c>
      <c r="M69" t="str">
        <f>+'Content 2025'!L33</f>
        <v>Sueldos y Salarios</v>
      </c>
      <c r="N69" t="str">
        <f>+'Content 2025'!M33</f>
        <v>MXN</v>
      </c>
      <c r="O69" s="300">
        <f>+'Content 2025'!N33</f>
        <v>0</v>
      </c>
      <c r="P69" s="300">
        <f>+'Content 2025'!O33</f>
        <v>0</v>
      </c>
      <c r="Q69" s="300">
        <f>+'Content 2025'!P33</f>
        <v>0</v>
      </c>
      <c r="R69" s="300">
        <f>+'Content 2025'!Q33</f>
        <v>0</v>
      </c>
      <c r="S69" s="300">
        <f>+'Content 2025'!R33</f>
        <v>0</v>
      </c>
      <c r="T69" s="300">
        <f>+'Content 2025'!S33</f>
        <v>0</v>
      </c>
      <c r="U69" s="300">
        <f>+'Content 2025'!T33</f>
        <v>0</v>
      </c>
      <c r="V69" s="300">
        <f>+'Content 2025'!U33</f>
        <v>0</v>
      </c>
      <c r="W69" s="300">
        <f>+'Content 2025'!V33</f>
        <v>0</v>
      </c>
      <c r="X69" s="300">
        <f>+'Content 2025'!W33</f>
        <v>0</v>
      </c>
      <c r="Y69" s="300">
        <f>+'Content 2025'!X33</f>
        <v>0</v>
      </c>
      <c r="Z69" s="300">
        <f>+'Content 2025'!Y33</f>
        <v>0</v>
      </c>
      <c r="AA69" s="300">
        <f>+'Content 2025'!Z33</f>
        <v>0</v>
      </c>
      <c r="AB69" s="300">
        <f>+'Content 2025'!AA33</f>
        <v>0</v>
      </c>
      <c r="AC69" s="301">
        <f t="shared" si="14"/>
        <v>1</v>
      </c>
      <c r="AD69" s="511">
        <f t="shared" si="15"/>
        <v>0</v>
      </c>
      <c r="AE69" s="300">
        <f t="shared" si="16"/>
        <v>0</v>
      </c>
      <c r="AF69" s="300">
        <f t="shared" si="17"/>
        <v>0</v>
      </c>
      <c r="AG69" s="300">
        <f t="shared" si="18"/>
        <v>0</v>
      </c>
      <c r="AH69" s="300">
        <f t="shared" si="19"/>
        <v>0</v>
      </c>
      <c r="AI69" s="300">
        <f t="shared" si="20"/>
        <v>0</v>
      </c>
      <c r="AJ69" s="300">
        <f t="shared" si="21"/>
        <v>0</v>
      </c>
      <c r="AK69" s="300">
        <f t="shared" si="22"/>
        <v>0</v>
      </c>
      <c r="AL69" s="300">
        <f t="shared" si="23"/>
        <v>0</v>
      </c>
      <c r="AM69" s="300">
        <f t="shared" si="24"/>
        <v>0</v>
      </c>
      <c r="AN69" s="300">
        <f t="shared" si="25"/>
        <v>0</v>
      </c>
      <c r="AO69" s="300">
        <f t="shared" si="26"/>
        <v>0</v>
      </c>
      <c r="AP69" s="300">
        <f t="shared" si="27"/>
        <v>0</v>
      </c>
    </row>
    <row r="70" spans="1:42" hidden="1">
      <c r="B70" t="str">
        <f>+'Content 2025'!A34</f>
        <v>Content</v>
      </c>
      <c r="C70" t="str">
        <f>+'Content 2025'!B34</f>
        <v>Nathalia Pontes</v>
      </c>
      <c r="D70" s="191">
        <f>+'Content 2025'!C34</f>
        <v>0.9</v>
      </c>
      <c r="E70" s="191">
        <f>+'Content 2025'!D34</f>
        <v>0.1</v>
      </c>
      <c r="F70" s="191">
        <f>+'Content 2025'!E34</f>
        <v>0</v>
      </c>
      <c r="G70" s="191">
        <f>+'Content 2025'!F34</f>
        <v>0</v>
      </c>
      <c r="H70" t="str">
        <f>+'Content 2025'!G34</f>
        <v>Payroll</v>
      </c>
      <c r="I70" t="str">
        <f>+'Content 2025'!H34</f>
        <v>BENAVIDES DE LA ROSA LAURA JANETH</v>
      </c>
      <c r="J70" t="str">
        <f>+'Content 2025'!I34</f>
        <v>Multimedia Designer</v>
      </c>
      <c r="K70" t="str">
        <f>+'Content 2025'!J34</f>
        <v>603.01.001</v>
      </c>
      <c r="L70" t="str">
        <f>+'Content 2025'!K34</f>
        <v>Sueldos y salarios</v>
      </c>
      <c r="M70" t="str">
        <f>+'Content 2025'!L34</f>
        <v>Sueldos y Salarios</v>
      </c>
      <c r="N70" t="str">
        <f>+'Content 2025'!M34</f>
        <v>MXN</v>
      </c>
      <c r="O70" s="300">
        <f>+'Content 2025'!N34</f>
        <v>18953.846153846152</v>
      </c>
      <c r="P70" s="300">
        <f>+'Content 2025'!O34</f>
        <v>369600</v>
      </c>
      <c r="Q70" s="300">
        <f>+'Content 2025'!P34</f>
        <v>30800</v>
      </c>
      <c r="R70" s="300">
        <f>+'Content 2025'!Q34</f>
        <v>30800</v>
      </c>
      <c r="S70" s="300">
        <f>+'Content 2025'!R34</f>
        <v>30800</v>
      </c>
      <c r="T70" s="300">
        <f>+'Content 2025'!S34</f>
        <v>30800</v>
      </c>
      <c r="U70" s="300">
        <f>+'Content 2025'!T34</f>
        <v>30800</v>
      </c>
      <c r="V70" s="300">
        <f>+'Content 2025'!U34</f>
        <v>30800</v>
      </c>
      <c r="W70" s="300">
        <f>+'Content 2025'!V34</f>
        <v>30800</v>
      </c>
      <c r="X70" s="300">
        <f>+'Content 2025'!W34</f>
        <v>30800</v>
      </c>
      <c r="Y70" s="300">
        <f>+'Content 2025'!X34</f>
        <v>30800</v>
      </c>
      <c r="Z70" s="300">
        <f>+'Content 2025'!Y34</f>
        <v>30800</v>
      </c>
      <c r="AA70" s="300">
        <f>+'Content 2025'!Z34</f>
        <v>30800</v>
      </c>
      <c r="AB70" s="300">
        <f>+'Content 2025'!AA34</f>
        <v>30800</v>
      </c>
      <c r="AC70" s="301">
        <f t="shared" ref="AC70:AC101" si="28">+IF(AD70=O70,1,0)</f>
        <v>1</v>
      </c>
      <c r="AD70" s="511">
        <f t="shared" ref="AD70:AD101" si="29">+SUM(AE70:AP70)</f>
        <v>18953.846153846152</v>
      </c>
      <c r="AE70" s="300">
        <f t="shared" ref="AE70:AE101" si="30">+IF($N70="MXN",Q70/$AE$2,IF($N70="BRL",Q70/$AE$3,Q70))</f>
        <v>1579.4871794871794</v>
      </c>
      <c r="AF70" s="300">
        <f t="shared" ref="AF70:AF101" si="31">+IF($N70="MXN",R70/$AE$2,IF($N70="BRL",R70/$AE$3,R70))</f>
        <v>1579.4871794871794</v>
      </c>
      <c r="AG70" s="300">
        <f t="shared" ref="AG70:AG101" si="32">+IF($N70="MXN",S70/$AE$2,IF($N70="BRL",S70/$AE$3,S70))</f>
        <v>1579.4871794871794</v>
      </c>
      <c r="AH70" s="300">
        <f t="shared" ref="AH70:AH101" si="33">+IF($N70="MXN",T70/$AE$2,IF($N70="BRL",T70/$AE$3,T70))</f>
        <v>1579.4871794871794</v>
      </c>
      <c r="AI70" s="300">
        <f t="shared" ref="AI70:AI101" si="34">+IF($N70="MXN",U70/$AE$2,IF($N70="BRL",U70/$AE$3,U70))</f>
        <v>1579.4871794871794</v>
      </c>
      <c r="AJ70" s="300">
        <f t="shared" ref="AJ70:AJ101" si="35">+IF($N70="MXN",V70/$AE$2,IF($N70="BRL",V70/$AE$3,V70))</f>
        <v>1579.4871794871794</v>
      </c>
      <c r="AK70" s="300">
        <f t="shared" ref="AK70:AK101" si="36">+IF($N70="MXN",W70/$AE$2,IF($N70="BRL",W70/$AE$3,W70))</f>
        <v>1579.4871794871794</v>
      </c>
      <c r="AL70" s="300">
        <f t="shared" ref="AL70:AL101" si="37">+IF($N70="MXN",X70/$AE$2,IF($N70="BRL",X70/$AE$3,X70))</f>
        <v>1579.4871794871794</v>
      </c>
      <c r="AM70" s="300">
        <f t="shared" ref="AM70:AM101" si="38">+IF($N70="MXN",Y70/$AE$2,IF($N70="BRL",Y70/$AE$3,Y70))</f>
        <v>1579.4871794871794</v>
      </c>
      <c r="AN70" s="300">
        <f t="shared" ref="AN70:AN101" si="39">+IF($N70="MXN",Z70/$AE$2,IF($N70="BRL",Z70/$AE$3,Z70))</f>
        <v>1579.4871794871794</v>
      </c>
      <c r="AO70" s="300">
        <f t="shared" ref="AO70:AO101" si="40">+IF($N70="MXN",AA70/$AE$2,IF($N70="BRL",AA70/$AE$3,AA70))</f>
        <v>1579.4871794871794</v>
      </c>
      <c r="AP70" s="300">
        <f t="shared" ref="AP70:AP101" si="41">+IF($N70="MXN",AB70/$AE$2,IF($N70="BRL",AB70/$AE$3,AB70))</f>
        <v>1579.4871794871794</v>
      </c>
    </row>
    <row r="71" spans="1:42" hidden="1">
      <c r="B71" t="str">
        <f>+'Content 2025'!A36</f>
        <v>Content</v>
      </c>
      <c r="C71" t="str">
        <f>+'Content 2025'!B36</f>
        <v>Nathalia Pontes</v>
      </c>
      <c r="D71" s="191">
        <f>+'Content 2025'!C36</f>
        <v>0.9</v>
      </c>
      <c r="E71" s="191">
        <f>+'Content 2025'!D36</f>
        <v>0.1</v>
      </c>
      <c r="F71" s="191">
        <f>+'Content 2025'!E36</f>
        <v>0</v>
      </c>
      <c r="G71" s="191">
        <f>+'Content 2025'!F36</f>
        <v>0</v>
      </c>
      <c r="H71" t="str">
        <f>+'Content 2025'!G36</f>
        <v>Payroll</v>
      </c>
      <c r="I71" t="str">
        <f>+'Content 2025'!H36</f>
        <v>MURILLO VARONA PAOLA</v>
      </c>
      <c r="J71" t="str">
        <f>+'Content 2025'!I36</f>
        <v>Content and Program Specialist</v>
      </c>
      <c r="K71" t="str">
        <f>+'Content 2025'!J36</f>
        <v>603.01.001</v>
      </c>
      <c r="L71" t="str">
        <f>+'Content 2025'!K36</f>
        <v>Sueldos y salarios</v>
      </c>
      <c r="M71" t="str">
        <f>+'Content 2025'!L36</f>
        <v>Sueldos y Salarios</v>
      </c>
      <c r="N71" t="str">
        <f>+'Content 2025'!M36</f>
        <v>MXN</v>
      </c>
      <c r="O71" s="300">
        <f>+'Content 2025'!N36</f>
        <v>16000</v>
      </c>
      <c r="P71" s="300">
        <f>+'Content 2025'!O36</f>
        <v>312000</v>
      </c>
      <c r="Q71" s="300">
        <f>+'Content 2025'!P36</f>
        <v>26000</v>
      </c>
      <c r="R71" s="300">
        <f>+'Content 2025'!Q36</f>
        <v>26000</v>
      </c>
      <c r="S71" s="300">
        <f>+'Content 2025'!R36</f>
        <v>26000</v>
      </c>
      <c r="T71" s="300">
        <f>+'Content 2025'!S36</f>
        <v>26000</v>
      </c>
      <c r="U71" s="300">
        <f>+'Content 2025'!T36</f>
        <v>26000</v>
      </c>
      <c r="V71" s="300">
        <f>+'Content 2025'!U36</f>
        <v>26000</v>
      </c>
      <c r="W71" s="300">
        <f>+'Content 2025'!V36</f>
        <v>26000</v>
      </c>
      <c r="X71" s="300">
        <f>+'Content 2025'!W36</f>
        <v>26000</v>
      </c>
      <c r="Y71" s="300">
        <f>+'Content 2025'!X36</f>
        <v>26000</v>
      </c>
      <c r="Z71" s="300">
        <f>+'Content 2025'!Y36</f>
        <v>26000</v>
      </c>
      <c r="AA71" s="300">
        <f>+'Content 2025'!Z36</f>
        <v>26000</v>
      </c>
      <c r="AB71" s="300">
        <f>+'Content 2025'!AA36</f>
        <v>26000</v>
      </c>
      <c r="AC71" s="301">
        <f t="shared" si="28"/>
        <v>1</v>
      </c>
      <c r="AD71" s="511">
        <f t="shared" si="29"/>
        <v>16000.000000000002</v>
      </c>
      <c r="AE71" s="300">
        <f t="shared" si="30"/>
        <v>1333.3333333333333</v>
      </c>
      <c r="AF71" s="300">
        <f t="shared" si="31"/>
        <v>1333.3333333333333</v>
      </c>
      <c r="AG71" s="300">
        <f t="shared" si="32"/>
        <v>1333.3333333333333</v>
      </c>
      <c r="AH71" s="300">
        <f t="shared" si="33"/>
        <v>1333.3333333333333</v>
      </c>
      <c r="AI71" s="300">
        <f t="shared" si="34"/>
        <v>1333.3333333333333</v>
      </c>
      <c r="AJ71" s="300">
        <f t="shared" si="35"/>
        <v>1333.3333333333333</v>
      </c>
      <c r="AK71" s="300">
        <f t="shared" si="36"/>
        <v>1333.3333333333333</v>
      </c>
      <c r="AL71" s="300">
        <f t="shared" si="37"/>
        <v>1333.3333333333333</v>
      </c>
      <c r="AM71" s="300">
        <f t="shared" si="38"/>
        <v>1333.3333333333333</v>
      </c>
      <c r="AN71" s="300">
        <f t="shared" si="39"/>
        <v>1333.3333333333333</v>
      </c>
      <c r="AO71" s="300">
        <f t="shared" si="40"/>
        <v>1333.3333333333333</v>
      </c>
      <c r="AP71" s="300">
        <f t="shared" si="41"/>
        <v>1333.3333333333333</v>
      </c>
    </row>
    <row r="72" spans="1:42" hidden="1">
      <c r="B72" t="str">
        <f>+'Content 2025'!A37</f>
        <v>Content</v>
      </c>
      <c r="C72" t="str">
        <f>+'Content 2025'!B37</f>
        <v>Nathalia Pontes</v>
      </c>
      <c r="D72" s="191">
        <f>+'Content 2025'!C37</f>
        <v>0.8</v>
      </c>
      <c r="E72" s="191">
        <f>+'Content 2025'!D37</f>
        <v>0.1</v>
      </c>
      <c r="F72" s="191">
        <f>+'Content 2025'!E37</f>
        <v>0.1</v>
      </c>
      <c r="G72" s="191">
        <f>+'Content 2025'!F37</f>
        <v>0</v>
      </c>
      <c r="H72" t="str">
        <f>+'Content 2025'!G37</f>
        <v>Payroll</v>
      </c>
      <c r="I72" t="str">
        <f>+'Content 2025'!H37</f>
        <v>OMAÑA ROSETTE ESLI</v>
      </c>
      <c r="J72" t="str">
        <f>+'Content 2025'!I37</f>
        <v>Head of Co-Created Content and Experience</v>
      </c>
      <c r="K72" t="str">
        <f>+'Content 2025'!J37</f>
        <v>603.01.001</v>
      </c>
      <c r="L72" t="str">
        <f>+'Content 2025'!K37</f>
        <v>Sueldos y salarios</v>
      </c>
      <c r="M72" t="str">
        <f>+'Content 2025'!L37</f>
        <v>Sueldos y Salarios</v>
      </c>
      <c r="N72" t="str">
        <f>+'Content 2025'!M37</f>
        <v>MXN</v>
      </c>
      <c r="O72" s="300">
        <f>+'Content 2025'!N37</f>
        <v>24369.23076923077</v>
      </c>
      <c r="P72" s="300">
        <f>+'Content 2025'!O37</f>
        <v>475200</v>
      </c>
      <c r="Q72" s="300">
        <f>+'Content 2025'!P37</f>
        <v>39600</v>
      </c>
      <c r="R72" s="300">
        <f>+'Content 2025'!Q37</f>
        <v>39600</v>
      </c>
      <c r="S72" s="300">
        <f>+'Content 2025'!R37</f>
        <v>39600</v>
      </c>
      <c r="T72" s="300">
        <f>+'Content 2025'!S37</f>
        <v>39600</v>
      </c>
      <c r="U72" s="300">
        <f>+'Content 2025'!T37</f>
        <v>39600</v>
      </c>
      <c r="V72" s="300">
        <f>+'Content 2025'!U37</f>
        <v>39600</v>
      </c>
      <c r="W72" s="300">
        <f>+'Content 2025'!V37</f>
        <v>39600</v>
      </c>
      <c r="X72" s="300">
        <f>+'Content 2025'!W37</f>
        <v>39600</v>
      </c>
      <c r="Y72" s="300">
        <f>+'Content 2025'!X37</f>
        <v>39600</v>
      </c>
      <c r="Z72" s="300">
        <f>+'Content 2025'!Y37</f>
        <v>39600</v>
      </c>
      <c r="AA72" s="300">
        <f>+'Content 2025'!Z37</f>
        <v>39600</v>
      </c>
      <c r="AB72" s="300">
        <f>+'Content 2025'!AA37</f>
        <v>39600</v>
      </c>
      <c r="AC72" s="301">
        <f t="shared" si="28"/>
        <v>1</v>
      </c>
      <c r="AD72" s="511">
        <f t="shared" si="29"/>
        <v>24369.23076923077</v>
      </c>
      <c r="AE72" s="300">
        <f t="shared" si="30"/>
        <v>2030.7692307692307</v>
      </c>
      <c r="AF72" s="300">
        <f t="shared" si="31"/>
        <v>2030.7692307692307</v>
      </c>
      <c r="AG72" s="300">
        <f t="shared" si="32"/>
        <v>2030.7692307692307</v>
      </c>
      <c r="AH72" s="300">
        <f t="shared" si="33"/>
        <v>2030.7692307692307</v>
      </c>
      <c r="AI72" s="300">
        <f t="shared" si="34"/>
        <v>2030.7692307692307</v>
      </c>
      <c r="AJ72" s="300">
        <f t="shared" si="35"/>
        <v>2030.7692307692307</v>
      </c>
      <c r="AK72" s="300">
        <f t="shared" si="36"/>
        <v>2030.7692307692307</v>
      </c>
      <c r="AL72" s="300">
        <f t="shared" si="37"/>
        <v>2030.7692307692307</v>
      </c>
      <c r="AM72" s="300">
        <f t="shared" si="38"/>
        <v>2030.7692307692307</v>
      </c>
      <c r="AN72" s="300">
        <f t="shared" si="39"/>
        <v>2030.7692307692307</v>
      </c>
      <c r="AO72" s="300">
        <f t="shared" si="40"/>
        <v>2030.7692307692307</v>
      </c>
      <c r="AP72" s="300">
        <f t="shared" si="41"/>
        <v>2030.7692307692307</v>
      </c>
    </row>
    <row r="73" spans="1:42" hidden="1">
      <c r="B73" t="str">
        <f>+'Content 2025'!A38</f>
        <v>Content</v>
      </c>
      <c r="C73" t="str">
        <f>+'Content 2025'!B38</f>
        <v>Nathalia Pontes</v>
      </c>
      <c r="D73" s="191">
        <f>+'Content 2025'!C38</f>
        <v>0</v>
      </c>
      <c r="E73" s="191">
        <f>+'Content 2025'!D38</f>
        <v>0</v>
      </c>
      <c r="F73" s="191">
        <f>+'Content 2025'!E38</f>
        <v>0</v>
      </c>
      <c r="G73" s="191">
        <f>+'Content 2025'!F38</f>
        <v>0</v>
      </c>
      <c r="H73" t="str">
        <f>+'Content 2025'!G38</f>
        <v>Payroll</v>
      </c>
      <c r="I73" t="str">
        <f>+'Content 2025'!H38</f>
        <v>ZARAZUA NAVARRO PAOLA LIZETH</v>
      </c>
      <c r="J73" t="str">
        <f>+'Content 2025'!I38</f>
        <v>Content and Program Specialist</v>
      </c>
      <c r="K73" t="str">
        <f>+'Content 2025'!J38</f>
        <v>603.01.001</v>
      </c>
      <c r="L73" t="str">
        <f>+'Content 2025'!K38</f>
        <v>Sueldos y salarios</v>
      </c>
      <c r="M73" t="str">
        <f>+'Content 2025'!L38</f>
        <v>Sueldos y Salarios</v>
      </c>
      <c r="N73" t="str">
        <f>+'Content 2025'!M38</f>
        <v>MXN</v>
      </c>
      <c r="O73" s="300">
        <f>+'Content 2025'!N38</f>
        <v>0</v>
      </c>
      <c r="P73" s="300">
        <f>+'Content 2025'!O38</f>
        <v>0</v>
      </c>
      <c r="Q73" s="300">
        <f>+'Content 2025'!P38</f>
        <v>0</v>
      </c>
      <c r="R73" s="300">
        <f>+'Content 2025'!Q38</f>
        <v>0</v>
      </c>
      <c r="S73" s="300">
        <f>+'Content 2025'!R38</f>
        <v>0</v>
      </c>
      <c r="T73" s="300">
        <f>+'Content 2025'!S38</f>
        <v>0</v>
      </c>
      <c r="U73" s="300">
        <f>+'Content 2025'!T38</f>
        <v>0</v>
      </c>
      <c r="V73" s="300">
        <f>+'Content 2025'!U38</f>
        <v>0</v>
      </c>
      <c r="W73" s="300">
        <f>+'Content 2025'!V38</f>
        <v>0</v>
      </c>
      <c r="X73" s="300">
        <f>+'Content 2025'!W38</f>
        <v>0</v>
      </c>
      <c r="Y73" s="300">
        <f>+'Content 2025'!X38</f>
        <v>0</v>
      </c>
      <c r="Z73" s="300">
        <f>+'Content 2025'!Y38</f>
        <v>0</v>
      </c>
      <c r="AA73" s="300">
        <f>+'Content 2025'!Z38</f>
        <v>0</v>
      </c>
      <c r="AB73" s="300">
        <f>+'Content 2025'!AA38</f>
        <v>0</v>
      </c>
      <c r="AC73" s="301">
        <f t="shared" si="28"/>
        <v>1</v>
      </c>
      <c r="AD73" s="511">
        <f t="shared" si="29"/>
        <v>0</v>
      </c>
      <c r="AE73" s="300">
        <f t="shared" si="30"/>
        <v>0</v>
      </c>
      <c r="AF73" s="300">
        <f t="shared" si="31"/>
        <v>0</v>
      </c>
      <c r="AG73" s="300">
        <f t="shared" si="32"/>
        <v>0</v>
      </c>
      <c r="AH73" s="300">
        <f t="shared" si="33"/>
        <v>0</v>
      </c>
      <c r="AI73" s="300">
        <f t="shared" si="34"/>
        <v>0</v>
      </c>
      <c r="AJ73" s="300">
        <f t="shared" si="35"/>
        <v>0</v>
      </c>
      <c r="AK73" s="300">
        <f t="shared" si="36"/>
        <v>0</v>
      </c>
      <c r="AL73" s="300">
        <f t="shared" si="37"/>
        <v>0</v>
      </c>
      <c r="AM73" s="300">
        <f t="shared" si="38"/>
        <v>0</v>
      </c>
      <c r="AN73" s="300">
        <f t="shared" si="39"/>
        <v>0</v>
      </c>
      <c r="AO73" s="300">
        <f t="shared" si="40"/>
        <v>0</v>
      </c>
      <c r="AP73" s="300">
        <f t="shared" si="41"/>
        <v>0</v>
      </c>
    </row>
    <row r="74" spans="1:42" hidden="1">
      <c r="B74" t="str">
        <f>+'Content 2025'!A39</f>
        <v>Content</v>
      </c>
      <c r="C74" t="str">
        <f>+'Content 2025'!B39</f>
        <v>Nathalia Pontes</v>
      </c>
      <c r="D74" s="191">
        <f>+'Content 2025'!C39</f>
        <v>0.9</v>
      </c>
      <c r="E74" s="191">
        <f>+'Content 2025'!D39</f>
        <v>0.1</v>
      </c>
      <c r="F74" s="191">
        <f>+'Content 2025'!E39</f>
        <v>0</v>
      </c>
      <c r="G74" s="191">
        <f>+'Content 2025'!F39</f>
        <v>0</v>
      </c>
      <c r="H74" t="str">
        <f>+'Content 2025'!G39</f>
        <v>Payroll</v>
      </c>
      <c r="I74" t="str">
        <f>+'Content 2025'!H39</f>
        <v>CASCAJARES NICOLI MONTSERRAT</v>
      </c>
      <c r="J74" t="str">
        <f>+'Content 2025'!I39</f>
        <v>Content Specialist</v>
      </c>
      <c r="K74" t="str">
        <f>+'Content 2025'!J39</f>
        <v>603.01.001</v>
      </c>
      <c r="L74" t="str">
        <f>+'Content 2025'!K39</f>
        <v>Sueldos y salarios</v>
      </c>
      <c r="M74" t="str">
        <f>+'Content 2025'!L39</f>
        <v>Sueldos y Salarios</v>
      </c>
      <c r="N74" t="str">
        <f>+'Content 2025'!M39</f>
        <v>MXN</v>
      </c>
      <c r="O74" s="300">
        <f>+'Content 2025'!N39</f>
        <v>7384.6153846153848</v>
      </c>
      <c r="P74" s="300">
        <f>+'Content 2025'!O39</f>
        <v>144000</v>
      </c>
      <c r="Q74" s="300">
        <f>+'Content 2025'!P39</f>
        <v>12000</v>
      </c>
      <c r="R74" s="300">
        <f>+'Content 2025'!Q39</f>
        <v>12000</v>
      </c>
      <c r="S74" s="300">
        <f>+'Content 2025'!R39</f>
        <v>12000</v>
      </c>
      <c r="T74" s="300">
        <f>+'Content 2025'!S39</f>
        <v>12000</v>
      </c>
      <c r="U74" s="300">
        <f>+'Content 2025'!T39</f>
        <v>12000</v>
      </c>
      <c r="V74" s="300">
        <f>+'Content 2025'!U39</f>
        <v>12000</v>
      </c>
      <c r="W74" s="300">
        <f>+'Content 2025'!V39</f>
        <v>12000</v>
      </c>
      <c r="X74" s="300">
        <f>+'Content 2025'!W39</f>
        <v>12000</v>
      </c>
      <c r="Y74" s="300">
        <f>+'Content 2025'!X39</f>
        <v>12000</v>
      </c>
      <c r="Z74" s="300">
        <f>+'Content 2025'!Y39</f>
        <v>12000</v>
      </c>
      <c r="AA74" s="300">
        <f>+'Content 2025'!Z39</f>
        <v>12000</v>
      </c>
      <c r="AB74" s="300">
        <f>+'Content 2025'!AA39</f>
        <v>12000</v>
      </c>
      <c r="AC74" s="301">
        <f t="shared" si="28"/>
        <v>1</v>
      </c>
      <c r="AD74" s="511">
        <f t="shared" si="29"/>
        <v>7384.6153846153838</v>
      </c>
      <c r="AE74" s="300">
        <f t="shared" si="30"/>
        <v>615.38461538461536</v>
      </c>
      <c r="AF74" s="300">
        <f t="shared" si="31"/>
        <v>615.38461538461536</v>
      </c>
      <c r="AG74" s="300">
        <f t="shared" si="32"/>
        <v>615.38461538461536</v>
      </c>
      <c r="AH74" s="300">
        <f t="shared" si="33"/>
        <v>615.38461538461536</v>
      </c>
      <c r="AI74" s="300">
        <f t="shared" si="34"/>
        <v>615.38461538461536</v>
      </c>
      <c r="AJ74" s="300">
        <f t="shared" si="35"/>
        <v>615.38461538461536</v>
      </c>
      <c r="AK74" s="300">
        <f t="shared" si="36"/>
        <v>615.38461538461536</v>
      </c>
      <c r="AL74" s="300">
        <f t="shared" si="37"/>
        <v>615.38461538461536</v>
      </c>
      <c r="AM74" s="300">
        <f t="shared" si="38"/>
        <v>615.38461538461536</v>
      </c>
      <c r="AN74" s="300">
        <f t="shared" si="39"/>
        <v>615.38461538461536</v>
      </c>
      <c r="AO74" s="300">
        <f t="shared" si="40"/>
        <v>615.38461538461536</v>
      </c>
      <c r="AP74" s="300">
        <f t="shared" si="41"/>
        <v>615.38461538461536</v>
      </c>
    </row>
    <row r="75" spans="1:42" hidden="1">
      <c r="B75" t="str">
        <f>+'Content 2025'!A40</f>
        <v>Content</v>
      </c>
      <c r="C75" t="str">
        <f>+'Content 2025'!B40</f>
        <v>Nathalia Pontes</v>
      </c>
      <c r="D75" s="191">
        <f>+'Content 2025'!C40</f>
        <v>0.9</v>
      </c>
      <c r="E75" s="191">
        <f>+'Content 2025'!D40</f>
        <v>0.1</v>
      </c>
      <c r="F75" s="191">
        <f>+'Content 2025'!E40</f>
        <v>0</v>
      </c>
      <c r="G75" s="191">
        <f>+'Content 2025'!F40</f>
        <v>0</v>
      </c>
      <c r="H75" t="str">
        <f>+'Content 2025'!G40</f>
        <v>Payroll</v>
      </c>
      <c r="I75" t="str">
        <f>+'Content 2025'!H40</f>
        <v>RUBIO BUENFIL ANA PAMELA</v>
      </c>
      <c r="J75" t="str">
        <f>+'Content 2025'!I40</f>
        <v>Content Analyst</v>
      </c>
      <c r="K75" t="str">
        <f>+'Content 2025'!J40</f>
        <v>603.01.001</v>
      </c>
      <c r="L75" t="str">
        <f>+'Content 2025'!K40</f>
        <v>Sueldos y salarios</v>
      </c>
      <c r="M75" t="str">
        <f>+'Content 2025'!L40</f>
        <v>Sueldos y Salarios</v>
      </c>
      <c r="N75" t="str">
        <f>+'Content 2025'!M40</f>
        <v>MXN</v>
      </c>
      <c r="O75" s="300">
        <f>+'Content 2025'!N40</f>
        <v>14230.76923076923</v>
      </c>
      <c r="P75" s="300">
        <f>+'Content 2025'!O40</f>
        <v>277500</v>
      </c>
      <c r="Q75" s="300">
        <f>+'Content 2025'!P40</f>
        <v>23125</v>
      </c>
      <c r="R75" s="300">
        <f>+'Content 2025'!Q40</f>
        <v>23125</v>
      </c>
      <c r="S75" s="300">
        <f>+'Content 2025'!R40</f>
        <v>23125</v>
      </c>
      <c r="T75" s="300">
        <f>+'Content 2025'!S40</f>
        <v>23125</v>
      </c>
      <c r="U75" s="300">
        <f>+'Content 2025'!T40</f>
        <v>23125</v>
      </c>
      <c r="V75" s="300">
        <f>+'Content 2025'!U40</f>
        <v>23125</v>
      </c>
      <c r="W75" s="300">
        <f>+'Content 2025'!V40</f>
        <v>23125</v>
      </c>
      <c r="X75" s="300">
        <f>+'Content 2025'!W40</f>
        <v>23125</v>
      </c>
      <c r="Y75" s="300">
        <f>+'Content 2025'!X40</f>
        <v>23125</v>
      </c>
      <c r="Z75" s="300">
        <f>+'Content 2025'!Y40</f>
        <v>23125</v>
      </c>
      <c r="AA75" s="300">
        <f>+'Content 2025'!Z40</f>
        <v>23125</v>
      </c>
      <c r="AB75" s="300">
        <f>+'Content 2025'!AA40</f>
        <v>23125</v>
      </c>
      <c r="AC75" s="301">
        <f t="shared" si="28"/>
        <v>1</v>
      </c>
      <c r="AD75" s="511">
        <f t="shared" si="29"/>
        <v>14230.769230769229</v>
      </c>
      <c r="AE75" s="300">
        <f t="shared" si="30"/>
        <v>1185.8974358974358</v>
      </c>
      <c r="AF75" s="300">
        <f t="shared" si="31"/>
        <v>1185.8974358974358</v>
      </c>
      <c r="AG75" s="300">
        <f t="shared" si="32"/>
        <v>1185.8974358974358</v>
      </c>
      <c r="AH75" s="300">
        <f t="shared" si="33"/>
        <v>1185.8974358974358</v>
      </c>
      <c r="AI75" s="300">
        <f t="shared" si="34"/>
        <v>1185.8974358974358</v>
      </c>
      <c r="AJ75" s="300">
        <f t="shared" si="35"/>
        <v>1185.8974358974358</v>
      </c>
      <c r="AK75" s="300">
        <f t="shared" si="36"/>
        <v>1185.8974358974358</v>
      </c>
      <c r="AL75" s="300">
        <f t="shared" si="37"/>
        <v>1185.8974358974358</v>
      </c>
      <c r="AM75" s="300">
        <f t="shared" si="38"/>
        <v>1185.8974358974358</v>
      </c>
      <c r="AN75" s="300">
        <f t="shared" si="39"/>
        <v>1185.8974358974358</v>
      </c>
      <c r="AO75" s="300">
        <f t="shared" si="40"/>
        <v>1185.8974358974358</v>
      </c>
      <c r="AP75" s="300">
        <f t="shared" si="41"/>
        <v>1185.8974358974358</v>
      </c>
    </row>
    <row r="76" spans="1:42" hidden="1">
      <c r="B76" t="str">
        <f>+'Content 2025'!A41</f>
        <v>Content</v>
      </c>
      <c r="C76" t="str">
        <f>+'Content 2025'!B41</f>
        <v>Nathalia Pontes</v>
      </c>
      <c r="D76" s="191">
        <f>+'Content 2025'!C41</f>
        <v>0.9</v>
      </c>
      <c r="E76" s="191">
        <f>+'Content 2025'!D41</f>
        <v>0.1</v>
      </c>
      <c r="F76" s="191">
        <f>+'Content 2025'!E41</f>
        <v>0</v>
      </c>
      <c r="G76" s="191">
        <f>+'Content 2025'!F41</f>
        <v>0</v>
      </c>
      <c r="H76" t="str">
        <f>+'Content 2025'!G41</f>
        <v>Payroll</v>
      </c>
      <c r="I76" t="str">
        <f>+'Content 2025'!H41</f>
        <v>CAAMAL ROSETTE ALLISON RAQUEL</v>
      </c>
      <c r="J76" t="str">
        <f>+'Content 2025'!I41</f>
        <v>Content Intern</v>
      </c>
      <c r="K76" t="str">
        <f>+'Content 2025'!J41</f>
        <v>603.01.001</v>
      </c>
      <c r="L76" t="str">
        <f>+'Content 2025'!K41</f>
        <v>Sueldos y salarios</v>
      </c>
      <c r="M76" t="str">
        <f>+'Content 2025'!L41</f>
        <v>Sueldos y Salarios</v>
      </c>
      <c r="N76" t="str">
        <f>+'Content 2025'!M41</f>
        <v>MXN</v>
      </c>
      <c r="O76" s="300">
        <f>+'Content 2025'!N41</f>
        <v>2769.2307692307691</v>
      </c>
      <c r="P76" s="300">
        <f>+'Content 2025'!O41</f>
        <v>54000</v>
      </c>
      <c r="Q76" s="300">
        <f>+'Content 2025'!P41</f>
        <v>4500</v>
      </c>
      <c r="R76" s="300">
        <f>+'Content 2025'!Q41</f>
        <v>4500</v>
      </c>
      <c r="S76" s="300">
        <f>+'Content 2025'!R41</f>
        <v>4500</v>
      </c>
      <c r="T76" s="300">
        <f>+'Content 2025'!S41</f>
        <v>4500</v>
      </c>
      <c r="U76" s="300">
        <f>+'Content 2025'!T41</f>
        <v>4500</v>
      </c>
      <c r="V76" s="300">
        <f>+'Content 2025'!U41</f>
        <v>4500</v>
      </c>
      <c r="W76" s="300">
        <f>+'Content 2025'!V41</f>
        <v>4500</v>
      </c>
      <c r="X76" s="300">
        <f>+'Content 2025'!W41</f>
        <v>4500</v>
      </c>
      <c r="Y76" s="300">
        <f>+'Content 2025'!X41</f>
        <v>4500</v>
      </c>
      <c r="Z76" s="300">
        <f>+'Content 2025'!Y41</f>
        <v>4500</v>
      </c>
      <c r="AA76" s="300">
        <f>+'Content 2025'!Z41</f>
        <v>4500</v>
      </c>
      <c r="AB76" s="300">
        <f>+'Content 2025'!AA41</f>
        <v>4500</v>
      </c>
      <c r="AC76" s="301">
        <f t="shared" si="28"/>
        <v>1</v>
      </c>
      <c r="AD76" s="511">
        <f t="shared" si="29"/>
        <v>2769.2307692307695</v>
      </c>
      <c r="AE76" s="300">
        <f t="shared" si="30"/>
        <v>230.76923076923077</v>
      </c>
      <c r="AF76" s="300">
        <f t="shared" si="31"/>
        <v>230.76923076923077</v>
      </c>
      <c r="AG76" s="300">
        <f t="shared" si="32"/>
        <v>230.76923076923077</v>
      </c>
      <c r="AH76" s="300">
        <f t="shared" si="33"/>
        <v>230.76923076923077</v>
      </c>
      <c r="AI76" s="300">
        <f t="shared" si="34"/>
        <v>230.76923076923077</v>
      </c>
      <c r="AJ76" s="300">
        <f t="shared" si="35"/>
        <v>230.76923076923077</v>
      </c>
      <c r="AK76" s="300">
        <f t="shared" si="36"/>
        <v>230.76923076923077</v>
      </c>
      <c r="AL76" s="300">
        <f t="shared" si="37"/>
        <v>230.76923076923077</v>
      </c>
      <c r="AM76" s="300">
        <f t="shared" si="38"/>
        <v>230.76923076923077</v>
      </c>
      <c r="AN76" s="300">
        <f t="shared" si="39"/>
        <v>230.76923076923077</v>
      </c>
      <c r="AO76" s="300">
        <f t="shared" si="40"/>
        <v>230.76923076923077</v>
      </c>
      <c r="AP76" s="300">
        <f t="shared" si="41"/>
        <v>230.76923076923077</v>
      </c>
    </row>
    <row r="77" spans="1:42" hidden="1">
      <c r="B77" t="str">
        <f>+'Content 2025'!A43</f>
        <v>Content</v>
      </c>
      <c r="C77" t="str">
        <f>+'Content 2025'!B43</f>
        <v>Nathalia Pontes</v>
      </c>
      <c r="D77" s="191">
        <f>+'Content 2025'!C43</f>
        <v>0.875</v>
      </c>
      <c r="E77" s="191">
        <f>+'Content 2025'!D43</f>
        <v>0.1</v>
      </c>
      <c r="F77" s="191">
        <f>+'Content 2025'!E43</f>
        <v>2.5000000000000001E-2</v>
      </c>
      <c r="G77" s="191">
        <f>+'Content 2025'!F43</f>
        <v>0</v>
      </c>
      <c r="H77" t="str">
        <f>+'Content 2025'!G43</f>
        <v>Benefits</v>
      </c>
      <c r="I77" t="str">
        <f>+'Content 2025'!H43</f>
        <v>SiVale</v>
      </c>
      <c r="J77" t="str">
        <f>+'Content 2025'!I43</f>
        <v>5 empleados</v>
      </c>
      <c r="K77" t="str">
        <f>+'Content 2025'!J43</f>
        <v>603.15.001</v>
      </c>
      <c r="L77" t="str">
        <f>+'Content 2025'!K43</f>
        <v>Despensa</v>
      </c>
      <c r="M77" t="str">
        <f>+'Content 2025'!L43</f>
        <v>Sueldos y Salarios</v>
      </c>
      <c r="N77" t="str">
        <f>+'Content 2025'!M43</f>
        <v>MXN</v>
      </c>
      <c r="O77" s="300">
        <f>+'Content 2025'!N43</f>
        <v>2953.8461538461538</v>
      </c>
      <c r="P77" s="300">
        <f>+'Content 2025'!O43</f>
        <v>57600</v>
      </c>
      <c r="Q77" s="300">
        <f>+'Content 2025'!P43</f>
        <v>4800</v>
      </c>
      <c r="R77" s="300">
        <f>+'Content 2025'!Q43</f>
        <v>4800</v>
      </c>
      <c r="S77" s="300">
        <f>+'Content 2025'!R43</f>
        <v>4800</v>
      </c>
      <c r="T77" s="300">
        <f>+'Content 2025'!S43</f>
        <v>4800</v>
      </c>
      <c r="U77" s="300">
        <f>+'Content 2025'!T43</f>
        <v>4800</v>
      </c>
      <c r="V77" s="300">
        <f>+'Content 2025'!U43</f>
        <v>4800</v>
      </c>
      <c r="W77" s="300">
        <f>+'Content 2025'!V43</f>
        <v>4800</v>
      </c>
      <c r="X77" s="300">
        <f>+'Content 2025'!W43</f>
        <v>4800</v>
      </c>
      <c r="Y77" s="300">
        <f>+'Content 2025'!X43</f>
        <v>4800</v>
      </c>
      <c r="Z77" s="300">
        <f>+'Content 2025'!Y43</f>
        <v>4800</v>
      </c>
      <c r="AA77" s="300">
        <f>+'Content 2025'!Z43</f>
        <v>4800</v>
      </c>
      <c r="AB77" s="300">
        <f>+'Content 2025'!AA43</f>
        <v>4800</v>
      </c>
      <c r="AC77" s="301">
        <f t="shared" si="28"/>
        <v>1</v>
      </c>
      <c r="AD77" s="511">
        <f t="shared" si="29"/>
        <v>2953.8461538461538</v>
      </c>
      <c r="AE77" s="300">
        <f t="shared" si="30"/>
        <v>246.15384615384616</v>
      </c>
      <c r="AF77" s="300">
        <f t="shared" si="31"/>
        <v>246.15384615384616</v>
      </c>
      <c r="AG77" s="300">
        <f t="shared" si="32"/>
        <v>246.15384615384616</v>
      </c>
      <c r="AH77" s="300">
        <f t="shared" si="33"/>
        <v>246.15384615384616</v>
      </c>
      <c r="AI77" s="300">
        <f t="shared" si="34"/>
        <v>246.15384615384616</v>
      </c>
      <c r="AJ77" s="300">
        <f t="shared" si="35"/>
        <v>246.15384615384616</v>
      </c>
      <c r="AK77" s="300">
        <f t="shared" si="36"/>
        <v>246.15384615384616</v>
      </c>
      <c r="AL77" s="300">
        <f t="shared" si="37"/>
        <v>246.15384615384616</v>
      </c>
      <c r="AM77" s="300">
        <f t="shared" si="38"/>
        <v>246.15384615384616</v>
      </c>
      <c r="AN77" s="300">
        <f t="shared" si="39"/>
        <v>246.15384615384616</v>
      </c>
      <c r="AO77" s="300">
        <f t="shared" si="40"/>
        <v>246.15384615384616</v>
      </c>
      <c r="AP77" s="300">
        <f t="shared" si="41"/>
        <v>246.15384615384616</v>
      </c>
    </row>
    <row r="78" spans="1:42" hidden="1">
      <c r="B78" t="str">
        <f>+'Content 2025'!A44</f>
        <v>Content</v>
      </c>
      <c r="C78" t="str">
        <f>+'Content 2025'!B44</f>
        <v>Nathalia Pontes</v>
      </c>
      <c r="D78" s="191">
        <f>+'Content 2025'!C44</f>
        <v>0.88000000000000012</v>
      </c>
      <c r="E78" s="191">
        <f>+'Content 2025'!D44</f>
        <v>0.1</v>
      </c>
      <c r="F78" s="191">
        <f>+'Content 2025'!E44</f>
        <v>0.02</v>
      </c>
      <c r="G78" s="191">
        <f>+'Content 2025'!F44</f>
        <v>0</v>
      </c>
      <c r="H78" t="str">
        <f>+'Content 2025'!G44</f>
        <v>Benefits</v>
      </c>
      <c r="I78" t="str">
        <f>+'Content 2025'!H44</f>
        <v>Aguinaldo</v>
      </c>
      <c r="J78" t="str">
        <f>+'Content 2025'!I44</f>
        <v>Aguinaldo</v>
      </c>
      <c r="K78" t="str">
        <f>+'Content 2025'!J44</f>
        <v>603.07.001</v>
      </c>
      <c r="L78" t="str">
        <f>+'Content 2025'!K44</f>
        <v>Prima vacacional</v>
      </c>
      <c r="M78" t="str">
        <f>+'Content 2025'!L44</f>
        <v>Sueldos y Salarios</v>
      </c>
      <c r="N78" t="str">
        <f>+'Content 2025'!M44</f>
        <v>MXN</v>
      </c>
      <c r="O78" s="300">
        <f>+'Content 2025'!N44</f>
        <v>3688.3333333333335</v>
      </c>
      <c r="P78" s="300">
        <f>+'Content 2025'!O44</f>
        <v>71922.5</v>
      </c>
      <c r="Q78" s="300">
        <f>+'Content 2025'!P44</f>
        <v>0</v>
      </c>
      <c r="R78" s="300">
        <f>+'Content 2025'!Q44</f>
        <v>0</v>
      </c>
      <c r="S78" s="300">
        <f>+'Content 2025'!R44</f>
        <v>0</v>
      </c>
      <c r="T78" s="300">
        <f>+'Content 2025'!S44</f>
        <v>0</v>
      </c>
      <c r="U78" s="300">
        <f>+'Content 2025'!T44</f>
        <v>0</v>
      </c>
      <c r="V78" s="300">
        <f>+'Content 2025'!U44</f>
        <v>0</v>
      </c>
      <c r="W78" s="300">
        <f>+'Content 2025'!V44</f>
        <v>0</v>
      </c>
      <c r="X78" s="300">
        <f>+'Content 2025'!W44</f>
        <v>0</v>
      </c>
      <c r="Y78" s="300">
        <f>+'Content 2025'!X44</f>
        <v>0</v>
      </c>
      <c r="Z78" s="300">
        <f>+'Content 2025'!Y44</f>
        <v>0</v>
      </c>
      <c r="AA78" s="300">
        <f>+'Content 2025'!Z44</f>
        <v>0</v>
      </c>
      <c r="AB78" s="300">
        <f>+'Content 2025'!AA44</f>
        <v>71922.5</v>
      </c>
      <c r="AC78" s="301">
        <f t="shared" si="28"/>
        <v>1</v>
      </c>
      <c r="AD78" s="511">
        <f t="shared" si="29"/>
        <v>3688.3333333333335</v>
      </c>
      <c r="AE78" s="300">
        <f t="shared" si="30"/>
        <v>0</v>
      </c>
      <c r="AF78" s="300">
        <f t="shared" si="31"/>
        <v>0</v>
      </c>
      <c r="AG78" s="300">
        <f t="shared" si="32"/>
        <v>0</v>
      </c>
      <c r="AH78" s="300">
        <f t="shared" si="33"/>
        <v>0</v>
      </c>
      <c r="AI78" s="300">
        <f t="shared" si="34"/>
        <v>0</v>
      </c>
      <c r="AJ78" s="300">
        <f t="shared" si="35"/>
        <v>0</v>
      </c>
      <c r="AK78" s="300">
        <f t="shared" si="36"/>
        <v>0</v>
      </c>
      <c r="AL78" s="300">
        <f t="shared" si="37"/>
        <v>0</v>
      </c>
      <c r="AM78" s="300">
        <f t="shared" si="38"/>
        <v>0</v>
      </c>
      <c r="AN78" s="300">
        <f t="shared" si="39"/>
        <v>0</v>
      </c>
      <c r="AO78" s="300">
        <f t="shared" si="40"/>
        <v>0</v>
      </c>
      <c r="AP78" s="300">
        <f t="shared" si="41"/>
        <v>3688.3333333333335</v>
      </c>
    </row>
    <row r="79" spans="1:42" hidden="1">
      <c r="A79" s="46">
        <f>SUM(D79:G79)</f>
        <v>1</v>
      </c>
      <c r="B79" t="str">
        <f>+'Content 2025'!A45</f>
        <v>Content</v>
      </c>
      <c r="C79" t="str">
        <f>+'Content 2025'!B45</f>
        <v>Nathalia Pontes</v>
      </c>
      <c r="D79" s="191">
        <f>+'Content 2025'!C45</f>
        <v>0.875</v>
      </c>
      <c r="E79" s="191">
        <f>+'Content 2025'!D45</f>
        <v>0.1</v>
      </c>
      <c r="F79" s="191">
        <f>+'Content 2025'!E45</f>
        <v>2.5000000000000001E-2</v>
      </c>
      <c r="G79" s="191">
        <f>+'Content 2025'!F45</f>
        <v>0</v>
      </c>
      <c r="H79" t="str">
        <f>+'Content 2025'!G45</f>
        <v>Benefits</v>
      </c>
      <c r="I79" t="str">
        <f>+'Content 2025'!H45</f>
        <v>Prima Vacacional (prom. 8 días de vacaciones)</v>
      </c>
      <c r="J79" t="str">
        <f>+'Content 2025'!I45</f>
        <v>Prima Vacacional (prom. 8 días de vacaciones)</v>
      </c>
      <c r="K79" t="str">
        <f>+'Content 2025'!J45</f>
        <v>603.12.001</v>
      </c>
      <c r="L79" t="str">
        <f>+'Content 2025'!K45</f>
        <v>Aguinaldo</v>
      </c>
      <c r="M79" t="str">
        <f>+'Content 2025'!L45</f>
        <v>Sueldos y Salarios</v>
      </c>
      <c r="N79" t="str">
        <f>+'Content 2025'!M45</f>
        <v>MXN</v>
      </c>
      <c r="O79" s="300">
        <f>+'Content 2025'!N45</f>
        <v>1291.3461538461538</v>
      </c>
      <c r="P79" s="300">
        <f>+'Content 2025'!O45</f>
        <v>25181.25</v>
      </c>
      <c r="Q79" s="300">
        <f>+'Content 2025'!P45</f>
        <v>2098.4375</v>
      </c>
      <c r="R79" s="300">
        <f>+'Content 2025'!Q45</f>
        <v>2098.4375</v>
      </c>
      <c r="S79" s="300">
        <f>+'Content 2025'!R45</f>
        <v>2098.4375</v>
      </c>
      <c r="T79" s="300">
        <f>+'Content 2025'!S45</f>
        <v>2098.4375</v>
      </c>
      <c r="U79" s="300">
        <f>+'Content 2025'!T45</f>
        <v>2098.4375</v>
      </c>
      <c r="V79" s="300">
        <f>+'Content 2025'!U45</f>
        <v>2098.4375</v>
      </c>
      <c r="W79" s="300">
        <f>+'Content 2025'!V45</f>
        <v>2098.4375</v>
      </c>
      <c r="X79" s="300">
        <f>+'Content 2025'!W45</f>
        <v>2098.4375</v>
      </c>
      <c r="Y79" s="300">
        <f>+'Content 2025'!X45</f>
        <v>2098.4375</v>
      </c>
      <c r="Z79" s="300">
        <f>+'Content 2025'!Y45</f>
        <v>2098.4375</v>
      </c>
      <c r="AA79" s="300">
        <f>+'Content 2025'!Z45</f>
        <v>2098.4375</v>
      </c>
      <c r="AB79" s="300">
        <f>+'Content 2025'!AA45</f>
        <v>2098.4375</v>
      </c>
      <c r="AC79" s="301">
        <f t="shared" si="28"/>
        <v>1</v>
      </c>
      <c r="AD79" s="511">
        <f t="shared" si="29"/>
        <v>1291.3461538461536</v>
      </c>
      <c r="AE79" s="300">
        <f t="shared" si="30"/>
        <v>107.61217948717949</v>
      </c>
      <c r="AF79" s="300">
        <f t="shared" si="31"/>
        <v>107.61217948717949</v>
      </c>
      <c r="AG79" s="300">
        <f t="shared" si="32"/>
        <v>107.61217948717949</v>
      </c>
      <c r="AH79" s="300">
        <f t="shared" si="33"/>
        <v>107.61217948717949</v>
      </c>
      <c r="AI79" s="300">
        <f t="shared" si="34"/>
        <v>107.61217948717949</v>
      </c>
      <c r="AJ79" s="300">
        <f t="shared" si="35"/>
        <v>107.61217948717949</v>
      </c>
      <c r="AK79" s="300">
        <f t="shared" si="36"/>
        <v>107.61217948717949</v>
      </c>
      <c r="AL79" s="300">
        <f t="shared" si="37"/>
        <v>107.61217948717949</v>
      </c>
      <c r="AM79" s="300">
        <f t="shared" si="38"/>
        <v>107.61217948717949</v>
      </c>
      <c r="AN79" s="300">
        <f t="shared" si="39"/>
        <v>107.61217948717949</v>
      </c>
      <c r="AO79" s="300">
        <f t="shared" si="40"/>
        <v>107.61217948717949</v>
      </c>
      <c r="AP79" s="300">
        <f t="shared" si="41"/>
        <v>107.61217948717949</v>
      </c>
    </row>
    <row r="80" spans="1:42" hidden="1">
      <c r="B80" t="str">
        <f>+'Content 2025'!A46</f>
        <v>Content</v>
      </c>
      <c r="C80" t="str">
        <f>+'Content 2025'!B46</f>
        <v>Nathalia Pontes</v>
      </c>
      <c r="D80" s="191">
        <f>+'Content 2025'!C46</f>
        <v>0.875</v>
      </c>
      <c r="E80" s="191">
        <f>+'Content 2025'!D46</f>
        <v>0.1</v>
      </c>
      <c r="F80" s="191">
        <f>+'Content 2025'!E46</f>
        <v>2.5000000000000001E-2</v>
      </c>
      <c r="G80" s="191">
        <f>+'Content 2025'!F46</f>
        <v>0</v>
      </c>
      <c r="H80" t="str">
        <f>+'Content 2025'!G46</f>
        <v>Payroll</v>
      </c>
      <c r="I80" t="str">
        <f>+'Content 2025'!H46</f>
        <v>Impuestos</v>
      </c>
      <c r="J80" t="str">
        <f>+'Content 2025'!I46</f>
        <v>ISN, SAR, IMSS, INFONAVIT (avg. 24%)</v>
      </c>
      <c r="K80" t="str">
        <f>+'Content 2025'!J46</f>
        <v>603.01.001</v>
      </c>
      <c r="L80" t="str">
        <f>+'Content 2025'!K46</f>
        <v>Sueldos y salarios</v>
      </c>
      <c r="M80" t="str">
        <f>+'Content 2025'!L46</f>
        <v>Sueldos y Salarios</v>
      </c>
      <c r="N80" t="str">
        <f>+'Content 2025'!M46</f>
        <v>MXN</v>
      </c>
      <c r="O80" s="300">
        <f>+'Content 2025'!N46</f>
        <v>14876.307692307691</v>
      </c>
      <c r="P80" s="300">
        <f>+'Content 2025'!O46</f>
        <v>290088</v>
      </c>
      <c r="Q80" s="300">
        <f>+'Content 2025'!P46</f>
        <v>24174</v>
      </c>
      <c r="R80" s="300">
        <f>+'Content 2025'!Q46</f>
        <v>24174</v>
      </c>
      <c r="S80" s="300">
        <f>+'Content 2025'!R46</f>
        <v>24174</v>
      </c>
      <c r="T80" s="300">
        <f>+'Content 2025'!S46</f>
        <v>24174</v>
      </c>
      <c r="U80" s="300">
        <f>+'Content 2025'!T46</f>
        <v>24174</v>
      </c>
      <c r="V80" s="300">
        <f>+'Content 2025'!U46</f>
        <v>24174</v>
      </c>
      <c r="W80" s="300">
        <f>+'Content 2025'!V46</f>
        <v>24174</v>
      </c>
      <c r="X80" s="300">
        <f>+'Content 2025'!W46</f>
        <v>24174</v>
      </c>
      <c r="Y80" s="300">
        <f>+'Content 2025'!X46</f>
        <v>24174</v>
      </c>
      <c r="Z80" s="300">
        <f>+'Content 2025'!Y46</f>
        <v>24174</v>
      </c>
      <c r="AA80" s="300">
        <f>+'Content 2025'!Z46</f>
        <v>24174</v>
      </c>
      <c r="AB80" s="300">
        <f>+'Content 2025'!AA46</f>
        <v>24174</v>
      </c>
      <c r="AC80" s="301">
        <f t="shared" si="28"/>
        <v>1</v>
      </c>
      <c r="AD80" s="511">
        <f t="shared" si="29"/>
        <v>14876.307692307695</v>
      </c>
      <c r="AE80" s="300">
        <f t="shared" si="30"/>
        <v>1239.6923076923076</v>
      </c>
      <c r="AF80" s="300">
        <f t="shared" si="31"/>
        <v>1239.6923076923076</v>
      </c>
      <c r="AG80" s="300">
        <f t="shared" si="32"/>
        <v>1239.6923076923076</v>
      </c>
      <c r="AH80" s="300">
        <f t="shared" si="33"/>
        <v>1239.6923076923076</v>
      </c>
      <c r="AI80" s="300">
        <f t="shared" si="34"/>
        <v>1239.6923076923076</v>
      </c>
      <c r="AJ80" s="300">
        <f t="shared" si="35"/>
        <v>1239.6923076923076</v>
      </c>
      <c r="AK80" s="300">
        <f t="shared" si="36"/>
        <v>1239.6923076923076</v>
      </c>
      <c r="AL80" s="300">
        <f t="shared" si="37"/>
        <v>1239.6923076923076</v>
      </c>
      <c r="AM80" s="300">
        <f t="shared" si="38"/>
        <v>1239.6923076923076</v>
      </c>
      <c r="AN80" s="300">
        <f t="shared" si="39"/>
        <v>1239.6923076923076</v>
      </c>
      <c r="AO80" s="300">
        <f t="shared" si="40"/>
        <v>1239.6923076923076</v>
      </c>
      <c r="AP80" s="300">
        <f t="shared" si="41"/>
        <v>1239.6923076923076</v>
      </c>
    </row>
    <row r="81" spans="2:42" hidden="1">
      <c r="B81" t="str">
        <f>+'Marketing 2025'!A6</f>
        <v>CREC</v>
      </c>
      <c r="C81" t="str">
        <f>+'Marketing 2025'!B6</f>
        <v>Martha Gutierrez</v>
      </c>
      <c r="D81" s="191">
        <f>+'Marketing 2025'!C6</f>
        <v>1</v>
      </c>
      <c r="E81" s="191">
        <f>+'Marketing 2025'!D6</f>
        <v>0</v>
      </c>
      <c r="F81" s="191">
        <f>+'Marketing 2025'!E6</f>
        <v>0</v>
      </c>
      <c r="G81" s="191">
        <f>+'Marketing 2025'!F6</f>
        <v>0</v>
      </c>
      <c r="H81" t="str">
        <f>+'Marketing 2025'!G6</f>
        <v>Aquisition</v>
      </c>
      <c r="I81" t="str">
        <f>+'Marketing 2025'!H6</f>
        <v>Marketing spend APP</v>
      </c>
      <c r="J81" t="str">
        <f>+'Marketing 2025'!I6</f>
        <v xml:space="preserve">Spend divided into paid acquisition channels including: Facebook, Google UAC/Search, ASO, etc. </v>
      </c>
      <c r="K81" t="str">
        <f>+'Marketing 2025'!J6</f>
        <v>501.01.001</v>
      </c>
      <c r="L81" t="str">
        <f>+'Marketing 2025'!K6</f>
        <v>COSTO DE VENTA</v>
      </c>
      <c r="M81" t="str">
        <f>+'Marketing 2025'!L6</f>
        <v>CAC</v>
      </c>
      <c r="N81" t="str">
        <f>+'Marketing 2025'!M6</f>
        <v>USD</v>
      </c>
      <c r="O81" s="300">
        <f>+'Marketing 2025'!N6</f>
        <v>2670000</v>
      </c>
      <c r="P81" s="300">
        <f>+'Marketing 2025'!O6</f>
        <v>2670000</v>
      </c>
      <c r="Q81" s="300">
        <f>+'Marketing 2025'!P6</f>
        <v>180000</v>
      </c>
      <c r="R81" s="300">
        <f>+'Marketing 2025'!Q6</f>
        <v>180000</v>
      </c>
      <c r="S81" s="300">
        <f>+'Marketing 2025'!R6</f>
        <v>180000</v>
      </c>
      <c r="T81" s="300">
        <f>+'Marketing 2025'!S6</f>
        <v>210000</v>
      </c>
      <c r="U81" s="300">
        <f>+'Marketing 2025'!T6</f>
        <v>210000</v>
      </c>
      <c r="V81" s="300">
        <f>+'Marketing 2025'!U6</f>
        <v>210000</v>
      </c>
      <c r="W81" s="300">
        <f>+'Marketing 2025'!V6</f>
        <v>250000</v>
      </c>
      <c r="X81" s="300">
        <f>+'Marketing 2025'!W6</f>
        <v>250000</v>
      </c>
      <c r="Y81" s="300">
        <f>+'Marketing 2025'!X6</f>
        <v>250000</v>
      </c>
      <c r="Z81" s="300">
        <f>+'Marketing 2025'!Y6</f>
        <v>250000</v>
      </c>
      <c r="AA81" s="300">
        <f>+'Marketing 2025'!Z6</f>
        <v>250000</v>
      </c>
      <c r="AB81" s="300">
        <f>+'Marketing 2025'!AA6</f>
        <v>250000</v>
      </c>
      <c r="AC81" s="301">
        <f t="shared" si="28"/>
        <v>1</v>
      </c>
      <c r="AD81" s="511">
        <f t="shared" si="29"/>
        <v>2670000</v>
      </c>
      <c r="AE81" s="300">
        <f t="shared" si="30"/>
        <v>180000</v>
      </c>
      <c r="AF81" s="300">
        <f t="shared" si="31"/>
        <v>180000</v>
      </c>
      <c r="AG81" s="300">
        <f t="shared" si="32"/>
        <v>180000</v>
      </c>
      <c r="AH81" s="300">
        <f t="shared" si="33"/>
        <v>210000</v>
      </c>
      <c r="AI81" s="300">
        <f t="shared" si="34"/>
        <v>210000</v>
      </c>
      <c r="AJ81" s="300">
        <f t="shared" si="35"/>
        <v>210000</v>
      </c>
      <c r="AK81" s="300">
        <f t="shared" si="36"/>
        <v>250000</v>
      </c>
      <c r="AL81" s="300">
        <f t="shared" si="37"/>
        <v>250000</v>
      </c>
      <c r="AM81" s="300">
        <f t="shared" si="38"/>
        <v>250000</v>
      </c>
      <c r="AN81" s="300">
        <f t="shared" si="39"/>
        <v>250000</v>
      </c>
      <c r="AO81" s="300">
        <f t="shared" si="40"/>
        <v>250000</v>
      </c>
      <c r="AP81" s="300">
        <f t="shared" si="41"/>
        <v>250000</v>
      </c>
    </row>
    <row r="82" spans="2:42" hidden="1">
      <c r="B82" t="str">
        <f>+'Marketing 2025'!A7</f>
        <v>CREC</v>
      </c>
      <c r="C82" t="str">
        <f>+'Marketing 2025'!B7</f>
        <v>Martha Gutierrez</v>
      </c>
      <c r="D82" s="191">
        <f>+'Marketing 2025'!C7</f>
        <v>0</v>
      </c>
      <c r="E82" s="191">
        <f>+'Marketing 2025'!D7</f>
        <v>1</v>
      </c>
      <c r="F82" s="191">
        <f>+'Marketing 2025'!E7</f>
        <v>0</v>
      </c>
      <c r="G82" s="191">
        <f>+'Marketing 2025'!F7</f>
        <v>0</v>
      </c>
      <c r="H82" t="str">
        <f>+'Marketing 2025'!G7</f>
        <v>Aquisition</v>
      </c>
      <c r="I82" t="str">
        <f>+'Marketing 2025'!H7</f>
        <v>Marketing spend OFF APP</v>
      </c>
      <c r="J82" t="str">
        <f>+'Marketing 2025'!I7</f>
        <v xml:space="preserve">Spend divided into paid acquisition channels including: Facebook, Google UAC/Search, ASO, etc. </v>
      </c>
      <c r="K82" t="str">
        <f>+'Marketing 2025'!J7</f>
        <v>501.01.001</v>
      </c>
      <c r="L82" t="str">
        <f>+'Marketing 2025'!K7</f>
        <v>COSTO DE VENTA</v>
      </c>
      <c r="M82" t="str">
        <f>+'Marketing 2025'!L7</f>
        <v>CAC</v>
      </c>
      <c r="N82" t="str">
        <f>+'Marketing 2025'!M7</f>
        <v>USD</v>
      </c>
      <c r="O82" s="300">
        <f>+'Marketing 2025'!N7</f>
        <v>69600</v>
      </c>
      <c r="P82" s="300">
        <f>+'Marketing 2025'!O7</f>
        <v>69600</v>
      </c>
      <c r="Q82" s="300">
        <f>+'Marketing 2025'!P7</f>
        <v>4000</v>
      </c>
      <c r="R82" s="300">
        <f>+'Marketing 2025'!Q7</f>
        <v>4000</v>
      </c>
      <c r="S82" s="300">
        <f>+'Marketing 2025'!R7</f>
        <v>4000</v>
      </c>
      <c r="T82" s="300">
        <f>+'Marketing 2025'!S7</f>
        <v>5400</v>
      </c>
      <c r="U82" s="300">
        <f>+'Marketing 2025'!T7</f>
        <v>5400</v>
      </c>
      <c r="V82" s="300">
        <f>+'Marketing 2025'!U7</f>
        <v>5400</v>
      </c>
      <c r="W82" s="300">
        <f>+'Marketing 2025'!V7</f>
        <v>6300</v>
      </c>
      <c r="X82" s="300">
        <f>+'Marketing 2025'!W7</f>
        <v>6300</v>
      </c>
      <c r="Y82" s="300">
        <f>+'Marketing 2025'!X7</f>
        <v>6300</v>
      </c>
      <c r="Z82" s="300">
        <f>+'Marketing 2025'!Y7</f>
        <v>7500</v>
      </c>
      <c r="AA82" s="300">
        <f>+'Marketing 2025'!Z7</f>
        <v>7500</v>
      </c>
      <c r="AB82" s="300">
        <f>+'Marketing 2025'!AA7</f>
        <v>7500</v>
      </c>
      <c r="AC82" s="301">
        <f t="shared" si="28"/>
        <v>1</v>
      </c>
      <c r="AD82" s="511">
        <f t="shared" si="29"/>
        <v>69600</v>
      </c>
      <c r="AE82" s="300">
        <f t="shared" si="30"/>
        <v>4000</v>
      </c>
      <c r="AF82" s="300">
        <f t="shared" si="31"/>
        <v>4000</v>
      </c>
      <c r="AG82" s="300">
        <f t="shared" si="32"/>
        <v>4000</v>
      </c>
      <c r="AH82" s="300">
        <f t="shared" si="33"/>
        <v>5400</v>
      </c>
      <c r="AI82" s="300">
        <f t="shared" si="34"/>
        <v>5400</v>
      </c>
      <c r="AJ82" s="300">
        <f t="shared" si="35"/>
        <v>5400</v>
      </c>
      <c r="AK82" s="300">
        <f t="shared" si="36"/>
        <v>6300</v>
      </c>
      <c r="AL82" s="300">
        <f t="shared" si="37"/>
        <v>6300</v>
      </c>
      <c r="AM82" s="300">
        <f t="shared" si="38"/>
        <v>6300</v>
      </c>
      <c r="AN82" s="300">
        <f t="shared" si="39"/>
        <v>7500</v>
      </c>
      <c r="AO82" s="300">
        <f t="shared" si="40"/>
        <v>7500</v>
      </c>
      <c r="AP82" s="300">
        <f t="shared" si="41"/>
        <v>7500</v>
      </c>
    </row>
    <row r="83" spans="2:42" hidden="1">
      <c r="B83" t="str">
        <f>+'Marketing 2025'!A38</f>
        <v>CREC</v>
      </c>
      <c r="C83" t="str">
        <f>+'Marketing 2025'!B38</f>
        <v>Martha Gutierrez</v>
      </c>
      <c r="D83" s="191">
        <f>+'Marketing 2025'!C38</f>
        <v>0</v>
      </c>
      <c r="E83" s="191">
        <f>+'Marketing 2025'!D38</f>
        <v>0</v>
      </c>
      <c r="F83" s="191">
        <f>+'Marketing 2025'!E38</f>
        <v>0</v>
      </c>
      <c r="G83" s="191">
        <f>+'Marketing 2025'!F38</f>
        <v>1</v>
      </c>
      <c r="H83" t="str">
        <f>+'Marketing 2025'!G38</f>
        <v>Hotel</v>
      </c>
      <c r="I83" t="str">
        <f>+'Marketing 2025'!H38</f>
        <v>Multiple</v>
      </c>
      <c r="J83">
        <f>+'Marketing 2025'!I38</f>
        <v>0</v>
      </c>
      <c r="K83" t="str">
        <f>+'Marketing 2025'!J38</f>
        <v>603.49.001</v>
      </c>
      <c r="L83" t="str">
        <f>+'Marketing 2025'!K38</f>
        <v>Viaticos Hotel</v>
      </c>
      <c r="M83" t="str">
        <f>+'Marketing 2025'!L38</f>
        <v>Gastos de Viaje</v>
      </c>
      <c r="N83" t="str">
        <f>+'Marketing 2025'!M38</f>
        <v>MXN</v>
      </c>
      <c r="O83" s="300">
        <f>+'Marketing 2025'!N38</f>
        <v>0</v>
      </c>
      <c r="P83" s="300">
        <f>+'Marketing 2025'!O38</f>
        <v>0</v>
      </c>
      <c r="Q83" s="300">
        <f>+'Marketing 2025'!P38</f>
        <v>0</v>
      </c>
      <c r="R83" s="300">
        <f>+'Marketing 2025'!Q38</f>
        <v>0</v>
      </c>
      <c r="S83" s="300">
        <f>+'Marketing 2025'!R38</f>
        <v>0</v>
      </c>
      <c r="T83" s="300">
        <f>+'Marketing 2025'!S38</f>
        <v>0</v>
      </c>
      <c r="U83" s="300">
        <f>+'Marketing 2025'!T38</f>
        <v>0</v>
      </c>
      <c r="V83" s="300">
        <f>+'Marketing 2025'!U38</f>
        <v>0</v>
      </c>
      <c r="W83" s="300">
        <f>+'Marketing 2025'!V38</f>
        <v>0</v>
      </c>
      <c r="X83" s="300">
        <f>+'Marketing 2025'!W38</f>
        <v>0</v>
      </c>
      <c r="Y83" s="300">
        <f>+'Marketing 2025'!X38</f>
        <v>0</v>
      </c>
      <c r="Z83" s="300">
        <f>+'Marketing 2025'!Y38</f>
        <v>0</v>
      </c>
      <c r="AA83" s="300">
        <f>+'Marketing 2025'!Z38</f>
        <v>0</v>
      </c>
      <c r="AB83" s="300">
        <f>+'Marketing 2025'!AA38</f>
        <v>0</v>
      </c>
      <c r="AC83" s="301">
        <f t="shared" si="28"/>
        <v>1</v>
      </c>
      <c r="AD83" s="511">
        <f t="shared" si="29"/>
        <v>0</v>
      </c>
      <c r="AE83" s="300">
        <f t="shared" si="30"/>
        <v>0</v>
      </c>
      <c r="AF83" s="300">
        <f t="shared" si="31"/>
        <v>0</v>
      </c>
      <c r="AG83" s="300">
        <f t="shared" si="32"/>
        <v>0</v>
      </c>
      <c r="AH83" s="300">
        <f t="shared" si="33"/>
        <v>0</v>
      </c>
      <c r="AI83" s="300">
        <f t="shared" si="34"/>
        <v>0</v>
      </c>
      <c r="AJ83" s="300">
        <f t="shared" si="35"/>
        <v>0</v>
      </c>
      <c r="AK83" s="300">
        <f t="shared" si="36"/>
        <v>0</v>
      </c>
      <c r="AL83" s="300">
        <f t="shared" si="37"/>
        <v>0</v>
      </c>
      <c r="AM83" s="300">
        <f t="shared" si="38"/>
        <v>0</v>
      </c>
      <c r="AN83" s="300">
        <f t="shared" si="39"/>
        <v>0</v>
      </c>
      <c r="AO83" s="300">
        <f t="shared" si="40"/>
        <v>0</v>
      </c>
      <c r="AP83" s="300">
        <f t="shared" si="41"/>
        <v>0</v>
      </c>
    </row>
    <row r="84" spans="2:42" hidden="1">
      <c r="B84" t="str">
        <f>+'Marketing 2025'!A39</f>
        <v>CREC</v>
      </c>
      <c r="C84" t="str">
        <f>+'Marketing 2025'!B39</f>
        <v>Martha Gutierrez</v>
      </c>
      <c r="D84" s="191">
        <f>+'Marketing 2025'!C39</f>
        <v>0</v>
      </c>
      <c r="E84" s="191">
        <f>+'Marketing 2025'!D39</f>
        <v>0</v>
      </c>
      <c r="F84" s="191">
        <f>+'Marketing 2025'!E39</f>
        <v>0</v>
      </c>
      <c r="G84" s="191">
        <f>+'Marketing 2025'!F39</f>
        <v>1</v>
      </c>
      <c r="H84" t="str">
        <f>+'Marketing 2025'!G39</f>
        <v>Taxi</v>
      </c>
      <c r="I84" t="str">
        <f>+'Marketing 2025'!H39</f>
        <v>Multiple</v>
      </c>
      <c r="J84">
        <f>+'Marketing 2025'!I39</f>
        <v>0</v>
      </c>
      <c r="K84" t="str">
        <f>+'Marketing 2025'!J39</f>
        <v>603.49.002</v>
      </c>
      <c r="L84" t="str">
        <f>+'Marketing 2025'!K39</f>
        <v>Vaticos Taxi</v>
      </c>
      <c r="M84" t="str">
        <f>+'Marketing 2025'!L39</f>
        <v>Gastos de Viaje</v>
      </c>
      <c r="N84" t="str">
        <f>+'Marketing 2025'!M39</f>
        <v>MXN</v>
      </c>
      <c r="O84" s="300">
        <f>+'Marketing 2025'!N39</f>
        <v>0</v>
      </c>
      <c r="P84" s="300">
        <f>+'Marketing 2025'!O39</f>
        <v>0</v>
      </c>
      <c r="Q84" s="300">
        <f>+'Marketing 2025'!P39</f>
        <v>0</v>
      </c>
      <c r="R84" s="300">
        <f>+'Marketing 2025'!Q39</f>
        <v>0</v>
      </c>
      <c r="S84" s="300">
        <f>+'Marketing 2025'!R39</f>
        <v>0</v>
      </c>
      <c r="T84" s="300">
        <f>+'Marketing 2025'!S39</f>
        <v>0</v>
      </c>
      <c r="U84" s="300">
        <f>+'Marketing 2025'!T39</f>
        <v>0</v>
      </c>
      <c r="V84" s="300">
        <f>+'Marketing 2025'!U39</f>
        <v>0</v>
      </c>
      <c r="W84" s="300">
        <f>+'Marketing 2025'!V39</f>
        <v>0</v>
      </c>
      <c r="X84" s="300">
        <f>+'Marketing 2025'!W39</f>
        <v>0</v>
      </c>
      <c r="Y84" s="300">
        <f>+'Marketing 2025'!X39</f>
        <v>0</v>
      </c>
      <c r="Z84" s="300">
        <f>+'Marketing 2025'!Y39</f>
        <v>0</v>
      </c>
      <c r="AA84" s="300">
        <f>+'Marketing 2025'!Z39</f>
        <v>0</v>
      </c>
      <c r="AB84" s="300">
        <f>+'Marketing 2025'!AA39</f>
        <v>0</v>
      </c>
      <c r="AC84" s="301">
        <f t="shared" si="28"/>
        <v>1</v>
      </c>
      <c r="AD84" s="511">
        <f t="shared" si="29"/>
        <v>0</v>
      </c>
      <c r="AE84" s="300">
        <f t="shared" si="30"/>
        <v>0</v>
      </c>
      <c r="AF84" s="300">
        <f t="shared" si="31"/>
        <v>0</v>
      </c>
      <c r="AG84" s="300">
        <f t="shared" si="32"/>
        <v>0</v>
      </c>
      <c r="AH84" s="300">
        <f t="shared" si="33"/>
        <v>0</v>
      </c>
      <c r="AI84" s="300">
        <f t="shared" si="34"/>
        <v>0</v>
      </c>
      <c r="AJ84" s="300">
        <f t="shared" si="35"/>
        <v>0</v>
      </c>
      <c r="AK84" s="300">
        <f t="shared" si="36"/>
        <v>0</v>
      </c>
      <c r="AL84" s="300">
        <f t="shared" si="37"/>
        <v>0</v>
      </c>
      <c r="AM84" s="300">
        <f t="shared" si="38"/>
        <v>0</v>
      </c>
      <c r="AN84" s="300">
        <f t="shared" si="39"/>
        <v>0</v>
      </c>
      <c r="AO84" s="300">
        <f t="shared" si="40"/>
        <v>0</v>
      </c>
      <c r="AP84" s="300">
        <f t="shared" si="41"/>
        <v>0</v>
      </c>
    </row>
    <row r="85" spans="2:42" hidden="1">
      <c r="B85" t="str">
        <f>+'Marketing 2025'!A40</f>
        <v>CREC</v>
      </c>
      <c r="C85" t="str">
        <f>+'Marketing 2025'!B40</f>
        <v>Martha Gutierrez</v>
      </c>
      <c r="D85" s="191">
        <f>+'Marketing 2025'!C40</f>
        <v>0</v>
      </c>
      <c r="E85" s="191">
        <f>+'Marketing 2025'!D40</f>
        <v>0</v>
      </c>
      <c r="F85" s="191">
        <f>+'Marketing 2025'!E40</f>
        <v>0</v>
      </c>
      <c r="G85" s="191">
        <f>+'Marketing 2025'!F40</f>
        <v>1</v>
      </c>
      <c r="H85" t="str">
        <f>+'Marketing 2025'!G40</f>
        <v>Plane</v>
      </c>
      <c r="I85" t="str">
        <f>+'Marketing 2025'!H40</f>
        <v>Multiple</v>
      </c>
      <c r="J85">
        <f>+'Marketing 2025'!I40</f>
        <v>0</v>
      </c>
      <c r="K85" t="str">
        <f>+'Marketing 2025'!J40</f>
        <v>603.49.003</v>
      </c>
      <c r="L85" t="str">
        <f>+'Marketing 2025'!K40</f>
        <v>Viaticos Avion</v>
      </c>
      <c r="M85" t="str">
        <f>+'Marketing 2025'!L40</f>
        <v>Gastos de Viaje</v>
      </c>
      <c r="N85" t="str">
        <f>+'Marketing 2025'!M40</f>
        <v>MXN</v>
      </c>
      <c r="O85" s="300">
        <f>+'Marketing 2025'!N40</f>
        <v>0</v>
      </c>
      <c r="P85" s="300">
        <f>+'Marketing 2025'!O40</f>
        <v>0</v>
      </c>
      <c r="Q85" s="300">
        <f>+'Marketing 2025'!P40</f>
        <v>0</v>
      </c>
      <c r="R85" s="300">
        <f>+'Marketing 2025'!Q40</f>
        <v>0</v>
      </c>
      <c r="S85" s="300">
        <f>+'Marketing 2025'!R40</f>
        <v>0</v>
      </c>
      <c r="T85" s="300">
        <f>+'Marketing 2025'!S40</f>
        <v>0</v>
      </c>
      <c r="U85" s="300">
        <f>+'Marketing 2025'!T40</f>
        <v>0</v>
      </c>
      <c r="V85" s="300">
        <f>+'Marketing 2025'!U40</f>
        <v>0</v>
      </c>
      <c r="W85" s="300">
        <f>+'Marketing 2025'!V40</f>
        <v>0</v>
      </c>
      <c r="X85" s="300">
        <f>+'Marketing 2025'!W40</f>
        <v>0</v>
      </c>
      <c r="Y85" s="300">
        <f>+'Marketing 2025'!X40</f>
        <v>0</v>
      </c>
      <c r="Z85" s="300">
        <f>+'Marketing 2025'!Y40</f>
        <v>0</v>
      </c>
      <c r="AA85" s="300">
        <f>+'Marketing 2025'!Z40</f>
        <v>0</v>
      </c>
      <c r="AB85" s="300">
        <f>+'Marketing 2025'!AA40</f>
        <v>0</v>
      </c>
      <c r="AC85" s="301">
        <f t="shared" si="28"/>
        <v>1</v>
      </c>
      <c r="AD85" s="511">
        <f t="shared" si="29"/>
        <v>0</v>
      </c>
      <c r="AE85" s="300">
        <f t="shared" si="30"/>
        <v>0</v>
      </c>
      <c r="AF85" s="300">
        <f t="shared" si="31"/>
        <v>0</v>
      </c>
      <c r="AG85" s="300">
        <f t="shared" si="32"/>
        <v>0</v>
      </c>
      <c r="AH85" s="300">
        <f t="shared" si="33"/>
        <v>0</v>
      </c>
      <c r="AI85" s="300">
        <f t="shared" si="34"/>
        <v>0</v>
      </c>
      <c r="AJ85" s="300">
        <f t="shared" si="35"/>
        <v>0</v>
      </c>
      <c r="AK85" s="300">
        <f t="shared" si="36"/>
        <v>0</v>
      </c>
      <c r="AL85" s="300">
        <f t="shared" si="37"/>
        <v>0</v>
      </c>
      <c r="AM85" s="300">
        <f t="shared" si="38"/>
        <v>0</v>
      </c>
      <c r="AN85" s="300">
        <f t="shared" si="39"/>
        <v>0</v>
      </c>
      <c r="AO85" s="300">
        <f t="shared" si="40"/>
        <v>0</v>
      </c>
      <c r="AP85" s="300">
        <f t="shared" si="41"/>
        <v>0</v>
      </c>
    </row>
    <row r="86" spans="2:42" hidden="1">
      <c r="B86" t="str">
        <f>+'Marketing 2025'!A41</f>
        <v>CREC</v>
      </c>
      <c r="C86" t="str">
        <f>+'Marketing 2025'!B41</f>
        <v>Martha Gutierrez</v>
      </c>
      <c r="D86" s="191">
        <f>+'Marketing 2025'!C41</f>
        <v>0</v>
      </c>
      <c r="E86" s="191">
        <f>+'Marketing 2025'!D41</f>
        <v>0</v>
      </c>
      <c r="F86" s="191">
        <f>+'Marketing 2025'!E41</f>
        <v>0</v>
      </c>
      <c r="G86" s="191">
        <f>+'Marketing 2025'!F41</f>
        <v>1</v>
      </c>
      <c r="H86" t="str">
        <f>+'Marketing 2025'!G41</f>
        <v>Food</v>
      </c>
      <c r="I86" t="str">
        <f>+'Marketing 2025'!H41</f>
        <v>Multiple</v>
      </c>
      <c r="J86">
        <f>+'Marketing 2025'!I41</f>
        <v>0</v>
      </c>
      <c r="K86" t="str">
        <f>+'Marketing 2025'!J41</f>
        <v>603.49.004</v>
      </c>
      <c r="L86" t="str">
        <f>+'Marketing 2025'!K41</f>
        <v>Viaticos Comidas</v>
      </c>
      <c r="M86" t="str">
        <f>+'Marketing 2025'!L41</f>
        <v>Gastos de Viaje</v>
      </c>
      <c r="N86" t="str">
        <f>+'Marketing 2025'!M41</f>
        <v>MXN</v>
      </c>
      <c r="O86" s="300">
        <f>+'Marketing 2025'!N41</f>
        <v>0</v>
      </c>
      <c r="P86" s="300">
        <f>+'Marketing 2025'!O41</f>
        <v>0</v>
      </c>
      <c r="Q86" s="300">
        <f>+'Marketing 2025'!P41</f>
        <v>0</v>
      </c>
      <c r="R86" s="300">
        <f>+'Marketing 2025'!Q41</f>
        <v>0</v>
      </c>
      <c r="S86" s="300">
        <f>+'Marketing 2025'!R41</f>
        <v>0</v>
      </c>
      <c r="T86" s="300">
        <f>+'Marketing 2025'!S41</f>
        <v>0</v>
      </c>
      <c r="U86" s="300">
        <f>+'Marketing 2025'!T41</f>
        <v>0</v>
      </c>
      <c r="V86" s="300">
        <f>+'Marketing 2025'!U41</f>
        <v>0</v>
      </c>
      <c r="W86" s="300">
        <f>+'Marketing 2025'!V41</f>
        <v>0</v>
      </c>
      <c r="X86" s="300">
        <f>+'Marketing 2025'!W41</f>
        <v>0</v>
      </c>
      <c r="Y86" s="300">
        <f>+'Marketing 2025'!X41</f>
        <v>0</v>
      </c>
      <c r="Z86" s="300">
        <f>+'Marketing 2025'!Y41</f>
        <v>0</v>
      </c>
      <c r="AA86" s="300">
        <f>+'Marketing 2025'!Z41</f>
        <v>0</v>
      </c>
      <c r="AB86" s="300">
        <f>+'Marketing 2025'!AA41</f>
        <v>0</v>
      </c>
      <c r="AC86" s="301">
        <f t="shared" si="28"/>
        <v>1</v>
      </c>
      <c r="AD86" s="511">
        <f t="shared" si="29"/>
        <v>0</v>
      </c>
      <c r="AE86" s="300">
        <f t="shared" si="30"/>
        <v>0</v>
      </c>
      <c r="AF86" s="300">
        <f t="shared" si="31"/>
        <v>0</v>
      </c>
      <c r="AG86" s="300">
        <f t="shared" si="32"/>
        <v>0</v>
      </c>
      <c r="AH86" s="300">
        <f t="shared" si="33"/>
        <v>0</v>
      </c>
      <c r="AI86" s="300">
        <f t="shared" si="34"/>
        <v>0</v>
      </c>
      <c r="AJ86" s="300">
        <f t="shared" si="35"/>
        <v>0</v>
      </c>
      <c r="AK86" s="300">
        <f t="shared" si="36"/>
        <v>0</v>
      </c>
      <c r="AL86" s="300">
        <f t="shared" si="37"/>
        <v>0</v>
      </c>
      <c r="AM86" s="300">
        <f t="shared" si="38"/>
        <v>0</v>
      </c>
      <c r="AN86" s="300">
        <f t="shared" si="39"/>
        <v>0</v>
      </c>
      <c r="AO86" s="300">
        <f t="shared" si="40"/>
        <v>0</v>
      </c>
      <c r="AP86" s="300">
        <f t="shared" si="41"/>
        <v>0</v>
      </c>
    </row>
    <row r="87" spans="2:42" hidden="1">
      <c r="B87" t="str">
        <f>+'Marketing 2025'!A43</f>
        <v>CREC</v>
      </c>
      <c r="C87" t="str">
        <f>+'Marketing 2025'!B43</f>
        <v>Martha Gutierrez</v>
      </c>
      <c r="D87" s="191">
        <f>+'Marketing 2025'!C43</f>
        <v>0</v>
      </c>
      <c r="E87" s="191">
        <f>+'Marketing 2025'!D43</f>
        <v>0</v>
      </c>
      <c r="F87" s="191">
        <f>+'Marketing 2025'!E43</f>
        <v>0</v>
      </c>
      <c r="G87" s="191">
        <f>+'Marketing 2025'!F43</f>
        <v>0</v>
      </c>
      <c r="H87" t="str">
        <f>+'Marketing 2025'!G43</f>
        <v>Giftcards</v>
      </c>
      <c r="I87" t="str">
        <f>+'Marketing 2025'!H43</f>
        <v>Giftcards para CI</v>
      </c>
      <c r="J87" t="str">
        <f>+'Marketing 2025'!I43</f>
        <v>Gift cards para hacer CI studies</v>
      </c>
      <c r="K87" t="str">
        <f>+'Marketing 2025'!J43</f>
        <v>603.61.004</v>
      </c>
      <c r="L87" t="str">
        <f>+'Marketing 2025'!K43</f>
        <v>Promociones</v>
      </c>
      <c r="M87" t="str">
        <f>+'Marketing 2025'!L43</f>
        <v>Otros</v>
      </c>
      <c r="N87" t="str">
        <f>+'Marketing 2025'!M43</f>
        <v>USD</v>
      </c>
      <c r="O87" s="300">
        <f>+'Marketing 2025'!N43</f>
        <v>0</v>
      </c>
      <c r="P87" s="300">
        <f>+'Marketing 2025'!O43</f>
        <v>0</v>
      </c>
      <c r="Q87" s="300">
        <f>+'Marketing 2025'!P43</f>
        <v>0</v>
      </c>
      <c r="R87" s="300">
        <f>+'Marketing 2025'!Q43</f>
        <v>0</v>
      </c>
      <c r="S87" s="300">
        <f>+'Marketing 2025'!R43</f>
        <v>0</v>
      </c>
      <c r="T87" s="300">
        <f>+'Marketing 2025'!S43</f>
        <v>0</v>
      </c>
      <c r="U87" s="300">
        <f>+'Marketing 2025'!T43</f>
        <v>0</v>
      </c>
      <c r="V87" s="300">
        <f>+'Marketing 2025'!U43</f>
        <v>0</v>
      </c>
      <c r="W87" s="300">
        <f>+'Marketing 2025'!V43</f>
        <v>0</v>
      </c>
      <c r="X87" s="300">
        <f>+'Marketing 2025'!W43</f>
        <v>0</v>
      </c>
      <c r="Y87" s="300">
        <f>+'Marketing 2025'!X43</f>
        <v>0</v>
      </c>
      <c r="Z87" s="300">
        <f>+'Marketing 2025'!Y43</f>
        <v>0</v>
      </c>
      <c r="AA87" s="300">
        <f>+'Marketing 2025'!Z43</f>
        <v>0</v>
      </c>
      <c r="AB87" s="300">
        <f>+'Marketing 2025'!AA43</f>
        <v>0</v>
      </c>
      <c r="AC87" s="301">
        <f t="shared" si="28"/>
        <v>1</v>
      </c>
      <c r="AD87" s="511">
        <f t="shared" si="29"/>
        <v>0</v>
      </c>
      <c r="AE87" s="300">
        <f t="shared" si="30"/>
        <v>0</v>
      </c>
      <c r="AF87" s="300">
        <f t="shared" si="31"/>
        <v>0</v>
      </c>
      <c r="AG87" s="300">
        <f t="shared" si="32"/>
        <v>0</v>
      </c>
      <c r="AH87" s="300">
        <f t="shared" si="33"/>
        <v>0</v>
      </c>
      <c r="AI87" s="300">
        <f t="shared" si="34"/>
        <v>0</v>
      </c>
      <c r="AJ87" s="300">
        <f t="shared" si="35"/>
        <v>0</v>
      </c>
      <c r="AK87" s="300">
        <f t="shared" si="36"/>
        <v>0</v>
      </c>
      <c r="AL87" s="300">
        <f t="shared" si="37"/>
        <v>0</v>
      </c>
      <c r="AM87" s="300">
        <f t="shared" si="38"/>
        <v>0</v>
      </c>
      <c r="AN87" s="300">
        <f t="shared" si="39"/>
        <v>0</v>
      </c>
      <c r="AO87" s="300">
        <f t="shared" si="40"/>
        <v>0</v>
      </c>
      <c r="AP87" s="300">
        <f t="shared" si="41"/>
        <v>0</v>
      </c>
    </row>
    <row r="88" spans="2:42" hidden="1">
      <c r="B88" t="str">
        <f>+'Marketing 2025'!A10</f>
        <v>CREC</v>
      </c>
      <c r="C88" t="str">
        <f>+'Marketing 2025'!B10</f>
        <v>Martha Gutierrez</v>
      </c>
      <c r="D88" s="191">
        <f>+'Marketing 2025'!C10</f>
        <v>0.8</v>
      </c>
      <c r="E88" s="191">
        <f>+'Marketing 2025'!D10</f>
        <v>0.2</v>
      </c>
      <c r="F88" s="191">
        <f>+'Marketing 2025'!E10</f>
        <v>0</v>
      </c>
      <c r="G88" s="191">
        <f>+'Marketing 2025'!F10</f>
        <v>0</v>
      </c>
      <c r="H88" t="str">
        <f>+'Marketing 2025'!G10</f>
        <v>Tools</v>
      </c>
      <c r="I88" t="str">
        <f>+'Marketing 2025'!H10</f>
        <v>Adobe</v>
      </c>
      <c r="J88" t="str">
        <f>+'Marketing 2025'!I10</f>
        <v>Licencia Adobe MKT</v>
      </c>
      <c r="K88" t="str">
        <f>+'Marketing 2025'!J10</f>
        <v>603.64.001</v>
      </c>
      <c r="L88" t="str">
        <f>+'Marketing 2025'!K10</f>
        <v>Servicios de Informatica</v>
      </c>
      <c r="M88" t="str">
        <f>+'Marketing 2025'!L10</f>
        <v>Servicios</v>
      </c>
      <c r="N88" t="str">
        <f>+'Marketing 2025'!M10</f>
        <v>MXN</v>
      </c>
      <c r="O88" s="300">
        <f>+'Marketing 2025'!N10</f>
        <v>707.07692307692309</v>
      </c>
      <c r="P88" s="300">
        <f>+'Marketing 2025'!O10</f>
        <v>13788</v>
      </c>
      <c r="Q88" s="300">
        <f>+'Marketing 2025'!P10</f>
        <v>0</v>
      </c>
      <c r="R88" s="300">
        <f>+'Marketing 2025'!Q10</f>
        <v>0</v>
      </c>
      <c r="S88" s="300">
        <f>+'Marketing 2025'!R10</f>
        <v>0</v>
      </c>
      <c r="T88" s="300">
        <f>+'Marketing 2025'!S10</f>
        <v>0</v>
      </c>
      <c r="U88" s="300">
        <f>+'Marketing 2025'!T10</f>
        <v>0</v>
      </c>
      <c r="V88" s="300">
        <f>+'Marketing 2025'!U10</f>
        <v>0</v>
      </c>
      <c r="W88" s="300">
        <f>+'Marketing 2025'!V10</f>
        <v>0</v>
      </c>
      <c r="X88" s="300">
        <f>+'Marketing 2025'!W10</f>
        <v>0</v>
      </c>
      <c r="Y88" s="300">
        <f>+'Marketing 2025'!X10</f>
        <v>0</v>
      </c>
      <c r="Z88" s="300">
        <f>+'Marketing 2025'!Y10</f>
        <v>13788</v>
      </c>
      <c r="AA88" s="300">
        <f>+'Marketing 2025'!Z10</f>
        <v>0</v>
      </c>
      <c r="AB88" s="300">
        <f>+'Marketing 2025'!AA10</f>
        <v>0</v>
      </c>
      <c r="AC88" s="301">
        <f t="shared" si="28"/>
        <v>1</v>
      </c>
      <c r="AD88" s="511">
        <f t="shared" si="29"/>
        <v>707.07692307692309</v>
      </c>
      <c r="AE88" s="300">
        <f t="shared" si="30"/>
        <v>0</v>
      </c>
      <c r="AF88" s="300">
        <f t="shared" si="31"/>
        <v>0</v>
      </c>
      <c r="AG88" s="300">
        <f t="shared" si="32"/>
        <v>0</v>
      </c>
      <c r="AH88" s="300">
        <f t="shared" si="33"/>
        <v>0</v>
      </c>
      <c r="AI88" s="300">
        <f t="shared" si="34"/>
        <v>0</v>
      </c>
      <c r="AJ88" s="300">
        <f t="shared" si="35"/>
        <v>0</v>
      </c>
      <c r="AK88" s="300">
        <f t="shared" si="36"/>
        <v>0</v>
      </c>
      <c r="AL88" s="300">
        <f t="shared" si="37"/>
        <v>0</v>
      </c>
      <c r="AM88" s="300">
        <f t="shared" si="38"/>
        <v>0</v>
      </c>
      <c r="AN88" s="300">
        <f t="shared" si="39"/>
        <v>707.07692307692309</v>
      </c>
      <c r="AO88" s="300">
        <f t="shared" si="40"/>
        <v>0</v>
      </c>
      <c r="AP88" s="300">
        <f t="shared" si="41"/>
        <v>0</v>
      </c>
    </row>
    <row r="89" spans="2:42" hidden="1">
      <c r="B89" t="str">
        <f>+'Marketing 2025'!A11</f>
        <v>CREC</v>
      </c>
      <c r="C89" t="str">
        <f>+'Marketing 2025'!B11</f>
        <v>Martha Gutierrez</v>
      </c>
      <c r="D89" s="191">
        <f>+'Marketing 2025'!C11</f>
        <v>0.8</v>
      </c>
      <c r="E89" s="191">
        <f>+'Marketing 2025'!D11</f>
        <v>0.2</v>
      </c>
      <c r="F89" s="191">
        <f>+'Marketing 2025'!E11</f>
        <v>0</v>
      </c>
      <c r="G89" s="191">
        <f>+'Marketing 2025'!F11</f>
        <v>0</v>
      </c>
      <c r="H89" t="str">
        <f>+'Marketing 2025'!G11</f>
        <v>Tools</v>
      </c>
      <c r="I89" t="str">
        <f>+'Marketing 2025'!H11</f>
        <v>Supermetrics</v>
      </c>
      <c r="J89" t="str">
        <f>+'Marketing 2025'!I11</f>
        <v>Licencia para pasar datos de back a Google Data Studio</v>
      </c>
      <c r="K89" t="str">
        <f>+'Marketing 2025'!J11</f>
        <v>603.64.001</v>
      </c>
      <c r="L89" t="str">
        <f>+'Marketing 2025'!K11</f>
        <v>Servicios de Informatica</v>
      </c>
      <c r="M89" t="str">
        <f>+'Marketing 2025'!L11</f>
        <v>Servicios</v>
      </c>
      <c r="N89" t="str">
        <f>+'Marketing 2025'!M11</f>
        <v>USD</v>
      </c>
      <c r="O89" s="300">
        <f>+'Marketing 2025'!N11</f>
        <v>1044</v>
      </c>
      <c r="P89" s="300">
        <f>+'Marketing 2025'!O11</f>
        <v>1044</v>
      </c>
      <c r="Q89" s="300">
        <f>+'Marketing 2025'!P11</f>
        <v>87</v>
      </c>
      <c r="R89" s="300">
        <f>+'Marketing 2025'!Q11</f>
        <v>87</v>
      </c>
      <c r="S89" s="300">
        <f>+'Marketing 2025'!R11</f>
        <v>87</v>
      </c>
      <c r="T89" s="300">
        <f>+'Marketing 2025'!S11</f>
        <v>87</v>
      </c>
      <c r="U89" s="300">
        <f>+'Marketing 2025'!T11</f>
        <v>87</v>
      </c>
      <c r="V89" s="300">
        <f>+'Marketing 2025'!U11</f>
        <v>87</v>
      </c>
      <c r="W89" s="300">
        <f>+'Marketing 2025'!V11</f>
        <v>87</v>
      </c>
      <c r="X89" s="300">
        <f>+'Marketing 2025'!W11</f>
        <v>87</v>
      </c>
      <c r="Y89" s="300">
        <f>+'Marketing 2025'!X11</f>
        <v>87</v>
      </c>
      <c r="Z89" s="300">
        <f>+'Marketing 2025'!Y11</f>
        <v>87</v>
      </c>
      <c r="AA89" s="300">
        <f>+'Marketing 2025'!Z11</f>
        <v>87</v>
      </c>
      <c r="AB89" s="300">
        <f>+'Marketing 2025'!AA11</f>
        <v>87</v>
      </c>
      <c r="AC89" s="301">
        <f t="shared" si="28"/>
        <v>1</v>
      </c>
      <c r="AD89" s="511">
        <f t="shared" si="29"/>
        <v>1044</v>
      </c>
      <c r="AE89" s="300">
        <f t="shared" si="30"/>
        <v>87</v>
      </c>
      <c r="AF89" s="300">
        <f t="shared" si="31"/>
        <v>87</v>
      </c>
      <c r="AG89" s="300">
        <f t="shared" si="32"/>
        <v>87</v>
      </c>
      <c r="AH89" s="300">
        <f t="shared" si="33"/>
        <v>87</v>
      </c>
      <c r="AI89" s="300">
        <f t="shared" si="34"/>
        <v>87</v>
      </c>
      <c r="AJ89" s="300">
        <f t="shared" si="35"/>
        <v>87</v>
      </c>
      <c r="AK89" s="300">
        <f t="shared" si="36"/>
        <v>87</v>
      </c>
      <c r="AL89" s="300">
        <f t="shared" si="37"/>
        <v>87</v>
      </c>
      <c r="AM89" s="300">
        <f t="shared" si="38"/>
        <v>87</v>
      </c>
      <c r="AN89" s="300">
        <f t="shared" si="39"/>
        <v>87</v>
      </c>
      <c r="AO89" s="300">
        <f t="shared" si="40"/>
        <v>87</v>
      </c>
      <c r="AP89" s="300">
        <f t="shared" si="41"/>
        <v>87</v>
      </c>
    </row>
    <row r="90" spans="2:42" hidden="1">
      <c r="B90" t="str">
        <f>+'Marketing 2025'!A12</f>
        <v>CREC</v>
      </c>
      <c r="C90" t="str">
        <f>+'Marketing 2025'!B12</f>
        <v>Martha Gutierrez</v>
      </c>
      <c r="D90" s="191">
        <f>+'Marketing 2025'!C12</f>
        <v>0.8</v>
      </c>
      <c r="E90" s="191">
        <f>+'Marketing 2025'!D12</f>
        <v>0.2</v>
      </c>
      <c r="F90" s="191">
        <f>+'Marketing 2025'!E12</f>
        <v>0</v>
      </c>
      <c r="G90" s="191">
        <f>+'Marketing 2025'!F12</f>
        <v>0</v>
      </c>
      <c r="H90" t="str">
        <f>+'Marketing 2025'!G12</f>
        <v>Tools</v>
      </c>
      <c r="I90" t="str">
        <f>+'Marketing 2025'!H12</f>
        <v>Kochava</v>
      </c>
      <c r="J90" t="str">
        <f>+'Marketing 2025'!I12</f>
        <v>Pago por usuario (tracking + Smartlinks) - estimado porque es pay per use</v>
      </c>
      <c r="K90" t="str">
        <f>+'Marketing 2025'!J12</f>
        <v>603.64.001</v>
      </c>
      <c r="L90" t="str">
        <f>+'Marketing 2025'!K12</f>
        <v>Servicios de Informatica</v>
      </c>
      <c r="M90" t="str">
        <f>+'Marketing 2025'!L12</f>
        <v>Servicios</v>
      </c>
      <c r="N90" t="str">
        <f>+'Marketing 2025'!M12</f>
        <v>USD</v>
      </c>
      <c r="O90" s="300">
        <f>+'Marketing 2025'!N12</f>
        <v>9600</v>
      </c>
      <c r="P90" s="300">
        <f>+'Marketing 2025'!O12</f>
        <v>9600</v>
      </c>
      <c r="Q90" s="300">
        <f>+'Marketing 2025'!P12</f>
        <v>800</v>
      </c>
      <c r="R90" s="300">
        <f>+'Marketing 2025'!Q12</f>
        <v>800</v>
      </c>
      <c r="S90" s="300">
        <f>+'Marketing 2025'!R12</f>
        <v>800</v>
      </c>
      <c r="T90" s="300">
        <f>+'Marketing 2025'!S12</f>
        <v>800</v>
      </c>
      <c r="U90" s="300">
        <f>+'Marketing 2025'!T12</f>
        <v>800</v>
      </c>
      <c r="V90" s="300">
        <f>+'Marketing 2025'!U12</f>
        <v>800</v>
      </c>
      <c r="W90" s="300">
        <f>+'Marketing 2025'!V12</f>
        <v>800</v>
      </c>
      <c r="X90" s="300">
        <f>+'Marketing 2025'!W12</f>
        <v>800</v>
      </c>
      <c r="Y90" s="300">
        <f>+'Marketing 2025'!X12</f>
        <v>800</v>
      </c>
      <c r="Z90" s="300">
        <f>+'Marketing 2025'!Y12</f>
        <v>800</v>
      </c>
      <c r="AA90" s="300">
        <f>+'Marketing 2025'!Z12</f>
        <v>800</v>
      </c>
      <c r="AB90" s="300">
        <f>+'Marketing 2025'!AA12</f>
        <v>800</v>
      </c>
      <c r="AC90" s="301">
        <f t="shared" si="28"/>
        <v>1</v>
      </c>
      <c r="AD90" s="511">
        <f t="shared" si="29"/>
        <v>9600</v>
      </c>
      <c r="AE90" s="300">
        <f t="shared" si="30"/>
        <v>800</v>
      </c>
      <c r="AF90" s="300">
        <f t="shared" si="31"/>
        <v>800</v>
      </c>
      <c r="AG90" s="300">
        <f t="shared" si="32"/>
        <v>800</v>
      </c>
      <c r="AH90" s="300">
        <f t="shared" si="33"/>
        <v>800</v>
      </c>
      <c r="AI90" s="300">
        <f t="shared" si="34"/>
        <v>800</v>
      </c>
      <c r="AJ90" s="300">
        <f t="shared" si="35"/>
        <v>800</v>
      </c>
      <c r="AK90" s="300">
        <f t="shared" si="36"/>
        <v>800</v>
      </c>
      <c r="AL90" s="300">
        <f t="shared" si="37"/>
        <v>800</v>
      </c>
      <c r="AM90" s="300">
        <f t="shared" si="38"/>
        <v>800</v>
      </c>
      <c r="AN90" s="300">
        <f t="shared" si="39"/>
        <v>800</v>
      </c>
      <c r="AO90" s="300">
        <f t="shared" si="40"/>
        <v>800</v>
      </c>
      <c r="AP90" s="300">
        <f t="shared" si="41"/>
        <v>800</v>
      </c>
    </row>
    <row r="91" spans="2:42" hidden="1">
      <c r="B91" t="str">
        <f>+'Marketing 2025'!A13</f>
        <v>CREC</v>
      </c>
      <c r="C91" t="str">
        <f>+'Marketing 2025'!B13</f>
        <v>Martha Gutierrez</v>
      </c>
      <c r="D91" s="191">
        <f>+'Marketing 2025'!C13</f>
        <v>1</v>
      </c>
      <c r="E91" s="191">
        <f>+'Marketing 2025'!D13</f>
        <v>0</v>
      </c>
      <c r="F91" s="191">
        <f>+'Marketing 2025'!E13</f>
        <v>0</v>
      </c>
      <c r="G91" s="191">
        <f>+'Marketing 2025'!F13</f>
        <v>0</v>
      </c>
      <c r="H91" t="str">
        <f>+'Marketing 2025'!G13</f>
        <v>Tools</v>
      </c>
      <c r="I91" t="str">
        <f>+'Marketing 2025'!H13</f>
        <v>Envato</v>
      </c>
      <c r="J91" t="str">
        <f>+'Marketing 2025'!I13</f>
        <v>Licencia</v>
      </c>
      <c r="K91" t="str">
        <f>+'Marketing 2025'!J13</f>
        <v>603.64.001</v>
      </c>
      <c r="L91" t="str">
        <f>+'Marketing 2025'!K13</f>
        <v>Servicios de Informatica</v>
      </c>
      <c r="M91" t="str">
        <f>+'Marketing 2025'!L13</f>
        <v>Servicios</v>
      </c>
      <c r="N91" t="str">
        <f>+'Marketing 2025'!M13</f>
        <v>USD</v>
      </c>
      <c r="O91" s="300">
        <f>+'Marketing 2025'!N13</f>
        <v>0</v>
      </c>
      <c r="P91" s="300">
        <f>+'Marketing 2025'!O13</f>
        <v>0</v>
      </c>
      <c r="Q91" s="300">
        <f>+'Marketing 2025'!P13</f>
        <v>0</v>
      </c>
      <c r="R91" s="300">
        <f>+'Marketing 2025'!Q13</f>
        <v>0</v>
      </c>
      <c r="S91" s="300">
        <f>+'Marketing 2025'!R13</f>
        <v>0</v>
      </c>
      <c r="T91" s="300">
        <f>+'Marketing 2025'!S13</f>
        <v>0</v>
      </c>
      <c r="U91" s="300">
        <f>+'Marketing 2025'!T13</f>
        <v>0</v>
      </c>
      <c r="V91" s="300">
        <f>+'Marketing 2025'!U13</f>
        <v>0</v>
      </c>
      <c r="W91" s="300">
        <f>+'Marketing 2025'!V13</f>
        <v>0</v>
      </c>
      <c r="X91" s="300">
        <f>+'Marketing 2025'!W13</f>
        <v>0</v>
      </c>
      <c r="Y91" s="300">
        <f>+'Marketing 2025'!X13</f>
        <v>0</v>
      </c>
      <c r="Z91" s="300">
        <f>+'Marketing 2025'!Y13</f>
        <v>0</v>
      </c>
      <c r="AA91" s="300">
        <f>+'Marketing 2025'!Z13</f>
        <v>0</v>
      </c>
      <c r="AB91" s="300">
        <f>+'Marketing 2025'!AA13</f>
        <v>0</v>
      </c>
      <c r="AC91" s="301">
        <f t="shared" si="28"/>
        <v>1</v>
      </c>
      <c r="AD91" s="511">
        <f t="shared" si="29"/>
        <v>0</v>
      </c>
      <c r="AE91" s="300">
        <f t="shared" si="30"/>
        <v>0</v>
      </c>
      <c r="AF91" s="300">
        <f t="shared" si="31"/>
        <v>0</v>
      </c>
      <c r="AG91" s="300">
        <f t="shared" si="32"/>
        <v>0</v>
      </c>
      <c r="AH91" s="300">
        <f t="shared" si="33"/>
        <v>0</v>
      </c>
      <c r="AI91" s="300">
        <f t="shared" si="34"/>
        <v>0</v>
      </c>
      <c r="AJ91" s="300">
        <f t="shared" si="35"/>
        <v>0</v>
      </c>
      <c r="AK91" s="300">
        <f t="shared" si="36"/>
        <v>0</v>
      </c>
      <c r="AL91" s="300">
        <f t="shared" si="37"/>
        <v>0</v>
      </c>
      <c r="AM91" s="300">
        <f t="shared" si="38"/>
        <v>0</v>
      </c>
      <c r="AN91" s="300">
        <f t="shared" si="39"/>
        <v>0</v>
      </c>
      <c r="AO91" s="300">
        <f t="shared" si="40"/>
        <v>0</v>
      </c>
      <c r="AP91" s="300">
        <f t="shared" si="41"/>
        <v>0</v>
      </c>
    </row>
    <row r="92" spans="2:42" hidden="1">
      <c r="B92" t="str">
        <f>+'Marketing 2025'!A14</f>
        <v>CREC</v>
      </c>
      <c r="C92" t="str">
        <f>+'Marketing 2025'!B14</f>
        <v>Martha Gutierrez</v>
      </c>
      <c r="D92" s="191">
        <f>+'Marketing 2025'!C14</f>
        <v>1</v>
      </c>
      <c r="E92" s="191">
        <f>+'Marketing 2025'!D14</f>
        <v>0</v>
      </c>
      <c r="F92" s="191">
        <f>+'Marketing 2025'!E14</f>
        <v>0</v>
      </c>
      <c r="G92" s="191">
        <f>+'Marketing 2025'!F14</f>
        <v>0</v>
      </c>
      <c r="H92" t="str">
        <f>+'Marketing 2025'!G14</f>
        <v>Tools</v>
      </c>
      <c r="I92" t="str">
        <f>+'Marketing 2025'!H14</f>
        <v>Motion</v>
      </c>
      <c r="J92" t="str">
        <f>+'Marketing 2025'!I14</f>
        <v>Pago mensual por Ads creatives tool</v>
      </c>
      <c r="K92" t="str">
        <f>+'Marketing 2025'!J14</f>
        <v>603.64.001</v>
      </c>
      <c r="L92" t="str">
        <f>+'Marketing 2025'!K14</f>
        <v>Servicios de Informatica</v>
      </c>
      <c r="M92" t="str">
        <f>+'Marketing 2025'!L14</f>
        <v>Servicios</v>
      </c>
      <c r="N92" t="str">
        <f>+'Marketing 2025'!M14</f>
        <v>USD</v>
      </c>
      <c r="O92" s="300">
        <f>+'Marketing 2025'!N14</f>
        <v>2388</v>
      </c>
      <c r="P92" s="300">
        <f>+'Marketing 2025'!O14</f>
        <v>2388</v>
      </c>
      <c r="Q92" s="300">
        <f>+'Marketing 2025'!P14</f>
        <v>199</v>
      </c>
      <c r="R92" s="300">
        <f>+'Marketing 2025'!Q14</f>
        <v>199</v>
      </c>
      <c r="S92" s="300">
        <f>+'Marketing 2025'!R14</f>
        <v>199</v>
      </c>
      <c r="T92" s="300">
        <f>+'Marketing 2025'!S14</f>
        <v>199</v>
      </c>
      <c r="U92" s="300">
        <f>+'Marketing 2025'!T14</f>
        <v>199</v>
      </c>
      <c r="V92" s="300">
        <f>+'Marketing 2025'!U14</f>
        <v>199</v>
      </c>
      <c r="W92" s="300">
        <f>+'Marketing 2025'!V14</f>
        <v>199</v>
      </c>
      <c r="X92" s="300">
        <f>+'Marketing 2025'!W14</f>
        <v>199</v>
      </c>
      <c r="Y92" s="300">
        <f>+'Marketing 2025'!X14</f>
        <v>199</v>
      </c>
      <c r="Z92" s="300">
        <f>+'Marketing 2025'!Y14</f>
        <v>199</v>
      </c>
      <c r="AA92" s="300">
        <f>+'Marketing 2025'!Z14</f>
        <v>199</v>
      </c>
      <c r="AB92" s="300">
        <f>+'Marketing 2025'!AA14</f>
        <v>199</v>
      </c>
      <c r="AC92" s="301">
        <f t="shared" si="28"/>
        <v>1</v>
      </c>
      <c r="AD92" s="511">
        <f t="shared" si="29"/>
        <v>2388</v>
      </c>
      <c r="AE92" s="300">
        <f t="shared" si="30"/>
        <v>199</v>
      </c>
      <c r="AF92" s="300">
        <f t="shared" si="31"/>
        <v>199</v>
      </c>
      <c r="AG92" s="300">
        <f t="shared" si="32"/>
        <v>199</v>
      </c>
      <c r="AH92" s="300">
        <f t="shared" si="33"/>
        <v>199</v>
      </c>
      <c r="AI92" s="300">
        <f t="shared" si="34"/>
        <v>199</v>
      </c>
      <c r="AJ92" s="300">
        <f t="shared" si="35"/>
        <v>199</v>
      </c>
      <c r="AK92" s="300">
        <f t="shared" si="36"/>
        <v>199</v>
      </c>
      <c r="AL92" s="300">
        <f t="shared" si="37"/>
        <v>199</v>
      </c>
      <c r="AM92" s="300">
        <f t="shared" si="38"/>
        <v>199</v>
      </c>
      <c r="AN92" s="300">
        <f t="shared" si="39"/>
        <v>199</v>
      </c>
      <c r="AO92" s="300">
        <f t="shared" si="40"/>
        <v>199</v>
      </c>
      <c r="AP92" s="300">
        <f t="shared" si="41"/>
        <v>199</v>
      </c>
    </row>
    <row r="93" spans="2:42" hidden="1">
      <c r="B93" t="str">
        <f>+'Marketing 2025'!A15</f>
        <v>CREC</v>
      </c>
      <c r="C93" t="str">
        <f>+'Marketing 2025'!B15</f>
        <v>Martha Gutierrez</v>
      </c>
      <c r="D93" s="191">
        <f>+'Marketing 2025'!C15</f>
        <v>1</v>
      </c>
      <c r="E93" s="191">
        <f>+'Marketing 2025'!D15</f>
        <v>0</v>
      </c>
      <c r="F93" s="191">
        <f>+'Marketing 2025'!E15</f>
        <v>0</v>
      </c>
      <c r="G93" s="191">
        <f>+'Marketing 2025'!F15</f>
        <v>0</v>
      </c>
      <c r="H93" t="str">
        <f>+'Marketing 2025'!G15</f>
        <v>Tools</v>
      </c>
      <c r="I93" t="str">
        <f>+'Marketing 2025'!H15</f>
        <v>Elementor</v>
      </c>
      <c r="J93" t="str">
        <f>+'Marketing 2025'!I15</f>
        <v>Pago anual</v>
      </c>
      <c r="K93" t="str">
        <f>+'Marketing 2025'!J15</f>
        <v>603.64.001</v>
      </c>
      <c r="L93" t="str">
        <f>+'Marketing 2025'!K15</f>
        <v>Servicios de Informatica</v>
      </c>
      <c r="M93" t="str">
        <f>+'Marketing 2025'!L15</f>
        <v>Servicios</v>
      </c>
      <c r="N93" t="str">
        <f>+'Marketing 2025'!M15</f>
        <v>USD</v>
      </c>
      <c r="O93" s="300">
        <f>+'Marketing 2025'!N15</f>
        <v>99</v>
      </c>
      <c r="P93" s="300">
        <f>+'Marketing 2025'!O15</f>
        <v>99</v>
      </c>
      <c r="Q93" s="300">
        <f>+'Marketing 2025'!P15</f>
        <v>0</v>
      </c>
      <c r="R93" s="300">
        <f>+'Marketing 2025'!Q15</f>
        <v>0</v>
      </c>
      <c r="S93" s="300">
        <f>+'Marketing 2025'!R15</f>
        <v>0</v>
      </c>
      <c r="T93" s="300">
        <f>+'Marketing 2025'!S15</f>
        <v>0</v>
      </c>
      <c r="U93" s="300">
        <f>+'Marketing 2025'!T15</f>
        <v>0</v>
      </c>
      <c r="V93" s="300">
        <f>+'Marketing 2025'!U15</f>
        <v>0</v>
      </c>
      <c r="W93" s="300">
        <f>+'Marketing 2025'!V15</f>
        <v>0</v>
      </c>
      <c r="X93" s="300">
        <f>+'Marketing 2025'!W15</f>
        <v>99</v>
      </c>
      <c r="Y93" s="300">
        <f>+'Marketing 2025'!X15</f>
        <v>0</v>
      </c>
      <c r="Z93" s="300">
        <f>+'Marketing 2025'!Y15</f>
        <v>0</v>
      </c>
      <c r="AA93" s="300">
        <f>+'Marketing 2025'!Z15</f>
        <v>0</v>
      </c>
      <c r="AB93" s="300">
        <f>+'Marketing 2025'!AA15</f>
        <v>0</v>
      </c>
      <c r="AC93" s="301">
        <f t="shared" si="28"/>
        <v>1</v>
      </c>
      <c r="AD93" s="511">
        <f t="shared" si="29"/>
        <v>99</v>
      </c>
      <c r="AE93" s="300">
        <f t="shared" si="30"/>
        <v>0</v>
      </c>
      <c r="AF93" s="300">
        <f t="shared" si="31"/>
        <v>0</v>
      </c>
      <c r="AG93" s="300">
        <f t="shared" si="32"/>
        <v>0</v>
      </c>
      <c r="AH93" s="300">
        <f t="shared" si="33"/>
        <v>0</v>
      </c>
      <c r="AI93" s="300">
        <f t="shared" si="34"/>
        <v>0</v>
      </c>
      <c r="AJ93" s="300">
        <f t="shared" si="35"/>
        <v>0</v>
      </c>
      <c r="AK93" s="300">
        <f t="shared" si="36"/>
        <v>0</v>
      </c>
      <c r="AL93" s="300">
        <f t="shared" si="37"/>
        <v>99</v>
      </c>
      <c r="AM93" s="300">
        <f t="shared" si="38"/>
        <v>0</v>
      </c>
      <c r="AN93" s="300">
        <f t="shared" si="39"/>
        <v>0</v>
      </c>
      <c r="AO93" s="300">
        <f t="shared" si="40"/>
        <v>0</v>
      </c>
      <c r="AP93" s="300">
        <f t="shared" si="41"/>
        <v>0</v>
      </c>
    </row>
    <row r="94" spans="2:42" hidden="1">
      <c r="B94" t="str">
        <f>+'Marketing 2025'!A16</f>
        <v>CREC</v>
      </c>
      <c r="C94" t="str">
        <f>+'Marketing 2025'!B16</f>
        <v>Martha Gutierrez</v>
      </c>
      <c r="D94" s="191">
        <f>+'Marketing 2025'!C16</f>
        <v>0</v>
      </c>
      <c r="E94" s="191">
        <f>+'Marketing 2025'!D16</f>
        <v>1</v>
      </c>
      <c r="F94" s="191">
        <f>+'Marketing 2025'!E16</f>
        <v>0</v>
      </c>
      <c r="G94" s="191">
        <f>+'Marketing 2025'!F16</f>
        <v>0</v>
      </c>
      <c r="H94" t="str">
        <f>+'Marketing 2025'!G16</f>
        <v>Tools</v>
      </c>
      <c r="I94" t="str">
        <f>+'Marketing 2025'!H16</f>
        <v>LeadPages</v>
      </c>
      <c r="J94" t="str">
        <f>+'Marketing 2025'!I16</f>
        <v>Pago mensual para poder crear diferentes landing pages (host de las actuales)</v>
      </c>
      <c r="K94" t="str">
        <f>+'Marketing 2025'!J16</f>
        <v>603.64.001</v>
      </c>
      <c r="L94" t="str">
        <f>+'Marketing 2025'!K16</f>
        <v>Servicios de Informatica</v>
      </c>
      <c r="M94" t="str">
        <f>+'Marketing 2025'!L16</f>
        <v>Servicios</v>
      </c>
      <c r="N94" t="str">
        <f>+'Marketing 2025'!M16</f>
        <v>USD</v>
      </c>
      <c r="O94" s="300">
        <f>+'Marketing 2025'!N16</f>
        <v>1053</v>
      </c>
      <c r="P94" s="300">
        <f>+'Marketing 2025'!O16</f>
        <v>1053</v>
      </c>
      <c r="Q94" s="300">
        <f>+'Marketing 2025'!P16</f>
        <v>15</v>
      </c>
      <c r="R94" s="300">
        <f>+'Marketing 2025'!Q16</f>
        <v>15</v>
      </c>
      <c r="S94" s="300">
        <f>+'Marketing 2025'!R16</f>
        <v>15</v>
      </c>
      <c r="T94" s="300">
        <f>+'Marketing 2025'!S16</f>
        <v>15</v>
      </c>
      <c r="U94" s="300">
        <f>+'Marketing 2025'!T16</f>
        <v>15</v>
      </c>
      <c r="V94" s="300">
        <f>+'Marketing 2025'!U16</f>
        <v>15</v>
      </c>
      <c r="W94" s="300">
        <f>+'Marketing 2025'!V16</f>
        <v>15</v>
      </c>
      <c r="X94" s="300">
        <f>+'Marketing 2025'!W16</f>
        <v>15</v>
      </c>
      <c r="Y94" s="300">
        <f>+'Marketing 2025'!X16</f>
        <v>15</v>
      </c>
      <c r="Z94" s="300">
        <f>+'Marketing 2025'!Y16</f>
        <v>15</v>
      </c>
      <c r="AA94" s="300">
        <f>+'Marketing 2025'!Z16</f>
        <v>15</v>
      </c>
      <c r="AB94" s="300">
        <f>+'Marketing 2025'!AA16</f>
        <v>888</v>
      </c>
      <c r="AC94" s="301">
        <f t="shared" si="28"/>
        <v>1</v>
      </c>
      <c r="AD94" s="511">
        <f t="shared" si="29"/>
        <v>1053</v>
      </c>
      <c r="AE94" s="300">
        <f t="shared" si="30"/>
        <v>15</v>
      </c>
      <c r="AF94" s="300">
        <f t="shared" si="31"/>
        <v>15</v>
      </c>
      <c r="AG94" s="300">
        <f t="shared" si="32"/>
        <v>15</v>
      </c>
      <c r="AH94" s="300">
        <f t="shared" si="33"/>
        <v>15</v>
      </c>
      <c r="AI94" s="300">
        <f t="shared" si="34"/>
        <v>15</v>
      </c>
      <c r="AJ94" s="300">
        <f t="shared" si="35"/>
        <v>15</v>
      </c>
      <c r="AK94" s="300">
        <f t="shared" si="36"/>
        <v>15</v>
      </c>
      <c r="AL94" s="300">
        <f t="shared" si="37"/>
        <v>15</v>
      </c>
      <c r="AM94" s="300">
        <f t="shared" si="38"/>
        <v>15</v>
      </c>
      <c r="AN94" s="300">
        <f t="shared" si="39"/>
        <v>15</v>
      </c>
      <c r="AO94" s="300">
        <f t="shared" si="40"/>
        <v>15</v>
      </c>
      <c r="AP94" s="300">
        <f t="shared" si="41"/>
        <v>888</v>
      </c>
    </row>
    <row r="95" spans="2:42" hidden="1">
      <c r="B95" t="str">
        <f>+'Marketing 2025'!A17</f>
        <v>CREC</v>
      </c>
      <c r="C95" t="str">
        <f>+'Marketing 2025'!B17</f>
        <v>Martha Gutierrez</v>
      </c>
      <c r="D95" s="191">
        <f>+'Marketing 2025'!C17</f>
        <v>0.8</v>
      </c>
      <c r="E95" s="191">
        <f>+'Marketing 2025'!D17</f>
        <v>0.2</v>
      </c>
      <c r="F95" s="191">
        <f>+'Marketing 2025'!E17</f>
        <v>0</v>
      </c>
      <c r="G95" s="191">
        <f>+'Marketing 2025'!F17</f>
        <v>0</v>
      </c>
      <c r="H95" t="str">
        <f>+'Marketing 2025'!G17</f>
        <v>Tools</v>
      </c>
      <c r="I95" t="str">
        <f>+'Marketing 2025'!H17</f>
        <v>Leanplum</v>
      </c>
      <c r="J95" t="str">
        <f>+'Marketing 2025'!I17</f>
        <v>Email Campaigns</v>
      </c>
      <c r="K95" t="str">
        <f>+'Marketing 2025'!J17</f>
        <v>603.64.001</v>
      </c>
      <c r="L95" t="str">
        <f>+'Marketing 2025'!K17</f>
        <v>Servicios de Informatica</v>
      </c>
      <c r="M95" t="str">
        <f>+'Marketing 2025'!L17</f>
        <v>Servicios</v>
      </c>
      <c r="N95" t="str">
        <f>+'Marketing 2025'!M17</f>
        <v>USD</v>
      </c>
      <c r="O95" s="300">
        <f>+'Marketing 2025'!N17</f>
        <v>40000</v>
      </c>
      <c r="P95" s="300">
        <f>+'Marketing 2025'!O17</f>
        <v>40000</v>
      </c>
      <c r="Q95" s="300">
        <f>+'Marketing 2025'!P17</f>
        <v>40000</v>
      </c>
      <c r="R95" s="300">
        <f>+'Marketing 2025'!Q17</f>
        <v>0</v>
      </c>
      <c r="S95" s="300">
        <f>+'Marketing 2025'!R17</f>
        <v>0</v>
      </c>
      <c r="T95" s="300">
        <f>+'Marketing 2025'!S17</f>
        <v>0</v>
      </c>
      <c r="U95" s="300">
        <f>+'Marketing 2025'!T17</f>
        <v>0</v>
      </c>
      <c r="V95" s="300">
        <f>+'Marketing 2025'!U17</f>
        <v>0</v>
      </c>
      <c r="W95" s="300">
        <f>+'Marketing 2025'!V17</f>
        <v>0</v>
      </c>
      <c r="X95" s="300">
        <f>+'Marketing 2025'!W17</f>
        <v>0</v>
      </c>
      <c r="Y95" s="300">
        <f>+'Marketing 2025'!X17</f>
        <v>0</v>
      </c>
      <c r="Z95" s="300">
        <f>+'Marketing 2025'!Y17</f>
        <v>0</v>
      </c>
      <c r="AA95" s="300">
        <f>+'Marketing 2025'!Z17</f>
        <v>0</v>
      </c>
      <c r="AB95" s="300">
        <f>+'Marketing 2025'!AA17</f>
        <v>0</v>
      </c>
      <c r="AC95" s="301">
        <f t="shared" si="28"/>
        <v>1</v>
      </c>
      <c r="AD95" s="511">
        <f t="shared" si="29"/>
        <v>40000</v>
      </c>
      <c r="AE95" s="300">
        <f t="shared" si="30"/>
        <v>40000</v>
      </c>
      <c r="AF95" s="300">
        <f t="shared" si="31"/>
        <v>0</v>
      </c>
      <c r="AG95" s="300">
        <f t="shared" si="32"/>
        <v>0</v>
      </c>
      <c r="AH95" s="300">
        <f t="shared" si="33"/>
        <v>0</v>
      </c>
      <c r="AI95" s="300">
        <f t="shared" si="34"/>
        <v>0</v>
      </c>
      <c r="AJ95" s="300">
        <f t="shared" si="35"/>
        <v>0</v>
      </c>
      <c r="AK95" s="300">
        <f t="shared" si="36"/>
        <v>0</v>
      </c>
      <c r="AL95" s="300">
        <f t="shared" si="37"/>
        <v>0</v>
      </c>
      <c r="AM95" s="300">
        <f t="shared" si="38"/>
        <v>0</v>
      </c>
      <c r="AN95" s="300">
        <f t="shared" si="39"/>
        <v>0</v>
      </c>
      <c r="AO95" s="300">
        <f t="shared" si="40"/>
        <v>0</v>
      </c>
      <c r="AP95" s="300">
        <f t="shared" si="41"/>
        <v>0</v>
      </c>
    </row>
    <row r="96" spans="2:42" hidden="1">
      <c r="B96" t="str">
        <f>+'Marketing 2025'!A18</f>
        <v>CREC</v>
      </c>
      <c r="C96" t="str">
        <f>+'Marketing 2025'!B18</f>
        <v>Martha Gutierrez</v>
      </c>
      <c r="D96" s="191">
        <f>+'Marketing 2025'!C18</f>
        <v>0.8</v>
      </c>
      <c r="E96" s="191">
        <f>+'Marketing 2025'!D18</f>
        <v>0.2</v>
      </c>
      <c r="F96" s="191">
        <f>+'Marketing 2025'!E18</f>
        <v>0</v>
      </c>
      <c r="G96" s="191">
        <f>+'Marketing 2025'!F18</f>
        <v>0</v>
      </c>
      <c r="H96" t="str">
        <f>+'Marketing 2025'!G18</f>
        <v>Tools</v>
      </c>
      <c r="I96" t="str">
        <f>+'Marketing 2025'!H18</f>
        <v>Sketch</v>
      </c>
      <c r="J96" t="str">
        <f>+'Marketing 2025'!I18</f>
        <v>Licencia</v>
      </c>
      <c r="K96" t="str">
        <f>+'Marketing 2025'!J18</f>
        <v>603.64.001</v>
      </c>
      <c r="L96" t="str">
        <f>+'Marketing 2025'!K18</f>
        <v>Servicios de Informatica</v>
      </c>
      <c r="M96" t="str">
        <f>+'Marketing 2025'!L18</f>
        <v>Servicios</v>
      </c>
      <c r="N96" t="str">
        <f>+'Marketing 2025'!M18</f>
        <v>USD</v>
      </c>
      <c r="O96" s="300">
        <f>+'Marketing 2025'!N18</f>
        <v>720</v>
      </c>
      <c r="P96" s="300">
        <f>+'Marketing 2025'!O18</f>
        <v>720</v>
      </c>
      <c r="Q96" s="300">
        <f>+'Marketing 2025'!P18</f>
        <v>0</v>
      </c>
      <c r="R96" s="300">
        <f>+'Marketing 2025'!Q18</f>
        <v>0</v>
      </c>
      <c r="S96" s="300">
        <f>+'Marketing 2025'!R18</f>
        <v>720</v>
      </c>
      <c r="T96" s="300">
        <f>+'Marketing 2025'!S18</f>
        <v>0</v>
      </c>
      <c r="U96" s="300">
        <f>+'Marketing 2025'!T18</f>
        <v>0</v>
      </c>
      <c r="V96" s="300">
        <f>+'Marketing 2025'!U18</f>
        <v>0</v>
      </c>
      <c r="W96" s="300">
        <f>+'Marketing 2025'!V18</f>
        <v>0</v>
      </c>
      <c r="X96" s="300">
        <f>+'Marketing 2025'!W18</f>
        <v>0</v>
      </c>
      <c r="Y96" s="300">
        <f>+'Marketing 2025'!X18</f>
        <v>0</v>
      </c>
      <c r="Z96" s="300">
        <f>+'Marketing 2025'!Y18</f>
        <v>0</v>
      </c>
      <c r="AA96" s="300">
        <f>+'Marketing 2025'!Z18</f>
        <v>0</v>
      </c>
      <c r="AB96" s="300">
        <f>+'Marketing 2025'!AA18</f>
        <v>0</v>
      </c>
      <c r="AC96" s="301">
        <f t="shared" si="28"/>
        <v>1</v>
      </c>
      <c r="AD96" s="511">
        <f t="shared" si="29"/>
        <v>720</v>
      </c>
      <c r="AE96" s="300">
        <f t="shared" si="30"/>
        <v>0</v>
      </c>
      <c r="AF96" s="300">
        <f t="shared" si="31"/>
        <v>0</v>
      </c>
      <c r="AG96" s="300">
        <f t="shared" si="32"/>
        <v>720</v>
      </c>
      <c r="AH96" s="300">
        <f t="shared" si="33"/>
        <v>0</v>
      </c>
      <c r="AI96" s="300">
        <f t="shared" si="34"/>
        <v>0</v>
      </c>
      <c r="AJ96" s="300">
        <f t="shared" si="35"/>
        <v>0</v>
      </c>
      <c r="AK96" s="300">
        <f t="shared" si="36"/>
        <v>0</v>
      </c>
      <c r="AL96" s="300">
        <f t="shared" si="37"/>
        <v>0</v>
      </c>
      <c r="AM96" s="300">
        <f t="shared" si="38"/>
        <v>0</v>
      </c>
      <c r="AN96" s="300">
        <f t="shared" si="39"/>
        <v>0</v>
      </c>
      <c r="AO96" s="300">
        <f t="shared" si="40"/>
        <v>0</v>
      </c>
      <c r="AP96" s="300">
        <f t="shared" si="41"/>
        <v>0</v>
      </c>
    </row>
    <row r="97" spans="1:42" hidden="1">
      <c r="B97" t="str">
        <f>+'Marketing 2025'!A8</f>
        <v>CREC</v>
      </c>
      <c r="C97" t="str">
        <f>+'Marketing 2025'!B8</f>
        <v>Martha Gutierrez</v>
      </c>
      <c r="D97" s="191">
        <f>+'Marketing 2025'!C8</f>
        <v>1</v>
      </c>
      <c r="E97" s="191">
        <f>+'Marketing 2025'!D8</f>
        <v>0</v>
      </c>
      <c r="F97" s="191">
        <f>+'Marketing 2025'!E8</f>
        <v>0</v>
      </c>
      <c r="G97" s="191">
        <f>+'Marketing 2025'!F8</f>
        <v>0</v>
      </c>
      <c r="H97" t="str">
        <f>+'Marketing 2025'!G8</f>
        <v>Aquisition</v>
      </c>
      <c r="I97" t="str">
        <f>+'Marketing 2025'!H8</f>
        <v>Production costs</v>
      </c>
      <c r="J97" t="str">
        <f>+'Marketing 2025'!I8</f>
        <v>UGCs</v>
      </c>
      <c r="K97" t="str">
        <f>+'Marketing 2025'!J8</f>
        <v>603.38.001</v>
      </c>
      <c r="L97" t="str">
        <f>+'Marketing 2025'!K8</f>
        <v>Honorarios A Personas Morales Nacionales</v>
      </c>
      <c r="M97" t="str">
        <f>+'Marketing 2025'!L8</f>
        <v>Servicios Externos</v>
      </c>
      <c r="N97" t="str">
        <f>+'Marketing 2025'!M8</f>
        <v>USD</v>
      </c>
      <c r="O97" s="300">
        <f>+'Marketing 2025'!N8</f>
        <v>48000</v>
      </c>
      <c r="P97" s="300">
        <f>+'Marketing 2025'!O8</f>
        <v>48000</v>
      </c>
      <c r="Q97" s="300">
        <f>+'Marketing 2025'!P8</f>
        <v>4000</v>
      </c>
      <c r="R97" s="300">
        <f>+'Marketing 2025'!Q8</f>
        <v>4000</v>
      </c>
      <c r="S97" s="300">
        <f>+'Marketing 2025'!R8</f>
        <v>4000</v>
      </c>
      <c r="T97" s="300">
        <f>+'Marketing 2025'!S8</f>
        <v>4000</v>
      </c>
      <c r="U97" s="300">
        <f>+'Marketing 2025'!T8</f>
        <v>4000</v>
      </c>
      <c r="V97" s="300">
        <f>+'Marketing 2025'!U8</f>
        <v>4000</v>
      </c>
      <c r="W97" s="300">
        <f>+'Marketing 2025'!V8</f>
        <v>4000</v>
      </c>
      <c r="X97" s="300">
        <f>+'Marketing 2025'!W8</f>
        <v>4000</v>
      </c>
      <c r="Y97" s="300">
        <f>+'Marketing 2025'!X8</f>
        <v>4000</v>
      </c>
      <c r="Z97" s="300">
        <f>+'Marketing 2025'!Y8</f>
        <v>4000</v>
      </c>
      <c r="AA97" s="300">
        <f>+'Marketing 2025'!Z8</f>
        <v>4000</v>
      </c>
      <c r="AB97" s="300">
        <f>+'Marketing 2025'!AA8</f>
        <v>4000</v>
      </c>
      <c r="AC97" s="301">
        <f t="shared" si="28"/>
        <v>1</v>
      </c>
      <c r="AD97" s="511">
        <f t="shared" si="29"/>
        <v>48000</v>
      </c>
      <c r="AE97" s="300">
        <f t="shared" si="30"/>
        <v>4000</v>
      </c>
      <c r="AF97" s="300">
        <f t="shared" si="31"/>
        <v>4000</v>
      </c>
      <c r="AG97" s="300">
        <f t="shared" si="32"/>
        <v>4000</v>
      </c>
      <c r="AH97" s="300">
        <f t="shared" si="33"/>
        <v>4000</v>
      </c>
      <c r="AI97" s="300">
        <f t="shared" si="34"/>
        <v>4000</v>
      </c>
      <c r="AJ97" s="300">
        <f t="shared" si="35"/>
        <v>4000</v>
      </c>
      <c r="AK97" s="300">
        <f t="shared" si="36"/>
        <v>4000</v>
      </c>
      <c r="AL97" s="300">
        <f t="shared" si="37"/>
        <v>4000</v>
      </c>
      <c r="AM97" s="300">
        <f t="shared" si="38"/>
        <v>4000</v>
      </c>
      <c r="AN97" s="300">
        <f t="shared" si="39"/>
        <v>4000</v>
      </c>
      <c r="AO97" s="300">
        <f t="shared" si="40"/>
        <v>4000</v>
      </c>
      <c r="AP97" s="300">
        <f t="shared" si="41"/>
        <v>4000</v>
      </c>
    </row>
    <row r="98" spans="1:42" hidden="1">
      <c r="B98" t="str">
        <f>+'Marketing 2025'!A20</f>
        <v>CREC</v>
      </c>
      <c r="C98" t="str">
        <f>+'Marketing 2025'!B20</f>
        <v>Martha Gutierrez</v>
      </c>
      <c r="D98" s="191">
        <f>+'Marketing 2025'!C20</f>
        <v>1</v>
      </c>
      <c r="E98" s="191">
        <f>+'Marketing 2025'!D20</f>
        <v>0</v>
      </c>
      <c r="F98" s="191">
        <f>+'Marketing 2025'!E20</f>
        <v>0</v>
      </c>
      <c r="G98" s="191">
        <f>+'Marketing 2025'!F20</f>
        <v>0</v>
      </c>
      <c r="H98" t="str">
        <f>+'Marketing 2025'!G20</f>
        <v>Payroll</v>
      </c>
      <c r="I98" t="str">
        <f>+'Marketing 2025'!H20</f>
        <v>Aazar</v>
      </c>
      <c r="J98" t="str">
        <f>+'Marketing 2025'!I20</f>
        <v>External hire</v>
      </c>
      <c r="K98" t="str">
        <f>+'Marketing 2025'!J20</f>
        <v>603.38.001</v>
      </c>
      <c r="L98" t="str">
        <f>+'Marketing 2025'!K20</f>
        <v>Honorarios A Personas Morales Nacionales</v>
      </c>
      <c r="M98" t="str">
        <f>+'Marketing 2025'!L20</f>
        <v>Servicios Externos</v>
      </c>
      <c r="N98" t="str">
        <f>+'Marketing 2025'!M20</f>
        <v>USD</v>
      </c>
      <c r="O98" s="300">
        <f>+'Marketing 2025'!N20</f>
        <v>54000</v>
      </c>
      <c r="P98" s="300">
        <f>+'Marketing 2025'!O20</f>
        <v>54000</v>
      </c>
      <c r="Q98" s="300">
        <f>+'Marketing 2025'!P20</f>
        <v>4500</v>
      </c>
      <c r="R98" s="300">
        <f>+'Marketing 2025'!Q20</f>
        <v>4500</v>
      </c>
      <c r="S98" s="300">
        <f>+'Marketing 2025'!R20</f>
        <v>4500</v>
      </c>
      <c r="T98" s="300">
        <f>+'Marketing 2025'!S20</f>
        <v>4500</v>
      </c>
      <c r="U98" s="300">
        <f>+'Marketing 2025'!T20</f>
        <v>4500</v>
      </c>
      <c r="V98" s="300">
        <f>+'Marketing 2025'!U20</f>
        <v>4500</v>
      </c>
      <c r="W98" s="300">
        <f>+'Marketing 2025'!V20</f>
        <v>4500</v>
      </c>
      <c r="X98" s="300">
        <f>+'Marketing 2025'!W20</f>
        <v>4500</v>
      </c>
      <c r="Y98" s="300">
        <f>+'Marketing 2025'!X20</f>
        <v>4500</v>
      </c>
      <c r="Z98" s="300">
        <f>+'Marketing 2025'!Y20</f>
        <v>4500</v>
      </c>
      <c r="AA98" s="300">
        <f>+'Marketing 2025'!Z20</f>
        <v>4500</v>
      </c>
      <c r="AB98" s="300">
        <f>+'Marketing 2025'!AA20</f>
        <v>4500</v>
      </c>
      <c r="AC98" s="301">
        <f t="shared" si="28"/>
        <v>1</v>
      </c>
      <c r="AD98" s="511">
        <f t="shared" si="29"/>
        <v>54000</v>
      </c>
      <c r="AE98" s="300">
        <f t="shared" si="30"/>
        <v>4500</v>
      </c>
      <c r="AF98" s="300">
        <f t="shared" si="31"/>
        <v>4500</v>
      </c>
      <c r="AG98" s="300">
        <f t="shared" si="32"/>
        <v>4500</v>
      </c>
      <c r="AH98" s="300">
        <f t="shared" si="33"/>
        <v>4500</v>
      </c>
      <c r="AI98" s="300">
        <f t="shared" si="34"/>
        <v>4500</v>
      </c>
      <c r="AJ98" s="300">
        <f t="shared" si="35"/>
        <v>4500</v>
      </c>
      <c r="AK98" s="300">
        <f t="shared" si="36"/>
        <v>4500</v>
      </c>
      <c r="AL98" s="300">
        <f t="shared" si="37"/>
        <v>4500</v>
      </c>
      <c r="AM98" s="300">
        <f t="shared" si="38"/>
        <v>4500</v>
      </c>
      <c r="AN98" s="300">
        <f t="shared" si="39"/>
        <v>4500</v>
      </c>
      <c r="AO98" s="300">
        <f t="shared" si="40"/>
        <v>4500</v>
      </c>
      <c r="AP98" s="300">
        <f t="shared" si="41"/>
        <v>4500</v>
      </c>
    </row>
    <row r="99" spans="1:42" hidden="1">
      <c r="B99" t="str">
        <f>+'Marketing 2025'!A21</f>
        <v>CREC</v>
      </c>
      <c r="C99" t="str">
        <f>+'Marketing 2025'!B21</f>
        <v>Martha Gutierrez</v>
      </c>
      <c r="D99" s="191">
        <f>+'Marketing 2025'!C21</f>
        <v>0</v>
      </c>
      <c r="E99" s="191">
        <f>+'Marketing 2025'!D21</f>
        <v>0</v>
      </c>
      <c r="F99" s="191">
        <f>+'Marketing 2025'!E21</f>
        <v>0</v>
      </c>
      <c r="G99" s="191">
        <f>+'Marketing 2025'!F21</f>
        <v>0</v>
      </c>
      <c r="H99" t="str">
        <f>+'Marketing 2025'!G21</f>
        <v>Payroll</v>
      </c>
      <c r="I99" t="str">
        <f>+'Marketing 2025'!H21</f>
        <v>External hire</v>
      </c>
      <c r="J99" t="str">
        <f>+'Marketing 2025'!I21</f>
        <v>External Hire</v>
      </c>
      <c r="K99" t="str">
        <f>+'Marketing 2025'!J21</f>
        <v>603.38.001</v>
      </c>
      <c r="L99" t="str">
        <f>+'Marketing 2025'!K21</f>
        <v>Honorarios A Personas Morales Nacionales</v>
      </c>
      <c r="M99" t="str">
        <f>+'Marketing 2025'!L21</f>
        <v>Servicios Externos</v>
      </c>
      <c r="N99" t="str">
        <f>+'Marketing 2025'!M21</f>
        <v>USD</v>
      </c>
      <c r="O99" s="300">
        <f>+'Marketing 2025'!N21</f>
        <v>0</v>
      </c>
      <c r="P99" s="300">
        <f>+'Marketing 2025'!O21</f>
        <v>0</v>
      </c>
      <c r="Q99" s="300">
        <f>+'Marketing 2025'!P21</f>
        <v>0</v>
      </c>
      <c r="R99" s="300">
        <f>+'Marketing 2025'!Q21</f>
        <v>0</v>
      </c>
      <c r="S99" s="300">
        <f>+'Marketing 2025'!R21</f>
        <v>0</v>
      </c>
      <c r="T99" s="300">
        <f>+'Marketing 2025'!S21</f>
        <v>0</v>
      </c>
      <c r="U99" s="300">
        <f>+'Marketing 2025'!T21</f>
        <v>0</v>
      </c>
      <c r="V99" s="300">
        <f>+'Marketing 2025'!U21</f>
        <v>0</v>
      </c>
      <c r="W99" s="300">
        <f>+'Marketing 2025'!V21</f>
        <v>0</v>
      </c>
      <c r="X99" s="300">
        <f>+'Marketing 2025'!W21</f>
        <v>0</v>
      </c>
      <c r="Y99" s="300">
        <f>+'Marketing 2025'!X21</f>
        <v>0</v>
      </c>
      <c r="Z99" s="300">
        <f>+'Marketing 2025'!Y21</f>
        <v>0</v>
      </c>
      <c r="AA99" s="300">
        <f>+'Marketing 2025'!Z21</f>
        <v>0</v>
      </c>
      <c r="AB99" s="300">
        <f>+'Marketing 2025'!AA21</f>
        <v>0</v>
      </c>
      <c r="AC99" s="301">
        <f t="shared" si="28"/>
        <v>1</v>
      </c>
      <c r="AD99" s="511">
        <f t="shared" si="29"/>
        <v>0</v>
      </c>
      <c r="AE99" s="300">
        <f t="shared" si="30"/>
        <v>0</v>
      </c>
      <c r="AF99" s="300">
        <f t="shared" si="31"/>
        <v>0</v>
      </c>
      <c r="AG99" s="300">
        <f t="shared" si="32"/>
        <v>0</v>
      </c>
      <c r="AH99" s="300">
        <f t="shared" si="33"/>
        <v>0</v>
      </c>
      <c r="AI99" s="300">
        <f t="shared" si="34"/>
        <v>0</v>
      </c>
      <c r="AJ99" s="300">
        <f t="shared" si="35"/>
        <v>0</v>
      </c>
      <c r="AK99" s="300">
        <f t="shared" si="36"/>
        <v>0</v>
      </c>
      <c r="AL99" s="300">
        <f t="shared" si="37"/>
        <v>0</v>
      </c>
      <c r="AM99" s="300">
        <f t="shared" si="38"/>
        <v>0</v>
      </c>
      <c r="AN99" s="300">
        <f t="shared" si="39"/>
        <v>0</v>
      </c>
      <c r="AO99" s="300">
        <f t="shared" si="40"/>
        <v>0</v>
      </c>
      <c r="AP99" s="300">
        <f t="shared" si="41"/>
        <v>0</v>
      </c>
    </row>
    <row r="100" spans="1:42" hidden="1">
      <c r="B100" t="str">
        <f>+'Marketing 2025'!A24</f>
        <v>CREC</v>
      </c>
      <c r="C100" t="str">
        <f>+'Marketing 2025'!B24</f>
        <v>Martha Gutierrez</v>
      </c>
      <c r="D100" s="191">
        <f>+'Marketing 2025'!C24</f>
        <v>0.5</v>
      </c>
      <c r="E100" s="191">
        <f>+'Marketing 2025'!D24</f>
        <v>0.5</v>
      </c>
      <c r="F100" s="191">
        <f>+'Marketing 2025'!E24</f>
        <v>0</v>
      </c>
      <c r="G100" s="191">
        <f>+'Marketing 2025'!F24</f>
        <v>0</v>
      </c>
      <c r="H100" t="str">
        <f>+'Marketing 2025'!G24</f>
        <v>Payroll</v>
      </c>
      <c r="I100" t="str">
        <f>+'Marketing 2025'!H24</f>
        <v xml:space="preserve">MARTHA GUTIERREZ SANCHEZ </v>
      </c>
      <c r="J100" t="str">
        <f>+'Marketing 2025'!I24</f>
        <v>Head of Marketing</v>
      </c>
      <c r="K100" t="str">
        <f>+'Marketing 2025'!J24</f>
        <v>603.01.001</v>
      </c>
      <c r="L100" t="str">
        <f>+'Marketing 2025'!K24</f>
        <v>Sueldos y salarios</v>
      </c>
      <c r="M100" t="str">
        <f>+'Marketing 2025'!L24</f>
        <v>Sueldos y Salarios</v>
      </c>
      <c r="N100" t="str">
        <f>+'Marketing 2025'!M24</f>
        <v>MXN</v>
      </c>
      <c r="O100" s="300">
        <f>+'Marketing 2025'!N24</f>
        <v>49415.384615384617</v>
      </c>
      <c r="P100" s="300">
        <f>+'Marketing 2025'!O24</f>
        <v>963600</v>
      </c>
      <c r="Q100" s="300">
        <f>+'Marketing 2025'!P24</f>
        <v>80300</v>
      </c>
      <c r="R100" s="300">
        <f>+'Marketing 2025'!Q24</f>
        <v>80300</v>
      </c>
      <c r="S100" s="300">
        <f>+'Marketing 2025'!R24</f>
        <v>80300</v>
      </c>
      <c r="T100" s="300">
        <f>+'Marketing 2025'!S24</f>
        <v>80300</v>
      </c>
      <c r="U100" s="300">
        <f>+'Marketing 2025'!T24</f>
        <v>80300</v>
      </c>
      <c r="V100" s="300">
        <f>+'Marketing 2025'!U24</f>
        <v>80300</v>
      </c>
      <c r="W100" s="300">
        <f>+'Marketing 2025'!V24</f>
        <v>80300</v>
      </c>
      <c r="X100" s="300">
        <f>+'Marketing 2025'!W24</f>
        <v>80300</v>
      </c>
      <c r="Y100" s="300">
        <f>+'Marketing 2025'!X24</f>
        <v>80300</v>
      </c>
      <c r="Z100" s="300">
        <f>+'Marketing 2025'!Y24</f>
        <v>80300</v>
      </c>
      <c r="AA100" s="300">
        <f>+'Marketing 2025'!Z24</f>
        <v>80300</v>
      </c>
      <c r="AB100" s="300">
        <f>+'Marketing 2025'!AA24</f>
        <v>80300</v>
      </c>
      <c r="AC100" s="301">
        <f t="shared" si="28"/>
        <v>1</v>
      </c>
      <c r="AD100" s="511">
        <f t="shared" si="29"/>
        <v>49415.384615384617</v>
      </c>
      <c r="AE100" s="300">
        <f t="shared" si="30"/>
        <v>4117.9487179487178</v>
      </c>
      <c r="AF100" s="300">
        <f t="shared" si="31"/>
        <v>4117.9487179487178</v>
      </c>
      <c r="AG100" s="300">
        <f t="shared" si="32"/>
        <v>4117.9487179487178</v>
      </c>
      <c r="AH100" s="300">
        <f t="shared" si="33"/>
        <v>4117.9487179487178</v>
      </c>
      <c r="AI100" s="300">
        <f t="shared" si="34"/>
        <v>4117.9487179487178</v>
      </c>
      <c r="AJ100" s="300">
        <f t="shared" si="35"/>
        <v>4117.9487179487178</v>
      </c>
      <c r="AK100" s="300">
        <f t="shared" si="36"/>
        <v>4117.9487179487178</v>
      </c>
      <c r="AL100" s="300">
        <f t="shared" si="37"/>
        <v>4117.9487179487178</v>
      </c>
      <c r="AM100" s="300">
        <f t="shared" si="38"/>
        <v>4117.9487179487178</v>
      </c>
      <c r="AN100" s="300">
        <f t="shared" si="39"/>
        <v>4117.9487179487178</v>
      </c>
      <c r="AO100" s="300">
        <f t="shared" si="40"/>
        <v>4117.9487179487178</v>
      </c>
      <c r="AP100" s="300">
        <f t="shared" si="41"/>
        <v>4117.9487179487178</v>
      </c>
    </row>
    <row r="101" spans="1:42" hidden="1">
      <c r="B101" t="str">
        <f>+'Marketing 2025'!A26</f>
        <v>CREC</v>
      </c>
      <c r="C101" t="str">
        <f>+'Marketing 2025'!B26</f>
        <v>Martha Gutierrez</v>
      </c>
      <c r="D101" s="191">
        <f>+'Marketing 2025'!C26</f>
        <v>1</v>
      </c>
      <c r="E101" s="191">
        <f>+'Marketing 2025'!D26</f>
        <v>0</v>
      </c>
      <c r="F101" s="191">
        <f>+'Marketing 2025'!E26</f>
        <v>0</v>
      </c>
      <c r="G101" s="191">
        <f>+'Marketing 2025'!F26</f>
        <v>0</v>
      </c>
      <c r="H101" t="str">
        <f>+'Marketing 2025'!G26</f>
        <v>Payroll</v>
      </c>
      <c r="I101" t="str">
        <f>+'Marketing 2025'!H26</f>
        <v>SILVA CRANTSCHANINOV LARISSA</v>
      </c>
      <c r="J101" t="str">
        <f>+'Marketing 2025'!I26</f>
        <v>Mkt Manager</v>
      </c>
      <c r="K101" t="str">
        <f>+'Marketing 2025'!J26</f>
        <v>603.01.001</v>
      </c>
      <c r="L101" t="str">
        <f>+'Marketing 2025'!K26</f>
        <v>Sueldos y salarios</v>
      </c>
      <c r="M101" t="str">
        <f>+'Marketing 2025'!L26</f>
        <v>Sueldos y Salarios</v>
      </c>
      <c r="N101" t="str">
        <f>+'Marketing 2025'!M26</f>
        <v>USD</v>
      </c>
      <c r="O101" s="300">
        <f>+'Marketing 2025'!N26</f>
        <v>35714.87999999999</v>
      </c>
      <c r="P101" s="300">
        <f>+'Marketing 2025'!O26</f>
        <v>35714.87999999999</v>
      </c>
      <c r="Q101" s="300">
        <f>+'Marketing 2025'!P26</f>
        <v>2976.24</v>
      </c>
      <c r="R101" s="300">
        <f>+'Marketing 2025'!Q26</f>
        <v>2976.24</v>
      </c>
      <c r="S101" s="300">
        <f>+'Marketing 2025'!R26</f>
        <v>2976.24</v>
      </c>
      <c r="T101" s="300">
        <f>+'Marketing 2025'!S26</f>
        <v>2976.24</v>
      </c>
      <c r="U101" s="300">
        <f>+'Marketing 2025'!T26</f>
        <v>2976.24</v>
      </c>
      <c r="V101" s="300">
        <f>+'Marketing 2025'!U26</f>
        <v>2976.24</v>
      </c>
      <c r="W101" s="300">
        <f>+'Marketing 2025'!V26</f>
        <v>2976.24</v>
      </c>
      <c r="X101" s="300">
        <f>+'Marketing 2025'!W26</f>
        <v>2976.24</v>
      </c>
      <c r="Y101" s="300">
        <f>+'Marketing 2025'!X26</f>
        <v>2976.24</v>
      </c>
      <c r="Z101" s="300">
        <f>+'Marketing 2025'!Y26</f>
        <v>2976.24</v>
      </c>
      <c r="AA101" s="300">
        <f>+'Marketing 2025'!Z26</f>
        <v>2976.24</v>
      </c>
      <c r="AB101" s="300">
        <f>+'Marketing 2025'!AA26</f>
        <v>2976.24</v>
      </c>
      <c r="AC101" s="301">
        <f t="shared" si="28"/>
        <v>1</v>
      </c>
      <c r="AD101" s="511">
        <f t="shared" si="29"/>
        <v>35714.87999999999</v>
      </c>
      <c r="AE101" s="300">
        <f t="shared" si="30"/>
        <v>2976.24</v>
      </c>
      <c r="AF101" s="300">
        <f t="shared" si="31"/>
        <v>2976.24</v>
      </c>
      <c r="AG101" s="300">
        <f t="shared" si="32"/>
        <v>2976.24</v>
      </c>
      <c r="AH101" s="300">
        <f t="shared" si="33"/>
        <v>2976.24</v>
      </c>
      <c r="AI101" s="300">
        <f t="shared" si="34"/>
        <v>2976.24</v>
      </c>
      <c r="AJ101" s="300">
        <f t="shared" si="35"/>
        <v>2976.24</v>
      </c>
      <c r="AK101" s="300">
        <f t="shared" si="36"/>
        <v>2976.24</v>
      </c>
      <c r="AL101" s="300">
        <f t="shared" si="37"/>
        <v>2976.24</v>
      </c>
      <c r="AM101" s="300">
        <f t="shared" si="38"/>
        <v>2976.24</v>
      </c>
      <c r="AN101" s="300">
        <f t="shared" si="39"/>
        <v>2976.24</v>
      </c>
      <c r="AO101" s="300">
        <f t="shared" si="40"/>
        <v>2976.24</v>
      </c>
      <c r="AP101" s="300">
        <f t="shared" si="41"/>
        <v>2976.24</v>
      </c>
    </row>
    <row r="102" spans="1:42" hidden="1">
      <c r="B102" t="str">
        <f>+'Marketing 2025'!A28</f>
        <v>CREC</v>
      </c>
      <c r="C102" t="str">
        <f>+'Marketing 2025'!B28</f>
        <v>Martha Gutierrez</v>
      </c>
      <c r="D102" s="191">
        <f>+'Marketing 2025'!C28</f>
        <v>0.7</v>
      </c>
      <c r="E102" s="191">
        <f>+'Marketing 2025'!D28</f>
        <v>0.3</v>
      </c>
      <c r="F102" s="191">
        <f>+'Marketing 2025'!E28</f>
        <v>0</v>
      </c>
      <c r="G102" s="191">
        <f>+'Marketing 2025'!F28</f>
        <v>0</v>
      </c>
      <c r="H102" t="str">
        <f>+'Marketing 2025'!G28</f>
        <v>Payroll</v>
      </c>
      <c r="I102" t="str">
        <f>+'Marketing 2025'!H28</f>
        <v>VELAZQUEZ MEJIA ANDREA</v>
      </c>
      <c r="J102" t="str">
        <f>+'Marketing 2025'!I28</f>
        <v>Lifecycles Manager</v>
      </c>
      <c r="K102" t="str">
        <f>+'Marketing 2025'!J28</f>
        <v>603.01.001</v>
      </c>
      <c r="L102" t="str">
        <f>+'Marketing 2025'!K28</f>
        <v>Sueldos y salarios</v>
      </c>
      <c r="M102" t="str">
        <f>+'Marketing 2025'!L28</f>
        <v>Sueldos y Salarios</v>
      </c>
      <c r="N102" t="str">
        <f>+'Marketing 2025'!M28</f>
        <v>MXN</v>
      </c>
      <c r="O102" s="300">
        <f>+'Marketing 2025'!N28</f>
        <v>27446.215384615381</v>
      </c>
      <c r="P102" s="300">
        <f>+'Marketing 2025'!O28</f>
        <v>535201.19999999995</v>
      </c>
      <c r="Q102" s="300">
        <f>+'Marketing 2025'!P28</f>
        <v>44600.100000000006</v>
      </c>
      <c r="R102" s="300">
        <f>+'Marketing 2025'!Q28</f>
        <v>44600.100000000006</v>
      </c>
      <c r="S102" s="300">
        <f>+'Marketing 2025'!R28</f>
        <v>44600.100000000006</v>
      </c>
      <c r="T102" s="300">
        <f>+'Marketing 2025'!S28</f>
        <v>44600.100000000006</v>
      </c>
      <c r="U102" s="300">
        <f>+'Marketing 2025'!T28</f>
        <v>44600.100000000006</v>
      </c>
      <c r="V102" s="300">
        <f>+'Marketing 2025'!U28</f>
        <v>44600.100000000006</v>
      </c>
      <c r="W102" s="300">
        <f>+'Marketing 2025'!V28</f>
        <v>44600.100000000006</v>
      </c>
      <c r="X102" s="300">
        <f>+'Marketing 2025'!W28</f>
        <v>44600.100000000006</v>
      </c>
      <c r="Y102" s="300">
        <f>+'Marketing 2025'!X28</f>
        <v>44600.100000000006</v>
      </c>
      <c r="Z102" s="300">
        <f>+'Marketing 2025'!Y28</f>
        <v>44600.100000000006</v>
      </c>
      <c r="AA102" s="300">
        <f>+'Marketing 2025'!Z28</f>
        <v>44600.100000000006</v>
      </c>
      <c r="AB102" s="300">
        <f>+'Marketing 2025'!AA28</f>
        <v>44600.100000000006</v>
      </c>
      <c r="AC102" s="301">
        <f t="shared" ref="AC102:AC133" si="42">+IF(AD102=O102,1,0)</f>
        <v>1</v>
      </c>
      <c r="AD102" s="511">
        <f t="shared" ref="AD102:AD133" si="43">+SUM(AE102:AP102)</f>
        <v>27446.215384615392</v>
      </c>
      <c r="AE102" s="300">
        <f t="shared" ref="AE102:AE133" si="44">+IF($N102="MXN",Q102/$AE$2,IF($N102="BRL",Q102/$AE$3,Q102))</f>
        <v>2287.1846153846159</v>
      </c>
      <c r="AF102" s="300">
        <f t="shared" ref="AF102:AF133" si="45">+IF($N102="MXN",R102/$AE$2,IF($N102="BRL",R102/$AE$3,R102))</f>
        <v>2287.1846153846159</v>
      </c>
      <c r="AG102" s="300">
        <f t="shared" ref="AG102:AG133" si="46">+IF($N102="MXN",S102/$AE$2,IF($N102="BRL",S102/$AE$3,S102))</f>
        <v>2287.1846153846159</v>
      </c>
      <c r="AH102" s="300">
        <f t="shared" ref="AH102:AH133" si="47">+IF($N102="MXN",T102/$AE$2,IF($N102="BRL",T102/$AE$3,T102))</f>
        <v>2287.1846153846159</v>
      </c>
      <c r="AI102" s="300">
        <f t="shared" ref="AI102:AI133" si="48">+IF($N102="MXN",U102/$AE$2,IF($N102="BRL",U102/$AE$3,U102))</f>
        <v>2287.1846153846159</v>
      </c>
      <c r="AJ102" s="300">
        <f t="shared" ref="AJ102:AJ133" si="49">+IF($N102="MXN",V102/$AE$2,IF($N102="BRL",V102/$AE$3,V102))</f>
        <v>2287.1846153846159</v>
      </c>
      <c r="AK102" s="300">
        <f t="shared" ref="AK102:AK133" si="50">+IF($N102="MXN",W102/$AE$2,IF($N102="BRL",W102/$AE$3,W102))</f>
        <v>2287.1846153846159</v>
      </c>
      <c r="AL102" s="300">
        <f t="shared" ref="AL102:AL133" si="51">+IF($N102="MXN",X102/$AE$2,IF($N102="BRL",X102/$AE$3,X102))</f>
        <v>2287.1846153846159</v>
      </c>
      <c r="AM102" s="300">
        <f t="shared" ref="AM102:AM133" si="52">+IF($N102="MXN",Y102/$AE$2,IF($N102="BRL",Y102/$AE$3,Y102))</f>
        <v>2287.1846153846159</v>
      </c>
      <c r="AN102" s="300">
        <f t="shared" ref="AN102:AN133" si="53">+IF($N102="MXN",Z102/$AE$2,IF($N102="BRL",Z102/$AE$3,Z102))</f>
        <v>2287.1846153846159</v>
      </c>
      <c r="AO102" s="300">
        <f t="shared" ref="AO102:AO133" si="54">+IF($N102="MXN",AA102/$AE$2,IF($N102="BRL",AA102/$AE$3,AA102))</f>
        <v>2287.1846153846159</v>
      </c>
      <c r="AP102" s="300">
        <f t="shared" ref="AP102:AP133" si="55">+IF($N102="MXN",AB102/$AE$2,IF($N102="BRL",AB102/$AE$3,AB102))</f>
        <v>2287.1846153846159</v>
      </c>
    </row>
    <row r="103" spans="1:42" hidden="1">
      <c r="B103" t="str">
        <f>+'Marketing 2025'!A29</f>
        <v>CREC</v>
      </c>
      <c r="C103" t="str">
        <f>+'Marketing 2025'!B29</f>
        <v>Martha Gutierrez</v>
      </c>
      <c r="D103" s="191">
        <f>+'Marketing 2025'!C29</f>
        <v>1</v>
      </c>
      <c r="E103" s="191">
        <f>+'Marketing 2025'!D29</f>
        <v>0</v>
      </c>
      <c r="F103" s="191">
        <f>+'Marketing 2025'!E29</f>
        <v>0</v>
      </c>
      <c r="G103" s="191">
        <f>+'Marketing 2025'!F29</f>
        <v>0</v>
      </c>
      <c r="H103" t="str">
        <f>+'Marketing 2025'!G29</f>
        <v>Payroll</v>
      </c>
      <c r="I103" t="str">
        <f>+'Marketing 2025'!H29</f>
        <v>SANCHEZ SHIROMAR SAMANTHA ANGELICA</v>
      </c>
      <c r="J103" t="str">
        <f>+'Marketing 2025'!I29</f>
        <v>Lifecycle Designer</v>
      </c>
      <c r="K103" t="str">
        <f>+'Marketing 2025'!J29</f>
        <v>603.01.001</v>
      </c>
      <c r="L103" t="str">
        <f>+'Marketing 2025'!K29</f>
        <v>Sueldos y salarios</v>
      </c>
      <c r="M103" t="str">
        <f>+'Marketing 2025'!L29</f>
        <v>Sueldos y Salarios</v>
      </c>
      <c r="N103" t="str">
        <f>+'Marketing 2025'!M29</f>
        <v>MXN</v>
      </c>
      <c r="O103" s="300">
        <f>+'Marketing 2025'!N29</f>
        <v>15384.738461538465</v>
      </c>
      <c r="P103" s="300">
        <f>+'Marketing 2025'!O29</f>
        <v>300002.40000000008</v>
      </c>
      <c r="Q103" s="300">
        <f>+'Marketing 2025'!P29</f>
        <v>25000.2</v>
      </c>
      <c r="R103" s="300">
        <f>+'Marketing 2025'!Q29</f>
        <v>25000.2</v>
      </c>
      <c r="S103" s="300">
        <f>+'Marketing 2025'!R29</f>
        <v>25000.2</v>
      </c>
      <c r="T103" s="300">
        <f>+'Marketing 2025'!S29</f>
        <v>25000.2</v>
      </c>
      <c r="U103" s="300">
        <f>+'Marketing 2025'!T29</f>
        <v>25000.2</v>
      </c>
      <c r="V103" s="300">
        <f>+'Marketing 2025'!U29</f>
        <v>25000.2</v>
      </c>
      <c r="W103" s="300">
        <f>+'Marketing 2025'!V29</f>
        <v>25000.2</v>
      </c>
      <c r="X103" s="300">
        <f>+'Marketing 2025'!W29</f>
        <v>25000.2</v>
      </c>
      <c r="Y103" s="300">
        <f>+'Marketing 2025'!X29</f>
        <v>25000.2</v>
      </c>
      <c r="Z103" s="300">
        <f>+'Marketing 2025'!Y29</f>
        <v>25000.2</v>
      </c>
      <c r="AA103" s="300">
        <f>+'Marketing 2025'!Z29</f>
        <v>25000.2</v>
      </c>
      <c r="AB103" s="300">
        <f>+'Marketing 2025'!AA29</f>
        <v>25000.2</v>
      </c>
      <c r="AC103" s="301">
        <f t="shared" si="42"/>
        <v>1</v>
      </c>
      <c r="AD103" s="511">
        <f t="shared" si="43"/>
        <v>15384.738461538458</v>
      </c>
      <c r="AE103" s="300">
        <f t="shared" si="44"/>
        <v>1282.0615384615385</v>
      </c>
      <c r="AF103" s="300">
        <f t="shared" si="45"/>
        <v>1282.0615384615385</v>
      </c>
      <c r="AG103" s="300">
        <f t="shared" si="46"/>
        <v>1282.0615384615385</v>
      </c>
      <c r="AH103" s="300">
        <f t="shared" si="47"/>
        <v>1282.0615384615385</v>
      </c>
      <c r="AI103" s="300">
        <f t="shared" si="48"/>
        <v>1282.0615384615385</v>
      </c>
      <c r="AJ103" s="300">
        <f t="shared" si="49"/>
        <v>1282.0615384615385</v>
      </c>
      <c r="AK103" s="300">
        <f t="shared" si="50"/>
        <v>1282.0615384615385</v>
      </c>
      <c r="AL103" s="300">
        <f t="shared" si="51"/>
        <v>1282.0615384615385</v>
      </c>
      <c r="AM103" s="300">
        <f t="shared" si="52"/>
        <v>1282.0615384615385</v>
      </c>
      <c r="AN103" s="300">
        <f t="shared" si="53"/>
        <v>1282.0615384615385</v>
      </c>
      <c r="AO103" s="300">
        <f t="shared" si="54"/>
        <v>1282.0615384615385</v>
      </c>
      <c r="AP103" s="300">
        <f t="shared" si="55"/>
        <v>1282.0615384615385</v>
      </c>
    </row>
    <row r="104" spans="1:42" hidden="1">
      <c r="B104" t="str">
        <f>+'Marketing 2025'!A30</f>
        <v>CREC</v>
      </c>
      <c r="C104" t="str">
        <f>+'Marketing 2025'!B30</f>
        <v>Martha Gutierrez</v>
      </c>
      <c r="D104" s="191">
        <f>+'Marketing 2025'!C30</f>
        <v>1</v>
      </c>
      <c r="E104" s="191">
        <f>+'Marketing 2025'!D30</f>
        <v>0</v>
      </c>
      <c r="F104" s="191">
        <f>+'Marketing 2025'!E30</f>
        <v>0</v>
      </c>
      <c r="G104" s="191">
        <f>+'Marketing 2025'!F30</f>
        <v>0</v>
      </c>
      <c r="H104" t="str">
        <f>+'Marketing 2025'!G30</f>
        <v>Payroll</v>
      </c>
      <c r="I104" t="str">
        <f>+'Marketing 2025'!H30</f>
        <v>RAMIREZ PADILLA LAURA CRISTINA</v>
      </c>
      <c r="J104" t="str">
        <f>+'Marketing 2025'!I30</f>
        <v>Lifecycle Marketing</v>
      </c>
      <c r="K104" t="str">
        <f>+'Marketing 2025'!J30</f>
        <v>603.01.001</v>
      </c>
      <c r="L104" t="str">
        <f>+'Marketing 2025'!K30</f>
        <v>Sueldos y salarios</v>
      </c>
      <c r="M104" t="str">
        <f>+'Marketing 2025'!L30</f>
        <v>Sueldos y Salarios</v>
      </c>
      <c r="N104" t="str">
        <f>+'Marketing 2025'!M30</f>
        <v>MXN</v>
      </c>
      <c r="O104" s="300">
        <f>+'Marketing 2025'!N30</f>
        <v>11692.430769230772</v>
      </c>
      <c r="P104" s="300">
        <f>+'Marketing 2025'!O30</f>
        <v>228002.40000000005</v>
      </c>
      <c r="Q104" s="300">
        <f>+'Marketing 2025'!P30</f>
        <v>19000.2</v>
      </c>
      <c r="R104" s="300">
        <f>+'Marketing 2025'!Q30</f>
        <v>19000.2</v>
      </c>
      <c r="S104" s="300">
        <f>+'Marketing 2025'!R30</f>
        <v>19000.2</v>
      </c>
      <c r="T104" s="300">
        <f>+'Marketing 2025'!S30</f>
        <v>19000.2</v>
      </c>
      <c r="U104" s="300">
        <f>+'Marketing 2025'!T30</f>
        <v>19000.2</v>
      </c>
      <c r="V104" s="300">
        <f>+'Marketing 2025'!U30</f>
        <v>19000.2</v>
      </c>
      <c r="W104" s="300">
        <f>+'Marketing 2025'!V30</f>
        <v>19000.2</v>
      </c>
      <c r="X104" s="300">
        <f>+'Marketing 2025'!W30</f>
        <v>19000.2</v>
      </c>
      <c r="Y104" s="300">
        <f>+'Marketing 2025'!X30</f>
        <v>19000.2</v>
      </c>
      <c r="Z104" s="300">
        <f>+'Marketing 2025'!Y30</f>
        <v>19000.2</v>
      </c>
      <c r="AA104" s="300">
        <f>+'Marketing 2025'!Z30</f>
        <v>19000.2</v>
      </c>
      <c r="AB104" s="300">
        <f>+'Marketing 2025'!AA30</f>
        <v>19000.2</v>
      </c>
      <c r="AC104" s="301">
        <f t="shared" si="42"/>
        <v>1</v>
      </c>
      <c r="AD104" s="511">
        <f t="shared" si="43"/>
        <v>11692.43076923077</v>
      </c>
      <c r="AE104" s="300">
        <f t="shared" si="44"/>
        <v>974.36923076923085</v>
      </c>
      <c r="AF104" s="300">
        <f t="shared" si="45"/>
        <v>974.36923076923085</v>
      </c>
      <c r="AG104" s="300">
        <f t="shared" si="46"/>
        <v>974.36923076923085</v>
      </c>
      <c r="AH104" s="300">
        <f t="shared" si="47"/>
        <v>974.36923076923085</v>
      </c>
      <c r="AI104" s="300">
        <f t="shared" si="48"/>
        <v>974.36923076923085</v>
      </c>
      <c r="AJ104" s="300">
        <f t="shared" si="49"/>
        <v>974.36923076923085</v>
      </c>
      <c r="AK104" s="300">
        <f t="shared" si="50"/>
        <v>974.36923076923085</v>
      </c>
      <c r="AL104" s="300">
        <f t="shared" si="51"/>
        <v>974.36923076923085</v>
      </c>
      <c r="AM104" s="300">
        <f t="shared" si="52"/>
        <v>974.36923076923085</v>
      </c>
      <c r="AN104" s="300">
        <f t="shared" si="53"/>
        <v>974.36923076923085</v>
      </c>
      <c r="AO104" s="300">
        <f t="shared" si="54"/>
        <v>974.36923076923085</v>
      </c>
      <c r="AP104" s="300">
        <f t="shared" si="55"/>
        <v>974.36923076923085</v>
      </c>
    </row>
    <row r="105" spans="1:42" hidden="1">
      <c r="B105" t="str">
        <f>+'Marketing 2025'!A31</f>
        <v>CREC</v>
      </c>
      <c r="C105" t="str">
        <f>+'Marketing 2025'!B31</f>
        <v>Martha Gutierrez</v>
      </c>
      <c r="D105" s="191">
        <f>+'Marketing 2025'!C31</f>
        <v>0</v>
      </c>
      <c r="E105" s="191">
        <f>+'Marketing 2025'!D31</f>
        <v>0</v>
      </c>
      <c r="F105" s="191">
        <f>+'Marketing 2025'!E31</f>
        <v>0</v>
      </c>
      <c r="G105" s="191">
        <f>+'Marketing 2025'!F31</f>
        <v>0</v>
      </c>
      <c r="H105" t="str">
        <f>+'Marketing 2025'!G31</f>
        <v>Payroll</v>
      </c>
      <c r="I105" t="str">
        <f>+'Marketing 2025'!H31</f>
        <v>GARZA MOLINA ELEAZAR</v>
      </c>
      <c r="J105" t="str">
        <f>+'Marketing 2025'!I31</f>
        <v>Designer - video editor</v>
      </c>
      <c r="K105" t="str">
        <f>+'Marketing 2025'!J31</f>
        <v>603.01.001</v>
      </c>
      <c r="L105" t="str">
        <f>+'Marketing 2025'!K31</f>
        <v>Sueldos y salarios</v>
      </c>
      <c r="M105" t="str">
        <f>+'Marketing 2025'!L31</f>
        <v>Sueldos y Salarios</v>
      </c>
      <c r="N105" t="str">
        <f>+'Marketing 2025'!M31</f>
        <v>MXN</v>
      </c>
      <c r="O105" s="300">
        <f>+'Marketing 2025'!N31</f>
        <v>0</v>
      </c>
      <c r="P105" s="300">
        <f>+'Marketing 2025'!O31</f>
        <v>0</v>
      </c>
      <c r="Q105" s="300">
        <f>+'Marketing 2025'!P31</f>
        <v>0</v>
      </c>
      <c r="R105" s="300">
        <f>+'Marketing 2025'!Q31</f>
        <v>0</v>
      </c>
      <c r="S105" s="300">
        <f>+'Marketing 2025'!R31</f>
        <v>0</v>
      </c>
      <c r="T105" s="300">
        <f>+'Marketing 2025'!S31</f>
        <v>0</v>
      </c>
      <c r="U105" s="300">
        <f>+'Marketing 2025'!T31</f>
        <v>0</v>
      </c>
      <c r="V105" s="300">
        <f>+'Marketing 2025'!U31</f>
        <v>0</v>
      </c>
      <c r="W105" s="300">
        <f>+'Marketing 2025'!V31</f>
        <v>0</v>
      </c>
      <c r="X105" s="300">
        <f>+'Marketing 2025'!W31</f>
        <v>0</v>
      </c>
      <c r="Y105" s="300">
        <f>+'Marketing 2025'!X31</f>
        <v>0</v>
      </c>
      <c r="Z105" s="300">
        <f>+'Marketing 2025'!Y31</f>
        <v>0</v>
      </c>
      <c r="AA105" s="300">
        <f>+'Marketing 2025'!Z31</f>
        <v>0</v>
      </c>
      <c r="AB105" s="300">
        <f>+'Marketing 2025'!AA31</f>
        <v>0</v>
      </c>
      <c r="AC105" s="301">
        <f t="shared" si="42"/>
        <v>1</v>
      </c>
      <c r="AD105" s="511">
        <f t="shared" si="43"/>
        <v>0</v>
      </c>
      <c r="AE105" s="300">
        <f t="shared" si="44"/>
        <v>0</v>
      </c>
      <c r="AF105" s="300">
        <f t="shared" si="45"/>
        <v>0</v>
      </c>
      <c r="AG105" s="300">
        <f t="shared" si="46"/>
        <v>0</v>
      </c>
      <c r="AH105" s="300">
        <f t="shared" si="47"/>
        <v>0</v>
      </c>
      <c r="AI105" s="300">
        <f t="shared" si="48"/>
        <v>0</v>
      </c>
      <c r="AJ105" s="300">
        <f t="shared" si="49"/>
        <v>0</v>
      </c>
      <c r="AK105" s="300">
        <f t="shared" si="50"/>
        <v>0</v>
      </c>
      <c r="AL105" s="300">
        <f t="shared" si="51"/>
        <v>0</v>
      </c>
      <c r="AM105" s="300">
        <f t="shared" si="52"/>
        <v>0</v>
      </c>
      <c r="AN105" s="300">
        <f t="shared" si="53"/>
        <v>0</v>
      </c>
      <c r="AO105" s="300">
        <f t="shared" si="54"/>
        <v>0</v>
      </c>
      <c r="AP105" s="300">
        <f t="shared" si="55"/>
        <v>0</v>
      </c>
    </row>
    <row r="106" spans="1:42" hidden="1">
      <c r="B106" t="str">
        <f>+'Marketing 2025'!A33</f>
        <v>CREC</v>
      </c>
      <c r="C106" t="str">
        <f>+'Marketing 2025'!B33</f>
        <v>Martha Gutierrez</v>
      </c>
      <c r="D106" s="191">
        <f>+'Marketing 2025'!C33</f>
        <v>0.9</v>
      </c>
      <c r="E106" s="191">
        <f>+'Marketing 2025'!D33</f>
        <v>9.9999999999999992E-2</v>
      </c>
      <c r="F106" s="191">
        <f>+'Marketing 2025'!E33</f>
        <v>0</v>
      </c>
      <c r="G106" s="191">
        <f>+'Marketing 2025'!F33</f>
        <v>0</v>
      </c>
      <c r="H106" t="str">
        <f>+'Marketing 2025'!G33</f>
        <v>Benefits</v>
      </c>
      <c r="I106" t="str">
        <f>+'Marketing 2025'!H33</f>
        <v>SiVale</v>
      </c>
      <c r="J106" t="str">
        <f>+'Marketing 2025'!I33</f>
        <v>4 empleados</v>
      </c>
      <c r="K106" t="str">
        <f>+'Marketing 2025'!J33</f>
        <v>603.15.001</v>
      </c>
      <c r="L106" t="str">
        <f>+'Marketing 2025'!K33</f>
        <v>Despensa</v>
      </c>
      <c r="M106" t="str">
        <f>+'Marketing 2025'!L33</f>
        <v>Sueldos y Salarios</v>
      </c>
      <c r="N106" t="str">
        <f>+'Marketing 2025'!M33</f>
        <v>MXN</v>
      </c>
      <c r="O106" s="300">
        <f>+'Marketing 2025'!N33</f>
        <v>1969.2307692307693</v>
      </c>
      <c r="P106" s="300">
        <f>+'Marketing 2025'!O33</f>
        <v>38400</v>
      </c>
      <c r="Q106" s="300">
        <f>+'Marketing 2025'!P33</f>
        <v>3200</v>
      </c>
      <c r="R106" s="300">
        <f>+'Marketing 2025'!Q33</f>
        <v>3200</v>
      </c>
      <c r="S106" s="300">
        <f>+'Marketing 2025'!R33</f>
        <v>3200</v>
      </c>
      <c r="T106" s="300">
        <f>+'Marketing 2025'!S33</f>
        <v>3200</v>
      </c>
      <c r="U106" s="300">
        <f>+'Marketing 2025'!T33</f>
        <v>3200</v>
      </c>
      <c r="V106" s="300">
        <f>+'Marketing 2025'!U33</f>
        <v>3200</v>
      </c>
      <c r="W106" s="300">
        <f>+'Marketing 2025'!V33</f>
        <v>3200</v>
      </c>
      <c r="X106" s="300">
        <f>+'Marketing 2025'!W33</f>
        <v>3200</v>
      </c>
      <c r="Y106" s="300">
        <f>+'Marketing 2025'!X33</f>
        <v>3200</v>
      </c>
      <c r="Z106" s="300">
        <f>+'Marketing 2025'!Y33</f>
        <v>3200</v>
      </c>
      <c r="AA106" s="300">
        <f>+'Marketing 2025'!Z33</f>
        <v>3200</v>
      </c>
      <c r="AB106" s="300">
        <f>+'Marketing 2025'!AA33</f>
        <v>3200</v>
      </c>
      <c r="AC106" s="301">
        <f t="shared" si="42"/>
        <v>1</v>
      </c>
      <c r="AD106" s="511">
        <f t="shared" si="43"/>
        <v>1969.2307692307697</v>
      </c>
      <c r="AE106" s="300">
        <f t="shared" si="44"/>
        <v>164.10256410256412</v>
      </c>
      <c r="AF106" s="300">
        <f t="shared" si="45"/>
        <v>164.10256410256412</v>
      </c>
      <c r="AG106" s="300">
        <f t="shared" si="46"/>
        <v>164.10256410256412</v>
      </c>
      <c r="AH106" s="300">
        <f t="shared" si="47"/>
        <v>164.10256410256412</v>
      </c>
      <c r="AI106" s="300">
        <f t="shared" si="48"/>
        <v>164.10256410256412</v>
      </c>
      <c r="AJ106" s="300">
        <f t="shared" si="49"/>
        <v>164.10256410256412</v>
      </c>
      <c r="AK106" s="300">
        <f t="shared" si="50"/>
        <v>164.10256410256412</v>
      </c>
      <c r="AL106" s="300">
        <f t="shared" si="51"/>
        <v>164.10256410256412</v>
      </c>
      <c r="AM106" s="300">
        <f t="shared" si="52"/>
        <v>164.10256410256412</v>
      </c>
      <c r="AN106" s="300">
        <f t="shared" si="53"/>
        <v>164.10256410256412</v>
      </c>
      <c r="AO106" s="300">
        <f t="shared" si="54"/>
        <v>164.10256410256412</v>
      </c>
      <c r="AP106" s="300">
        <f t="shared" si="55"/>
        <v>164.10256410256412</v>
      </c>
    </row>
    <row r="107" spans="1:42" hidden="1">
      <c r="A107" s="46">
        <f>SUM(D107:G107)</f>
        <v>1</v>
      </c>
      <c r="B107" t="str">
        <f>+'Marketing 2025'!A34</f>
        <v>CREC</v>
      </c>
      <c r="C107" t="str">
        <f>+'Marketing 2025'!B34</f>
        <v>Martha Gutierrez</v>
      </c>
      <c r="D107" s="191">
        <f>+'Marketing 2025'!C34</f>
        <v>0.8</v>
      </c>
      <c r="E107" s="191">
        <f>+'Marketing 2025'!D34</f>
        <v>0.2</v>
      </c>
      <c r="F107" s="191">
        <f>+'Marketing 2025'!E34</f>
        <v>0</v>
      </c>
      <c r="G107" s="191">
        <f>+'Marketing 2025'!F34</f>
        <v>0</v>
      </c>
      <c r="H107" t="str">
        <f>+'Marketing 2025'!G34</f>
        <v>Benefits</v>
      </c>
      <c r="I107" t="str">
        <f>+'Marketing 2025'!H34</f>
        <v>Aguinaldo</v>
      </c>
      <c r="J107" t="str">
        <f>+'Marketing 2025'!I34</f>
        <v>Aguinaldo</v>
      </c>
      <c r="K107" t="str">
        <f>+'Marketing 2025'!J34</f>
        <v>603.12.001</v>
      </c>
      <c r="L107" t="str">
        <f>+'Marketing 2025'!K34</f>
        <v>Aguinaldo</v>
      </c>
      <c r="M107" t="str">
        <f>+'Marketing 2025'!L34</f>
        <v>Sueldos y Salarios</v>
      </c>
      <c r="N107" t="str">
        <f>+'Marketing 2025'!M34</f>
        <v>MXN</v>
      </c>
      <c r="O107" s="300">
        <f>+'Marketing 2025'!N34</f>
        <v>5154.3717948717949</v>
      </c>
      <c r="P107" s="300">
        <f>+'Marketing 2025'!O34</f>
        <v>100510.25</v>
      </c>
      <c r="Q107" s="300">
        <f>+'Marketing 2025'!P34</f>
        <v>0</v>
      </c>
      <c r="R107" s="300">
        <f>+'Marketing 2025'!Q34</f>
        <v>0</v>
      </c>
      <c r="S107" s="300">
        <f>+'Marketing 2025'!R34</f>
        <v>0</v>
      </c>
      <c r="T107" s="300">
        <f>+'Marketing 2025'!S34</f>
        <v>0</v>
      </c>
      <c r="U107" s="300">
        <f>+'Marketing 2025'!T34</f>
        <v>0</v>
      </c>
      <c r="V107" s="300">
        <f>+'Marketing 2025'!U34</f>
        <v>0</v>
      </c>
      <c r="W107" s="300">
        <f>+'Marketing 2025'!V34</f>
        <v>0</v>
      </c>
      <c r="X107" s="300">
        <f>+'Marketing 2025'!W34</f>
        <v>0</v>
      </c>
      <c r="Y107" s="300">
        <f>+'Marketing 2025'!X34</f>
        <v>0</v>
      </c>
      <c r="Z107" s="300">
        <f>+'Marketing 2025'!Y34</f>
        <v>0</v>
      </c>
      <c r="AA107" s="300">
        <f>+'Marketing 2025'!Z34</f>
        <v>0</v>
      </c>
      <c r="AB107" s="300">
        <f>+'Marketing 2025'!AA34</f>
        <v>100510.25</v>
      </c>
      <c r="AC107" s="301">
        <f t="shared" si="42"/>
        <v>1</v>
      </c>
      <c r="AD107" s="511">
        <f t="shared" si="43"/>
        <v>5154.3717948717949</v>
      </c>
      <c r="AE107" s="300">
        <f t="shared" si="44"/>
        <v>0</v>
      </c>
      <c r="AF107" s="300">
        <f t="shared" si="45"/>
        <v>0</v>
      </c>
      <c r="AG107" s="300">
        <f t="shared" si="46"/>
        <v>0</v>
      </c>
      <c r="AH107" s="300">
        <f t="shared" si="47"/>
        <v>0</v>
      </c>
      <c r="AI107" s="300">
        <f t="shared" si="48"/>
        <v>0</v>
      </c>
      <c r="AJ107" s="300">
        <f t="shared" si="49"/>
        <v>0</v>
      </c>
      <c r="AK107" s="300">
        <f t="shared" si="50"/>
        <v>0</v>
      </c>
      <c r="AL107" s="300">
        <f t="shared" si="51"/>
        <v>0</v>
      </c>
      <c r="AM107" s="300">
        <f t="shared" si="52"/>
        <v>0</v>
      </c>
      <c r="AN107" s="300">
        <f t="shared" si="53"/>
        <v>0</v>
      </c>
      <c r="AO107" s="300">
        <f t="shared" si="54"/>
        <v>0</v>
      </c>
      <c r="AP107" s="300">
        <f t="shared" si="55"/>
        <v>5154.3717948717949</v>
      </c>
    </row>
    <row r="108" spans="1:42" hidden="1">
      <c r="B108" t="str">
        <f>+'Marketing 2025'!A35</f>
        <v>CREC</v>
      </c>
      <c r="C108" t="str">
        <f>+'Marketing 2025'!B35</f>
        <v>Martha Gutierrez</v>
      </c>
      <c r="D108" s="191">
        <f>+'Marketing 2025'!C35</f>
        <v>0.9</v>
      </c>
      <c r="E108" s="191">
        <f>+'Marketing 2025'!D35</f>
        <v>9.9999999999999992E-2</v>
      </c>
      <c r="F108" s="191">
        <f>+'Marketing 2025'!E35</f>
        <v>0</v>
      </c>
      <c r="G108" s="191">
        <f>+'Marketing 2025'!F35</f>
        <v>0</v>
      </c>
      <c r="H108" t="str">
        <f>+'Marketing 2025'!G35</f>
        <v>Benefits</v>
      </c>
      <c r="I108" t="str">
        <f>+'Marketing 2025'!H35</f>
        <v>Prima Vacacional (prom. 8 días de vacaciones)</v>
      </c>
      <c r="J108" t="str">
        <f>+'Marketing 2025'!I35</f>
        <v>Prima Vacacional (prom. 8 días de vacaciones)</v>
      </c>
      <c r="K108" t="str">
        <f>+'Marketing 2025'!J35</f>
        <v>603.07.001</v>
      </c>
      <c r="L108" t="str">
        <f>+'Marketing 2025'!K35</f>
        <v>Prima vacacional</v>
      </c>
      <c r="M108" t="str">
        <f>+'Marketing 2025'!L35</f>
        <v>Sueldos y Salarios</v>
      </c>
      <c r="N108" t="str">
        <f>+'Marketing 2025'!M35</f>
        <v>MXN</v>
      </c>
      <c r="O108" s="300">
        <f>+'Marketing 2025'!N35</f>
        <v>1135.9038461538462</v>
      </c>
      <c r="P108" s="300">
        <f>+'Marketing 2025'!O35</f>
        <v>22150.125</v>
      </c>
      <c r="Q108" s="300">
        <f>+'Marketing 2025'!P35</f>
        <v>1845.84375</v>
      </c>
      <c r="R108" s="300">
        <f>+'Marketing 2025'!Q35</f>
        <v>1845.84375</v>
      </c>
      <c r="S108" s="300">
        <f>+'Marketing 2025'!R35</f>
        <v>1845.84375</v>
      </c>
      <c r="T108" s="300">
        <f>+'Marketing 2025'!S35</f>
        <v>1845.84375</v>
      </c>
      <c r="U108" s="300">
        <f>+'Marketing 2025'!T35</f>
        <v>1845.84375</v>
      </c>
      <c r="V108" s="300">
        <f>+'Marketing 2025'!U35</f>
        <v>1845.84375</v>
      </c>
      <c r="W108" s="300">
        <f>+'Marketing 2025'!V35</f>
        <v>1845.84375</v>
      </c>
      <c r="X108" s="300">
        <f>+'Marketing 2025'!W35</f>
        <v>1845.84375</v>
      </c>
      <c r="Y108" s="300">
        <f>+'Marketing 2025'!X35</f>
        <v>1845.84375</v>
      </c>
      <c r="Z108" s="300">
        <f>+'Marketing 2025'!Y35</f>
        <v>1845.84375</v>
      </c>
      <c r="AA108" s="300">
        <f>+'Marketing 2025'!Z35</f>
        <v>1845.84375</v>
      </c>
      <c r="AB108" s="300">
        <f>+'Marketing 2025'!AA35</f>
        <v>1845.84375</v>
      </c>
      <c r="AC108" s="301">
        <f t="shared" si="42"/>
        <v>1</v>
      </c>
      <c r="AD108" s="511">
        <f t="shared" si="43"/>
        <v>1135.903846153846</v>
      </c>
      <c r="AE108" s="300">
        <f t="shared" si="44"/>
        <v>94.65865384615384</v>
      </c>
      <c r="AF108" s="300">
        <f t="shared" si="45"/>
        <v>94.65865384615384</v>
      </c>
      <c r="AG108" s="300">
        <f t="shared" si="46"/>
        <v>94.65865384615384</v>
      </c>
      <c r="AH108" s="300">
        <f t="shared" si="47"/>
        <v>94.65865384615384</v>
      </c>
      <c r="AI108" s="300">
        <f t="shared" si="48"/>
        <v>94.65865384615384</v>
      </c>
      <c r="AJ108" s="300">
        <f t="shared" si="49"/>
        <v>94.65865384615384</v>
      </c>
      <c r="AK108" s="300">
        <f t="shared" si="50"/>
        <v>94.65865384615384</v>
      </c>
      <c r="AL108" s="300">
        <f t="shared" si="51"/>
        <v>94.65865384615384</v>
      </c>
      <c r="AM108" s="300">
        <f t="shared" si="52"/>
        <v>94.65865384615384</v>
      </c>
      <c r="AN108" s="300">
        <f t="shared" si="53"/>
        <v>94.65865384615384</v>
      </c>
      <c r="AO108" s="300">
        <f t="shared" si="54"/>
        <v>94.65865384615384</v>
      </c>
      <c r="AP108" s="300">
        <f t="shared" si="55"/>
        <v>94.65865384615384</v>
      </c>
    </row>
    <row r="109" spans="1:42" hidden="1">
      <c r="B109" t="str">
        <f>+'Marketing 2025'!A36</f>
        <v>CREC</v>
      </c>
      <c r="C109" t="str">
        <f>+'Marketing 2025'!B36</f>
        <v>Martha Gutierrez</v>
      </c>
      <c r="D109" s="191">
        <f>+'Marketing 2025'!C36</f>
        <v>0.9</v>
      </c>
      <c r="E109" s="191">
        <f>+'Marketing 2025'!D36</f>
        <v>9.9999999999999992E-2</v>
      </c>
      <c r="F109" s="191">
        <f>+'Marketing 2025'!E36</f>
        <v>0</v>
      </c>
      <c r="G109" s="191">
        <f>+'Marketing 2025'!F36</f>
        <v>0</v>
      </c>
      <c r="H109" t="str">
        <f>+'Marketing 2025'!G36</f>
        <v>Payroll</v>
      </c>
      <c r="I109" t="str">
        <f>+'Marketing 2025'!H36</f>
        <v>Impuestos</v>
      </c>
      <c r="J109" t="str">
        <f>+'Marketing 2025'!I36</f>
        <v>ISN, SAR, IMSS, INFONAVIT (avg. 24%)</v>
      </c>
      <c r="K109" t="str">
        <f>+'Marketing 2025'!J36</f>
        <v>603.01.001</v>
      </c>
      <c r="L109" t="str">
        <f>+'Marketing 2025'!K36</f>
        <v>Sueldos y salarios</v>
      </c>
      <c r="M109" t="str">
        <f>+'Marketing 2025'!L36</f>
        <v>Sueldos y Salarios</v>
      </c>
      <c r="N109" t="str">
        <f>+'Marketing 2025'!M36</f>
        <v>MXN</v>
      </c>
      <c r="O109" s="300">
        <f>+'Marketing 2025'!N36</f>
        <v>13085.612307692307</v>
      </c>
      <c r="P109" s="300">
        <f>+'Marketing 2025'!O36</f>
        <v>255169.43999999997</v>
      </c>
      <c r="Q109" s="300">
        <f>+'Marketing 2025'!P36</f>
        <v>21264.12</v>
      </c>
      <c r="R109" s="300">
        <f>+'Marketing 2025'!Q36</f>
        <v>21264.12</v>
      </c>
      <c r="S109" s="300">
        <f>+'Marketing 2025'!R36</f>
        <v>21264.12</v>
      </c>
      <c r="T109" s="300">
        <f>+'Marketing 2025'!S36</f>
        <v>21264.12</v>
      </c>
      <c r="U109" s="300">
        <f>+'Marketing 2025'!T36</f>
        <v>21264.12</v>
      </c>
      <c r="V109" s="300">
        <f>+'Marketing 2025'!U36</f>
        <v>21264.12</v>
      </c>
      <c r="W109" s="300">
        <f>+'Marketing 2025'!V36</f>
        <v>21264.12</v>
      </c>
      <c r="X109" s="300">
        <f>+'Marketing 2025'!W36</f>
        <v>21264.12</v>
      </c>
      <c r="Y109" s="300">
        <f>+'Marketing 2025'!X36</f>
        <v>21264.12</v>
      </c>
      <c r="Z109" s="300">
        <f>+'Marketing 2025'!Y36</f>
        <v>21264.12</v>
      </c>
      <c r="AA109" s="300">
        <f>+'Marketing 2025'!Z36</f>
        <v>21264.12</v>
      </c>
      <c r="AB109" s="300">
        <f>+'Marketing 2025'!AA36</f>
        <v>21264.12</v>
      </c>
      <c r="AC109" s="301">
        <f t="shared" si="42"/>
        <v>1</v>
      </c>
      <c r="AD109" s="511">
        <f t="shared" si="43"/>
        <v>13085.612307692303</v>
      </c>
      <c r="AE109" s="300">
        <f t="shared" si="44"/>
        <v>1090.4676923076922</v>
      </c>
      <c r="AF109" s="300">
        <f t="shared" si="45"/>
        <v>1090.4676923076922</v>
      </c>
      <c r="AG109" s="300">
        <f t="shared" si="46"/>
        <v>1090.4676923076922</v>
      </c>
      <c r="AH109" s="300">
        <f t="shared" si="47"/>
        <v>1090.4676923076922</v>
      </c>
      <c r="AI109" s="300">
        <f t="shared" si="48"/>
        <v>1090.4676923076922</v>
      </c>
      <c r="AJ109" s="300">
        <f t="shared" si="49"/>
        <v>1090.4676923076922</v>
      </c>
      <c r="AK109" s="300">
        <f t="shared" si="50"/>
        <v>1090.4676923076922</v>
      </c>
      <c r="AL109" s="300">
        <f t="shared" si="51"/>
        <v>1090.4676923076922</v>
      </c>
      <c r="AM109" s="300">
        <f t="shared" si="52"/>
        <v>1090.4676923076922</v>
      </c>
      <c r="AN109" s="300">
        <f t="shared" si="53"/>
        <v>1090.4676923076922</v>
      </c>
      <c r="AO109" s="300">
        <f t="shared" si="54"/>
        <v>1090.4676923076922</v>
      </c>
      <c r="AP109" s="300">
        <f t="shared" si="55"/>
        <v>1090.4676923076922</v>
      </c>
    </row>
    <row r="110" spans="1:42" hidden="1">
      <c r="B110" t="str">
        <f>+'Product 2025'!A29</f>
        <v>PRO</v>
      </c>
      <c r="C110" t="str">
        <f>+'Product 2025'!B29</f>
        <v>Mariana Kalifa</v>
      </c>
      <c r="D110" s="191">
        <f>+'Product 2025'!C29</f>
        <v>0</v>
      </c>
      <c r="E110" s="191">
        <f>+'Product 2025'!D29</f>
        <v>0</v>
      </c>
      <c r="F110" s="191">
        <f>+'Product 2025'!E29</f>
        <v>0</v>
      </c>
      <c r="G110" s="191">
        <f>+'Product 2025'!F29</f>
        <v>1</v>
      </c>
      <c r="H110" t="str">
        <f>+'Product 2025'!G29</f>
        <v>Computers</v>
      </c>
      <c r="I110" t="str">
        <f>+'Product 2025'!H29</f>
        <v xml:space="preserve">Equipo de computo </v>
      </c>
      <c r="J110" t="str">
        <f>+'Product 2025'!I29</f>
        <v>Computadora Thinkpad RAM 32/40, procesador AMD Rysen 5, disco estado solido 512 (android developer) - aprox 20k mxn</v>
      </c>
      <c r="K110" t="str">
        <f>+'Product 2025'!J29</f>
        <v>156.01.001</v>
      </c>
      <c r="L110" t="str">
        <f>+'Product 2025'!K29</f>
        <v>EQUIPO DE COMPUTO</v>
      </c>
      <c r="M110" t="str">
        <f>+'Product 2025'!L29</f>
        <v>CAPEX</v>
      </c>
      <c r="N110" t="str">
        <f>+'Product 2025'!M29</f>
        <v>MXN</v>
      </c>
      <c r="O110" s="300">
        <f>+'Product 2025'!N29</f>
        <v>1025.6410256410256</v>
      </c>
      <c r="P110" s="300">
        <f>+'Product 2025'!O29</f>
        <v>20000</v>
      </c>
      <c r="Q110" s="300">
        <f>+'Product 2025'!P29</f>
        <v>0</v>
      </c>
      <c r="R110" s="300">
        <f>+'Product 2025'!Q29</f>
        <v>0</v>
      </c>
      <c r="S110" s="300">
        <f>+'Product 2025'!R29</f>
        <v>20000</v>
      </c>
      <c r="T110" s="300">
        <f>+'Product 2025'!S29</f>
        <v>0</v>
      </c>
      <c r="U110" s="300">
        <f>+'Product 2025'!T29</f>
        <v>0</v>
      </c>
      <c r="V110" s="300">
        <f>+'Product 2025'!U29</f>
        <v>0</v>
      </c>
      <c r="W110" s="300">
        <f>+'Product 2025'!V29</f>
        <v>0</v>
      </c>
      <c r="X110" s="300">
        <f>+'Product 2025'!W29</f>
        <v>0</v>
      </c>
      <c r="Y110" s="300">
        <f>+'Product 2025'!X29</f>
        <v>0</v>
      </c>
      <c r="Z110" s="300">
        <f>+'Product 2025'!Y29</f>
        <v>0</v>
      </c>
      <c r="AA110" s="300">
        <f>+'Product 2025'!Z29</f>
        <v>0</v>
      </c>
      <c r="AB110" s="300">
        <f>+'Product 2025'!AA29</f>
        <v>0</v>
      </c>
      <c r="AC110" s="301">
        <f t="shared" si="42"/>
        <v>1</v>
      </c>
      <c r="AD110" s="511">
        <f t="shared" si="43"/>
        <v>1025.6410256410256</v>
      </c>
      <c r="AE110" s="300">
        <f t="shared" si="44"/>
        <v>0</v>
      </c>
      <c r="AF110" s="300">
        <f t="shared" si="45"/>
        <v>0</v>
      </c>
      <c r="AG110" s="300">
        <f t="shared" si="46"/>
        <v>1025.6410256410256</v>
      </c>
      <c r="AH110" s="300">
        <f t="shared" si="47"/>
        <v>0</v>
      </c>
      <c r="AI110" s="300">
        <f t="shared" si="48"/>
        <v>0</v>
      </c>
      <c r="AJ110" s="300">
        <f t="shared" si="49"/>
        <v>0</v>
      </c>
      <c r="AK110" s="300">
        <f t="shared" si="50"/>
        <v>0</v>
      </c>
      <c r="AL110" s="300">
        <f t="shared" si="51"/>
        <v>0</v>
      </c>
      <c r="AM110" s="300">
        <f t="shared" si="52"/>
        <v>0</v>
      </c>
      <c r="AN110" s="300">
        <f t="shared" si="53"/>
        <v>0</v>
      </c>
      <c r="AO110" s="300">
        <f t="shared" si="54"/>
        <v>0</v>
      </c>
      <c r="AP110" s="300">
        <f t="shared" si="55"/>
        <v>0</v>
      </c>
    </row>
    <row r="111" spans="1:42" hidden="1">
      <c r="B111" t="str">
        <f>+'Product 2025'!A24</f>
        <v>PRO</v>
      </c>
      <c r="C111" t="str">
        <f>+'Product 2025'!B24</f>
        <v>Mariana Kalifa</v>
      </c>
      <c r="D111" s="191">
        <f>+'Product 2025'!C24</f>
        <v>0</v>
      </c>
      <c r="E111" s="191">
        <f>+'Product 2025'!D24</f>
        <v>0</v>
      </c>
      <c r="F111" s="191">
        <f>+'Product 2025'!E24</f>
        <v>0</v>
      </c>
      <c r="G111" s="191">
        <f>+'Product 2025'!F24</f>
        <v>1</v>
      </c>
      <c r="H111" t="str">
        <f>+'Product 2025'!G24</f>
        <v>Hotel</v>
      </c>
      <c r="I111" t="str">
        <f>+'Product 2025'!H24</f>
        <v>Multiple</v>
      </c>
      <c r="J111">
        <f>+'Product 2025'!I24</f>
        <v>0</v>
      </c>
      <c r="K111" t="str">
        <f>+'Product 2025'!J24</f>
        <v>603.49.001</v>
      </c>
      <c r="L111" t="str">
        <f>+'Product 2025'!K24</f>
        <v>Viaticos Hotel</v>
      </c>
      <c r="M111" t="str">
        <f>+'Product 2025'!L24</f>
        <v>Gastos de Viaje</v>
      </c>
      <c r="N111" t="str">
        <f>+'Product 2025'!M24</f>
        <v>MXN</v>
      </c>
      <c r="O111" s="300">
        <f>+'Product 2025'!N24</f>
        <v>0</v>
      </c>
      <c r="P111" s="300">
        <f>+'Product 2025'!O24</f>
        <v>0</v>
      </c>
      <c r="Q111" s="300">
        <f>+'Product 2025'!P24</f>
        <v>0</v>
      </c>
      <c r="R111" s="300">
        <f>+'Product 2025'!Q24</f>
        <v>0</v>
      </c>
      <c r="S111" s="300">
        <f>+'Product 2025'!R24</f>
        <v>0</v>
      </c>
      <c r="T111" s="300">
        <f>+'Product 2025'!S24</f>
        <v>0</v>
      </c>
      <c r="U111" s="300">
        <f>+'Product 2025'!T24</f>
        <v>0</v>
      </c>
      <c r="V111" s="300">
        <f>+'Product 2025'!U24</f>
        <v>0</v>
      </c>
      <c r="W111" s="300">
        <f>+'Product 2025'!V24</f>
        <v>0</v>
      </c>
      <c r="X111" s="300">
        <f>+'Product 2025'!W24</f>
        <v>0</v>
      </c>
      <c r="Y111" s="300">
        <f>+'Product 2025'!X24</f>
        <v>0</v>
      </c>
      <c r="Z111" s="300">
        <f>+'Product 2025'!Y24</f>
        <v>0</v>
      </c>
      <c r="AA111" s="300">
        <f>+'Product 2025'!Z24</f>
        <v>0</v>
      </c>
      <c r="AB111" s="300">
        <f>+'Product 2025'!AA24</f>
        <v>0</v>
      </c>
      <c r="AC111" s="301">
        <f t="shared" si="42"/>
        <v>1</v>
      </c>
      <c r="AD111" s="511">
        <f t="shared" si="43"/>
        <v>0</v>
      </c>
      <c r="AE111" s="300">
        <f t="shared" si="44"/>
        <v>0</v>
      </c>
      <c r="AF111" s="300">
        <f t="shared" si="45"/>
        <v>0</v>
      </c>
      <c r="AG111" s="300">
        <f t="shared" si="46"/>
        <v>0</v>
      </c>
      <c r="AH111" s="300">
        <f t="shared" si="47"/>
        <v>0</v>
      </c>
      <c r="AI111" s="300">
        <f t="shared" si="48"/>
        <v>0</v>
      </c>
      <c r="AJ111" s="300">
        <f t="shared" si="49"/>
        <v>0</v>
      </c>
      <c r="AK111" s="300">
        <f t="shared" si="50"/>
        <v>0</v>
      </c>
      <c r="AL111" s="300">
        <f t="shared" si="51"/>
        <v>0</v>
      </c>
      <c r="AM111" s="300">
        <f t="shared" si="52"/>
        <v>0</v>
      </c>
      <c r="AN111" s="300">
        <f t="shared" si="53"/>
        <v>0</v>
      </c>
      <c r="AO111" s="300">
        <f t="shared" si="54"/>
        <v>0</v>
      </c>
      <c r="AP111" s="300">
        <f t="shared" si="55"/>
        <v>0</v>
      </c>
    </row>
    <row r="112" spans="1:42" hidden="1">
      <c r="B112" t="str">
        <f>+'Product 2025'!A25</f>
        <v>PRO</v>
      </c>
      <c r="C112" t="str">
        <f>+'Product 2025'!B25</f>
        <v>Mariana Kalifa</v>
      </c>
      <c r="D112" s="191">
        <f>+'Product 2025'!C25</f>
        <v>0</v>
      </c>
      <c r="E112" s="191">
        <f>+'Product 2025'!D25</f>
        <v>0</v>
      </c>
      <c r="F112" s="191">
        <f>+'Product 2025'!E25</f>
        <v>0</v>
      </c>
      <c r="G112" s="191">
        <f>+'Product 2025'!F25</f>
        <v>1</v>
      </c>
      <c r="H112" t="str">
        <f>+'Product 2025'!G25</f>
        <v>Taxi</v>
      </c>
      <c r="I112" t="str">
        <f>+'Product 2025'!H25</f>
        <v>Multiple</v>
      </c>
      <c r="J112">
        <f>+'Product 2025'!I25</f>
        <v>0</v>
      </c>
      <c r="K112" t="str">
        <f>+'Product 2025'!J25</f>
        <v>603.49.002</v>
      </c>
      <c r="L112" t="str">
        <f>+'Product 2025'!K25</f>
        <v>Vaticos Taxi</v>
      </c>
      <c r="M112" t="str">
        <f>+'Product 2025'!L25</f>
        <v>Gastos de Viaje</v>
      </c>
      <c r="N112" t="str">
        <f>+'Product 2025'!M25</f>
        <v>MXN</v>
      </c>
      <c r="O112" s="300">
        <f>+'Product 2025'!N25</f>
        <v>0</v>
      </c>
      <c r="P112" s="300">
        <f>+'Product 2025'!O25</f>
        <v>0</v>
      </c>
      <c r="Q112" s="300">
        <f>+'Product 2025'!P25</f>
        <v>0</v>
      </c>
      <c r="R112" s="300">
        <f>+'Product 2025'!Q25</f>
        <v>0</v>
      </c>
      <c r="S112" s="300">
        <f>+'Product 2025'!R25</f>
        <v>0</v>
      </c>
      <c r="T112" s="300">
        <f>+'Product 2025'!S25</f>
        <v>0</v>
      </c>
      <c r="U112" s="300">
        <f>+'Product 2025'!T25</f>
        <v>0</v>
      </c>
      <c r="V112" s="300">
        <f>+'Product 2025'!U25</f>
        <v>0</v>
      </c>
      <c r="W112" s="300">
        <f>+'Product 2025'!V25</f>
        <v>0</v>
      </c>
      <c r="X112" s="300">
        <f>+'Product 2025'!W25</f>
        <v>0</v>
      </c>
      <c r="Y112" s="300">
        <f>+'Product 2025'!X25</f>
        <v>0</v>
      </c>
      <c r="Z112" s="300">
        <f>+'Product 2025'!Y25</f>
        <v>0</v>
      </c>
      <c r="AA112" s="300">
        <f>+'Product 2025'!Z25</f>
        <v>0</v>
      </c>
      <c r="AB112" s="300">
        <f>+'Product 2025'!AA25</f>
        <v>0</v>
      </c>
      <c r="AC112" s="301">
        <f t="shared" si="42"/>
        <v>1</v>
      </c>
      <c r="AD112" s="511">
        <f t="shared" si="43"/>
        <v>0</v>
      </c>
      <c r="AE112" s="300">
        <f t="shared" si="44"/>
        <v>0</v>
      </c>
      <c r="AF112" s="300">
        <f t="shared" si="45"/>
        <v>0</v>
      </c>
      <c r="AG112" s="300">
        <f t="shared" si="46"/>
        <v>0</v>
      </c>
      <c r="AH112" s="300">
        <f t="shared" si="47"/>
        <v>0</v>
      </c>
      <c r="AI112" s="300">
        <f t="shared" si="48"/>
        <v>0</v>
      </c>
      <c r="AJ112" s="300">
        <f t="shared" si="49"/>
        <v>0</v>
      </c>
      <c r="AK112" s="300">
        <f t="shared" si="50"/>
        <v>0</v>
      </c>
      <c r="AL112" s="300">
        <f t="shared" si="51"/>
        <v>0</v>
      </c>
      <c r="AM112" s="300">
        <f t="shared" si="52"/>
        <v>0</v>
      </c>
      <c r="AN112" s="300">
        <f t="shared" si="53"/>
        <v>0</v>
      </c>
      <c r="AO112" s="300">
        <f t="shared" si="54"/>
        <v>0</v>
      </c>
      <c r="AP112" s="300">
        <f t="shared" si="55"/>
        <v>0</v>
      </c>
    </row>
    <row r="113" spans="1:42" hidden="1">
      <c r="B113" t="str">
        <f>+'Product 2025'!A26</f>
        <v>PRO</v>
      </c>
      <c r="C113" t="str">
        <f>+'Product 2025'!B26</f>
        <v>Mariana Kalifa</v>
      </c>
      <c r="D113" s="191">
        <f>+'Product 2025'!C26</f>
        <v>0</v>
      </c>
      <c r="E113" s="191">
        <f>+'Product 2025'!D26</f>
        <v>0</v>
      </c>
      <c r="F113" s="191">
        <f>+'Product 2025'!E26</f>
        <v>0</v>
      </c>
      <c r="G113" s="191">
        <f>+'Product 2025'!F26</f>
        <v>1</v>
      </c>
      <c r="H113" t="str">
        <f>+'Product 2025'!G26</f>
        <v>Plane</v>
      </c>
      <c r="I113" t="str">
        <f>+'Product 2025'!H26</f>
        <v>Multiple</v>
      </c>
      <c r="J113">
        <f>+'Product 2025'!I26</f>
        <v>0</v>
      </c>
      <c r="K113" t="str">
        <f>+'Product 2025'!J26</f>
        <v>603.49.003</v>
      </c>
      <c r="L113" t="str">
        <f>+'Product 2025'!K26</f>
        <v>Viaticos Avion</v>
      </c>
      <c r="M113" t="str">
        <f>+'Product 2025'!L26</f>
        <v>Gastos de Viaje</v>
      </c>
      <c r="N113" t="str">
        <f>+'Product 2025'!M26</f>
        <v>MXN</v>
      </c>
      <c r="O113" s="300">
        <f>+'Product 2025'!N26</f>
        <v>0</v>
      </c>
      <c r="P113" s="300">
        <f>+'Product 2025'!O26</f>
        <v>0</v>
      </c>
      <c r="Q113" s="300">
        <f>+'Product 2025'!P26</f>
        <v>0</v>
      </c>
      <c r="R113" s="300">
        <f>+'Product 2025'!Q26</f>
        <v>0</v>
      </c>
      <c r="S113" s="300">
        <f>+'Product 2025'!R26</f>
        <v>0</v>
      </c>
      <c r="T113" s="300">
        <f>+'Product 2025'!S26</f>
        <v>0</v>
      </c>
      <c r="U113" s="300">
        <f>+'Product 2025'!T26</f>
        <v>0</v>
      </c>
      <c r="V113" s="300">
        <f>+'Product 2025'!U26</f>
        <v>0</v>
      </c>
      <c r="W113" s="300">
        <f>+'Product 2025'!V26</f>
        <v>0</v>
      </c>
      <c r="X113" s="300">
        <f>+'Product 2025'!W26</f>
        <v>0</v>
      </c>
      <c r="Y113" s="300">
        <f>+'Product 2025'!X26</f>
        <v>0</v>
      </c>
      <c r="Z113" s="300">
        <f>+'Product 2025'!Y26</f>
        <v>0</v>
      </c>
      <c r="AA113" s="300">
        <f>+'Product 2025'!Z26</f>
        <v>0</v>
      </c>
      <c r="AB113" s="300">
        <f>+'Product 2025'!AA26</f>
        <v>0</v>
      </c>
      <c r="AC113" s="301">
        <f t="shared" si="42"/>
        <v>1</v>
      </c>
      <c r="AD113" s="511">
        <f t="shared" si="43"/>
        <v>0</v>
      </c>
      <c r="AE113" s="300">
        <f t="shared" si="44"/>
        <v>0</v>
      </c>
      <c r="AF113" s="300">
        <f t="shared" si="45"/>
        <v>0</v>
      </c>
      <c r="AG113" s="300">
        <f t="shared" si="46"/>
        <v>0</v>
      </c>
      <c r="AH113" s="300">
        <f t="shared" si="47"/>
        <v>0</v>
      </c>
      <c r="AI113" s="300">
        <f t="shared" si="48"/>
        <v>0</v>
      </c>
      <c r="AJ113" s="300">
        <f t="shared" si="49"/>
        <v>0</v>
      </c>
      <c r="AK113" s="300">
        <f t="shared" si="50"/>
        <v>0</v>
      </c>
      <c r="AL113" s="300">
        <f t="shared" si="51"/>
        <v>0</v>
      </c>
      <c r="AM113" s="300">
        <f t="shared" si="52"/>
        <v>0</v>
      </c>
      <c r="AN113" s="300">
        <f t="shared" si="53"/>
        <v>0</v>
      </c>
      <c r="AO113" s="300">
        <f t="shared" si="54"/>
        <v>0</v>
      </c>
      <c r="AP113" s="300">
        <f t="shared" si="55"/>
        <v>0</v>
      </c>
    </row>
    <row r="114" spans="1:42" hidden="1">
      <c r="B114" t="str">
        <f>+'Product 2025'!A27</f>
        <v>PRO</v>
      </c>
      <c r="C114" t="str">
        <f>+'Product 2025'!B27</f>
        <v>Mariana Kalifa</v>
      </c>
      <c r="D114" s="191">
        <f>+'Product 2025'!C27</f>
        <v>0</v>
      </c>
      <c r="E114" s="191">
        <f>+'Product 2025'!D27</f>
        <v>0</v>
      </c>
      <c r="F114" s="191">
        <f>+'Product 2025'!E27</f>
        <v>0</v>
      </c>
      <c r="G114" s="191">
        <f>+'Product 2025'!F27</f>
        <v>1</v>
      </c>
      <c r="H114" t="str">
        <f>+'Product 2025'!G27</f>
        <v>Food</v>
      </c>
      <c r="I114" t="str">
        <f>+'Product 2025'!H27</f>
        <v>Multiple</v>
      </c>
      <c r="J114">
        <f>+'Product 2025'!I27</f>
        <v>0</v>
      </c>
      <c r="K114" t="str">
        <f>+'Product 2025'!J27</f>
        <v>603.49.004</v>
      </c>
      <c r="L114" t="str">
        <f>+'Product 2025'!K27</f>
        <v>Viaticos Comidas</v>
      </c>
      <c r="M114" t="str">
        <f>+'Product 2025'!L27</f>
        <v>Gastos de Viaje</v>
      </c>
      <c r="N114" t="str">
        <f>+'Product 2025'!M27</f>
        <v>MXN</v>
      </c>
      <c r="O114" s="300">
        <f>+'Product 2025'!N27</f>
        <v>0</v>
      </c>
      <c r="P114" s="300">
        <f>+'Product 2025'!O27</f>
        <v>0</v>
      </c>
      <c r="Q114" s="300">
        <f>+'Product 2025'!P27</f>
        <v>0</v>
      </c>
      <c r="R114" s="300">
        <f>+'Product 2025'!Q27</f>
        <v>0</v>
      </c>
      <c r="S114" s="300">
        <f>+'Product 2025'!R27</f>
        <v>0</v>
      </c>
      <c r="T114" s="300">
        <f>+'Product 2025'!S27</f>
        <v>0</v>
      </c>
      <c r="U114" s="300">
        <f>+'Product 2025'!T27</f>
        <v>0</v>
      </c>
      <c r="V114" s="300">
        <f>+'Product 2025'!U27</f>
        <v>0</v>
      </c>
      <c r="W114" s="300">
        <f>+'Product 2025'!V27</f>
        <v>0</v>
      </c>
      <c r="X114" s="300">
        <f>+'Product 2025'!W27</f>
        <v>0</v>
      </c>
      <c r="Y114" s="300">
        <f>+'Product 2025'!X27</f>
        <v>0</v>
      </c>
      <c r="Z114" s="300">
        <f>+'Product 2025'!Y27</f>
        <v>0</v>
      </c>
      <c r="AA114" s="300">
        <f>+'Product 2025'!Z27</f>
        <v>0</v>
      </c>
      <c r="AB114" s="300">
        <f>+'Product 2025'!AA27</f>
        <v>0</v>
      </c>
      <c r="AC114" s="301">
        <f t="shared" si="42"/>
        <v>1</v>
      </c>
      <c r="AD114" s="511">
        <f t="shared" si="43"/>
        <v>0</v>
      </c>
      <c r="AE114" s="300">
        <f t="shared" si="44"/>
        <v>0</v>
      </c>
      <c r="AF114" s="300">
        <f t="shared" si="45"/>
        <v>0</v>
      </c>
      <c r="AG114" s="300">
        <f t="shared" si="46"/>
        <v>0</v>
      </c>
      <c r="AH114" s="300">
        <f t="shared" si="47"/>
        <v>0</v>
      </c>
      <c r="AI114" s="300">
        <f t="shared" si="48"/>
        <v>0</v>
      </c>
      <c r="AJ114" s="300">
        <f t="shared" si="49"/>
        <v>0</v>
      </c>
      <c r="AK114" s="300">
        <f t="shared" si="50"/>
        <v>0</v>
      </c>
      <c r="AL114" s="300">
        <f t="shared" si="51"/>
        <v>0</v>
      </c>
      <c r="AM114" s="300">
        <f t="shared" si="52"/>
        <v>0</v>
      </c>
      <c r="AN114" s="300">
        <f t="shared" si="53"/>
        <v>0</v>
      </c>
      <c r="AO114" s="300">
        <f t="shared" si="54"/>
        <v>0</v>
      </c>
      <c r="AP114" s="300">
        <f t="shared" si="55"/>
        <v>0</v>
      </c>
    </row>
    <row r="115" spans="1:42" hidden="1">
      <c r="B115" t="str">
        <f>+'Product 2025'!A6</f>
        <v>PRO</v>
      </c>
      <c r="C115" t="str">
        <f>+'Product 2025'!B6</f>
        <v>Mariana Kalifa</v>
      </c>
      <c r="D115" s="191">
        <f>+'Product 2025'!C6</f>
        <v>1</v>
      </c>
      <c r="E115" s="191">
        <f>+'Product 2025'!D6</f>
        <v>0</v>
      </c>
      <c r="F115" s="191">
        <f>+'Product 2025'!E6</f>
        <v>0</v>
      </c>
      <c r="G115" s="191">
        <f>+'Product 2025'!F6</f>
        <v>0</v>
      </c>
      <c r="H115" t="str">
        <f>+'Product 2025'!G6</f>
        <v xml:space="preserve">Designers Service </v>
      </c>
      <c r="I115" t="str">
        <f>+'Product 2025'!H6</f>
        <v xml:space="preserve">Adobe </v>
      </c>
      <c r="J115" t="str">
        <f>+'Product 2025'!I6</f>
        <v>1249 mxn per month per user 1 + tax = 1388.89</v>
      </c>
      <c r="K115" t="str">
        <f>+'Product 2025'!J6</f>
        <v>603.64.001</v>
      </c>
      <c r="L115" t="str">
        <f>+'Product 2025'!K6</f>
        <v>Servicios de Informatica</v>
      </c>
      <c r="M115" t="str">
        <f>+'Product 2025'!L6</f>
        <v>Servicios</v>
      </c>
      <c r="N115" t="str">
        <f>+'Product 2025'!M6</f>
        <v>MXN</v>
      </c>
      <c r="O115" s="300">
        <f>+'Product 2025'!N6</f>
        <v>854.70153846153823</v>
      </c>
      <c r="P115" s="300">
        <f>+'Product 2025'!O6</f>
        <v>16666.679999999997</v>
      </c>
      <c r="Q115" s="300">
        <f>+'Product 2025'!P6</f>
        <v>1388.89</v>
      </c>
      <c r="R115" s="300">
        <f>+'Product 2025'!Q6</f>
        <v>1388.89</v>
      </c>
      <c r="S115" s="300">
        <f>+'Product 2025'!R6</f>
        <v>1388.89</v>
      </c>
      <c r="T115" s="300">
        <f>+'Product 2025'!S6</f>
        <v>1388.89</v>
      </c>
      <c r="U115" s="300">
        <f>+'Product 2025'!T6</f>
        <v>1388.89</v>
      </c>
      <c r="V115" s="300">
        <f>+'Product 2025'!U6</f>
        <v>1388.89</v>
      </c>
      <c r="W115" s="300">
        <f>+'Product 2025'!V6</f>
        <v>1388.89</v>
      </c>
      <c r="X115" s="300">
        <f>+'Product 2025'!W6</f>
        <v>1388.89</v>
      </c>
      <c r="Y115" s="300">
        <f>+'Product 2025'!X6</f>
        <v>1388.89</v>
      </c>
      <c r="Z115" s="300">
        <f>+'Product 2025'!Y6</f>
        <v>1388.89</v>
      </c>
      <c r="AA115" s="300">
        <f>+'Product 2025'!Z6</f>
        <v>1388.89</v>
      </c>
      <c r="AB115" s="300">
        <f>+'Product 2025'!AA6</f>
        <v>1388.89</v>
      </c>
      <c r="AC115" s="301">
        <f t="shared" si="42"/>
        <v>1</v>
      </c>
      <c r="AD115" s="511">
        <f t="shared" si="43"/>
        <v>854.70153846153835</v>
      </c>
      <c r="AE115" s="300">
        <f t="shared" si="44"/>
        <v>71.225128205128215</v>
      </c>
      <c r="AF115" s="300">
        <f t="shared" si="45"/>
        <v>71.225128205128215</v>
      </c>
      <c r="AG115" s="300">
        <f t="shared" si="46"/>
        <v>71.225128205128215</v>
      </c>
      <c r="AH115" s="300">
        <f t="shared" si="47"/>
        <v>71.225128205128215</v>
      </c>
      <c r="AI115" s="300">
        <f t="shared" si="48"/>
        <v>71.225128205128215</v>
      </c>
      <c r="AJ115" s="300">
        <f t="shared" si="49"/>
        <v>71.225128205128215</v>
      </c>
      <c r="AK115" s="300">
        <f t="shared" si="50"/>
        <v>71.225128205128215</v>
      </c>
      <c r="AL115" s="300">
        <f t="shared" si="51"/>
        <v>71.225128205128215</v>
      </c>
      <c r="AM115" s="300">
        <f t="shared" si="52"/>
        <v>71.225128205128215</v>
      </c>
      <c r="AN115" s="300">
        <f t="shared" si="53"/>
        <v>71.225128205128215</v>
      </c>
      <c r="AO115" s="300">
        <f t="shared" si="54"/>
        <v>71.225128205128215</v>
      </c>
      <c r="AP115" s="300">
        <f t="shared" si="55"/>
        <v>71.225128205128215</v>
      </c>
    </row>
    <row r="116" spans="1:42" hidden="1">
      <c r="B116" t="str">
        <f>+'Product 2025'!A7</f>
        <v>PRO</v>
      </c>
      <c r="C116" t="str">
        <f>+'Product 2025'!B7</f>
        <v>Mariana Kalifa</v>
      </c>
      <c r="D116" s="191">
        <f>+'Product 2025'!C7</f>
        <v>0.9</v>
      </c>
      <c r="E116" s="191">
        <f>+'Product 2025'!D7</f>
        <v>0.1</v>
      </c>
      <c r="F116" s="191">
        <f>+'Product 2025'!E7</f>
        <v>0</v>
      </c>
      <c r="G116" s="191">
        <f>+'Product 2025'!F7</f>
        <v>0</v>
      </c>
      <c r="H116" t="str">
        <f>+'Product 2025'!G7</f>
        <v xml:space="preserve">Designers Service </v>
      </c>
      <c r="I116" t="str">
        <f>+'Product 2025'!H7</f>
        <v xml:space="preserve">Figma </v>
      </c>
      <c r="J116" t="str">
        <f>+'Product 2025'!I7</f>
        <v>15 per user per month (4 users) + taxes = 70</v>
      </c>
      <c r="K116" t="str">
        <f>+'Product 2025'!J7</f>
        <v>603.64.001</v>
      </c>
      <c r="L116" t="str">
        <f>+'Product 2025'!K7</f>
        <v>Servicios de Informatica</v>
      </c>
      <c r="M116" t="str">
        <f>+'Product 2025'!L7</f>
        <v>Servicios</v>
      </c>
      <c r="N116" t="str">
        <f>+'Product 2025'!M7</f>
        <v>USD</v>
      </c>
      <c r="O116" s="300">
        <f>+'Product 2025'!N7</f>
        <v>840</v>
      </c>
      <c r="P116" s="300">
        <f>+'Product 2025'!O7</f>
        <v>840</v>
      </c>
      <c r="Q116" s="300">
        <f>+'Product 2025'!P7</f>
        <v>70</v>
      </c>
      <c r="R116" s="300">
        <f>+'Product 2025'!Q7</f>
        <v>70</v>
      </c>
      <c r="S116" s="300">
        <f>+'Product 2025'!R7</f>
        <v>70</v>
      </c>
      <c r="T116" s="300">
        <f>+'Product 2025'!S7</f>
        <v>70</v>
      </c>
      <c r="U116" s="300">
        <f>+'Product 2025'!T7</f>
        <v>70</v>
      </c>
      <c r="V116" s="300">
        <f>+'Product 2025'!U7</f>
        <v>70</v>
      </c>
      <c r="W116" s="300">
        <f>+'Product 2025'!V7</f>
        <v>70</v>
      </c>
      <c r="X116" s="300">
        <f>+'Product 2025'!W7</f>
        <v>70</v>
      </c>
      <c r="Y116" s="300">
        <f>+'Product 2025'!X7</f>
        <v>70</v>
      </c>
      <c r="Z116" s="300">
        <f>+'Product 2025'!Y7</f>
        <v>70</v>
      </c>
      <c r="AA116" s="300">
        <f>+'Product 2025'!Z7</f>
        <v>70</v>
      </c>
      <c r="AB116" s="300">
        <f>+'Product 2025'!AA7</f>
        <v>70</v>
      </c>
      <c r="AC116" s="301">
        <f t="shared" si="42"/>
        <v>1</v>
      </c>
      <c r="AD116" s="511">
        <f t="shared" si="43"/>
        <v>840</v>
      </c>
      <c r="AE116" s="300">
        <f t="shared" si="44"/>
        <v>70</v>
      </c>
      <c r="AF116" s="300">
        <f t="shared" si="45"/>
        <v>70</v>
      </c>
      <c r="AG116" s="300">
        <f t="shared" si="46"/>
        <v>70</v>
      </c>
      <c r="AH116" s="300">
        <f t="shared" si="47"/>
        <v>70</v>
      </c>
      <c r="AI116" s="300">
        <f t="shared" si="48"/>
        <v>70</v>
      </c>
      <c r="AJ116" s="300">
        <f t="shared" si="49"/>
        <v>70</v>
      </c>
      <c r="AK116" s="300">
        <f t="shared" si="50"/>
        <v>70</v>
      </c>
      <c r="AL116" s="300">
        <f t="shared" si="51"/>
        <v>70</v>
      </c>
      <c r="AM116" s="300">
        <f t="shared" si="52"/>
        <v>70</v>
      </c>
      <c r="AN116" s="300">
        <f t="shared" si="53"/>
        <v>70</v>
      </c>
      <c r="AO116" s="300">
        <f t="shared" si="54"/>
        <v>70</v>
      </c>
      <c r="AP116" s="300">
        <f t="shared" si="55"/>
        <v>70</v>
      </c>
    </row>
    <row r="117" spans="1:42" hidden="1">
      <c r="B117" t="str">
        <f>+'Product 2025'!A8</f>
        <v>PRO</v>
      </c>
      <c r="C117" t="str">
        <f>+'Product 2025'!B8</f>
        <v>Mariana Kalifa</v>
      </c>
      <c r="D117" s="191">
        <f>+'Product 2025'!C8</f>
        <v>1</v>
      </c>
      <c r="E117" s="191">
        <f>+'Product 2025'!D8</f>
        <v>0</v>
      </c>
      <c r="F117" s="191">
        <f>+'Product 2025'!E8</f>
        <v>0</v>
      </c>
      <c r="G117" s="191">
        <f>+'Product 2025'!F8</f>
        <v>0</v>
      </c>
      <c r="H117" t="str">
        <f>+'Product 2025'!G8</f>
        <v xml:space="preserve">Devs Service </v>
      </c>
      <c r="I117" t="str">
        <f>+'Product 2025'!H8</f>
        <v xml:space="preserve">Clickup </v>
      </c>
      <c r="J117" t="str">
        <f>+'Product 2025'!I8</f>
        <v>$45 USD por usuario (17 users) por año (julio)</v>
      </c>
      <c r="K117" t="str">
        <f>+'Product 2025'!J8</f>
        <v>603.64.001</v>
      </c>
      <c r="L117" t="str">
        <f>+'Product 2025'!K8</f>
        <v>Servicios de Informatica</v>
      </c>
      <c r="M117" t="str">
        <f>+'Product 2025'!L8</f>
        <v>Servicios</v>
      </c>
      <c r="N117" t="str">
        <f>+'Product 2025'!M8</f>
        <v>USD</v>
      </c>
      <c r="O117" s="300">
        <f>+'Product 2025'!N8</f>
        <v>765</v>
      </c>
      <c r="P117" s="300">
        <f>+'Product 2025'!O8</f>
        <v>765</v>
      </c>
      <c r="Q117" s="300">
        <f>+'Product 2025'!P8</f>
        <v>0</v>
      </c>
      <c r="R117" s="300">
        <f>+'Product 2025'!Q8</f>
        <v>0</v>
      </c>
      <c r="S117" s="300">
        <f>+'Product 2025'!R8</f>
        <v>0</v>
      </c>
      <c r="T117" s="300">
        <f>+'Product 2025'!S8</f>
        <v>0</v>
      </c>
      <c r="U117" s="300">
        <f>+'Product 2025'!T8</f>
        <v>0</v>
      </c>
      <c r="V117" s="300">
        <f>+'Product 2025'!U8</f>
        <v>0</v>
      </c>
      <c r="W117" s="300">
        <f>+'Product 2025'!V8</f>
        <v>765</v>
      </c>
      <c r="X117" s="300">
        <f>+'Product 2025'!W8</f>
        <v>0</v>
      </c>
      <c r="Y117" s="300">
        <f>+'Product 2025'!X8</f>
        <v>0</v>
      </c>
      <c r="Z117" s="300">
        <f>+'Product 2025'!Y8</f>
        <v>0</v>
      </c>
      <c r="AA117" s="300">
        <f>+'Product 2025'!Z8</f>
        <v>0</v>
      </c>
      <c r="AB117" s="300">
        <f>+'Product 2025'!AA8</f>
        <v>0</v>
      </c>
      <c r="AC117" s="301">
        <f t="shared" si="42"/>
        <v>1</v>
      </c>
      <c r="AD117" s="511">
        <f t="shared" si="43"/>
        <v>765</v>
      </c>
      <c r="AE117" s="300">
        <f t="shared" si="44"/>
        <v>0</v>
      </c>
      <c r="AF117" s="300">
        <f t="shared" si="45"/>
        <v>0</v>
      </c>
      <c r="AG117" s="300">
        <f t="shared" si="46"/>
        <v>0</v>
      </c>
      <c r="AH117" s="300">
        <f t="shared" si="47"/>
        <v>0</v>
      </c>
      <c r="AI117" s="300">
        <f t="shared" si="48"/>
        <v>0</v>
      </c>
      <c r="AJ117" s="300">
        <f t="shared" si="49"/>
        <v>0</v>
      </c>
      <c r="AK117" s="300">
        <f t="shared" si="50"/>
        <v>765</v>
      </c>
      <c r="AL117" s="300">
        <f t="shared" si="51"/>
        <v>0</v>
      </c>
      <c r="AM117" s="300">
        <f t="shared" si="52"/>
        <v>0</v>
      </c>
      <c r="AN117" s="300">
        <f t="shared" si="53"/>
        <v>0</v>
      </c>
      <c r="AO117" s="300">
        <f t="shared" si="54"/>
        <v>0</v>
      </c>
      <c r="AP117" s="300">
        <f t="shared" si="55"/>
        <v>0</v>
      </c>
    </row>
    <row r="118" spans="1:42" hidden="1">
      <c r="B118" t="str">
        <f>+'Product 2025'!A9</f>
        <v>PRO</v>
      </c>
      <c r="C118" t="str">
        <f>+'Product 2025'!B9</f>
        <v>Mariana Kalifa</v>
      </c>
      <c r="D118" s="191">
        <f>+'Product 2025'!C9</f>
        <v>0</v>
      </c>
      <c r="E118" s="191">
        <f>+'Product 2025'!D9</f>
        <v>0</v>
      </c>
      <c r="F118" s="191">
        <f>+'Product 2025'!E9</f>
        <v>0</v>
      </c>
      <c r="G118" s="191">
        <f>+'Product 2025'!F9</f>
        <v>1</v>
      </c>
      <c r="H118" t="str">
        <f>+'Product 2025'!G9</f>
        <v xml:space="preserve">DS Service </v>
      </c>
      <c r="I118" t="str">
        <f>+'Product 2025'!H9</f>
        <v>Tableau</v>
      </c>
      <c r="J118" t="str">
        <f>+'Product 2025'!I9</f>
        <v>Anual ($1,680dls)  - Enero</v>
      </c>
      <c r="K118" t="str">
        <f>+'Product 2025'!J9</f>
        <v>603.64.001</v>
      </c>
      <c r="L118" t="str">
        <f>+'Product 2025'!K9</f>
        <v>Servicios de Informatica</v>
      </c>
      <c r="M118" t="str">
        <f>+'Product 2025'!L9</f>
        <v>Servicios</v>
      </c>
      <c r="N118" t="str">
        <f>+'Product 2025'!M9</f>
        <v>USD</v>
      </c>
      <c r="O118" s="300">
        <f>+'Product 2025'!N9</f>
        <v>0</v>
      </c>
      <c r="P118" s="300">
        <f>+'Product 2025'!O9</f>
        <v>0</v>
      </c>
      <c r="Q118" s="300">
        <f>+'Product 2025'!P9</f>
        <v>0</v>
      </c>
      <c r="R118" s="300">
        <f>+'Product 2025'!Q9</f>
        <v>0</v>
      </c>
      <c r="S118" s="300">
        <f>+'Product 2025'!R9</f>
        <v>0</v>
      </c>
      <c r="T118" s="300">
        <f>+'Product 2025'!S9</f>
        <v>0</v>
      </c>
      <c r="U118" s="300">
        <f>+'Product 2025'!T9</f>
        <v>0</v>
      </c>
      <c r="V118" s="300">
        <f>+'Product 2025'!U9</f>
        <v>0</v>
      </c>
      <c r="W118" s="300">
        <f>+'Product 2025'!V9</f>
        <v>0</v>
      </c>
      <c r="X118" s="300">
        <f>+'Product 2025'!W9</f>
        <v>0</v>
      </c>
      <c r="Y118" s="300">
        <f>+'Product 2025'!X9</f>
        <v>0</v>
      </c>
      <c r="Z118" s="300">
        <f>+'Product 2025'!Y9</f>
        <v>0</v>
      </c>
      <c r="AA118" s="300">
        <f>+'Product 2025'!Z9</f>
        <v>0</v>
      </c>
      <c r="AB118" s="300">
        <f>+'Product 2025'!AA9</f>
        <v>0</v>
      </c>
      <c r="AC118" s="301">
        <f t="shared" si="42"/>
        <v>1</v>
      </c>
      <c r="AD118" s="511">
        <f t="shared" si="43"/>
        <v>0</v>
      </c>
      <c r="AE118" s="300">
        <f t="shared" si="44"/>
        <v>0</v>
      </c>
      <c r="AF118" s="300">
        <f t="shared" si="45"/>
        <v>0</v>
      </c>
      <c r="AG118" s="300">
        <f t="shared" si="46"/>
        <v>0</v>
      </c>
      <c r="AH118" s="300">
        <f t="shared" si="47"/>
        <v>0</v>
      </c>
      <c r="AI118" s="300">
        <f t="shared" si="48"/>
        <v>0</v>
      </c>
      <c r="AJ118" s="300">
        <f t="shared" si="49"/>
        <v>0</v>
      </c>
      <c r="AK118" s="300">
        <f t="shared" si="50"/>
        <v>0</v>
      </c>
      <c r="AL118" s="300">
        <f t="shared" si="51"/>
        <v>0</v>
      </c>
      <c r="AM118" s="300">
        <f t="shared" si="52"/>
        <v>0</v>
      </c>
      <c r="AN118" s="300">
        <f t="shared" si="53"/>
        <v>0</v>
      </c>
      <c r="AO118" s="300">
        <f t="shared" si="54"/>
        <v>0</v>
      </c>
      <c r="AP118" s="300">
        <f t="shared" si="55"/>
        <v>0</v>
      </c>
    </row>
    <row r="119" spans="1:42" hidden="1">
      <c r="B119" t="str">
        <f>+'Product 2025'!A10</f>
        <v>PRO</v>
      </c>
      <c r="C119" t="str">
        <f>+'Product 2025'!B10</f>
        <v>Mariana Kalifa</v>
      </c>
      <c r="D119" s="191">
        <f>+'Product 2025'!C10</f>
        <v>0.5</v>
      </c>
      <c r="E119" s="191">
        <f>+'Product 2025'!D10</f>
        <v>0.5</v>
      </c>
      <c r="F119" s="191">
        <f>+'Product 2025'!E10</f>
        <v>0</v>
      </c>
      <c r="G119" s="191">
        <f>+'Product 2025'!F10</f>
        <v>0</v>
      </c>
      <c r="H119" t="str">
        <f>+'Product 2025'!G10</f>
        <v xml:space="preserve">DS Service </v>
      </c>
      <c r="I119" t="str">
        <f>+'Product 2025'!H10</f>
        <v xml:space="preserve">Mixpanel </v>
      </c>
      <c r="J119" t="str">
        <f>+'Product 2025'!I10</f>
        <v>Anual febrero 28,994 (before tax), en nov defino si subimos por MTUs</v>
      </c>
      <c r="K119" t="str">
        <f>+'Product 2025'!J10</f>
        <v>603.64.001</v>
      </c>
      <c r="L119" t="str">
        <f>+'Product 2025'!K10</f>
        <v>Servicios de Informatica</v>
      </c>
      <c r="M119" t="str">
        <f>+'Product 2025'!L10</f>
        <v>Servicios</v>
      </c>
      <c r="N119" t="str">
        <f>+'Product 2025'!M10</f>
        <v>USD</v>
      </c>
      <c r="O119" s="300">
        <f>+'Product 2025'!N10</f>
        <v>28994</v>
      </c>
      <c r="P119" s="300">
        <f>+'Product 2025'!O10</f>
        <v>28994</v>
      </c>
      <c r="Q119" s="300">
        <f>+'Product 2025'!P10</f>
        <v>0</v>
      </c>
      <c r="R119" s="300">
        <f>+'Product 2025'!Q10</f>
        <v>28994</v>
      </c>
      <c r="S119" s="300">
        <f>+'Product 2025'!R10</f>
        <v>0</v>
      </c>
      <c r="T119" s="300">
        <f>+'Product 2025'!S10</f>
        <v>0</v>
      </c>
      <c r="U119" s="300">
        <f>+'Product 2025'!T10</f>
        <v>0</v>
      </c>
      <c r="V119" s="300">
        <f>+'Product 2025'!U10</f>
        <v>0</v>
      </c>
      <c r="W119" s="300">
        <f>+'Product 2025'!V10</f>
        <v>0</v>
      </c>
      <c r="X119" s="300">
        <f>+'Product 2025'!W10</f>
        <v>0</v>
      </c>
      <c r="Y119" s="300">
        <f>+'Product 2025'!X10</f>
        <v>0</v>
      </c>
      <c r="Z119" s="300">
        <f>+'Product 2025'!Y10</f>
        <v>0</v>
      </c>
      <c r="AA119" s="300">
        <f>+'Product 2025'!Z10</f>
        <v>0</v>
      </c>
      <c r="AB119" s="300">
        <f>+'Product 2025'!AA10</f>
        <v>0</v>
      </c>
      <c r="AC119" s="301">
        <f t="shared" si="42"/>
        <v>1</v>
      </c>
      <c r="AD119" s="511">
        <f t="shared" si="43"/>
        <v>28994</v>
      </c>
      <c r="AE119" s="300">
        <f t="shared" si="44"/>
        <v>0</v>
      </c>
      <c r="AF119" s="300">
        <f t="shared" si="45"/>
        <v>28994</v>
      </c>
      <c r="AG119" s="300">
        <f t="shared" si="46"/>
        <v>0</v>
      </c>
      <c r="AH119" s="300">
        <f t="shared" si="47"/>
        <v>0</v>
      </c>
      <c r="AI119" s="300">
        <f t="shared" si="48"/>
        <v>0</v>
      </c>
      <c r="AJ119" s="300">
        <f t="shared" si="49"/>
        <v>0</v>
      </c>
      <c r="AK119" s="300">
        <f t="shared" si="50"/>
        <v>0</v>
      </c>
      <c r="AL119" s="300">
        <f t="shared" si="51"/>
        <v>0</v>
      </c>
      <c r="AM119" s="300">
        <f t="shared" si="52"/>
        <v>0</v>
      </c>
      <c r="AN119" s="300">
        <f t="shared" si="53"/>
        <v>0</v>
      </c>
      <c r="AO119" s="300">
        <f t="shared" si="54"/>
        <v>0</v>
      </c>
      <c r="AP119" s="300">
        <f t="shared" si="55"/>
        <v>0</v>
      </c>
    </row>
    <row r="120" spans="1:42" hidden="1">
      <c r="B120" t="str">
        <f>+'Product 2025'!A13</f>
        <v>PRO</v>
      </c>
      <c r="C120" t="str">
        <f>+'Product 2025'!B13</f>
        <v>Mariana Kalifa</v>
      </c>
      <c r="D120" s="191">
        <f>+'Product 2025'!C13</f>
        <v>0.9</v>
      </c>
      <c r="E120" s="191">
        <f>+'Product 2025'!D13</f>
        <v>0.1</v>
      </c>
      <c r="F120" s="191">
        <f>+'Product 2025'!E13</f>
        <v>0</v>
      </c>
      <c r="G120" s="191">
        <f>+'Product 2025'!F13</f>
        <v>0</v>
      </c>
      <c r="H120" t="str">
        <f>+'Product 2025'!G13</f>
        <v>Payroll</v>
      </c>
      <c r="I120" t="str">
        <f>+'Product 2025'!H13</f>
        <v>Mariana Kalifa</v>
      </c>
      <c r="J120" t="str">
        <f>+'Product 2025'!I13</f>
        <v>Director of Product and Engineering</v>
      </c>
      <c r="K120" t="str">
        <f>+'Product 2025'!J13</f>
        <v>603.01.001</v>
      </c>
      <c r="L120" t="str">
        <f>+'Product 2025'!K13</f>
        <v>Sueldos y salarios</v>
      </c>
      <c r="M120" t="str">
        <f>+'Product 2025'!L13</f>
        <v>Sueldos y Salarios</v>
      </c>
      <c r="N120" t="str">
        <f>+'Product 2025'!M13</f>
        <v>MXN</v>
      </c>
      <c r="O120" s="300">
        <f>+'Product 2025'!N13</f>
        <v>66338.461538461532</v>
      </c>
      <c r="P120" s="300">
        <f>+'Product 2025'!O13</f>
        <v>1293600</v>
      </c>
      <c r="Q120" s="300">
        <f>+'Product 2025'!P13</f>
        <v>107800</v>
      </c>
      <c r="R120" s="300">
        <f>+'Product 2025'!Q13</f>
        <v>107800</v>
      </c>
      <c r="S120" s="300">
        <f>+'Product 2025'!R13</f>
        <v>107800</v>
      </c>
      <c r="T120" s="300">
        <f>+'Product 2025'!S13</f>
        <v>107800</v>
      </c>
      <c r="U120" s="300">
        <f>+'Product 2025'!T13</f>
        <v>107800</v>
      </c>
      <c r="V120" s="300">
        <f>+'Product 2025'!U13</f>
        <v>107800</v>
      </c>
      <c r="W120" s="300">
        <f>+'Product 2025'!V13</f>
        <v>107800</v>
      </c>
      <c r="X120" s="300">
        <f>+'Product 2025'!W13</f>
        <v>107800</v>
      </c>
      <c r="Y120" s="300">
        <f>+'Product 2025'!X13</f>
        <v>107800</v>
      </c>
      <c r="Z120" s="300">
        <f>+'Product 2025'!Y13</f>
        <v>107800</v>
      </c>
      <c r="AA120" s="300">
        <f>+'Product 2025'!Z13</f>
        <v>107800</v>
      </c>
      <c r="AB120" s="300">
        <f>+'Product 2025'!AA13</f>
        <v>107800</v>
      </c>
      <c r="AC120" s="301">
        <f t="shared" si="42"/>
        <v>1</v>
      </c>
      <c r="AD120" s="511">
        <f t="shared" si="43"/>
        <v>66338.461538461517</v>
      </c>
      <c r="AE120" s="300">
        <f t="shared" si="44"/>
        <v>5528.2051282051279</v>
      </c>
      <c r="AF120" s="300">
        <f t="shared" si="45"/>
        <v>5528.2051282051279</v>
      </c>
      <c r="AG120" s="300">
        <f t="shared" si="46"/>
        <v>5528.2051282051279</v>
      </c>
      <c r="AH120" s="300">
        <f t="shared" si="47"/>
        <v>5528.2051282051279</v>
      </c>
      <c r="AI120" s="300">
        <f t="shared" si="48"/>
        <v>5528.2051282051279</v>
      </c>
      <c r="AJ120" s="300">
        <f t="shared" si="49"/>
        <v>5528.2051282051279</v>
      </c>
      <c r="AK120" s="300">
        <f t="shared" si="50"/>
        <v>5528.2051282051279</v>
      </c>
      <c r="AL120" s="300">
        <f t="shared" si="51"/>
        <v>5528.2051282051279</v>
      </c>
      <c r="AM120" s="300">
        <f t="shared" si="52"/>
        <v>5528.2051282051279</v>
      </c>
      <c r="AN120" s="300">
        <f t="shared" si="53"/>
        <v>5528.2051282051279</v>
      </c>
      <c r="AO120" s="300">
        <f t="shared" si="54"/>
        <v>5528.2051282051279</v>
      </c>
      <c r="AP120" s="300">
        <f t="shared" si="55"/>
        <v>5528.2051282051279</v>
      </c>
    </row>
    <row r="121" spans="1:42" hidden="1">
      <c r="B121" t="str">
        <f>+'Product 2025'!A14</f>
        <v>PRO</v>
      </c>
      <c r="C121" t="str">
        <f>+'Product 2025'!B14</f>
        <v>Mariana Kalifa</v>
      </c>
      <c r="D121" s="191">
        <f>+'Product 2025'!C14</f>
        <v>0.9</v>
      </c>
      <c r="E121" s="191">
        <f>+'Product 2025'!D14</f>
        <v>0.1</v>
      </c>
      <c r="F121" s="191">
        <f>+'Product 2025'!E14</f>
        <v>0</v>
      </c>
      <c r="G121" s="191">
        <f>+'Product 2025'!F14</f>
        <v>0</v>
      </c>
      <c r="H121" t="str">
        <f>+'Product 2025'!G14</f>
        <v>Payroll</v>
      </c>
      <c r="I121" t="str">
        <f>+'Product 2025'!H14</f>
        <v>Maria Jose Reyes</v>
      </c>
      <c r="J121" t="str">
        <f>+'Product 2025'!I14</f>
        <v>Mid Product Manager</v>
      </c>
      <c r="K121" t="str">
        <f>+'Product 2025'!J14</f>
        <v>603.01.001</v>
      </c>
      <c r="L121" t="str">
        <f>+'Product 2025'!K14</f>
        <v>Sueldos y salarios</v>
      </c>
      <c r="M121" t="str">
        <f>+'Product 2025'!L14</f>
        <v>Sueldos y Salarios</v>
      </c>
      <c r="N121" t="str">
        <f>+'Product 2025'!M14</f>
        <v>MXN</v>
      </c>
      <c r="O121" s="300">
        <f>+'Product 2025'!N14</f>
        <v>35076.923076923078</v>
      </c>
      <c r="P121" s="300">
        <f>+'Product 2025'!O14</f>
        <v>684000</v>
      </c>
      <c r="Q121" s="300">
        <f>+'Product 2025'!P14</f>
        <v>57000</v>
      </c>
      <c r="R121" s="300">
        <f>+'Product 2025'!Q14</f>
        <v>57000</v>
      </c>
      <c r="S121" s="300">
        <f>+'Product 2025'!R14</f>
        <v>57000</v>
      </c>
      <c r="T121" s="300">
        <f>+'Product 2025'!S14</f>
        <v>57000</v>
      </c>
      <c r="U121" s="300">
        <f>+'Product 2025'!T14</f>
        <v>57000</v>
      </c>
      <c r="V121" s="300">
        <f>+'Product 2025'!U14</f>
        <v>57000</v>
      </c>
      <c r="W121" s="300">
        <f>+'Product 2025'!V14</f>
        <v>57000</v>
      </c>
      <c r="X121" s="300">
        <f>+'Product 2025'!W14</f>
        <v>57000</v>
      </c>
      <c r="Y121" s="300">
        <f>+'Product 2025'!X14</f>
        <v>57000</v>
      </c>
      <c r="Z121" s="300">
        <f>+'Product 2025'!Y14</f>
        <v>57000</v>
      </c>
      <c r="AA121" s="300">
        <f>+'Product 2025'!Z14</f>
        <v>57000</v>
      </c>
      <c r="AB121" s="300">
        <f>+'Product 2025'!AA14</f>
        <v>57000</v>
      </c>
      <c r="AC121" s="301">
        <f t="shared" si="42"/>
        <v>1</v>
      </c>
      <c r="AD121" s="511">
        <f t="shared" si="43"/>
        <v>35076.923076923071</v>
      </c>
      <c r="AE121" s="300">
        <f t="shared" si="44"/>
        <v>2923.0769230769229</v>
      </c>
      <c r="AF121" s="300">
        <f t="shared" si="45"/>
        <v>2923.0769230769229</v>
      </c>
      <c r="AG121" s="300">
        <f t="shared" si="46"/>
        <v>2923.0769230769229</v>
      </c>
      <c r="AH121" s="300">
        <f t="shared" si="47"/>
        <v>2923.0769230769229</v>
      </c>
      <c r="AI121" s="300">
        <f t="shared" si="48"/>
        <v>2923.0769230769229</v>
      </c>
      <c r="AJ121" s="300">
        <f t="shared" si="49"/>
        <v>2923.0769230769229</v>
      </c>
      <c r="AK121" s="300">
        <f t="shared" si="50"/>
        <v>2923.0769230769229</v>
      </c>
      <c r="AL121" s="300">
        <f t="shared" si="51"/>
        <v>2923.0769230769229</v>
      </c>
      <c r="AM121" s="300">
        <f t="shared" si="52"/>
        <v>2923.0769230769229</v>
      </c>
      <c r="AN121" s="300">
        <f t="shared" si="53"/>
        <v>2923.0769230769229</v>
      </c>
      <c r="AO121" s="300">
        <f t="shared" si="54"/>
        <v>2923.0769230769229</v>
      </c>
      <c r="AP121" s="300">
        <f t="shared" si="55"/>
        <v>2923.0769230769229</v>
      </c>
    </row>
    <row r="122" spans="1:42" hidden="1">
      <c r="B122" t="str">
        <f>+'Product 2025'!A15</f>
        <v>PRO</v>
      </c>
      <c r="C122" t="str">
        <f>+'Product 2025'!B15</f>
        <v>Mariana Kalifa</v>
      </c>
      <c r="D122" s="191">
        <f>+'Product 2025'!C15</f>
        <v>0.9</v>
      </c>
      <c r="E122" s="191">
        <f>+'Product 2025'!D15</f>
        <v>0.1</v>
      </c>
      <c r="F122" s="191">
        <f>+'Product 2025'!E15</f>
        <v>0</v>
      </c>
      <c r="G122" s="191">
        <f>+'Product 2025'!F15</f>
        <v>0</v>
      </c>
      <c r="H122" t="str">
        <f>+'Product 2025'!G15</f>
        <v>Payroll</v>
      </c>
      <c r="I122" t="str">
        <f>+'Product 2025'!H15</f>
        <v>Paola Villarreal</v>
      </c>
      <c r="J122" t="str">
        <f>+'Product 2025'!I15</f>
        <v>Junior Product Owner</v>
      </c>
      <c r="K122" t="str">
        <f>+'Product 2025'!J15</f>
        <v>603.01.001</v>
      </c>
      <c r="L122" t="str">
        <f>+'Product 2025'!K15</f>
        <v>Sueldos y salarios</v>
      </c>
      <c r="M122" t="str">
        <f>+'Product 2025'!L15</f>
        <v>Sueldos y Salarios</v>
      </c>
      <c r="N122" t="str">
        <f>+'Product 2025'!M15</f>
        <v>MXN</v>
      </c>
      <c r="O122" s="300">
        <f>+'Product 2025'!N15</f>
        <v>20184.615384615383</v>
      </c>
      <c r="P122" s="300">
        <f>+'Product 2025'!O15</f>
        <v>393600</v>
      </c>
      <c r="Q122" s="300">
        <f>+'Product 2025'!P15</f>
        <v>32800</v>
      </c>
      <c r="R122" s="300">
        <f>+'Product 2025'!Q15</f>
        <v>32800</v>
      </c>
      <c r="S122" s="300">
        <f>+'Product 2025'!R15</f>
        <v>32800</v>
      </c>
      <c r="T122" s="300">
        <f>+'Product 2025'!S15</f>
        <v>32800</v>
      </c>
      <c r="U122" s="300">
        <f>+'Product 2025'!T15</f>
        <v>32800</v>
      </c>
      <c r="V122" s="300">
        <f>+'Product 2025'!U15</f>
        <v>32800</v>
      </c>
      <c r="W122" s="300">
        <f>+'Product 2025'!V15</f>
        <v>32800</v>
      </c>
      <c r="X122" s="300">
        <f>+'Product 2025'!W15</f>
        <v>32800</v>
      </c>
      <c r="Y122" s="300">
        <f>+'Product 2025'!X15</f>
        <v>32800</v>
      </c>
      <c r="Z122" s="300">
        <f>+'Product 2025'!Y15</f>
        <v>32800</v>
      </c>
      <c r="AA122" s="300">
        <f>+'Product 2025'!Z15</f>
        <v>32800</v>
      </c>
      <c r="AB122" s="300">
        <f>+'Product 2025'!AA15</f>
        <v>32800</v>
      </c>
      <c r="AC122" s="301">
        <f t="shared" si="42"/>
        <v>1</v>
      </c>
      <c r="AD122" s="511">
        <f t="shared" si="43"/>
        <v>20184.615384615379</v>
      </c>
      <c r="AE122" s="300">
        <f t="shared" si="44"/>
        <v>1682.051282051282</v>
      </c>
      <c r="AF122" s="300">
        <f t="shared" si="45"/>
        <v>1682.051282051282</v>
      </c>
      <c r="AG122" s="300">
        <f t="shared" si="46"/>
        <v>1682.051282051282</v>
      </c>
      <c r="AH122" s="300">
        <f t="shared" si="47"/>
        <v>1682.051282051282</v>
      </c>
      <c r="AI122" s="300">
        <f t="shared" si="48"/>
        <v>1682.051282051282</v>
      </c>
      <c r="AJ122" s="300">
        <f t="shared" si="49"/>
        <v>1682.051282051282</v>
      </c>
      <c r="AK122" s="300">
        <f t="shared" si="50"/>
        <v>1682.051282051282</v>
      </c>
      <c r="AL122" s="300">
        <f t="shared" si="51"/>
        <v>1682.051282051282</v>
      </c>
      <c r="AM122" s="300">
        <f t="shared" si="52"/>
        <v>1682.051282051282</v>
      </c>
      <c r="AN122" s="300">
        <f t="shared" si="53"/>
        <v>1682.051282051282</v>
      </c>
      <c r="AO122" s="300">
        <f t="shared" si="54"/>
        <v>1682.051282051282</v>
      </c>
      <c r="AP122" s="300">
        <f t="shared" si="55"/>
        <v>1682.051282051282</v>
      </c>
    </row>
    <row r="123" spans="1:42" hidden="1">
      <c r="B123" t="str">
        <f>+'Product 2025'!A17</f>
        <v>PRO</v>
      </c>
      <c r="C123" t="str">
        <f>+'Product 2025'!B17</f>
        <v>Mariana Kalifa</v>
      </c>
      <c r="D123" s="191">
        <f>+'Product 2025'!C17</f>
        <v>0.9</v>
      </c>
      <c r="E123" s="191">
        <f>+'Product 2025'!D17</f>
        <v>0.1</v>
      </c>
      <c r="F123" s="191">
        <f>+'Product 2025'!E17</f>
        <v>0</v>
      </c>
      <c r="G123" s="191">
        <f>+'Product 2025'!F17</f>
        <v>0</v>
      </c>
      <c r="H123" t="str">
        <f>+'Product 2025'!G17</f>
        <v>Payroll</v>
      </c>
      <c r="I123" t="str">
        <f>+'Product 2025'!H17</f>
        <v>Maria Fernanda Alvarez</v>
      </c>
      <c r="J123" t="str">
        <f>+'Product 2025'!I17</f>
        <v>Mid UX/UI Designer</v>
      </c>
      <c r="K123" t="str">
        <f>+'Product 2025'!J17</f>
        <v>603.01.001</v>
      </c>
      <c r="L123" t="str">
        <f>+'Product 2025'!K17</f>
        <v>Sueldos y salarios</v>
      </c>
      <c r="M123" t="str">
        <f>+'Product 2025'!L17</f>
        <v>Sueldos y Salarios</v>
      </c>
      <c r="N123" t="str">
        <f>+'Product 2025'!M17</f>
        <v>MXN</v>
      </c>
      <c r="O123" s="300">
        <f>+'Product 2025'!N17</f>
        <v>18461.538461538352</v>
      </c>
      <c r="P123" s="300">
        <f>+'Product 2025'!O17</f>
        <v>359999.99999999785</v>
      </c>
      <c r="Q123" s="300">
        <f>+'Product 2025'!P17</f>
        <v>29999.999999999818</v>
      </c>
      <c r="R123" s="300">
        <f>+'Product 2025'!Q17</f>
        <v>29999.999999999818</v>
      </c>
      <c r="S123" s="300">
        <f>+'Product 2025'!R17</f>
        <v>29999.999999999818</v>
      </c>
      <c r="T123" s="300">
        <f>+'Product 2025'!S17</f>
        <v>29999.999999999818</v>
      </c>
      <c r="U123" s="300">
        <f>+'Product 2025'!T17</f>
        <v>29999.999999999818</v>
      </c>
      <c r="V123" s="300">
        <f>+'Product 2025'!U17</f>
        <v>29999.999999999818</v>
      </c>
      <c r="W123" s="300">
        <f>+'Product 2025'!V17</f>
        <v>29999.999999999818</v>
      </c>
      <c r="X123" s="300">
        <f>+'Product 2025'!W17</f>
        <v>29999.999999999818</v>
      </c>
      <c r="Y123" s="300">
        <f>+'Product 2025'!X17</f>
        <v>29999.999999999818</v>
      </c>
      <c r="Z123" s="300">
        <f>+'Product 2025'!Y17</f>
        <v>29999.999999999818</v>
      </c>
      <c r="AA123" s="300">
        <f>+'Product 2025'!Z17</f>
        <v>29999.999999999818</v>
      </c>
      <c r="AB123" s="300">
        <f>+'Product 2025'!AA17</f>
        <v>29999.999999999818</v>
      </c>
      <c r="AC123" s="301">
        <f t="shared" si="42"/>
        <v>1</v>
      </c>
      <c r="AD123" s="511">
        <f t="shared" si="43"/>
        <v>18461.538461538352</v>
      </c>
      <c r="AE123" s="300">
        <f t="shared" si="44"/>
        <v>1538.4615384615292</v>
      </c>
      <c r="AF123" s="300">
        <f t="shared" si="45"/>
        <v>1538.4615384615292</v>
      </c>
      <c r="AG123" s="300">
        <f t="shared" si="46"/>
        <v>1538.4615384615292</v>
      </c>
      <c r="AH123" s="300">
        <f t="shared" si="47"/>
        <v>1538.4615384615292</v>
      </c>
      <c r="AI123" s="300">
        <f t="shared" si="48"/>
        <v>1538.4615384615292</v>
      </c>
      <c r="AJ123" s="300">
        <f t="shared" si="49"/>
        <v>1538.4615384615292</v>
      </c>
      <c r="AK123" s="300">
        <f t="shared" si="50"/>
        <v>1538.4615384615292</v>
      </c>
      <c r="AL123" s="300">
        <f t="shared" si="51"/>
        <v>1538.4615384615292</v>
      </c>
      <c r="AM123" s="300">
        <f t="shared" si="52"/>
        <v>1538.4615384615292</v>
      </c>
      <c r="AN123" s="300">
        <f t="shared" si="53"/>
        <v>1538.4615384615292</v>
      </c>
      <c r="AO123" s="300">
        <f t="shared" si="54"/>
        <v>1538.4615384615292</v>
      </c>
      <c r="AP123" s="300">
        <f t="shared" si="55"/>
        <v>1538.4615384615292</v>
      </c>
    </row>
    <row r="124" spans="1:42" hidden="1">
      <c r="B124" t="str">
        <f>+'Product 2025'!A19</f>
        <v>PRO</v>
      </c>
      <c r="C124" t="str">
        <f>+'Product 2025'!B19</f>
        <v>Mariana Kalifa</v>
      </c>
      <c r="D124" s="191">
        <f>+'Product 2025'!C19</f>
        <v>0.9</v>
      </c>
      <c r="E124" s="191">
        <f>+'Product 2025'!D19</f>
        <v>0.1</v>
      </c>
      <c r="F124" s="191">
        <f>+'Product 2025'!E19</f>
        <v>0</v>
      </c>
      <c r="G124" s="191">
        <f>+'Product 2025'!F19</f>
        <v>0</v>
      </c>
      <c r="H124" t="str">
        <f>+'Product 2025'!G19</f>
        <v>Benefits</v>
      </c>
      <c r="I124" t="str">
        <f>+'Product 2025'!H19</f>
        <v>SiVale</v>
      </c>
      <c r="J124" t="str">
        <f>+'Product 2025'!I19</f>
        <v>1 empleado</v>
      </c>
      <c r="K124" t="str">
        <f>+'Product 2025'!J19</f>
        <v>603.15.001</v>
      </c>
      <c r="L124" t="str">
        <f>+'Product 2025'!K19</f>
        <v>Despensa</v>
      </c>
      <c r="M124" t="str">
        <f>+'Product 2025'!L19</f>
        <v>Sueldos y Salarios</v>
      </c>
      <c r="N124" t="str">
        <f>+'Product 2025'!M19</f>
        <v>MXN</v>
      </c>
      <c r="O124" s="300">
        <f>+'Product 2025'!N19</f>
        <v>492.30769230769232</v>
      </c>
      <c r="P124" s="300">
        <f>+'Product 2025'!O19</f>
        <v>9600</v>
      </c>
      <c r="Q124" s="300">
        <f>+'Product 2025'!P19</f>
        <v>800</v>
      </c>
      <c r="R124" s="300">
        <f>+'Product 2025'!Q19</f>
        <v>800</v>
      </c>
      <c r="S124" s="300">
        <f>+'Product 2025'!R19</f>
        <v>800</v>
      </c>
      <c r="T124" s="300">
        <f>+'Product 2025'!S19</f>
        <v>800</v>
      </c>
      <c r="U124" s="300">
        <f>+'Product 2025'!T19</f>
        <v>800</v>
      </c>
      <c r="V124" s="300">
        <f>+'Product 2025'!U19</f>
        <v>800</v>
      </c>
      <c r="W124" s="300">
        <f>+'Product 2025'!V19</f>
        <v>800</v>
      </c>
      <c r="X124" s="300">
        <f>+'Product 2025'!W19</f>
        <v>800</v>
      </c>
      <c r="Y124" s="300">
        <f>+'Product 2025'!X19</f>
        <v>800</v>
      </c>
      <c r="Z124" s="300">
        <f>+'Product 2025'!Y19</f>
        <v>800</v>
      </c>
      <c r="AA124" s="300">
        <f>+'Product 2025'!Z19</f>
        <v>800</v>
      </c>
      <c r="AB124" s="300">
        <f>+'Product 2025'!AA19</f>
        <v>800</v>
      </c>
      <c r="AC124" s="301">
        <f t="shared" si="42"/>
        <v>1</v>
      </c>
      <c r="AD124" s="511">
        <f t="shared" si="43"/>
        <v>492.30769230769243</v>
      </c>
      <c r="AE124" s="300">
        <f t="shared" si="44"/>
        <v>41.025641025641029</v>
      </c>
      <c r="AF124" s="300">
        <f t="shared" si="45"/>
        <v>41.025641025641029</v>
      </c>
      <c r="AG124" s="300">
        <f t="shared" si="46"/>
        <v>41.025641025641029</v>
      </c>
      <c r="AH124" s="300">
        <f t="shared" si="47"/>
        <v>41.025641025641029</v>
      </c>
      <c r="AI124" s="300">
        <f t="shared" si="48"/>
        <v>41.025641025641029</v>
      </c>
      <c r="AJ124" s="300">
        <f t="shared" si="49"/>
        <v>41.025641025641029</v>
      </c>
      <c r="AK124" s="300">
        <f t="shared" si="50"/>
        <v>41.025641025641029</v>
      </c>
      <c r="AL124" s="300">
        <f t="shared" si="51"/>
        <v>41.025641025641029</v>
      </c>
      <c r="AM124" s="300">
        <f t="shared" si="52"/>
        <v>41.025641025641029</v>
      </c>
      <c r="AN124" s="300">
        <f t="shared" si="53"/>
        <v>41.025641025641029</v>
      </c>
      <c r="AO124" s="300">
        <f t="shared" si="54"/>
        <v>41.025641025641029</v>
      </c>
      <c r="AP124" s="300">
        <f t="shared" si="55"/>
        <v>41.025641025641029</v>
      </c>
    </row>
    <row r="125" spans="1:42" hidden="1">
      <c r="A125" s="46">
        <f>SUM(D125:G125)</f>
        <v>1</v>
      </c>
      <c r="B125" t="str">
        <f>+'Product 2025'!A20</f>
        <v>PRO</v>
      </c>
      <c r="C125" t="str">
        <f>+'Product 2025'!B20</f>
        <v>Mariana Kalifa</v>
      </c>
      <c r="D125" s="191">
        <f>+'Product 2025'!C20</f>
        <v>0.9</v>
      </c>
      <c r="E125" s="191">
        <f>+'Product 2025'!D20</f>
        <v>0.1</v>
      </c>
      <c r="F125" s="191">
        <f>+'Product 2025'!E20</f>
        <v>0</v>
      </c>
      <c r="G125" s="191">
        <f>+'Product 2025'!F20</f>
        <v>0</v>
      </c>
      <c r="H125" t="str">
        <f>+'Product 2025'!G20</f>
        <v>Benefits</v>
      </c>
      <c r="I125" t="str">
        <f>+'Product 2025'!H20</f>
        <v>Aguinaldo</v>
      </c>
      <c r="J125" t="str">
        <f>+'Product 2025'!I20</f>
        <v>Aguinaldo</v>
      </c>
      <c r="K125" t="str">
        <f>+'Product 2025'!J20</f>
        <v>603.12.001</v>
      </c>
      <c r="L125" t="str">
        <f>+'Product 2025'!K20</f>
        <v>Aguinaldo</v>
      </c>
      <c r="M125" t="str">
        <f>+'Product 2025'!L20</f>
        <v>Sueldos y Salarios</v>
      </c>
      <c r="N125" t="str">
        <f>+'Product 2025'!M20</f>
        <v>MXN</v>
      </c>
      <c r="O125" s="300">
        <f>+'Product 2025'!N20</f>
        <v>7862.564102564098</v>
      </c>
      <c r="P125" s="300">
        <f>+'Product 2025'!O20</f>
        <v>153319.99999999991</v>
      </c>
      <c r="Q125" s="300">
        <f>+'Product 2025'!P20</f>
        <v>0</v>
      </c>
      <c r="R125" s="300">
        <f>+'Product 2025'!Q20</f>
        <v>0</v>
      </c>
      <c r="S125" s="300">
        <f>+'Product 2025'!R20</f>
        <v>0</v>
      </c>
      <c r="T125" s="300">
        <f>+'Product 2025'!S20</f>
        <v>0</v>
      </c>
      <c r="U125" s="300">
        <f>+'Product 2025'!T20</f>
        <v>0</v>
      </c>
      <c r="V125" s="300">
        <f>+'Product 2025'!U20</f>
        <v>0</v>
      </c>
      <c r="W125" s="300">
        <f>+'Product 2025'!V20</f>
        <v>0</v>
      </c>
      <c r="X125" s="300">
        <f>+'Product 2025'!W20</f>
        <v>0</v>
      </c>
      <c r="Y125" s="300">
        <f>+'Product 2025'!X20</f>
        <v>0</v>
      </c>
      <c r="Z125" s="300">
        <f>+'Product 2025'!Y20</f>
        <v>0</v>
      </c>
      <c r="AA125" s="300">
        <f>+'Product 2025'!Z20</f>
        <v>0</v>
      </c>
      <c r="AB125" s="300">
        <f>+'Product 2025'!AA20</f>
        <v>153319.99999999991</v>
      </c>
      <c r="AC125" s="301">
        <f t="shared" si="42"/>
        <v>1</v>
      </c>
      <c r="AD125" s="511">
        <f t="shared" si="43"/>
        <v>7862.564102564098</v>
      </c>
      <c r="AE125" s="300">
        <f t="shared" si="44"/>
        <v>0</v>
      </c>
      <c r="AF125" s="300">
        <f t="shared" si="45"/>
        <v>0</v>
      </c>
      <c r="AG125" s="300">
        <f t="shared" si="46"/>
        <v>0</v>
      </c>
      <c r="AH125" s="300">
        <f t="shared" si="47"/>
        <v>0</v>
      </c>
      <c r="AI125" s="300">
        <f t="shared" si="48"/>
        <v>0</v>
      </c>
      <c r="AJ125" s="300">
        <f t="shared" si="49"/>
        <v>0</v>
      </c>
      <c r="AK125" s="300">
        <f t="shared" si="50"/>
        <v>0</v>
      </c>
      <c r="AL125" s="300">
        <f t="shared" si="51"/>
        <v>0</v>
      </c>
      <c r="AM125" s="300">
        <f t="shared" si="52"/>
        <v>0</v>
      </c>
      <c r="AN125" s="300">
        <f t="shared" si="53"/>
        <v>0</v>
      </c>
      <c r="AO125" s="300">
        <f t="shared" si="54"/>
        <v>0</v>
      </c>
      <c r="AP125" s="300">
        <f t="shared" si="55"/>
        <v>7862.564102564098</v>
      </c>
    </row>
    <row r="126" spans="1:42" hidden="1">
      <c r="B126" t="str">
        <f>+'Product 2025'!A21</f>
        <v>PRO</v>
      </c>
      <c r="C126" t="str">
        <f>+'Product 2025'!B21</f>
        <v>Mariana Kalifa</v>
      </c>
      <c r="D126" s="191">
        <f>+'Product 2025'!C21</f>
        <v>0.9</v>
      </c>
      <c r="E126" s="191">
        <f>+'Product 2025'!D21</f>
        <v>0.1</v>
      </c>
      <c r="F126" s="191">
        <f>+'Product 2025'!E21</f>
        <v>0</v>
      </c>
      <c r="G126" s="191">
        <f>+'Product 2025'!F21</f>
        <v>0</v>
      </c>
      <c r="H126" t="str">
        <f>+'Product 2025'!G21</f>
        <v>Benefits</v>
      </c>
      <c r="I126" t="str">
        <f>+'Product 2025'!H21</f>
        <v>Prima Vacacional (prom. 8 días de vacaciones)</v>
      </c>
      <c r="J126" t="str">
        <f>+'Product 2025'!I21</f>
        <v>Prima Vacacional (prom. 8 días de vacaciones)</v>
      </c>
      <c r="K126" t="str">
        <f>+'Product 2025'!J21</f>
        <v>603.07.001</v>
      </c>
      <c r="L126" t="str">
        <f>+'Product 2025'!K21</f>
        <v>Prima vacacional</v>
      </c>
      <c r="M126" t="str">
        <f>+'Product 2025'!L21</f>
        <v>Sueldos y Salarios</v>
      </c>
      <c r="N126" t="str">
        <f>+'Product 2025'!M21</f>
        <v>MXN</v>
      </c>
      <c r="O126" s="300">
        <f>+'Product 2025'!N21</f>
        <v>384.61538461538231</v>
      </c>
      <c r="P126" s="300">
        <f>+'Product 2025'!O21</f>
        <v>7499.9999999999554</v>
      </c>
      <c r="Q126" s="300">
        <f>+'Product 2025'!P21</f>
        <v>624.99999999999625</v>
      </c>
      <c r="R126" s="300">
        <f>+'Product 2025'!Q21</f>
        <v>624.99999999999625</v>
      </c>
      <c r="S126" s="300">
        <f>+'Product 2025'!R21</f>
        <v>624.99999999999625</v>
      </c>
      <c r="T126" s="300">
        <f>+'Product 2025'!S21</f>
        <v>624.99999999999625</v>
      </c>
      <c r="U126" s="300">
        <f>+'Product 2025'!T21</f>
        <v>624.99999999999625</v>
      </c>
      <c r="V126" s="300">
        <f>+'Product 2025'!U21</f>
        <v>624.99999999999625</v>
      </c>
      <c r="W126" s="300">
        <f>+'Product 2025'!V21</f>
        <v>624.99999999999625</v>
      </c>
      <c r="X126" s="300">
        <f>+'Product 2025'!W21</f>
        <v>624.99999999999625</v>
      </c>
      <c r="Y126" s="300">
        <f>+'Product 2025'!X21</f>
        <v>624.99999999999625</v>
      </c>
      <c r="Z126" s="300">
        <f>+'Product 2025'!Y21</f>
        <v>624.99999999999625</v>
      </c>
      <c r="AA126" s="300">
        <f>+'Product 2025'!Z21</f>
        <v>624.99999999999625</v>
      </c>
      <c r="AB126" s="300">
        <f>+'Product 2025'!AA21</f>
        <v>624.99999999999625</v>
      </c>
      <c r="AC126" s="301">
        <f t="shared" si="42"/>
        <v>1</v>
      </c>
      <c r="AD126" s="511">
        <f t="shared" si="43"/>
        <v>384.61538461538242</v>
      </c>
      <c r="AE126" s="300">
        <f t="shared" si="44"/>
        <v>32.051282051281859</v>
      </c>
      <c r="AF126" s="300">
        <f t="shared" si="45"/>
        <v>32.051282051281859</v>
      </c>
      <c r="AG126" s="300">
        <f t="shared" si="46"/>
        <v>32.051282051281859</v>
      </c>
      <c r="AH126" s="300">
        <f t="shared" si="47"/>
        <v>32.051282051281859</v>
      </c>
      <c r="AI126" s="300">
        <f t="shared" si="48"/>
        <v>32.051282051281859</v>
      </c>
      <c r="AJ126" s="300">
        <f t="shared" si="49"/>
        <v>32.051282051281859</v>
      </c>
      <c r="AK126" s="300">
        <f t="shared" si="50"/>
        <v>32.051282051281859</v>
      </c>
      <c r="AL126" s="300">
        <f t="shared" si="51"/>
        <v>32.051282051281859</v>
      </c>
      <c r="AM126" s="300">
        <f t="shared" si="52"/>
        <v>32.051282051281859</v>
      </c>
      <c r="AN126" s="300">
        <f t="shared" si="53"/>
        <v>32.051282051281859</v>
      </c>
      <c r="AO126" s="300">
        <f t="shared" si="54"/>
        <v>32.051282051281859</v>
      </c>
      <c r="AP126" s="300">
        <f t="shared" si="55"/>
        <v>32.051282051281859</v>
      </c>
    </row>
    <row r="127" spans="1:42" hidden="1">
      <c r="B127" t="str">
        <f>+'Product 2025'!A22</f>
        <v>PRO</v>
      </c>
      <c r="C127" t="str">
        <f>+'Product 2025'!B22</f>
        <v>Mariana Kalifa</v>
      </c>
      <c r="D127" s="191">
        <f>+'Product 2025'!C22</f>
        <v>0.9</v>
      </c>
      <c r="E127" s="191">
        <f>+'Product 2025'!D22</f>
        <v>0.1</v>
      </c>
      <c r="F127" s="191">
        <f>+'Product 2025'!E22</f>
        <v>0</v>
      </c>
      <c r="G127" s="191">
        <f>+'Product 2025'!F22</f>
        <v>0</v>
      </c>
      <c r="H127" t="str">
        <f>+'Product 2025'!G22</f>
        <v>Payroll</v>
      </c>
      <c r="I127" t="str">
        <f>+'Product 2025'!H22</f>
        <v>Impuestos</v>
      </c>
      <c r="J127" t="str">
        <f>+'Product 2025'!I22</f>
        <v>ISN, SAR, IMSS, INFONAVIT (avg. 24%)</v>
      </c>
      <c r="K127" t="str">
        <f>+'Product 2025'!J22</f>
        <v>603.01.001</v>
      </c>
      <c r="L127" t="str">
        <f>+'Product 2025'!K22</f>
        <v>Sueldos y salarios</v>
      </c>
      <c r="M127" t="str">
        <f>+'Product 2025'!L22</f>
        <v>Sueldos y Salarios</v>
      </c>
      <c r="N127" t="str">
        <f>+'Product 2025'!M22</f>
        <v>MXN</v>
      </c>
      <c r="O127" s="300">
        <f>+'Product 2025'!N22</f>
        <v>4430.7692307692041</v>
      </c>
      <c r="P127" s="300">
        <f>+'Product 2025'!O22</f>
        <v>86399.999999999476</v>
      </c>
      <c r="Q127" s="300">
        <f>+'Product 2025'!P22</f>
        <v>7199.9999999999563</v>
      </c>
      <c r="R127" s="300">
        <f>+'Product 2025'!Q22</f>
        <v>7199.9999999999563</v>
      </c>
      <c r="S127" s="300">
        <f>+'Product 2025'!R22</f>
        <v>7199.9999999999563</v>
      </c>
      <c r="T127" s="300">
        <f>+'Product 2025'!S22</f>
        <v>7199.9999999999563</v>
      </c>
      <c r="U127" s="300">
        <f>+'Product 2025'!T22</f>
        <v>7199.9999999999563</v>
      </c>
      <c r="V127" s="300">
        <f>+'Product 2025'!U22</f>
        <v>7199.9999999999563</v>
      </c>
      <c r="W127" s="300">
        <f>+'Product 2025'!V22</f>
        <v>7199.9999999999563</v>
      </c>
      <c r="X127" s="300">
        <f>+'Product 2025'!W22</f>
        <v>7199.9999999999563</v>
      </c>
      <c r="Y127" s="300">
        <f>+'Product 2025'!X22</f>
        <v>7199.9999999999563</v>
      </c>
      <c r="Z127" s="300">
        <f>+'Product 2025'!Y22</f>
        <v>7199.9999999999563</v>
      </c>
      <c r="AA127" s="300">
        <f>+'Product 2025'!Z22</f>
        <v>7199.9999999999563</v>
      </c>
      <c r="AB127" s="300">
        <f>+'Product 2025'!AA22</f>
        <v>7199.9999999999563</v>
      </c>
      <c r="AC127" s="301">
        <f t="shared" si="42"/>
        <v>1</v>
      </c>
      <c r="AD127" s="511">
        <f t="shared" si="43"/>
        <v>4430.7692307692032</v>
      </c>
      <c r="AE127" s="300">
        <f t="shared" si="44"/>
        <v>369.23076923076701</v>
      </c>
      <c r="AF127" s="300">
        <f t="shared" si="45"/>
        <v>369.23076923076701</v>
      </c>
      <c r="AG127" s="300">
        <f t="shared" si="46"/>
        <v>369.23076923076701</v>
      </c>
      <c r="AH127" s="300">
        <f t="shared" si="47"/>
        <v>369.23076923076701</v>
      </c>
      <c r="AI127" s="300">
        <f t="shared" si="48"/>
        <v>369.23076923076701</v>
      </c>
      <c r="AJ127" s="300">
        <f t="shared" si="49"/>
        <v>369.23076923076701</v>
      </c>
      <c r="AK127" s="300">
        <f t="shared" si="50"/>
        <v>369.23076923076701</v>
      </c>
      <c r="AL127" s="300">
        <f t="shared" si="51"/>
        <v>369.23076923076701</v>
      </c>
      <c r="AM127" s="300">
        <f t="shared" si="52"/>
        <v>369.23076923076701</v>
      </c>
      <c r="AN127" s="300">
        <f t="shared" si="53"/>
        <v>369.23076923076701</v>
      </c>
      <c r="AO127" s="300">
        <f t="shared" si="54"/>
        <v>369.23076923076701</v>
      </c>
      <c r="AP127" s="300">
        <f t="shared" si="55"/>
        <v>369.23076923076701</v>
      </c>
    </row>
    <row r="128" spans="1:42" hidden="1">
      <c r="B128" t="str">
        <f>+'Tech 2025'!A40</f>
        <v>TEC</v>
      </c>
      <c r="C128" t="str">
        <f>+'Tech 2025'!B40</f>
        <v>Mariana Kalifa</v>
      </c>
      <c r="D128" s="191">
        <f>+'Tech 2025'!C40</f>
        <v>0</v>
      </c>
      <c r="E128" s="191">
        <f>+'Tech 2025'!D40</f>
        <v>0</v>
      </c>
      <c r="F128" s="191">
        <f>+'Tech 2025'!E40</f>
        <v>0</v>
      </c>
      <c r="G128" s="191">
        <f>+'Tech 2025'!F40</f>
        <v>1</v>
      </c>
      <c r="H128" t="str">
        <f>+'Tech 2025'!G40</f>
        <v>Hotel</v>
      </c>
      <c r="I128" t="str">
        <f>+'Tech 2025'!H40</f>
        <v>Multiple</v>
      </c>
      <c r="J128">
        <f>+'Tech 2025'!I40</f>
        <v>0</v>
      </c>
      <c r="K128" t="str">
        <f>+'Tech 2025'!J40</f>
        <v>603.49.001</v>
      </c>
      <c r="L128" t="str">
        <f>+'Tech 2025'!K40</f>
        <v>Viaticos Hotel</v>
      </c>
      <c r="M128" t="str">
        <f>+'Tech 2025'!L40</f>
        <v>Gastos de Viaje</v>
      </c>
      <c r="N128" t="str">
        <f>+'Tech 2025'!M40</f>
        <v>MXN</v>
      </c>
      <c r="O128" s="300">
        <f>+'Tech 2025'!N40</f>
        <v>0</v>
      </c>
      <c r="P128" s="300">
        <f>+'Tech 2025'!O40</f>
        <v>0</v>
      </c>
      <c r="Q128" s="300">
        <f>+'Tech 2025'!P40</f>
        <v>0</v>
      </c>
      <c r="R128" s="300">
        <f>+'Tech 2025'!Q40</f>
        <v>0</v>
      </c>
      <c r="S128" s="300">
        <f>+'Tech 2025'!R40</f>
        <v>0</v>
      </c>
      <c r="T128" s="300">
        <f>+'Tech 2025'!S40</f>
        <v>0</v>
      </c>
      <c r="U128" s="300">
        <f>+'Tech 2025'!T40</f>
        <v>0</v>
      </c>
      <c r="V128" s="300">
        <f>+'Tech 2025'!U40</f>
        <v>0</v>
      </c>
      <c r="W128" s="300">
        <f>+'Tech 2025'!V40</f>
        <v>0</v>
      </c>
      <c r="X128" s="300">
        <f>+'Tech 2025'!W40</f>
        <v>0</v>
      </c>
      <c r="Y128" s="300">
        <f>+'Tech 2025'!X40</f>
        <v>0</v>
      </c>
      <c r="Z128" s="300">
        <f>+'Tech 2025'!Y40</f>
        <v>0</v>
      </c>
      <c r="AA128" s="300">
        <f>+'Tech 2025'!Z40</f>
        <v>0</v>
      </c>
      <c r="AB128" s="300">
        <f>+'Tech 2025'!AA40</f>
        <v>0</v>
      </c>
      <c r="AC128" s="301">
        <f t="shared" si="42"/>
        <v>1</v>
      </c>
      <c r="AD128" s="511">
        <f t="shared" si="43"/>
        <v>0</v>
      </c>
      <c r="AE128" s="300">
        <f t="shared" si="44"/>
        <v>0</v>
      </c>
      <c r="AF128" s="300">
        <f t="shared" si="45"/>
        <v>0</v>
      </c>
      <c r="AG128" s="300">
        <f t="shared" si="46"/>
        <v>0</v>
      </c>
      <c r="AH128" s="300">
        <f t="shared" si="47"/>
        <v>0</v>
      </c>
      <c r="AI128" s="300">
        <f t="shared" si="48"/>
        <v>0</v>
      </c>
      <c r="AJ128" s="300">
        <f t="shared" si="49"/>
        <v>0</v>
      </c>
      <c r="AK128" s="300">
        <f t="shared" si="50"/>
        <v>0</v>
      </c>
      <c r="AL128" s="300">
        <f t="shared" si="51"/>
        <v>0</v>
      </c>
      <c r="AM128" s="300">
        <f t="shared" si="52"/>
        <v>0</v>
      </c>
      <c r="AN128" s="300">
        <f t="shared" si="53"/>
        <v>0</v>
      </c>
      <c r="AO128" s="300">
        <f t="shared" si="54"/>
        <v>0</v>
      </c>
      <c r="AP128" s="300">
        <f t="shared" si="55"/>
        <v>0</v>
      </c>
    </row>
    <row r="129" spans="2:42" hidden="1">
      <c r="B129" t="str">
        <f>+'Tech 2025'!A41</f>
        <v>TEC</v>
      </c>
      <c r="C129" t="str">
        <f>+'Tech 2025'!B41</f>
        <v>Mariana Kalifa</v>
      </c>
      <c r="D129" s="191">
        <f>+'Tech 2025'!C41</f>
        <v>0</v>
      </c>
      <c r="E129" s="191">
        <f>+'Tech 2025'!D41</f>
        <v>0</v>
      </c>
      <c r="F129" s="191">
        <f>+'Tech 2025'!E41</f>
        <v>0</v>
      </c>
      <c r="G129" s="191">
        <f>+'Tech 2025'!F41</f>
        <v>1</v>
      </c>
      <c r="H129" t="str">
        <f>+'Tech 2025'!G41</f>
        <v>Taxi</v>
      </c>
      <c r="I129" t="str">
        <f>+'Tech 2025'!H41</f>
        <v>Multiple</v>
      </c>
      <c r="J129">
        <f>+'Tech 2025'!I41</f>
        <v>0</v>
      </c>
      <c r="K129" t="str">
        <f>+'Tech 2025'!J41</f>
        <v>603.49.002</v>
      </c>
      <c r="L129" t="str">
        <f>+'Tech 2025'!K41</f>
        <v>Vaticos Taxi</v>
      </c>
      <c r="M129" t="str">
        <f>+'Tech 2025'!L41</f>
        <v>Gastos de Viaje</v>
      </c>
      <c r="N129" t="str">
        <f>+'Tech 2025'!M41</f>
        <v>MXN</v>
      </c>
      <c r="O129" s="300">
        <f>+'Tech 2025'!N41</f>
        <v>0</v>
      </c>
      <c r="P129" s="300">
        <f>+'Tech 2025'!O41</f>
        <v>0</v>
      </c>
      <c r="Q129" s="300">
        <f>+'Tech 2025'!P41</f>
        <v>0</v>
      </c>
      <c r="R129" s="300">
        <f>+'Tech 2025'!Q41</f>
        <v>0</v>
      </c>
      <c r="S129" s="300">
        <f>+'Tech 2025'!R41</f>
        <v>0</v>
      </c>
      <c r="T129" s="300">
        <f>+'Tech 2025'!S41</f>
        <v>0</v>
      </c>
      <c r="U129" s="300">
        <f>+'Tech 2025'!T41</f>
        <v>0</v>
      </c>
      <c r="V129" s="300">
        <f>+'Tech 2025'!U41</f>
        <v>0</v>
      </c>
      <c r="W129" s="300">
        <f>+'Tech 2025'!V41</f>
        <v>0</v>
      </c>
      <c r="X129" s="300">
        <f>+'Tech 2025'!W41</f>
        <v>0</v>
      </c>
      <c r="Y129" s="300">
        <f>+'Tech 2025'!X41</f>
        <v>0</v>
      </c>
      <c r="Z129" s="300">
        <f>+'Tech 2025'!Y41</f>
        <v>0</v>
      </c>
      <c r="AA129" s="300">
        <f>+'Tech 2025'!Z41</f>
        <v>0</v>
      </c>
      <c r="AB129" s="300">
        <f>+'Tech 2025'!AA41</f>
        <v>0</v>
      </c>
      <c r="AC129" s="301">
        <f t="shared" si="42"/>
        <v>1</v>
      </c>
      <c r="AD129" s="511">
        <f t="shared" si="43"/>
        <v>0</v>
      </c>
      <c r="AE129" s="300">
        <f t="shared" si="44"/>
        <v>0</v>
      </c>
      <c r="AF129" s="300">
        <f t="shared" si="45"/>
        <v>0</v>
      </c>
      <c r="AG129" s="300">
        <f t="shared" si="46"/>
        <v>0</v>
      </c>
      <c r="AH129" s="300">
        <f t="shared" si="47"/>
        <v>0</v>
      </c>
      <c r="AI129" s="300">
        <f t="shared" si="48"/>
        <v>0</v>
      </c>
      <c r="AJ129" s="300">
        <f t="shared" si="49"/>
        <v>0</v>
      </c>
      <c r="AK129" s="300">
        <f t="shared" si="50"/>
        <v>0</v>
      </c>
      <c r="AL129" s="300">
        <f t="shared" si="51"/>
        <v>0</v>
      </c>
      <c r="AM129" s="300">
        <f t="shared" si="52"/>
        <v>0</v>
      </c>
      <c r="AN129" s="300">
        <f t="shared" si="53"/>
        <v>0</v>
      </c>
      <c r="AO129" s="300">
        <f t="shared" si="54"/>
        <v>0</v>
      </c>
      <c r="AP129" s="300">
        <f t="shared" si="55"/>
        <v>0</v>
      </c>
    </row>
    <row r="130" spans="2:42" hidden="1">
      <c r="B130" t="str">
        <f>+'Tech 2025'!A42</f>
        <v>TEC</v>
      </c>
      <c r="C130" t="str">
        <f>+'Tech 2025'!B42</f>
        <v>Mariana Kalifa</v>
      </c>
      <c r="D130" s="191">
        <f>+'Tech 2025'!C42</f>
        <v>0</v>
      </c>
      <c r="E130" s="191">
        <f>+'Tech 2025'!D42</f>
        <v>0</v>
      </c>
      <c r="F130" s="191">
        <f>+'Tech 2025'!E42</f>
        <v>0</v>
      </c>
      <c r="G130" s="191">
        <f>+'Tech 2025'!F42</f>
        <v>1</v>
      </c>
      <c r="H130" t="str">
        <f>+'Tech 2025'!G42</f>
        <v>Plane</v>
      </c>
      <c r="I130" t="str">
        <f>+'Tech 2025'!H42</f>
        <v>Multiple</v>
      </c>
      <c r="J130">
        <f>+'Tech 2025'!I42</f>
        <v>0</v>
      </c>
      <c r="K130" t="str">
        <f>+'Tech 2025'!J42</f>
        <v>603.49.003</v>
      </c>
      <c r="L130" t="str">
        <f>+'Tech 2025'!K42</f>
        <v>Viaticos Avion</v>
      </c>
      <c r="M130" t="str">
        <f>+'Tech 2025'!L42</f>
        <v>Gastos de Viaje</v>
      </c>
      <c r="N130" t="str">
        <f>+'Tech 2025'!M42</f>
        <v>MXN</v>
      </c>
      <c r="O130" s="300">
        <f>+'Tech 2025'!N42</f>
        <v>0</v>
      </c>
      <c r="P130" s="300">
        <f>+'Tech 2025'!O42</f>
        <v>0</v>
      </c>
      <c r="Q130" s="300">
        <f>+'Tech 2025'!P42</f>
        <v>0</v>
      </c>
      <c r="R130" s="300">
        <f>+'Tech 2025'!Q42</f>
        <v>0</v>
      </c>
      <c r="S130" s="300">
        <f>+'Tech 2025'!R42</f>
        <v>0</v>
      </c>
      <c r="T130" s="300">
        <f>+'Tech 2025'!S42</f>
        <v>0</v>
      </c>
      <c r="U130" s="300">
        <f>+'Tech 2025'!T42</f>
        <v>0</v>
      </c>
      <c r="V130" s="300">
        <f>+'Tech 2025'!U42</f>
        <v>0</v>
      </c>
      <c r="W130" s="300">
        <f>+'Tech 2025'!V42</f>
        <v>0</v>
      </c>
      <c r="X130" s="300">
        <f>+'Tech 2025'!W42</f>
        <v>0</v>
      </c>
      <c r="Y130" s="300">
        <f>+'Tech 2025'!X42</f>
        <v>0</v>
      </c>
      <c r="Z130" s="300">
        <f>+'Tech 2025'!Y42</f>
        <v>0</v>
      </c>
      <c r="AA130" s="300">
        <f>+'Tech 2025'!Z42</f>
        <v>0</v>
      </c>
      <c r="AB130" s="300">
        <f>+'Tech 2025'!AA42</f>
        <v>0</v>
      </c>
      <c r="AC130" s="301">
        <f t="shared" si="42"/>
        <v>1</v>
      </c>
      <c r="AD130" s="511">
        <f t="shared" si="43"/>
        <v>0</v>
      </c>
      <c r="AE130" s="300">
        <f t="shared" si="44"/>
        <v>0</v>
      </c>
      <c r="AF130" s="300">
        <f t="shared" si="45"/>
        <v>0</v>
      </c>
      <c r="AG130" s="300">
        <f t="shared" si="46"/>
        <v>0</v>
      </c>
      <c r="AH130" s="300">
        <f t="shared" si="47"/>
        <v>0</v>
      </c>
      <c r="AI130" s="300">
        <f t="shared" si="48"/>
        <v>0</v>
      </c>
      <c r="AJ130" s="300">
        <f t="shared" si="49"/>
        <v>0</v>
      </c>
      <c r="AK130" s="300">
        <f t="shared" si="50"/>
        <v>0</v>
      </c>
      <c r="AL130" s="300">
        <f t="shared" si="51"/>
        <v>0</v>
      </c>
      <c r="AM130" s="300">
        <f t="shared" si="52"/>
        <v>0</v>
      </c>
      <c r="AN130" s="300">
        <f t="shared" si="53"/>
        <v>0</v>
      </c>
      <c r="AO130" s="300">
        <f t="shared" si="54"/>
        <v>0</v>
      </c>
      <c r="AP130" s="300">
        <f t="shared" si="55"/>
        <v>0</v>
      </c>
    </row>
    <row r="131" spans="2:42" hidden="1">
      <c r="B131" t="str">
        <f>+'Tech 2025'!A43</f>
        <v>TEC</v>
      </c>
      <c r="C131" t="str">
        <f>+'Tech 2025'!B43</f>
        <v>Mariana Kalifa</v>
      </c>
      <c r="D131" s="191">
        <f>+'Tech 2025'!C43</f>
        <v>0</v>
      </c>
      <c r="E131" s="191">
        <f>+'Tech 2025'!D43</f>
        <v>0</v>
      </c>
      <c r="F131" s="191">
        <f>+'Tech 2025'!E43</f>
        <v>0</v>
      </c>
      <c r="G131" s="191">
        <f>+'Tech 2025'!F43</f>
        <v>1</v>
      </c>
      <c r="H131" t="str">
        <f>+'Tech 2025'!G43</f>
        <v>Food</v>
      </c>
      <c r="I131" t="str">
        <f>+'Tech 2025'!H43</f>
        <v>Multiple</v>
      </c>
      <c r="J131">
        <f>+'Tech 2025'!I43</f>
        <v>0</v>
      </c>
      <c r="K131" t="str">
        <f>+'Tech 2025'!J43</f>
        <v>603.49.004</v>
      </c>
      <c r="L131" t="str">
        <f>+'Tech 2025'!K43</f>
        <v>Viaticos Comidas</v>
      </c>
      <c r="M131" t="str">
        <f>+'Tech 2025'!L43</f>
        <v>Gastos de Viaje</v>
      </c>
      <c r="N131" t="str">
        <f>+'Tech 2025'!M43</f>
        <v>MXN</v>
      </c>
      <c r="O131" s="300">
        <f>+'Tech 2025'!N43</f>
        <v>0</v>
      </c>
      <c r="P131" s="300">
        <f>+'Tech 2025'!O43</f>
        <v>0</v>
      </c>
      <c r="Q131" s="300">
        <f>+'Tech 2025'!P43</f>
        <v>0</v>
      </c>
      <c r="R131" s="300">
        <f>+'Tech 2025'!Q43</f>
        <v>0</v>
      </c>
      <c r="S131" s="300">
        <f>+'Tech 2025'!R43</f>
        <v>0</v>
      </c>
      <c r="T131" s="300">
        <f>+'Tech 2025'!S43</f>
        <v>0</v>
      </c>
      <c r="U131" s="300">
        <f>+'Tech 2025'!T43</f>
        <v>0</v>
      </c>
      <c r="V131" s="300">
        <f>+'Tech 2025'!U43</f>
        <v>0</v>
      </c>
      <c r="W131" s="300">
        <f>+'Tech 2025'!V43</f>
        <v>0</v>
      </c>
      <c r="X131" s="300">
        <f>+'Tech 2025'!W43</f>
        <v>0</v>
      </c>
      <c r="Y131" s="300">
        <f>+'Tech 2025'!X43</f>
        <v>0</v>
      </c>
      <c r="Z131" s="300">
        <f>+'Tech 2025'!Y43</f>
        <v>0</v>
      </c>
      <c r="AA131" s="300">
        <f>+'Tech 2025'!Z43</f>
        <v>0</v>
      </c>
      <c r="AB131" s="300">
        <f>+'Tech 2025'!AA43</f>
        <v>0</v>
      </c>
      <c r="AC131" s="301">
        <f t="shared" si="42"/>
        <v>1</v>
      </c>
      <c r="AD131" s="511">
        <f t="shared" si="43"/>
        <v>0</v>
      </c>
      <c r="AE131" s="300">
        <f t="shared" si="44"/>
        <v>0</v>
      </c>
      <c r="AF131" s="300">
        <f t="shared" si="45"/>
        <v>0</v>
      </c>
      <c r="AG131" s="300">
        <f t="shared" si="46"/>
        <v>0</v>
      </c>
      <c r="AH131" s="300">
        <f t="shared" si="47"/>
        <v>0</v>
      </c>
      <c r="AI131" s="300">
        <f t="shared" si="48"/>
        <v>0</v>
      </c>
      <c r="AJ131" s="300">
        <f t="shared" si="49"/>
        <v>0</v>
      </c>
      <c r="AK131" s="300">
        <f t="shared" si="50"/>
        <v>0</v>
      </c>
      <c r="AL131" s="300">
        <f t="shared" si="51"/>
        <v>0</v>
      </c>
      <c r="AM131" s="300">
        <f t="shared" si="52"/>
        <v>0</v>
      </c>
      <c r="AN131" s="300">
        <f t="shared" si="53"/>
        <v>0</v>
      </c>
      <c r="AO131" s="300">
        <f t="shared" si="54"/>
        <v>0</v>
      </c>
      <c r="AP131" s="300">
        <f t="shared" si="55"/>
        <v>0</v>
      </c>
    </row>
    <row r="132" spans="2:42" hidden="1">
      <c r="B132" t="str">
        <f>+'Tech 2025'!A6</f>
        <v>TEC</v>
      </c>
      <c r="C132" t="str">
        <f>+'Tech 2025'!B6</f>
        <v>Mariana Kalifa</v>
      </c>
      <c r="D132" s="191">
        <f>+'Tech 2025'!C6</f>
        <v>1</v>
      </c>
      <c r="E132" s="191">
        <f>+'Tech 2025'!D6</f>
        <v>0</v>
      </c>
      <c r="F132" s="191">
        <f>+'Tech 2025'!E6</f>
        <v>0</v>
      </c>
      <c r="G132" s="191">
        <f>+'Tech 2025'!F6</f>
        <v>0</v>
      </c>
      <c r="H132" t="str">
        <f>+'Tech 2025'!G6</f>
        <v>Kinedu</v>
      </c>
      <c r="I132" t="str">
        <f>+'Tech 2025'!H6</f>
        <v>Amazon Web Services</v>
      </c>
      <c r="J132" t="str">
        <f>+'Tech 2025'!I6</f>
        <v>Cloud Computing</v>
      </c>
      <c r="K132" t="str">
        <f>+'Tech 2025'!J6</f>
        <v>603.60.002</v>
      </c>
      <c r="L132" t="str">
        <f>+'Tech 2025'!K6</f>
        <v>Almacenamiento de datos</v>
      </c>
      <c r="M132" t="str">
        <f>+'Tech 2025'!L6</f>
        <v>Servicios</v>
      </c>
      <c r="N132" t="str">
        <f>+'Tech 2025'!M6</f>
        <v>USD</v>
      </c>
      <c r="O132" s="300">
        <f>+'Tech 2025'!N6</f>
        <v>74400</v>
      </c>
      <c r="P132" s="300">
        <f>+'Tech 2025'!O6</f>
        <v>74400</v>
      </c>
      <c r="Q132" s="300">
        <f>+'Tech 2025'!P6</f>
        <v>6200</v>
      </c>
      <c r="R132" s="300">
        <f>+'Tech 2025'!Q6</f>
        <v>6200</v>
      </c>
      <c r="S132" s="300">
        <f>+'Tech 2025'!R6</f>
        <v>6200</v>
      </c>
      <c r="T132" s="300">
        <f>+'Tech 2025'!S6</f>
        <v>6200</v>
      </c>
      <c r="U132" s="300">
        <f>+'Tech 2025'!T6</f>
        <v>6200</v>
      </c>
      <c r="V132" s="300">
        <f>+'Tech 2025'!U6</f>
        <v>6200</v>
      </c>
      <c r="W132" s="300">
        <f>+'Tech 2025'!V6</f>
        <v>6200</v>
      </c>
      <c r="X132" s="300">
        <f>+'Tech 2025'!W6</f>
        <v>6200</v>
      </c>
      <c r="Y132" s="300">
        <f>+'Tech 2025'!X6</f>
        <v>6200</v>
      </c>
      <c r="Z132" s="300">
        <f>+'Tech 2025'!Y6</f>
        <v>6200</v>
      </c>
      <c r="AA132" s="300">
        <f>+'Tech 2025'!Z6</f>
        <v>6200</v>
      </c>
      <c r="AB132" s="300">
        <f>+'Tech 2025'!AA6</f>
        <v>6200</v>
      </c>
      <c r="AC132" s="301">
        <f t="shared" si="42"/>
        <v>1</v>
      </c>
      <c r="AD132" s="511">
        <f t="shared" si="43"/>
        <v>74400</v>
      </c>
      <c r="AE132" s="300">
        <f t="shared" si="44"/>
        <v>6200</v>
      </c>
      <c r="AF132" s="300">
        <f t="shared" si="45"/>
        <v>6200</v>
      </c>
      <c r="AG132" s="300">
        <f t="shared" si="46"/>
        <v>6200</v>
      </c>
      <c r="AH132" s="300">
        <f t="shared" si="47"/>
        <v>6200</v>
      </c>
      <c r="AI132" s="300">
        <f t="shared" si="48"/>
        <v>6200</v>
      </c>
      <c r="AJ132" s="300">
        <f t="shared" si="49"/>
        <v>6200</v>
      </c>
      <c r="AK132" s="300">
        <f t="shared" si="50"/>
        <v>6200</v>
      </c>
      <c r="AL132" s="300">
        <f t="shared" si="51"/>
        <v>6200</v>
      </c>
      <c r="AM132" s="300">
        <f t="shared" si="52"/>
        <v>6200</v>
      </c>
      <c r="AN132" s="300">
        <f t="shared" si="53"/>
        <v>6200</v>
      </c>
      <c r="AO132" s="300">
        <f t="shared" si="54"/>
        <v>6200</v>
      </c>
      <c r="AP132" s="300">
        <f t="shared" si="55"/>
        <v>6200</v>
      </c>
    </row>
    <row r="133" spans="2:42" hidden="1">
      <c r="B133" t="str">
        <f>+'Tech 2025'!A7</f>
        <v>TEC</v>
      </c>
      <c r="C133" t="str">
        <f>+'Tech 2025'!B7</f>
        <v>Mariana Kalifa</v>
      </c>
      <c r="D133" s="191">
        <f>+'Tech 2025'!C7</f>
        <v>1</v>
      </c>
      <c r="E133" s="191">
        <f>+'Tech 2025'!D7</f>
        <v>0</v>
      </c>
      <c r="F133" s="191">
        <f>+'Tech 2025'!E7</f>
        <v>0</v>
      </c>
      <c r="G133" s="191">
        <f>+'Tech 2025'!F7</f>
        <v>0</v>
      </c>
      <c r="H133" t="str">
        <f>+'Tech 2025'!G7</f>
        <v xml:space="preserve">DS Service </v>
      </c>
      <c r="I133" t="str">
        <f>+'Tech 2025'!H7</f>
        <v>Google Cloud</v>
      </c>
      <c r="J133" t="str">
        <f>+'Tech 2025'!I7</f>
        <v>Cloud Computing</v>
      </c>
      <c r="K133" t="str">
        <f>+'Tech 2025'!J7</f>
        <v>603.60.002</v>
      </c>
      <c r="L133" t="str">
        <f>+'Tech 2025'!K7</f>
        <v>Almacenamiento de datos</v>
      </c>
      <c r="M133" t="str">
        <f>+'Tech 2025'!L7</f>
        <v>Servicios</v>
      </c>
      <c r="N133" t="str">
        <f>+'Tech 2025'!M7</f>
        <v>MXN</v>
      </c>
      <c r="O133" s="300">
        <f>+'Tech 2025'!N7</f>
        <v>12307.692307692309</v>
      </c>
      <c r="P133" s="300">
        <f>+'Tech 2025'!O7</f>
        <v>240000</v>
      </c>
      <c r="Q133" s="300">
        <f>+'Tech 2025'!P7</f>
        <v>20000</v>
      </c>
      <c r="R133" s="300">
        <f>+'Tech 2025'!Q7</f>
        <v>20000</v>
      </c>
      <c r="S133" s="300">
        <f>+'Tech 2025'!R7</f>
        <v>20000</v>
      </c>
      <c r="T133" s="300">
        <f>+'Tech 2025'!S7</f>
        <v>20000</v>
      </c>
      <c r="U133" s="300">
        <f>+'Tech 2025'!T7</f>
        <v>20000</v>
      </c>
      <c r="V133" s="300">
        <f>+'Tech 2025'!U7</f>
        <v>20000</v>
      </c>
      <c r="W133" s="300">
        <f>+'Tech 2025'!V7</f>
        <v>20000</v>
      </c>
      <c r="X133" s="300">
        <f>+'Tech 2025'!W7</f>
        <v>20000</v>
      </c>
      <c r="Y133" s="300">
        <f>+'Tech 2025'!X7</f>
        <v>20000</v>
      </c>
      <c r="Z133" s="300">
        <f>+'Tech 2025'!Y7</f>
        <v>20000</v>
      </c>
      <c r="AA133" s="300">
        <f>+'Tech 2025'!Z7</f>
        <v>20000</v>
      </c>
      <c r="AB133" s="300">
        <f>+'Tech 2025'!AA7</f>
        <v>20000</v>
      </c>
      <c r="AC133" s="301">
        <f t="shared" si="42"/>
        <v>1</v>
      </c>
      <c r="AD133" s="511">
        <f t="shared" si="43"/>
        <v>12307.692307692307</v>
      </c>
      <c r="AE133" s="300">
        <f t="shared" si="44"/>
        <v>1025.6410256410256</v>
      </c>
      <c r="AF133" s="300">
        <f t="shared" si="45"/>
        <v>1025.6410256410256</v>
      </c>
      <c r="AG133" s="300">
        <f t="shared" si="46"/>
        <v>1025.6410256410256</v>
      </c>
      <c r="AH133" s="300">
        <f t="shared" si="47"/>
        <v>1025.6410256410256</v>
      </c>
      <c r="AI133" s="300">
        <f t="shared" si="48"/>
        <v>1025.6410256410256</v>
      </c>
      <c r="AJ133" s="300">
        <f t="shared" si="49"/>
        <v>1025.6410256410256</v>
      </c>
      <c r="AK133" s="300">
        <f t="shared" si="50"/>
        <v>1025.6410256410256</v>
      </c>
      <c r="AL133" s="300">
        <f t="shared" si="51"/>
        <v>1025.6410256410256</v>
      </c>
      <c r="AM133" s="300">
        <f t="shared" si="52"/>
        <v>1025.6410256410256</v>
      </c>
      <c r="AN133" s="300">
        <f t="shared" si="53"/>
        <v>1025.6410256410256</v>
      </c>
      <c r="AO133" s="300">
        <f t="shared" si="54"/>
        <v>1025.6410256410256</v>
      </c>
      <c r="AP133" s="300">
        <f t="shared" si="55"/>
        <v>1025.6410256410256</v>
      </c>
    </row>
    <row r="134" spans="2:42" hidden="1">
      <c r="B134" t="str">
        <f>+'Tech 2025'!A9</f>
        <v>TEC</v>
      </c>
      <c r="C134" t="str">
        <f>+'Tech 2025'!B9</f>
        <v>Mariana Kalifa</v>
      </c>
      <c r="D134" s="191">
        <f>+'Tech 2025'!C9</f>
        <v>1</v>
      </c>
      <c r="E134" s="191">
        <f>+'Tech 2025'!D9</f>
        <v>0</v>
      </c>
      <c r="F134" s="191">
        <f>+'Tech 2025'!E9</f>
        <v>0</v>
      </c>
      <c r="G134" s="191">
        <f>+'Tech 2025'!F9</f>
        <v>0</v>
      </c>
      <c r="H134" t="str">
        <f>+'Tech 2025'!G9</f>
        <v>All</v>
      </c>
      <c r="I134" t="str">
        <f>+'Tech 2025'!H9</f>
        <v>Atlassian (Bitbucket)</v>
      </c>
      <c r="J134" t="str">
        <f>+'Tech 2025'!I9</f>
        <v>Project Repositories 9 usuarios $3.3</v>
      </c>
      <c r="K134" t="str">
        <f>+'Tech 2025'!J9</f>
        <v>603.64.001</v>
      </c>
      <c r="L134" t="str">
        <f>+'Tech 2025'!K9</f>
        <v>Servicios de Informatica</v>
      </c>
      <c r="M134" t="str">
        <f>+'Tech 2025'!L9</f>
        <v>Servicios</v>
      </c>
      <c r="N134" t="str">
        <f>+'Tech 2025'!M9</f>
        <v>USD</v>
      </c>
      <c r="O134" s="300">
        <f>+'Tech 2025'!N9</f>
        <v>356.39999999999992</v>
      </c>
      <c r="P134" s="300">
        <f>+'Tech 2025'!O9</f>
        <v>356.39999999999992</v>
      </c>
      <c r="Q134" s="300">
        <f>+'Tech 2025'!P9</f>
        <v>29.7</v>
      </c>
      <c r="R134" s="300">
        <f>+'Tech 2025'!Q9</f>
        <v>29.7</v>
      </c>
      <c r="S134" s="300">
        <f>+'Tech 2025'!R9</f>
        <v>29.7</v>
      </c>
      <c r="T134" s="300">
        <f>+'Tech 2025'!S9</f>
        <v>29.7</v>
      </c>
      <c r="U134" s="300">
        <f>+'Tech 2025'!T9</f>
        <v>29.7</v>
      </c>
      <c r="V134" s="300">
        <f>+'Tech 2025'!U9</f>
        <v>29.7</v>
      </c>
      <c r="W134" s="300">
        <f>+'Tech 2025'!V9</f>
        <v>29.7</v>
      </c>
      <c r="X134" s="300">
        <f>+'Tech 2025'!W9</f>
        <v>29.7</v>
      </c>
      <c r="Y134" s="300">
        <f>+'Tech 2025'!X9</f>
        <v>29.7</v>
      </c>
      <c r="Z134" s="300">
        <f>+'Tech 2025'!Y9</f>
        <v>29.7</v>
      </c>
      <c r="AA134" s="300">
        <f>+'Tech 2025'!Z9</f>
        <v>29.7</v>
      </c>
      <c r="AB134" s="300">
        <f>+'Tech 2025'!AA9</f>
        <v>29.7</v>
      </c>
      <c r="AC134" s="301">
        <f t="shared" ref="AC134:AC158" si="56">+IF(AD134=O134,1,0)</f>
        <v>1</v>
      </c>
      <c r="AD134" s="511">
        <f t="shared" ref="AD134:AD158" si="57">+SUM(AE134:AP134)</f>
        <v>356.39999999999992</v>
      </c>
      <c r="AE134" s="300">
        <f t="shared" ref="AE134:AE158" si="58">+IF($N134="MXN",Q134/$AE$2,IF($N134="BRL",Q134/$AE$3,Q134))</f>
        <v>29.7</v>
      </c>
      <c r="AF134" s="300">
        <f t="shared" ref="AF134:AF158" si="59">+IF($N134="MXN",R134/$AE$2,IF($N134="BRL",R134/$AE$3,R134))</f>
        <v>29.7</v>
      </c>
      <c r="AG134" s="300">
        <f t="shared" ref="AG134:AG158" si="60">+IF($N134="MXN",S134/$AE$2,IF($N134="BRL",S134/$AE$3,S134))</f>
        <v>29.7</v>
      </c>
      <c r="AH134" s="300">
        <f t="shared" ref="AH134:AH158" si="61">+IF($N134="MXN",T134/$AE$2,IF($N134="BRL",T134/$AE$3,T134))</f>
        <v>29.7</v>
      </c>
      <c r="AI134" s="300">
        <f t="shared" ref="AI134:AI158" si="62">+IF($N134="MXN",U134/$AE$2,IF($N134="BRL",U134/$AE$3,U134))</f>
        <v>29.7</v>
      </c>
      <c r="AJ134" s="300">
        <f t="shared" ref="AJ134:AJ158" si="63">+IF($N134="MXN",V134/$AE$2,IF($N134="BRL",V134/$AE$3,V134))</f>
        <v>29.7</v>
      </c>
      <c r="AK134" s="300">
        <f t="shared" ref="AK134:AK158" si="64">+IF($N134="MXN",W134/$AE$2,IF($N134="BRL",W134/$AE$3,W134))</f>
        <v>29.7</v>
      </c>
      <c r="AL134" s="300">
        <f t="shared" ref="AL134:AL158" si="65">+IF($N134="MXN",X134/$AE$2,IF($N134="BRL",X134/$AE$3,X134))</f>
        <v>29.7</v>
      </c>
      <c r="AM134" s="300">
        <f t="shared" ref="AM134:AM158" si="66">+IF($N134="MXN",Y134/$AE$2,IF($N134="BRL",Y134/$AE$3,Y134))</f>
        <v>29.7</v>
      </c>
      <c r="AN134" s="300">
        <f t="shared" ref="AN134:AN158" si="67">+IF($N134="MXN",Z134/$AE$2,IF($N134="BRL",Z134/$AE$3,Z134))</f>
        <v>29.7</v>
      </c>
      <c r="AO134" s="300">
        <f t="shared" ref="AO134:AO158" si="68">+IF($N134="MXN",AA134/$AE$2,IF($N134="BRL",AA134/$AE$3,AA134))</f>
        <v>29.7</v>
      </c>
      <c r="AP134" s="300">
        <f t="shared" ref="AP134:AP158" si="69">+IF($N134="MXN",AB134/$AE$2,IF($N134="BRL",AB134/$AE$3,AB134))</f>
        <v>29.7</v>
      </c>
    </row>
    <row r="135" spans="2:42" hidden="1">
      <c r="B135" t="str">
        <f>+'Tech 2025'!A10</f>
        <v>TEC</v>
      </c>
      <c r="C135" t="str">
        <f>+'Tech 2025'!B10</f>
        <v>Mariana Kalifa</v>
      </c>
      <c r="D135" s="191">
        <f>+'Tech 2025'!C10</f>
        <v>1</v>
      </c>
      <c r="E135" s="191">
        <f>+'Tech 2025'!D10</f>
        <v>0</v>
      </c>
      <c r="F135" s="191">
        <f>+'Tech 2025'!E10</f>
        <v>0</v>
      </c>
      <c r="G135" s="191">
        <f>+'Tech 2025'!F10</f>
        <v>0</v>
      </c>
      <c r="H135" t="str">
        <f>+'Tech 2025'!G10</f>
        <v>Kinedu</v>
      </c>
      <c r="I135" t="str">
        <f>+'Tech 2025'!H10</f>
        <v>Cronitor</v>
      </c>
      <c r="J135" t="str">
        <f>+'Tech 2025'!I10</f>
        <v>Monitor Cronjobs</v>
      </c>
      <c r="K135" t="str">
        <f>+'Tech 2025'!J10</f>
        <v>603.64.001</v>
      </c>
      <c r="L135" t="str">
        <f>+'Tech 2025'!K10</f>
        <v>Servicios de Informatica</v>
      </c>
      <c r="M135" t="str">
        <f>+'Tech 2025'!L10</f>
        <v>Servicios</v>
      </c>
      <c r="N135" t="str">
        <f>+'Tech 2025'!M10</f>
        <v>USD</v>
      </c>
      <c r="O135" s="300">
        <f>+'Tech 2025'!N10</f>
        <v>84</v>
      </c>
      <c r="P135" s="300">
        <f>+'Tech 2025'!O10</f>
        <v>84</v>
      </c>
      <c r="Q135" s="300">
        <f>+'Tech 2025'!P10</f>
        <v>7</v>
      </c>
      <c r="R135" s="300">
        <f>+'Tech 2025'!Q10</f>
        <v>7</v>
      </c>
      <c r="S135" s="300">
        <f>+'Tech 2025'!R10</f>
        <v>7</v>
      </c>
      <c r="T135" s="300">
        <f>+'Tech 2025'!S10</f>
        <v>7</v>
      </c>
      <c r="U135" s="300">
        <f>+'Tech 2025'!T10</f>
        <v>7</v>
      </c>
      <c r="V135" s="300">
        <f>+'Tech 2025'!U10</f>
        <v>7</v>
      </c>
      <c r="W135" s="300">
        <f>+'Tech 2025'!V10</f>
        <v>7</v>
      </c>
      <c r="X135" s="300">
        <f>+'Tech 2025'!W10</f>
        <v>7</v>
      </c>
      <c r="Y135" s="300">
        <f>+'Tech 2025'!X10</f>
        <v>7</v>
      </c>
      <c r="Z135" s="300">
        <f>+'Tech 2025'!Y10</f>
        <v>7</v>
      </c>
      <c r="AA135" s="300">
        <f>+'Tech 2025'!Z10</f>
        <v>7</v>
      </c>
      <c r="AB135" s="300">
        <f>+'Tech 2025'!AA10</f>
        <v>7</v>
      </c>
      <c r="AC135" s="301">
        <f t="shared" si="56"/>
        <v>1</v>
      </c>
      <c r="AD135" s="511">
        <f t="shared" si="57"/>
        <v>84</v>
      </c>
      <c r="AE135" s="300">
        <f t="shared" si="58"/>
        <v>7</v>
      </c>
      <c r="AF135" s="300">
        <f t="shared" si="59"/>
        <v>7</v>
      </c>
      <c r="AG135" s="300">
        <f t="shared" si="60"/>
        <v>7</v>
      </c>
      <c r="AH135" s="300">
        <f t="shared" si="61"/>
        <v>7</v>
      </c>
      <c r="AI135" s="300">
        <f t="shared" si="62"/>
        <v>7</v>
      </c>
      <c r="AJ135" s="300">
        <f t="shared" si="63"/>
        <v>7</v>
      </c>
      <c r="AK135" s="300">
        <f t="shared" si="64"/>
        <v>7</v>
      </c>
      <c r="AL135" s="300">
        <f t="shared" si="65"/>
        <v>7</v>
      </c>
      <c r="AM135" s="300">
        <f t="shared" si="66"/>
        <v>7</v>
      </c>
      <c r="AN135" s="300">
        <f t="shared" si="67"/>
        <v>7</v>
      </c>
      <c r="AO135" s="300">
        <f t="shared" si="68"/>
        <v>7</v>
      </c>
      <c r="AP135" s="300">
        <f t="shared" si="69"/>
        <v>7</v>
      </c>
    </row>
    <row r="136" spans="2:42">
      <c r="B136" t="str">
        <f>+'Tech 2025'!A11</f>
        <v>TEC</v>
      </c>
      <c r="C136" t="str">
        <f>+'Tech 2025'!B11</f>
        <v>Mariana Kalifa</v>
      </c>
      <c r="D136" s="191">
        <f>+'Tech 2025'!C11</f>
        <v>0</v>
      </c>
      <c r="E136" s="191">
        <f>+'Tech 2025'!D11</f>
        <v>1</v>
      </c>
      <c r="F136" s="191">
        <f>+'Tech 2025'!E11</f>
        <v>0</v>
      </c>
      <c r="G136" s="191">
        <f>+'Tech 2025'!F11</f>
        <v>0</v>
      </c>
      <c r="H136" t="str">
        <f>+'Tech 2025'!G11</f>
        <v>Kinedu</v>
      </c>
      <c r="I136" t="str">
        <f>+'Tech 2025'!H11</f>
        <v>GoDaddy</v>
      </c>
      <c r="J136" t="str">
        <f>+'Tech 2025'!I11</f>
        <v>Domain renewals</v>
      </c>
      <c r="K136" t="str">
        <f>+'Tech 2025'!J11</f>
        <v>603.64.001</v>
      </c>
      <c r="L136" t="str">
        <f>+'Tech 2025'!K11</f>
        <v>Servicios de Informatica</v>
      </c>
      <c r="M136" t="str">
        <f>+'Tech 2025'!L11</f>
        <v>Servicios</v>
      </c>
      <c r="N136" t="str">
        <f>+'Tech 2025'!M11</f>
        <v>MXN</v>
      </c>
      <c r="O136" s="300">
        <f>+'Tech 2025'!N11</f>
        <v>20.512307692307694</v>
      </c>
      <c r="P136" s="300">
        <f>+'Tech 2025'!O11</f>
        <v>399.99</v>
      </c>
      <c r="Q136" s="300">
        <f>+'Tech 2025'!P11</f>
        <v>0</v>
      </c>
      <c r="R136" s="300">
        <f>+'Tech 2025'!Q11</f>
        <v>399.99</v>
      </c>
      <c r="S136" s="300">
        <f>+'Tech 2025'!R11</f>
        <v>0</v>
      </c>
      <c r="T136" s="300">
        <f>+'Tech 2025'!S11</f>
        <v>0</v>
      </c>
      <c r="U136" s="300">
        <f>+'Tech 2025'!T11</f>
        <v>0</v>
      </c>
      <c r="V136" s="300">
        <f>+'Tech 2025'!U11</f>
        <v>0</v>
      </c>
      <c r="W136" s="300">
        <f>+'Tech 2025'!V11</f>
        <v>0</v>
      </c>
      <c r="X136" s="300">
        <f>+'Tech 2025'!W11</f>
        <v>0</v>
      </c>
      <c r="Y136" s="300">
        <f>+'Tech 2025'!X11</f>
        <v>0</v>
      </c>
      <c r="Z136" s="300">
        <f>+'Tech 2025'!Y11</f>
        <v>0</v>
      </c>
      <c r="AA136" s="300">
        <f>+'Tech 2025'!Z11</f>
        <v>0</v>
      </c>
      <c r="AB136" s="300">
        <f>+'Tech 2025'!AA11</f>
        <v>0</v>
      </c>
      <c r="AC136" s="301">
        <f t="shared" si="56"/>
        <v>1</v>
      </c>
      <c r="AD136" s="511">
        <f t="shared" si="57"/>
        <v>20.512307692307694</v>
      </c>
      <c r="AE136" s="300">
        <f t="shared" si="58"/>
        <v>0</v>
      </c>
      <c r="AF136" s="300">
        <f t="shared" si="59"/>
        <v>20.512307692307694</v>
      </c>
      <c r="AG136" s="300">
        <f t="shared" si="60"/>
        <v>0</v>
      </c>
      <c r="AH136" s="300">
        <f t="shared" si="61"/>
        <v>0</v>
      </c>
      <c r="AI136" s="300">
        <f t="shared" si="62"/>
        <v>0</v>
      </c>
      <c r="AJ136" s="300">
        <f t="shared" si="63"/>
        <v>0</v>
      </c>
      <c r="AK136" s="300">
        <f t="shared" si="64"/>
        <v>0</v>
      </c>
      <c r="AL136" s="300">
        <f t="shared" si="65"/>
        <v>0</v>
      </c>
      <c r="AM136" s="300">
        <f t="shared" si="66"/>
        <v>0</v>
      </c>
      <c r="AN136" s="300">
        <f t="shared" si="67"/>
        <v>0</v>
      </c>
      <c r="AO136" s="300">
        <f t="shared" si="68"/>
        <v>0</v>
      </c>
      <c r="AP136" s="300">
        <f t="shared" si="69"/>
        <v>0</v>
      </c>
    </row>
    <row r="137" spans="2:42" hidden="1">
      <c r="B137" t="str">
        <f>+'Tech 2025'!A12</f>
        <v>TEC</v>
      </c>
      <c r="C137" t="str">
        <f>+'Tech 2025'!B12</f>
        <v>Mariana Kalifa</v>
      </c>
      <c r="D137" s="191">
        <f>+'Tech 2025'!C12</f>
        <v>0.9</v>
      </c>
      <c r="E137" s="191">
        <f>+'Tech 2025'!D12</f>
        <v>0.1</v>
      </c>
      <c r="F137" s="191">
        <f>+'Tech 2025'!E12</f>
        <v>0</v>
      </c>
      <c r="G137" s="191">
        <f>+'Tech 2025'!F12</f>
        <v>0</v>
      </c>
      <c r="H137" t="str">
        <f>+'Tech 2025'!G12</f>
        <v>Kinedu</v>
      </c>
      <c r="I137" t="str">
        <f>+'Tech 2025'!H12</f>
        <v>Postman</v>
      </c>
      <c r="J137" t="str">
        <f>+'Tech 2025'!I12</f>
        <v>336 anuales agosto</v>
      </c>
      <c r="K137" t="str">
        <f>+'Tech 2025'!J12</f>
        <v>603.64.001</v>
      </c>
      <c r="L137" t="str">
        <f>+'Tech 2025'!K12</f>
        <v>Servicios de Informatica</v>
      </c>
      <c r="M137" t="str">
        <f>+'Tech 2025'!L12</f>
        <v>Servicios</v>
      </c>
      <c r="N137" t="str">
        <f>+'Tech 2025'!M12</f>
        <v>USD</v>
      </c>
      <c r="O137" s="300">
        <f>+'Tech 2025'!N12</f>
        <v>336</v>
      </c>
      <c r="P137" s="300">
        <f>+'Tech 2025'!O12</f>
        <v>336</v>
      </c>
      <c r="Q137" s="300">
        <f>+'Tech 2025'!P12</f>
        <v>0</v>
      </c>
      <c r="R137" s="300">
        <f>+'Tech 2025'!Q12</f>
        <v>0</v>
      </c>
      <c r="S137" s="300">
        <f>+'Tech 2025'!R12</f>
        <v>0</v>
      </c>
      <c r="T137" s="300">
        <f>+'Tech 2025'!S12</f>
        <v>0</v>
      </c>
      <c r="U137" s="300">
        <f>+'Tech 2025'!T12</f>
        <v>0</v>
      </c>
      <c r="V137" s="300">
        <f>+'Tech 2025'!U12</f>
        <v>0</v>
      </c>
      <c r="W137" s="300">
        <f>+'Tech 2025'!V12</f>
        <v>0</v>
      </c>
      <c r="X137" s="300">
        <f>+'Tech 2025'!W12</f>
        <v>336</v>
      </c>
      <c r="Y137" s="300">
        <f>+'Tech 2025'!X12</f>
        <v>0</v>
      </c>
      <c r="Z137" s="300">
        <f>+'Tech 2025'!Y12</f>
        <v>0</v>
      </c>
      <c r="AA137" s="300">
        <f>+'Tech 2025'!Z12</f>
        <v>0</v>
      </c>
      <c r="AB137" s="300">
        <f>+'Tech 2025'!AA12</f>
        <v>0</v>
      </c>
      <c r="AC137" s="301">
        <f t="shared" si="56"/>
        <v>1</v>
      </c>
      <c r="AD137" s="511">
        <f t="shared" si="57"/>
        <v>336</v>
      </c>
      <c r="AE137" s="300">
        <f t="shared" si="58"/>
        <v>0</v>
      </c>
      <c r="AF137" s="300">
        <f t="shared" si="59"/>
        <v>0</v>
      </c>
      <c r="AG137" s="300">
        <f t="shared" si="60"/>
        <v>0</v>
      </c>
      <c r="AH137" s="300">
        <f t="shared" si="61"/>
        <v>0</v>
      </c>
      <c r="AI137" s="300">
        <f t="shared" si="62"/>
        <v>0</v>
      </c>
      <c r="AJ137" s="300">
        <f t="shared" si="63"/>
        <v>0</v>
      </c>
      <c r="AK137" s="300">
        <f t="shared" si="64"/>
        <v>0</v>
      </c>
      <c r="AL137" s="300">
        <f t="shared" si="65"/>
        <v>336</v>
      </c>
      <c r="AM137" s="300">
        <f t="shared" si="66"/>
        <v>0</v>
      </c>
      <c r="AN137" s="300">
        <f t="shared" si="67"/>
        <v>0</v>
      </c>
      <c r="AO137" s="300">
        <f t="shared" si="68"/>
        <v>0</v>
      </c>
      <c r="AP137" s="300">
        <f t="shared" si="69"/>
        <v>0</v>
      </c>
    </row>
    <row r="138" spans="2:42" hidden="1">
      <c r="B138" t="str">
        <f>+'Tech 2025'!A13</f>
        <v>TEC</v>
      </c>
      <c r="C138" t="str">
        <f>+'Tech 2025'!B13</f>
        <v>Mariana Kalifa</v>
      </c>
      <c r="D138" s="191">
        <f>+'Tech 2025'!C13</f>
        <v>1</v>
      </c>
      <c r="E138" s="191">
        <f>+'Tech 2025'!D13</f>
        <v>0</v>
      </c>
      <c r="F138" s="191">
        <f>+'Tech 2025'!E13</f>
        <v>0</v>
      </c>
      <c r="G138" s="191">
        <f>+'Tech 2025'!F13</f>
        <v>0</v>
      </c>
      <c r="H138" t="str">
        <f>+'Tech 2025'!G13</f>
        <v>Kinedu</v>
      </c>
      <c r="I138" t="str">
        <f>+'Tech 2025'!H13</f>
        <v>Rollbar</v>
      </c>
      <c r="J138" t="str">
        <f>+'Tech 2025'!I13</f>
        <v>100,000 events per month por 49 a month</v>
      </c>
      <c r="K138" t="str">
        <f>+'Tech 2025'!J13</f>
        <v>603.64.001</v>
      </c>
      <c r="L138" t="str">
        <f>+'Tech 2025'!K13</f>
        <v>Servicios de Informatica</v>
      </c>
      <c r="M138" t="str">
        <f>+'Tech 2025'!L13</f>
        <v>Servicios</v>
      </c>
      <c r="N138" t="str">
        <f>+'Tech 2025'!M13</f>
        <v>USD</v>
      </c>
      <c r="O138" s="300">
        <f>+'Tech 2025'!N13</f>
        <v>588</v>
      </c>
      <c r="P138" s="300">
        <f>+'Tech 2025'!O13</f>
        <v>588</v>
      </c>
      <c r="Q138" s="300">
        <f>+'Tech 2025'!P13</f>
        <v>49</v>
      </c>
      <c r="R138" s="300">
        <f>+'Tech 2025'!Q13</f>
        <v>49</v>
      </c>
      <c r="S138" s="300">
        <f>+'Tech 2025'!R13</f>
        <v>49</v>
      </c>
      <c r="T138" s="300">
        <f>+'Tech 2025'!S13</f>
        <v>49</v>
      </c>
      <c r="U138" s="300">
        <f>+'Tech 2025'!T13</f>
        <v>49</v>
      </c>
      <c r="V138" s="300">
        <f>+'Tech 2025'!U13</f>
        <v>49</v>
      </c>
      <c r="W138" s="300">
        <f>+'Tech 2025'!V13</f>
        <v>49</v>
      </c>
      <c r="X138" s="300">
        <f>+'Tech 2025'!W13</f>
        <v>49</v>
      </c>
      <c r="Y138" s="300">
        <f>+'Tech 2025'!X13</f>
        <v>49</v>
      </c>
      <c r="Z138" s="300">
        <f>+'Tech 2025'!Y13</f>
        <v>49</v>
      </c>
      <c r="AA138" s="300">
        <f>+'Tech 2025'!Z13</f>
        <v>49</v>
      </c>
      <c r="AB138" s="300">
        <f>+'Tech 2025'!AA13</f>
        <v>49</v>
      </c>
      <c r="AC138" s="301">
        <f t="shared" si="56"/>
        <v>1</v>
      </c>
      <c r="AD138" s="511">
        <f t="shared" si="57"/>
        <v>588</v>
      </c>
      <c r="AE138" s="300">
        <f t="shared" si="58"/>
        <v>49</v>
      </c>
      <c r="AF138" s="300">
        <f t="shared" si="59"/>
        <v>49</v>
      </c>
      <c r="AG138" s="300">
        <f t="shared" si="60"/>
        <v>49</v>
      </c>
      <c r="AH138" s="300">
        <f t="shared" si="61"/>
        <v>49</v>
      </c>
      <c r="AI138" s="300">
        <f t="shared" si="62"/>
        <v>49</v>
      </c>
      <c r="AJ138" s="300">
        <f t="shared" si="63"/>
        <v>49</v>
      </c>
      <c r="AK138" s="300">
        <f t="shared" si="64"/>
        <v>49</v>
      </c>
      <c r="AL138" s="300">
        <f t="shared" si="65"/>
        <v>49</v>
      </c>
      <c r="AM138" s="300">
        <f t="shared" si="66"/>
        <v>49</v>
      </c>
      <c r="AN138" s="300">
        <f t="shared" si="67"/>
        <v>49</v>
      </c>
      <c r="AO138" s="300">
        <f t="shared" si="68"/>
        <v>49</v>
      </c>
      <c r="AP138" s="300">
        <f t="shared" si="69"/>
        <v>49</v>
      </c>
    </row>
    <row r="139" spans="2:42" hidden="1">
      <c r="B139" t="str">
        <f>+'Tech 2025'!A14</f>
        <v>TEC</v>
      </c>
      <c r="C139" t="str">
        <f>+'Tech 2025'!B14</f>
        <v>Mariana Kalifa</v>
      </c>
      <c r="D139" s="191">
        <f>+'Tech 2025'!C14</f>
        <v>1</v>
      </c>
      <c r="E139" s="191">
        <f>+'Tech 2025'!D14</f>
        <v>0</v>
      </c>
      <c r="F139" s="191">
        <f>+'Tech 2025'!E14</f>
        <v>0</v>
      </c>
      <c r="G139" s="191">
        <f>+'Tech 2025'!F14</f>
        <v>0</v>
      </c>
      <c r="H139" t="str">
        <f>+'Tech 2025'!G14</f>
        <v xml:space="preserve">DS Service </v>
      </c>
      <c r="I139" t="str">
        <f>+'Tech 2025'!H14</f>
        <v xml:space="preserve">Hevo </v>
      </c>
      <c r="J139" t="str">
        <f>+'Tech 2025'!I14</f>
        <v>2 pagos semestrales de 6,864 (200M events a month)</v>
      </c>
      <c r="K139" t="str">
        <f>+'Tech 2025'!J14</f>
        <v>603.64.001</v>
      </c>
      <c r="L139" t="str">
        <f>+'Tech 2025'!K14</f>
        <v>Servicios de Informatica</v>
      </c>
      <c r="M139" t="str">
        <f>+'Tech 2025'!L14</f>
        <v>Servicios</v>
      </c>
      <c r="N139" t="str">
        <f>+'Tech 2025'!M14</f>
        <v>USD</v>
      </c>
      <c r="O139" s="300">
        <f>+'Tech 2025'!N14</f>
        <v>13728</v>
      </c>
      <c r="P139" s="300">
        <f>+'Tech 2025'!O14</f>
        <v>13728</v>
      </c>
      <c r="Q139" s="300">
        <f>+'Tech 2025'!P14</f>
        <v>0</v>
      </c>
      <c r="R139" s="300">
        <f>+'Tech 2025'!Q14</f>
        <v>6864</v>
      </c>
      <c r="S139" s="300">
        <f>+'Tech 2025'!R14</f>
        <v>0</v>
      </c>
      <c r="T139" s="300">
        <f>+'Tech 2025'!S14</f>
        <v>0</v>
      </c>
      <c r="U139" s="300">
        <f>+'Tech 2025'!T14</f>
        <v>0</v>
      </c>
      <c r="V139" s="300">
        <f>+'Tech 2025'!U14</f>
        <v>0</v>
      </c>
      <c r="W139" s="300">
        <f>+'Tech 2025'!V14</f>
        <v>0</v>
      </c>
      <c r="X139" s="300">
        <f>+'Tech 2025'!W14</f>
        <v>6864</v>
      </c>
      <c r="Y139" s="300">
        <f>+'Tech 2025'!X14</f>
        <v>0</v>
      </c>
      <c r="Z139" s="300">
        <f>+'Tech 2025'!Y14</f>
        <v>0</v>
      </c>
      <c r="AA139" s="300">
        <f>+'Tech 2025'!Z14</f>
        <v>0</v>
      </c>
      <c r="AB139" s="300">
        <f>+'Tech 2025'!AA14</f>
        <v>0</v>
      </c>
      <c r="AC139" s="301">
        <f t="shared" si="56"/>
        <v>1</v>
      </c>
      <c r="AD139" s="511">
        <f t="shared" si="57"/>
        <v>13728</v>
      </c>
      <c r="AE139" s="300">
        <f t="shared" si="58"/>
        <v>0</v>
      </c>
      <c r="AF139" s="300">
        <f t="shared" si="59"/>
        <v>6864</v>
      </c>
      <c r="AG139" s="300">
        <f t="shared" si="60"/>
        <v>0</v>
      </c>
      <c r="AH139" s="300">
        <f t="shared" si="61"/>
        <v>0</v>
      </c>
      <c r="AI139" s="300">
        <f t="shared" si="62"/>
        <v>0</v>
      </c>
      <c r="AJ139" s="300">
        <f t="shared" si="63"/>
        <v>0</v>
      </c>
      <c r="AK139" s="300">
        <f t="shared" si="64"/>
        <v>0</v>
      </c>
      <c r="AL139" s="300">
        <f t="shared" si="65"/>
        <v>6864</v>
      </c>
      <c r="AM139" s="300">
        <f t="shared" si="66"/>
        <v>0</v>
      </c>
      <c r="AN139" s="300">
        <f t="shared" si="67"/>
        <v>0</v>
      </c>
      <c r="AO139" s="300">
        <f t="shared" si="68"/>
        <v>0</v>
      </c>
      <c r="AP139" s="300">
        <f t="shared" si="69"/>
        <v>0</v>
      </c>
    </row>
    <row r="140" spans="2:42" hidden="1">
      <c r="B140" t="str">
        <f>+'Tech 2025'!A15</f>
        <v>TEC</v>
      </c>
      <c r="C140" t="str">
        <f>+'Tech 2025'!B15</f>
        <v>Mariana Kalifa</v>
      </c>
      <c r="D140" s="191">
        <f>+'Tech 2025'!C15</f>
        <v>1</v>
      </c>
      <c r="E140" s="191">
        <f>+'Tech 2025'!D15</f>
        <v>0</v>
      </c>
      <c r="F140" s="191">
        <f>+'Tech 2025'!E15</f>
        <v>0</v>
      </c>
      <c r="G140" s="191">
        <f>+'Tech 2025'!F15</f>
        <v>0</v>
      </c>
      <c r="H140" t="str">
        <f>+'Tech 2025'!G15</f>
        <v>Kinedu</v>
      </c>
      <c r="I140" t="str">
        <f>+'Tech 2025'!H15</f>
        <v>Algolia</v>
      </c>
      <c r="J140" t="str">
        <f>+'Tech 2025'!I15</f>
        <v>Variable dependiendo de usabilidad (entre 10-14 usd)</v>
      </c>
      <c r="K140" t="str">
        <f>+'Tech 2025'!J15</f>
        <v>603.64.001</v>
      </c>
      <c r="L140" t="str">
        <f>+'Tech 2025'!K15</f>
        <v>Servicios de Informatica</v>
      </c>
      <c r="M140" t="str">
        <f>+'Tech 2025'!L15</f>
        <v>Servicios</v>
      </c>
      <c r="N140" t="str">
        <f>+'Tech 2025'!M15</f>
        <v>USD</v>
      </c>
      <c r="O140" s="300">
        <f>+'Tech 2025'!N15</f>
        <v>144</v>
      </c>
      <c r="P140" s="300">
        <f>+'Tech 2025'!O15</f>
        <v>144</v>
      </c>
      <c r="Q140" s="300">
        <f>+'Tech 2025'!P15</f>
        <v>12</v>
      </c>
      <c r="R140" s="300">
        <f>+'Tech 2025'!Q15</f>
        <v>12</v>
      </c>
      <c r="S140" s="300">
        <f>+'Tech 2025'!R15</f>
        <v>12</v>
      </c>
      <c r="T140" s="300">
        <f>+'Tech 2025'!S15</f>
        <v>12</v>
      </c>
      <c r="U140" s="300">
        <f>+'Tech 2025'!T15</f>
        <v>12</v>
      </c>
      <c r="V140" s="300">
        <f>+'Tech 2025'!U15</f>
        <v>12</v>
      </c>
      <c r="W140" s="300">
        <f>+'Tech 2025'!V15</f>
        <v>12</v>
      </c>
      <c r="X140" s="300">
        <f>+'Tech 2025'!W15</f>
        <v>12</v>
      </c>
      <c r="Y140" s="300">
        <f>+'Tech 2025'!X15</f>
        <v>12</v>
      </c>
      <c r="Z140" s="300">
        <f>+'Tech 2025'!Y15</f>
        <v>12</v>
      </c>
      <c r="AA140" s="300">
        <f>+'Tech 2025'!Z15</f>
        <v>12</v>
      </c>
      <c r="AB140" s="300">
        <f>+'Tech 2025'!AA15</f>
        <v>12</v>
      </c>
      <c r="AC140" s="301">
        <f t="shared" si="56"/>
        <v>1</v>
      </c>
      <c r="AD140" s="511">
        <f t="shared" si="57"/>
        <v>144</v>
      </c>
      <c r="AE140" s="300">
        <f t="shared" si="58"/>
        <v>12</v>
      </c>
      <c r="AF140" s="300">
        <f t="shared" si="59"/>
        <v>12</v>
      </c>
      <c r="AG140" s="300">
        <f t="shared" si="60"/>
        <v>12</v>
      </c>
      <c r="AH140" s="300">
        <f t="shared" si="61"/>
        <v>12</v>
      </c>
      <c r="AI140" s="300">
        <f t="shared" si="62"/>
        <v>12</v>
      </c>
      <c r="AJ140" s="300">
        <f t="shared" si="63"/>
        <v>12</v>
      </c>
      <c r="AK140" s="300">
        <f t="shared" si="64"/>
        <v>12</v>
      </c>
      <c r="AL140" s="300">
        <f t="shared" si="65"/>
        <v>12</v>
      </c>
      <c r="AM140" s="300">
        <f t="shared" si="66"/>
        <v>12</v>
      </c>
      <c r="AN140" s="300">
        <f t="shared" si="67"/>
        <v>12</v>
      </c>
      <c r="AO140" s="300">
        <f t="shared" si="68"/>
        <v>12</v>
      </c>
      <c r="AP140" s="300">
        <f t="shared" si="69"/>
        <v>12</v>
      </c>
    </row>
    <row r="141" spans="2:42" hidden="1">
      <c r="B141" t="str">
        <f>+'Tech 2025'!A16</f>
        <v>TEC</v>
      </c>
      <c r="C141" t="str">
        <f>+'Tech 2025'!B16</f>
        <v>Mariana Kalifa</v>
      </c>
      <c r="D141" s="191">
        <f>+'Tech 2025'!C16</f>
        <v>0.9</v>
      </c>
      <c r="E141" s="191">
        <f>+'Tech 2025'!D16</f>
        <v>0.1</v>
      </c>
      <c r="F141" s="191">
        <f>+'Tech 2025'!E16</f>
        <v>0</v>
      </c>
      <c r="G141" s="191">
        <f>+'Tech 2025'!F16</f>
        <v>0</v>
      </c>
      <c r="H141" t="str">
        <f>+'Tech 2025'!G16</f>
        <v xml:space="preserve">DS Service </v>
      </c>
      <c r="I141" t="str">
        <f>+'Tech 2025'!H16</f>
        <v>Github/Copilot</v>
      </c>
      <c r="J141" t="str">
        <f>+'Tech 2025'!I16</f>
        <v>Se paga Copiot 10 usd al mes</v>
      </c>
      <c r="K141" t="str">
        <f>+'Tech 2025'!J16</f>
        <v>603.64.001</v>
      </c>
      <c r="L141" t="str">
        <f>+'Tech 2025'!K16</f>
        <v>Servicios de Informatica</v>
      </c>
      <c r="M141" t="str">
        <f>+'Tech 2025'!L16</f>
        <v>Servicios</v>
      </c>
      <c r="N141" t="str">
        <f>+'Tech 2025'!M16</f>
        <v>USD</v>
      </c>
      <c r="O141" s="300">
        <f>+'Tech 2025'!N16</f>
        <v>120</v>
      </c>
      <c r="P141" s="300">
        <f>+'Tech 2025'!O16</f>
        <v>120</v>
      </c>
      <c r="Q141" s="300">
        <f>+'Tech 2025'!P16</f>
        <v>10</v>
      </c>
      <c r="R141" s="300">
        <f>+'Tech 2025'!Q16</f>
        <v>10</v>
      </c>
      <c r="S141" s="300">
        <f>+'Tech 2025'!R16</f>
        <v>10</v>
      </c>
      <c r="T141" s="300">
        <f>+'Tech 2025'!S16</f>
        <v>10</v>
      </c>
      <c r="U141" s="300">
        <f>+'Tech 2025'!T16</f>
        <v>10</v>
      </c>
      <c r="V141" s="300">
        <f>+'Tech 2025'!U16</f>
        <v>10</v>
      </c>
      <c r="W141" s="300">
        <f>+'Tech 2025'!V16</f>
        <v>10</v>
      </c>
      <c r="X141" s="300">
        <f>+'Tech 2025'!W16</f>
        <v>10</v>
      </c>
      <c r="Y141" s="300">
        <f>+'Tech 2025'!X16</f>
        <v>10</v>
      </c>
      <c r="Z141" s="300">
        <f>+'Tech 2025'!Y16</f>
        <v>10</v>
      </c>
      <c r="AA141" s="300">
        <f>+'Tech 2025'!Z16</f>
        <v>10</v>
      </c>
      <c r="AB141" s="300">
        <f>+'Tech 2025'!AA16</f>
        <v>10</v>
      </c>
      <c r="AC141" s="301">
        <f t="shared" si="56"/>
        <v>1</v>
      </c>
      <c r="AD141" s="511">
        <f t="shared" si="57"/>
        <v>120</v>
      </c>
      <c r="AE141" s="300">
        <f t="shared" si="58"/>
        <v>10</v>
      </c>
      <c r="AF141" s="300">
        <f t="shared" si="59"/>
        <v>10</v>
      </c>
      <c r="AG141" s="300">
        <f t="shared" si="60"/>
        <v>10</v>
      </c>
      <c r="AH141" s="300">
        <f t="shared" si="61"/>
        <v>10</v>
      </c>
      <c r="AI141" s="300">
        <f t="shared" si="62"/>
        <v>10</v>
      </c>
      <c r="AJ141" s="300">
        <f t="shared" si="63"/>
        <v>10</v>
      </c>
      <c r="AK141" s="300">
        <f t="shared" si="64"/>
        <v>10</v>
      </c>
      <c r="AL141" s="300">
        <f t="shared" si="65"/>
        <v>10</v>
      </c>
      <c r="AM141" s="300">
        <f t="shared" si="66"/>
        <v>10</v>
      </c>
      <c r="AN141" s="300">
        <f t="shared" si="67"/>
        <v>10</v>
      </c>
      <c r="AO141" s="300">
        <f t="shared" si="68"/>
        <v>10</v>
      </c>
      <c r="AP141" s="300">
        <f t="shared" si="69"/>
        <v>10</v>
      </c>
    </row>
    <row r="142" spans="2:42" hidden="1">
      <c r="B142" t="str">
        <f>+'Tech 2025'!A17</f>
        <v>TEC</v>
      </c>
      <c r="C142" t="str">
        <f>+'Tech 2025'!B17</f>
        <v>Mariana Kalifa</v>
      </c>
      <c r="D142" s="191">
        <f>+'Tech 2025'!C17</f>
        <v>0</v>
      </c>
      <c r="E142" s="191">
        <f>+'Tech 2025'!D17</f>
        <v>1</v>
      </c>
      <c r="F142" s="191">
        <f>+'Tech 2025'!E17</f>
        <v>0</v>
      </c>
      <c r="G142" s="191">
        <f>+'Tech 2025'!F17</f>
        <v>0</v>
      </c>
      <c r="H142" t="str">
        <f>+'Tech 2025'!G17</f>
        <v>Kinedu</v>
      </c>
      <c r="I142" t="str">
        <f>+'Tech 2025'!H17</f>
        <v>Formstack</v>
      </c>
      <c r="J142" t="str">
        <f>+'Tech 2025'!I17</f>
        <v>99 per month + tax (0)</v>
      </c>
      <c r="K142" t="str">
        <f>+'Tech 2025'!J17</f>
        <v>603.64.001</v>
      </c>
      <c r="L142" t="str">
        <f>+'Tech 2025'!K17</f>
        <v>Servicios de Informatica</v>
      </c>
      <c r="M142" t="str">
        <f>+'Tech 2025'!L17</f>
        <v>Servicios</v>
      </c>
      <c r="N142" t="str">
        <f>+'Tech 2025'!M17</f>
        <v>USD</v>
      </c>
      <c r="O142" s="300">
        <f>+'Tech 2025'!N17</f>
        <v>1188</v>
      </c>
      <c r="P142" s="300">
        <f>+'Tech 2025'!O17</f>
        <v>1188</v>
      </c>
      <c r="Q142" s="300">
        <f>+'Tech 2025'!P17</f>
        <v>99</v>
      </c>
      <c r="R142" s="300">
        <f>+'Tech 2025'!Q17</f>
        <v>99</v>
      </c>
      <c r="S142" s="300">
        <f>+'Tech 2025'!R17</f>
        <v>99</v>
      </c>
      <c r="T142" s="300">
        <f>+'Tech 2025'!S17</f>
        <v>99</v>
      </c>
      <c r="U142" s="300">
        <f>+'Tech 2025'!T17</f>
        <v>99</v>
      </c>
      <c r="V142" s="300">
        <f>+'Tech 2025'!U17</f>
        <v>99</v>
      </c>
      <c r="W142" s="300">
        <f>+'Tech 2025'!V17</f>
        <v>99</v>
      </c>
      <c r="X142" s="300">
        <f>+'Tech 2025'!W17</f>
        <v>99</v>
      </c>
      <c r="Y142" s="300">
        <f>+'Tech 2025'!X17</f>
        <v>99</v>
      </c>
      <c r="Z142" s="300">
        <f>+'Tech 2025'!Y17</f>
        <v>99</v>
      </c>
      <c r="AA142" s="300">
        <f>+'Tech 2025'!Z17</f>
        <v>99</v>
      </c>
      <c r="AB142" s="300">
        <f>+'Tech 2025'!AA17</f>
        <v>99</v>
      </c>
      <c r="AC142" s="301">
        <f t="shared" si="56"/>
        <v>1</v>
      </c>
      <c r="AD142" s="511">
        <f t="shared" si="57"/>
        <v>1188</v>
      </c>
      <c r="AE142" s="300">
        <f t="shared" si="58"/>
        <v>99</v>
      </c>
      <c r="AF142" s="300">
        <f t="shared" si="59"/>
        <v>99</v>
      </c>
      <c r="AG142" s="300">
        <f t="shared" si="60"/>
        <v>99</v>
      </c>
      <c r="AH142" s="300">
        <f t="shared" si="61"/>
        <v>99</v>
      </c>
      <c r="AI142" s="300">
        <f t="shared" si="62"/>
        <v>99</v>
      </c>
      <c r="AJ142" s="300">
        <f t="shared" si="63"/>
        <v>99</v>
      </c>
      <c r="AK142" s="300">
        <f t="shared" si="64"/>
        <v>99</v>
      </c>
      <c r="AL142" s="300">
        <f t="shared" si="65"/>
        <v>99</v>
      </c>
      <c r="AM142" s="300">
        <f t="shared" si="66"/>
        <v>99</v>
      </c>
      <c r="AN142" s="300">
        <f t="shared" si="67"/>
        <v>99</v>
      </c>
      <c r="AO142" s="300">
        <f t="shared" si="68"/>
        <v>99</v>
      </c>
      <c r="AP142" s="300">
        <f t="shared" si="69"/>
        <v>99</v>
      </c>
    </row>
    <row r="143" spans="2:42" hidden="1">
      <c r="B143" t="str">
        <f>+'Tech 2025'!A22</f>
        <v>TEC</v>
      </c>
      <c r="C143" t="str">
        <f>+'Tech 2025'!B22</f>
        <v>Mariana Kalifa</v>
      </c>
      <c r="D143" s="191">
        <f>+'Tech 2025'!C22</f>
        <v>1</v>
      </c>
      <c r="E143" s="191">
        <f>+'Tech 2025'!D22</f>
        <v>0</v>
      </c>
      <c r="F143" s="191">
        <f>+'Tech 2025'!E22</f>
        <v>0</v>
      </c>
      <c r="G143" s="191">
        <f>+'Tech 2025'!F22</f>
        <v>0</v>
      </c>
      <c r="H143" t="str">
        <f>+'Tech 2025'!G22</f>
        <v>Payroll</v>
      </c>
      <c r="I143" t="str">
        <f>+'Tech 2025'!H22</f>
        <v>MARIN VERGARA CRISTOFER IVAN</v>
      </c>
      <c r="J143" t="str">
        <f>+'Tech 2025'!I22</f>
        <v>Frontend Mobile Manager</v>
      </c>
      <c r="K143" t="str">
        <f>+'Tech 2025'!J22</f>
        <v>603.01.001</v>
      </c>
      <c r="L143" t="str">
        <f>+'Tech 2025'!K22</f>
        <v>Sueldos y salarios</v>
      </c>
      <c r="M143" t="str">
        <f>+'Tech 2025'!L22</f>
        <v>Sueldos y Salarios</v>
      </c>
      <c r="N143" t="str">
        <f>+'Tech 2025'!M22</f>
        <v>MXN</v>
      </c>
      <c r="O143" s="300">
        <f>+'Tech 2025'!N22</f>
        <v>48953.907692307686</v>
      </c>
      <c r="P143" s="300">
        <f>+'Tech 2025'!O22</f>
        <v>954601.19999999984</v>
      </c>
      <c r="Q143" s="300">
        <f>+'Tech 2025'!P22</f>
        <v>79550.100000000006</v>
      </c>
      <c r="R143" s="300">
        <f>+'Tech 2025'!Q22</f>
        <v>79550.100000000006</v>
      </c>
      <c r="S143" s="300">
        <f>+'Tech 2025'!R22</f>
        <v>79550.100000000006</v>
      </c>
      <c r="T143" s="300">
        <f>+'Tech 2025'!S22</f>
        <v>79550.100000000006</v>
      </c>
      <c r="U143" s="300">
        <f>+'Tech 2025'!T22</f>
        <v>79550.100000000006</v>
      </c>
      <c r="V143" s="300">
        <f>+'Tech 2025'!U22</f>
        <v>79550.100000000006</v>
      </c>
      <c r="W143" s="300">
        <f>+'Tech 2025'!V22</f>
        <v>79550.100000000006</v>
      </c>
      <c r="X143" s="300">
        <f>+'Tech 2025'!W22</f>
        <v>79550.100000000006</v>
      </c>
      <c r="Y143" s="300">
        <f>+'Tech 2025'!X22</f>
        <v>79550.100000000006</v>
      </c>
      <c r="Z143" s="300">
        <f>+'Tech 2025'!Y22</f>
        <v>79550.100000000006</v>
      </c>
      <c r="AA143" s="300">
        <f>+'Tech 2025'!Z22</f>
        <v>79550.100000000006</v>
      </c>
      <c r="AB143" s="300">
        <f>+'Tech 2025'!AA22</f>
        <v>79550.100000000006</v>
      </c>
      <c r="AC143" s="301">
        <f t="shared" si="56"/>
        <v>1</v>
      </c>
      <c r="AD143" s="511">
        <f t="shared" si="57"/>
        <v>48953.907692307694</v>
      </c>
      <c r="AE143" s="300">
        <f t="shared" si="58"/>
        <v>4079.4923076923078</v>
      </c>
      <c r="AF143" s="300">
        <f t="shared" si="59"/>
        <v>4079.4923076923078</v>
      </c>
      <c r="AG143" s="300">
        <f t="shared" si="60"/>
        <v>4079.4923076923078</v>
      </c>
      <c r="AH143" s="300">
        <f t="shared" si="61"/>
        <v>4079.4923076923078</v>
      </c>
      <c r="AI143" s="300">
        <f t="shared" si="62"/>
        <v>4079.4923076923078</v>
      </c>
      <c r="AJ143" s="300">
        <f t="shared" si="63"/>
        <v>4079.4923076923078</v>
      </c>
      <c r="AK143" s="300">
        <f t="shared" si="64"/>
        <v>4079.4923076923078</v>
      </c>
      <c r="AL143" s="300">
        <f t="shared" si="65"/>
        <v>4079.4923076923078</v>
      </c>
      <c r="AM143" s="300">
        <f t="shared" si="66"/>
        <v>4079.4923076923078</v>
      </c>
      <c r="AN143" s="300">
        <f t="shared" si="67"/>
        <v>4079.4923076923078</v>
      </c>
      <c r="AO143" s="300">
        <f t="shared" si="68"/>
        <v>4079.4923076923078</v>
      </c>
      <c r="AP143" s="300">
        <f t="shared" si="69"/>
        <v>4079.4923076923078</v>
      </c>
    </row>
    <row r="144" spans="2:42" hidden="1">
      <c r="B144" t="str">
        <f>+'Tech 2025'!A23</f>
        <v>TEC</v>
      </c>
      <c r="C144" t="str">
        <f>+'Tech 2025'!B23</f>
        <v>Mariana Kalifa</v>
      </c>
      <c r="D144" s="191">
        <f>+'Tech 2025'!C23</f>
        <v>0</v>
      </c>
      <c r="E144" s="191">
        <f>+'Tech 2025'!D23</f>
        <v>0</v>
      </c>
      <c r="F144" s="191">
        <f>+'Tech 2025'!E23</f>
        <v>0</v>
      </c>
      <c r="G144" s="191">
        <f>+'Tech 2025'!F23</f>
        <v>0</v>
      </c>
      <c r="H144" t="str">
        <f>+'Tech 2025'!G23</f>
        <v>Payroll</v>
      </c>
      <c r="I144" t="str">
        <f>+'Tech 2025'!H23</f>
        <v>GONZALEZ OLLERVIDEZ VICTOR MANUEL</v>
      </c>
      <c r="J144" t="str">
        <f>+'Tech 2025'!I23</f>
        <v>Android Lead</v>
      </c>
      <c r="K144" t="str">
        <f>+'Tech 2025'!J23</f>
        <v>603.01.001</v>
      </c>
      <c r="L144" t="str">
        <f>+'Tech 2025'!K23</f>
        <v>Sueldos y salarios</v>
      </c>
      <c r="M144" t="str">
        <f>+'Tech 2025'!L23</f>
        <v>Sueldos y Salarios</v>
      </c>
      <c r="N144" t="str">
        <f>+'Tech 2025'!M23</f>
        <v>MXN</v>
      </c>
      <c r="O144" s="300">
        <f>+'Tech 2025'!N23</f>
        <v>0</v>
      </c>
      <c r="P144" s="300">
        <f>+'Tech 2025'!O23</f>
        <v>0</v>
      </c>
      <c r="Q144" s="300">
        <f>+'Tech 2025'!P23</f>
        <v>0</v>
      </c>
      <c r="R144" s="300">
        <f>+'Tech 2025'!Q23</f>
        <v>0</v>
      </c>
      <c r="S144" s="300">
        <f>+'Tech 2025'!R23</f>
        <v>0</v>
      </c>
      <c r="T144" s="300">
        <f>+'Tech 2025'!S23</f>
        <v>0</v>
      </c>
      <c r="U144" s="300">
        <f>+'Tech 2025'!T23</f>
        <v>0</v>
      </c>
      <c r="V144" s="300">
        <f>+'Tech 2025'!U23</f>
        <v>0</v>
      </c>
      <c r="W144" s="300">
        <f>+'Tech 2025'!V23</f>
        <v>0</v>
      </c>
      <c r="X144" s="300">
        <f>+'Tech 2025'!W23</f>
        <v>0</v>
      </c>
      <c r="Y144" s="300">
        <f>+'Tech 2025'!X23</f>
        <v>0</v>
      </c>
      <c r="Z144" s="300">
        <f>+'Tech 2025'!Y23</f>
        <v>0</v>
      </c>
      <c r="AA144" s="300">
        <f>+'Tech 2025'!Z23</f>
        <v>0</v>
      </c>
      <c r="AB144" s="300">
        <f>+'Tech 2025'!AA23</f>
        <v>0</v>
      </c>
      <c r="AC144" s="301">
        <f t="shared" si="56"/>
        <v>1</v>
      </c>
      <c r="AD144" s="511">
        <f t="shared" si="57"/>
        <v>0</v>
      </c>
      <c r="AE144" s="300">
        <f t="shared" si="58"/>
        <v>0</v>
      </c>
      <c r="AF144" s="300">
        <f t="shared" si="59"/>
        <v>0</v>
      </c>
      <c r="AG144" s="300">
        <f t="shared" si="60"/>
        <v>0</v>
      </c>
      <c r="AH144" s="300">
        <f t="shared" si="61"/>
        <v>0</v>
      </c>
      <c r="AI144" s="300">
        <f t="shared" si="62"/>
        <v>0</v>
      </c>
      <c r="AJ144" s="300">
        <f t="shared" si="63"/>
        <v>0</v>
      </c>
      <c r="AK144" s="300">
        <f t="shared" si="64"/>
        <v>0</v>
      </c>
      <c r="AL144" s="300">
        <f t="shared" si="65"/>
        <v>0</v>
      </c>
      <c r="AM144" s="300">
        <f t="shared" si="66"/>
        <v>0</v>
      </c>
      <c r="AN144" s="300">
        <f t="shared" si="67"/>
        <v>0</v>
      </c>
      <c r="AO144" s="300">
        <f t="shared" si="68"/>
        <v>0</v>
      </c>
      <c r="AP144" s="300">
        <f t="shared" si="69"/>
        <v>0</v>
      </c>
    </row>
    <row r="145" spans="1:42" hidden="1">
      <c r="B145" t="str">
        <f>+'Tech 2025'!A24</f>
        <v>TEC</v>
      </c>
      <c r="C145" t="str">
        <f>+'Tech 2025'!B24</f>
        <v>Mariana Kalifa</v>
      </c>
      <c r="D145" s="191">
        <f>+'Tech 2025'!C24</f>
        <v>1</v>
      </c>
      <c r="E145" s="191">
        <f>+'Tech 2025'!D24</f>
        <v>0</v>
      </c>
      <c r="F145" s="191">
        <f>+'Tech 2025'!E24</f>
        <v>0</v>
      </c>
      <c r="G145" s="191">
        <f>+'Tech 2025'!F24</f>
        <v>0</v>
      </c>
      <c r="H145" t="str">
        <f>+'Tech 2025'!G24</f>
        <v>Payroll</v>
      </c>
      <c r="I145" t="str">
        <f>+'Tech 2025'!H24</f>
        <v>JUAREZ NEGRETE DANIEL MISAEL</v>
      </c>
      <c r="J145" t="str">
        <f>+'Tech 2025'!I24</f>
        <v>Backend Lead - Servers</v>
      </c>
      <c r="K145" t="str">
        <f>+'Tech 2025'!J24</f>
        <v>603.01.001</v>
      </c>
      <c r="L145" t="str">
        <f>+'Tech 2025'!K24</f>
        <v>Sueldos y salarios</v>
      </c>
      <c r="M145" t="str">
        <f>+'Tech 2025'!L24</f>
        <v>Sueldos y Salarios</v>
      </c>
      <c r="N145" t="str">
        <f>+'Tech 2025'!M24</f>
        <v>MXN</v>
      </c>
      <c r="O145" s="300">
        <f>+'Tech 2025'!N24</f>
        <v>39384.615384615383</v>
      </c>
      <c r="P145" s="300">
        <f>+'Tech 2025'!O24</f>
        <v>768000</v>
      </c>
      <c r="Q145" s="300">
        <f>+'Tech 2025'!P24</f>
        <v>64000</v>
      </c>
      <c r="R145" s="300">
        <f>+'Tech 2025'!Q24</f>
        <v>64000</v>
      </c>
      <c r="S145" s="300">
        <f>+'Tech 2025'!R24</f>
        <v>64000</v>
      </c>
      <c r="T145" s="300">
        <f>+'Tech 2025'!S24</f>
        <v>64000</v>
      </c>
      <c r="U145" s="300">
        <f>+'Tech 2025'!T24</f>
        <v>64000</v>
      </c>
      <c r="V145" s="300">
        <f>+'Tech 2025'!U24</f>
        <v>64000</v>
      </c>
      <c r="W145" s="300">
        <f>+'Tech 2025'!V24</f>
        <v>64000</v>
      </c>
      <c r="X145" s="300">
        <f>+'Tech 2025'!W24</f>
        <v>64000</v>
      </c>
      <c r="Y145" s="300">
        <f>+'Tech 2025'!X24</f>
        <v>64000</v>
      </c>
      <c r="Z145" s="300">
        <f>+'Tech 2025'!Y24</f>
        <v>64000</v>
      </c>
      <c r="AA145" s="300">
        <f>+'Tech 2025'!Z24</f>
        <v>64000</v>
      </c>
      <c r="AB145" s="300">
        <f>+'Tech 2025'!AA24</f>
        <v>64000</v>
      </c>
      <c r="AC145" s="301">
        <f t="shared" si="56"/>
        <v>1</v>
      </c>
      <c r="AD145" s="511">
        <f t="shared" si="57"/>
        <v>39384.615384615383</v>
      </c>
      <c r="AE145" s="300">
        <f t="shared" si="58"/>
        <v>3282.0512820512822</v>
      </c>
      <c r="AF145" s="300">
        <f t="shared" si="59"/>
        <v>3282.0512820512822</v>
      </c>
      <c r="AG145" s="300">
        <f t="shared" si="60"/>
        <v>3282.0512820512822</v>
      </c>
      <c r="AH145" s="300">
        <f t="shared" si="61"/>
        <v>3282.0512820512822</v>
      </c>
      <c r="AI145" s="300">
        <f t="shared" si="62"/>
        <v>3282.0512820512822</v>
      </c>
      <c r="AJ145" s="300">
        <f t="shared" si="63"/>
        <v>3282.0512820512822</v>
      </c>
      <c r="AK145" s="300">
        <f t="shared" si="64"/>
        <v>3282.0512820512822</v>
      </c>
      <c r="AL145" s="300">
        <f t="shared" si="65"/>
        <v>3282.0512820512822</v>
      </c>
      <c r="AM145" s="300">
        <f t="shared" si="66"/>
        <v>3282.0512820512822</v>
      </c>
      <c r="AN145" s="300">
        <f t="shared" si="67"/>
        <v>3282.0512820512822</v>
      </c>
      <c r="AO145" s="300">
        <f t="shared" si="68"/>
        <v>3282.0512820512822</v>
      </c>
      <c r="AP145" s="300">
        <f t="shared" si="69"/>
        <v>3282.0512820512822</v>
      </c>
    </row>
    <row r="146" spans="1:42" hidden="1">
      <c r="B146" t="str">
        <f>+'Tech 2025'!A25</f>
        <v>TEC</v>
      </c>
      <c r="C146" t="str">
        <f>+'Tech 2025'!B25</f>
        <v>Mariana Kalifa</v>
      </c>
      <c r="D146" s="191">
        <f>+'Tech 2025'!C25</f>
        <v>1</v>
      </c>
      <c r="E146" s="191">
        <f>+'Tech 2025'!D25</f>
        <v>0</v>
      </c>
      <c r="F146" s="191">
        <f>+'Tech 2025'!E25</f>
        <v>0</v>
      </c>
      <c r="G146" s="191">
        <f>+'Tech 2025'!F25</f>
        <v>0</v>
      </c>
      <c r="H146" t="str">
        <f>+'Tech 2025'!G25</f>
        <v>Payroll</v>
      </c>
      <c r="I146" t="str">
        <f>+'Tech 2025'!H25</f>
        <v>NAZARIEGA BARCELOS ROBERTO</v>
      </c>
      <c r="J146" t="str">
        <f>+'Tech 2025'!I25</f>
        <v xml:space="preserve">Backend Lead </v>
      </c>
      <c r="K146" t="str">
        <f>+'Tech 2025'!J25</f>
        <v>603.01.001</v>
      </c>
      <c r="L146" t="str">
        <f>+'Tech 2025'!K25</f>
        <v>Sueldos y salarios</v>
      </c>
      <c r="M146" t="str">
        <f>+'Tech 2025'!L25</f>
        <v>Sueldos y Salarios</v>
      </c>
      <c r="N146" t="str">
        <f>+'Tech 2025'!M25</f>
        <v>MXN</v>
      </c>
      <c r="O146" s="300">
        <f>+'Tech 2025'!N25</f>
        <v>42738.461538461539</v>
      </c>
      <c r="P146" s="300">
        <f>+'Tech 2025'!O25</f>
        <v>833400</v>
      </c>
      <c r="Q146" s="300">
        <f>+'Tech 2025'!P25</f>
        <v>69450</v>
      </c>
      <c r="R146" s="300">
        <f>+'Tech 2025'!Q25</f>
        <v>69450</v>
      </c>
      <c r="S146" s="300">
        <f>+'Tech 2025'!R25</f>
        <v>69450</v>
      </c>
      <c r="T146" s="300">
        <f>+'Tech 2025'!S25</f>
        <v>69450</v>
      </c>
      <c r="U146" s="300">
        <f>+'Tech 2025'!T25</f>
        <v>69450</v>
      </c>
      <c r="V146" s="300">
        <f>+'Tech 2025'!U25</f>
        <v>69450</v>
      </c>
      <c r="W146" s="300">
        <f>+'Tech 2025'!V25</f>
        <v>69450</v>
      </c>
      <c r="X146" s="300">
        <f>+'Tech 2025'!W25</f>
        <v>69450</v>
      </c>
      <c r="Y146" s="300">
        <f>+'Tech 2025'!X25</f>
        <v>69450</v>
      </c>
      <c r="Z146" s="300">
        <f>+'Tech 2025'!Y25</f>
        <v>69450</v>
      </c>
      <c r="AA146" s="300">
        <f>+'Tech 2025'!Z25</f>
        <v>69450</v>
      </c>
      <c r="AB146" s="300">
        <f>+'Tech 2025'!AA25</f>
        <v>69450</v>
      </c>
      <c r="AC146" s="301">
        <f t="shared" si="56"/>
        <v>1</v>
      </c>
      <c r="AD146" s="511">
        <f t="shared" si="57"/>
        <v>42738.461538461539</v>
      </c>
      <c r="AE146" s="300">
        <f t="shared" si="58"/>
        <v>3561.5384615384614</v>
      </c>
      <c r="AF146" s="300">
        <f t="shared" si="59"/>
        <v>3561.5384615384614</v>
      </c>
      <c r="AG146" s="300">
        <f t="shared" si="60"/>
        <v>3561.5384615384614</v>
      </c>
      <c r="AH146" s="300">
        <f t="shared" si="61"/>
        <v>3561.5384615384614</v>
      </c>
      <c r="AI146" s="300">
        <f t="shared" si="62"/>
        <v>3561.5384615384614</v>
      </c>
      <c r="AJ146" s="300">
        <f t="shared" si="63"/>
        <v>3561.5384615384614</v>
      </c>
      <c r="AK146" s="300">
        <f t="shared" si="64"/>
        <v>3561.5384615384614</v>
      </c>
      <c r="AL146" s="300">
        <f t="shared" si="65"/>
        <v>3561.5384615384614</v>
      </c>
      <c r="AM146" s="300">
        <f t="shared" si="66"/>
        <v>3561.5384615384614</v>
      </c>
      <c r="AN146" s="300">
        <f t="shared" si="67"/>
        <v>3561.5384615384614</v>
      </c>
      <c r="AO146" s="300">
        <f t="shared" si="68"/>
        <v>3561.5384615384614</v>
      </c>
      <c r="AP146" s="300">
        <f t="shared" si="69"/>
        <v>3561.5384615384614</v>
      </c>
    </row>
    <row r="147" spans="1:42" hidden="1">
      <c r="B147" t="str">
        <f>+'Tech 2025'!A26</f>
        <v>TEC</v>
      </c>
      <c r="C147" t="str">
        <f>+'Tech 2025'!B26</f>
        <v>Mariana Kalifa</v>
      </c>
      <c r="D147" s="191">
        <f>+'Tech 2025'!C26</f>
        <v>1</v>
      </c>
      <c r="E147" s="191">
        <f>+'Tech 2025'!D26</f>
        <v>0</v>
      </c>
      <c r="F147" s="191">
        <f>+'Tech 2025'!E26</f>
        <v>0</v>
      </c>
      <c r="G147" s="191">
        <f>+'Tech 2025'!F26</f>
        <v>0</v>
      </c>
      <c r="H147" t="str">
        <f>+'Tech 2025'!G26</f>
        <v>Payroll</v>
      </c>
      <c r="I147" t="str">
        <f>+'Tech 2025'!H26</f>
        <v>PEREZ MONCADA ARACELI</v>
      </c>
      <c r="J147" t="str">
        <f>+'Tech 2025'!I26</f>
        <v>Mobile iOS Lead</v>
      </c>
      <c r="K147" t="str">
        <f>+'Tech 2025'!J26</f>
        <v>603.01.001</v>
      </c>
      <c r="L147" t="str">
        <f>+'Tech 2025'!K26</f>
        <v>Sueldos y salarios</v>
      </c>
      <c r="M147" t="str">
        <f>+'Tech 2025'!L26</f>
        <v>Sueldos y Salarios</v>
      </c>
      <c r="N147" t="str">
        <f>+'Tech 2025'!M26</f>
        <v>MXN</v>
      </c>
      <c r="O147" s="300">
        <f>+'Tech 2025'!N26</f>
        <v>29769.23076923077</v>
      </c>
      <c r="P147" s="300">
        <f>+'Tech 2025'!O26</f>
        <v>580500</v>
      </c>
      <c r="Q147" s="300">
        <f>+'Tech 2025'!P26</f>
        <v>0</v>
      </c>
      <c r="R147" s="300">
        <f>+'Tech 2025'!Q26</f>
        <v>0</v>
      </c>
      <c r="S147" s="300">
        <f>+'Tech 2025'!R26</f>
        <v>0</v>
      </c>
      <c r="T147" s="300">
        <f>+'Tech 2025'!S26</f>
        <v>64500</v>
      </c>
      <c r="U147" s="300">
        <f>+'Tech 2025'!T26</f>
        <v>64500</v>
      </c>
      <c r="V147" s="300">
        <f>+'Tech 2025'!U26</f>
        <v>64500</v>
      </c>
      <c r="W147" s="300">
        <f>+'Tech 2025'!V26</f>
        <v>64500</v>
      </c>
      <c r="X147" s="300">
        <f>+'Tech 2025'!W26</f>
        <v>64500</v>
      </c>
      <c r="Y147" s="300">
        <f>+'Tech 2025'!X26</f>
        <v>64500</v>
      </c>
      <c r="Z147" s="300">
        <f>+'Tech 2025'!Y26</f>
        <v>64500</v>
      </c>
      <c r="AA147" s="300">
        <f>+'Tech 2025'!Z26</f>
        <v>64500</v>
      </c>
      <c r="AB147" s="300">
        <f>+'Tech 2025'!AA26</f>
        <v>64500</v>
      </c>
      <c r="AC147" s="301">
        <f t="shared" si="56"/>
        <v>1</v>
      </c>
      <c r="AD147" s="511">
        <f t="shared" si="57"/>
        <v>29769.230769230773</v>
      </c>
      <c r="AE147" s="300">
        <f t="shared" si="58"/>
        <v>0</v>
      </c>
      <c r="AF147" s="300">
        <f t="shared" si="59"/>
        <v>0</v>
      </c>
      <c r="AG147" s="300">
        <f t="shared" si="60"/>
        <v>0</v>
      </c>
      <c r="AH147" s="300">
        <f t="shared" si="61"/>
        <v>3307.6923076923076</v>
      </c>
      <c r="AI147" s="300">
        <f t="shared" si="62"/>
        <v>3307.6923076923076</v>
      </c>
      <c r="AJ147" s="300">
        <f t="shared" si="63"/>
        <v>3307.6923076923076</v>
      </c>
      <c r="AK147" s="300">
        <f t="shared" si="64"/>
        <v>3307.6923076923076</v>
      </c>
      <c r="AL147" s="300">
        <f t="shared" si="65"/>
        <v>3307.6923076923076</v>
      </c>
      <c r="AM147" s="300">
        <f t="shared" si="66"/>
        <v>3307.6923076923076</v>
      </c>
      <c r="AN147" s="300">
        <f t="shared" si="67"/>
        <v>3307.6923076923076</v>
      </c>
      <c r="AO147" s="300">
        <f t="shared" si="68"/>
        <v>3307.6923076923076</v>
      </c>
      <c r="AP147" s="300">
        <f t="shared" si="69"/>
        <v>3307.6923076923076</v>
      </c>
    </row>
    <row r="148" spans="1:42" hidden="1">
      <c r="B148" t="str">
        <f>+'Tech 2025'!A27</f>
        <v>TEC</v>
      </c>
      <c r="C148" t="str">
        <f>+'Tech 2025'!B27</f>
        <v>Mariana Kalifa</v>
      </c>
      <c r="D148" s="191">
        <f>+'Tech 2025'!C27</f>
        <v>0</v>
      </c>
      <c r="E148" s="191">
        <f>+'Tech 2025'!D27</f>
        <v>0</v>
      </c>
      <c r="F148" s="191">
        <f>+'Tech 2025'!E27</f>
        <v>0</v>
      </c>
      <c r="G148" s="191">
        <f>+'Tech 2025'!F27</f>
        <v>0</v>
      </c>
      <c r="H148" t="str">
        <f>+'Tech 2025'!G27</f>
        <v>Payroll</v>
      </c>
      <c r="I148" t="str">
        <f>+'Tech 2025'!H27</f>
        <v>CORTES ALANIS MAURICIO</v>
      </c>
      <c r="J148" t="str">
        <f>+'Tech 2025'!I27</f>
        <v>Jr. Back-End Developer</v>
      </c>
      <c r="K148" t="str">
        <f>+'Tech 2025'!J27</f>
        <v>603.01.001</v>
      </c>
      <c r="L148" t="str">
        <f>+'Tech 2025'!K27</f>
        <v>Sueldos y salarios</v>
      </c>
      <c r="M148" t="str">
        <f>+'Tech 2025'!L27</f>
        <v>Sueldos y Salarios</v>
      </c>
      <c r="N148" t="str">
        <f>+'Tech 2025'!M27</f>
        <v>MXN</v>
      </c>
      <c r="O148" s="300">
        <f>+'Tech 2025'!N27</f>
        <v>0</v>
      </c>
      <c r="P148" s="300">
        <f>+'Tech 2025'!O27</f>
        <v>0</v>
      </c>
      <c r="Q148" s="300">
        <f>+'Tech 2025'!P27</f>
        <v>0</v>
      </c>
      <c r="R148" s="300">
        <f>+'Tech 2025'!Q27</f>
        <v>0</v>
      </c>
      <c r="S148" s="300">
        <f>+'Tech 2025'!R27</f>
        <v>0</v>
      </c>
      <c r="T148" s="300">
        <f>+'Tech 2025'!S27</f>
        <v>0</v>
      </c>
      <c r="U148" s="300">
        <f>+'Tech 2025'!T27</f>
        <v>0</v>
      </c>
      <c r="V148" s="300">
        <f>+'Tech 2025'!U27</f>
        <v>0</v>
      </c>
      <c r="W148" s="300">
        <f>+'Tech 2025'!V27</f>
        <v>0</v>
      </c>
      <c r="X148" s="300">
        <f>+'Tech 2025'!W27</f>
        <v>0</v>
      </c>
      <c r="Y148" s="300">
        <f>+'Tech 2025'!X27</f>
        <v>0</v>
      </c>
      <c r="Z148" s="300">
        <f>+'Tech 2025'!Y27</f>
        <v>0</v>
      </c>
      <c r="AA148" s="300">
        <f>+'Tech 2025'!Z27</f>
        <v>0</v>
      </c>
      <c r="AB148" s="300">
        <f>+'Tech 2025'!AA27</f>
        <v>0</v>
      </c>
      <c r="AC148" s="301">
        <f t="shared" si="56"/>
        <v>1</v>
      </c>
      <c r="AD148" s="511">
        <f t="shared" si="57"/>
        <v>0</v>
      </c>
      <c r="AE148" s="300">
        <f t="shared" si="58"/>
        <v>0</v>
      </c>
      <c r="AF148" s="300">
        <f t="shared" si="59"/>
        <v>0</v>
      </c>
      <c r="AG148" s="300">
        <f t="shared" si="60"/>
        <v>0</v>
      </c>
      <c r="AH148" s="300">
        <f t="shared" si="61"/>
        <v>0</v>
      </c>
      <c r="AI148" s="300">
        <f t="shared" si="62"/>
        <v>0</v>
      </c>
      <c r="AJ148" s="300">
        <f t="shared" si="63"/>
        <v>0</v>
      </c>
      <c r="AK148" s="300">
        <f t="shared" si="64"/>
        <v>0</v>
      </c>
      <c r="AL148" s="300">
        <f t="shared" si="65"/>
        <v>0</v>
      </c>
      <c r="AM148" s="300">
        <f t="shared" si="66"/>
        <v>0</v>
      </c>
      <c r="AN148" s="300">
        <f t="shared" si="67"/>
        <v>0</v>
      </c>
      <c r="AO148" s="300">
        <f t="shared" si="68"/>
        <v>0</v>
      </c>
      <c r="AP148" s="300">
        <f t="shared" si="69"/>
        <v>0</v>
      </c>
    </row>
    <row r="149" spans="1:42" hidden="1">
      <c r="B149" t="str">
        <f>+'Tech 2025'!A20</f>
        <v>TEC</v>
      </c>
      <c r="C149" t="str">
        <f>+'Tech 2025'!B20</f>
        <v>Mariana Kalifa</v>
      </c>
      <c r="D149" s="191">
        <f>+'Tech 2025'!C20</f>
        <v>1</v>
      </c>
      <c r="E149" s="191">
        <f>+'Tech 2025'!D20</f>
        <v>0</v>
      </c>
      <c r="F149" s="191">
        <f>+'Tech 2025'!E20</f>
        <v>0</v>
      </c>
      <c r="G149" s="191">
        <f>+'Tech 2025'!F20</f>
        <v>0</v>
      </c>
      <c r="H149" t="str">
        <f>+'Tech 2025'!G20</f>
        <v>Payroll</v>
      </c>
      <c r="I149" t="str">
        <f>+'Tech 2025'!H20</f>
        <v>CRISTIAN</v>
      </c>
      <c r="J149" t="str">
        <f>+'Tech 2025'!I20</f>
        <v>iOS Developer</v>
      </c>
      <c r="K149" t="str">
        <f>+'Tech 2025'!J20</f>
        <v>603.01.001</v>
      </c>
      <c r="L149" t="str">
        <f>+'Tech 2025'!K20</f>
        <v>Sueldos y salarios</v>
      </c>
      <c r="M149" t="str">
        <f>+'Tech 2025'!L20</f>
        <v>Sueldos y Salarios</v>
      </c>
      <c r="N149" t="str">
        <f>+'Tech 2025'!M20</f>
        <v>USD</v>
      </c>
      <c r="O149" s="300">
        <f>+'Tech 2025'!N20</f>
        <v>25200</v>
      </c>
      <c r="P149" s="300">
        <f>+'Tech 2025'!O20</f>
        <v>25200</v>
      </c>
      <c r="Q149" s="300">
        <f>+'Tech 2025'!P20</f>
        <v>2100</v>
      </c>
      <c r="R149" s="300">
        <f>+'Tech 2025'!Q20</f>
        <v>2100</v>
      </c>
      <c r="S149" s="300">
        <f>+'Tech 2025'!R20</f>
        <v>2100</v>
      </c>
      <c r="T149" s="300">
        <f>+'Tech 2025'!S20</f>
        <v>2100</v>
      </c>
      <c r="U149" s="300">
        <f>+'Tech 2025'!T20</f>
        <v>2100</v>
      </c>
      <c r="V149" s="300">
        <f>+'Tech 2025'!U20</f>
        <v>2100</v>
      </c>
      <c r="W149" s="300">
        <f>+'Tech 2025'!V20</f>
        <v>2100</v>
      </c>
      <c r="X149" s="300">
        <f>+'Tech 2025'!W20</f>
        <v>2100</v>
      </c>
      <c r="Y149" s="300">
        <f>+'Tech 2025'!X20</f>
        <v>2100</v>
      </c>
      <c r="Z149" s="300">
        <f>+'Tech 2025'!Y20</f>
        <v>2100</v>
      </c>
      <c r="AA149" s="300">
        <f>+'Tech 2025'!Z20</f>
        <v>2100</v>
      </c>
      <c r="AB149" s="300">
        <f>+'Tech 2025'!AA20</f>
        <v>2100</v>
      </c>
      <c r="AC149" s="301">
        <f t="shared" si="56"/>
        <v>1</v>
      </c>
      <c r="AD149" s="511">
        <f t="shared" si="57"/>
        <v>25200</v>
      </c>
      <c r="AE149" s="300">
        <f t="shared" si="58"/>
        <v>2100</v>
      </c>
      <c r="AF149" s="300">
        <f t="shared" si="59"/>
        <v>2100</v>
      </c>
      <c r="AG149" s="300">
        <f t="shared" si="60"/>
        <v>2100</v>
      </c>
      <c r="AH149" s="300">
        <f t="shared" si="61"/>
        <v>2100</v>
      </c>
      <c r="AI149" s="300">
        <f t="shared" si="62"/>
        <v>2100</v>
      </c>
      <c r="AJ149" s="300">
        <f t="shared" si="63"/>
        <v>2100</v>
      </c>
      <c r="AK149" s="300">
        <f t="shared" si="64"/>
        <v>2100</v>
      </c>
      <c r="AL149" s="300">
        <f t="shared" si="65"/>
        <v>2100</v>
      </c>
      <c r="AM149" s="300">
        <f t="shared" si="66"/>
        <v>2100</v>
      </c>
      <c r="AN149" s="300">
        <f t="shared" si="67"/>
        <v>2100</v>
      </c>
      <c r="AO149" s="300">
        <f t="shared" si="68"/>
        <v>2100</v>
      </c>
      <c r="AP149" s="300">
        <f t="shared" si="69"/>
        <v>2100</v>
      </c>
    </row>
    <row r="150" spans="1:42" hidden="1">
      <c r="B150" t="str">
        <f>+'Tech 2025'!A28</f>
        <v>TEC</v>
      </c>
      <c r="C150" t="str">
        <f>+'Tech 2025'!B28</f>
        <v>Mariana Kalifa</v>
      </c>
      <c r="D150" s="191">
        <f>+'Tech 2025'!C28</f>
        <v>0</v>
      </c>
      <c r="E150" s="191">
        <f>+'Tech 2025'!D28</f>
        <v>0</v>
      </c>
      <c r="F150" s="191">
        <f>+'Tech 2025'!E28</f>
        <v>0</v>
      </c>
      <c r="G150" s="191">
        <f>+'Tech 2025'!F28</f>
        <v>0</v>
      </c>
      <c r="H150" t="str">
        <f>+'Tech 2025'!G28</f>
        <v>Payroll</v>
      </c>
      <c r="I150" t="str">
        <f>+'Tech 2025'!H28</f>
        <v>OLAN MAYO JAIRO</v>
      </c>
      <c r="J150" t="str">
        <f>+'Tech 2025'!I28</f>
        <v>Jr. Back-End Developer</v>
      </c>
      <c r="K150" t="str">
        <f>+'Tech 2025'!J28</f>
        <v>603.01.001</v>
      </c>
      <c r="L150" t="str">
        <f>+'Tech 2025'!K28</f>
        <v>Sueldos y salarios</v>
      </c>
      <c r="M150" t="str">
        <f>+'Tech 2025'!L28</f>
        <v>Sueldos y Salarios</v>
      </c>
      <c r="N150" t="str">
        <f>+'Tech 2025'!M28</f>
        <v>MXN</v>
      </c>
      <c r="O150" s="300">
        <f>+'Tech 2025'!N28</f>
        <v>0</v>
      </c>
      <c r="P150" s="300">
        <f>+'Tech 2025'!O28</f>
        <v>0</v>
      </c>
      <c r="Q150" s="300">
        <f>+'Tech 2025'!P28</f>
        <v>0</v>
      </c>
      <c r="R150" s="300">
        <f>+'Tech 2025'!Q28</f>
        <v>0</v>
      </c>
      <c r="S150" s="300">
        <f>+'Tech 2025'!R28</f>
        <v>0</v>
      </c>
      <c r="T150" s="300">
        <f>+'Tech 2025'!S28</f>
        <v>0</v>
      </c>
      <c r="U150" s="300">
        <f>+'Tech 2025'!T28</f>
        <v>0</v>
      </c>
      <c r="V150" s="300">
        <f>+'Tech 2025'!U28</f>
        <v>0</v>
      </c>
      <c r="W150" s="300">
        <f>+'Tech 2025'!V28</f>
        <v>0</v>
      </c>
      <c r="X150" s="300">
        <f>+'Tech 2025'!W28</f>
        <v>0</v>
      </c>
      <c r="Y150" s="300">
        <f>+'Tech 2025'!X28</f>
        <v>0</v>
      </c>
      <c r="Z150" s="300">
        <f>+'Tech 2025'!Y28</f>
        <v>0</v>
      </c>
      <c r="AA150" s="300">
        <f>+'Tech 2025'!Z28</f>
        <v>0</v>
      </c>
      <c r="AB150" s="300">
        <f>+'Tech 2025'!AA28</f>
        <v>0</v>
      </c>
      <c r="AC150" s="301">
        <f t="shared" si="56"/>
        <v>1</v>
      </c>
      <c r="AD150" s="511">
        <f t="shared" si="57"/>
        <v>0</v>
      </c>
      <c r="AE150" s="300">
        <f t="shared" si="58"/>
        <v>0</v>
      </c>
      <c r="AF150" s="300">
        <f t="shared" si="59"/>
        <v>0</v>
      </c>
      <c r="AG150" s="300">
        <f t="shared" si="60"/>
        <v>0</v>
      </c>
      <c r="AH150" s="300">
        <f t="shared" si="61"/>
        <v>0</v>
      </c>
      <c r="AI150" s="300">
        <f t="shared" si="62"/>
        <v>0</v>
      </c>
      <c r="AJ150" s="300">
        <f t="shared" si="63"/>
        <v>0</v>
      </c>
      <c r="AK150" s="300">
        <f t="shared" si="64"/>
        <v>0</v>
      </c>
      <c r="AL150" s="300">
        <f t="shared" si="65"/>
        <v>0</v>
      </c>
      <c r="AM150" s="300">
        <f t="shared" si="66"/>
        <v>0</v>
      </c>
      <c r="AN150" s="300">
        <f t="shared" si="67"/>
        <v>0</v>
      </c>
      <c r="AO150" s="300">
        <f t="shared" si="68"/>
        <v>0</v>
      </c>
      <c r="AP150" s="300">
        <f t="shared" si="69"/>
        <v>0</v>
      </c>
    </row>
    <row r="151" spans="1:42" hidden="1">
      <c r="B151" t="str">
        <f>+'Tech 2025'!A29</f>
        <v>TEC</v>
      </c>
      <c r="C151" t="str">
        <f>+'Tech 2025'!B29</f>
        <v>Mariana Kalifa</v>
      </c>
      <c r="D151" s="191">
        <f>+'Tech 2025'!C29</f>
        <v>1</v>
      </c>
      <c r="E151" s="191">
        <f>+'Tech 2025'!D29</f>
        <v>0</v>
      </c>
      <c r="F151" s="191">
        <f>+'Tech 2025'!E29</f>
        <v>0</v>
      </c>
      <c r="G151" s="191">
        <f>+'Tech 2025'!F29</f>
        <v>0</v>
      </c>
      <c r="H151" t="str">
        <f>+'Tech 2025'!G29</f>
        <v>Payroll</v>
      </c>
      <c r="I151" t="str">
        <f>+'Tech 2025'!H29</f>
        <v>ALEJANDRA RODRIGUEZ</v>
      </c>
      <c r="J151" t="str">
        <f>+'Tech 2025'!I29</f>
        <v>Jr. Back-End Developer - Servers</v>
      </c>
      <c r="K151" t="str">
        <f>+'Tech 2025'!J29</f>
        <v>603.01.001</v>
      </c>
      <c r="L151" t="str">
        <f>+'Tech 2025'!K29</f>
        <v>Sueldos y salarios</v>
      </c>
      <c r="M151" t="str">
        <f>+'Tech 2025'!L29</f>
        <v>Sueldos y Salarios</v>
      </c>
      <c r="N151" t="str">
        <f>+'Tech 2025'!M29</f>
        <v>MXN</v>
      </c>
      <c r="O151" s="300">
        <f>+'Tech 2025'!N29</f>
        <v>19938.461538461543</v>
      </c>
      <c r="P151" s="300">
        <f>+'Tech 2025'!O29</f>
        <v>388800.00000000006</v>
      </c>
      <c r="Q151" s="300">
        <f>+'Tech 2025'!P29</f>
        <v>32400.000000000004</v>
      </c>
      <c r="R151" s="300">
        <f>+'Tech 2025'!Q29</f>
        <v>32400.000000000004</v>
      </c>
      <c r="S151" s="300">
        <f>+'Tech 2025'!R29</f>
        <v>32400.000000000004</v>
      </c>
      <c r="T151" s="300">
        <f>+'Tech 2025'!S29</f>
        <v>32400.000000000004</v>
      </c>
      <c r="U151" s="300">
        <f>+'Tech 2025'!T29</f>
        <v>32400.000000000004</v>
      </c>
      <c r="V151" s="300">
        <f>+'Tech 2025'!U29</f>
        <v>32400.000000000004</v>
      </c>
      <c r="W151" s="300">
        <f>+'Tech 2025'!V29</f>
        <v>32400.000000000004</v>
      </c>
      <c r="X151" s="300">
        <f>+'Tech 2025'!W29</f>
        <v>32400.000000000004</v>
      </c>
      <c r="Y151" s="300">
        <f>+'Tech 2025'!X29</f>
        <v>32400.000000000004</v>
      </c>
      <c r="Z151" s="300">
        <f>+'Tech 2025'!Y29</f>
        <v>32400.000000000004</v>
      </c>
      <c r="AA151" s="300">
        <f>+'Tech 2025'!Z29</f>
        <v>32400.000000000004</v>
      </c>
      <c r="AB151" s="300">
        <f>+'Tech 2025'!AA29</f>
        <v>32400.000000000004</v>
      </c>
      <c r="AC151" s="301">
        <f t="shared" si="56"/>
        <v>1</v>
      </c>
      <c r="AD151" s="511">
        <f t="shared" si="57"/>
        <v>19938.461538461535</v>
      </c>
      <c r="AE151" s="300">
        <f t="shared" si="58"/>
        <v>1661.5384615384617</v>
      </c>
      <c r="AF151" s="300">
        <f t="shared" si="59"/>
        <v>1661.5384615384617</v>
      </c>
      <c r="AG151" s="300">
        <f t="shared" si="60"/>
        <v>1661.5384615384617</v>
      </c>
      <c r="AH151" s="300">
        <f t="shared" si="61"/>
        <v>1661.5384615384617</v>
      </c>
      <c r="AI151" s="300">
        <f t="shared" si="62"/>
        <v>1661.5384615384617</v>
      </c>
      <c r="AJ151" s="300">
        <f t="shared" si="63"/>
        <v>1661.5384615384617</v>
      </c>
      <c r="AK151" s="300">
        <f t="shared" si="64"/>
        <v>1661.5384615384617</v>
      </c>
      <c r="AL151" s="300">
        <f t="shared" si="65"/>
        <v>1661.5384615384617</v>
      </c>
      <c r="AM151" s="300">
        <f t="shared" si="66"/>
        <v>1661.5384615384617</v>
      </c>
      <c r="AN151" s="300">
        <f t="shared" si="67"/>
        <v>1661.5384615384617</v>
      </c>
      <c r="AO151" s="300">
        <f t="shared" si="68"/>
        <v>1661.5384615384617</v>
      </c>
      <c r="AP151" s="300">
        <f t="shared" si="69"/>
        <v>1661.5384615384617</v>
      </c>
    </row>
    <row r="152" spans="1:42" hidden="1">
      <c r="B152" t="str">
        <f>+'Tech 2025'!A30</f>
        <v>TEC</v>
      </c>
      <c r="C152" t="str">
        <f>+'Tech 2025'!B30</f>
        <v>Mariana Kalifa</v>
      </c>
      <c r="D152" s="191">
        <f>+'Tech 2025'!C30</f>
        <v>1</v>
      </c>
      <c r="E152" s="191">
        <f>+'Tech 2025'!D30</f>
        <v>0</v>
      </c>
      <c r="F152" s="191">
        <f>+'Tech 2025'!E30</f>
        <v>0</v>
      </c>
      <c r="G152" s="191">
        <f>+'Tech 2025'!F30</f>
        <v>0</v>
      </c>
      <c r="H152" t="str">
        <f>+'Tech 2025'!G30</f>
        <v>Payroll</v>
      </c>
      <c r="I152" t="str">
        <f>+'Tech 2025'!H30</f>
        <v>MEJIA ESPINOSA RUBEN ALAN</v>
      </c>
      <c r="J152" t="str">
        <f>+'Tech 2025'!I30</f>
        <v>Android Developer</v>
      </c>
      <c r="K152" t="str">
        <f>+'Tech 2025'!J30</f>
        <v>603.01.001</v>
      </c>
      <c r="L152" t="str">
        <f>+'Tech 2025'!K30</f>
        <v>Sueldos y salarios</v>
      </c>
      <c r="M152" t="str">
        <f>+'Tech 2025'!L30</f>
        <v>Sueldos y Salarios</v>
      </c>
      <c r="N152" t="str">
        <f>+'Tech 2025'!M30</f>
        <v>MXN</v>
      </c>
      <c r="O152" s="300">
        <f>+'Tech 2025'!N30</f>
        <v>18461.538461538461</v>
      </c>
      <c r="P152" s="300">
        <f>+'Tech 2025'!O30</f>
        <v>360000</v>
      </c>
      <c r="Q152" s="300">
        <f>+'Tech 2025'!P30</f>
        <v>30000</v>
      </c>
      <c r="R152" s="300">
        <f>+'Tech 2025'!Q30</f>
        <v>30000</v>
      </c>
      <c r="S152" s="300">
        <f>+'Tech 2025'!R30</f>
        <v>30000</v>
      </c>
      <c r="T152" s="300">
        <f>+'Tech 2025'!S30</f>
        <v>30000</v>
      </c>
      <c r="U152" s="300">
        <f>+'Tech 2025'!T30</f>
        <v>30000</v>
      </c>
      <c r="V152" s="300">
        <f>+'Tech 2025'!U30</f>
        <v>30000</v>
      </c>
      <c r="W152" s="300">
        <f>+'Tech 2025'!V30</f>
        <v>30000</v>
      </c>
      <c r="X152" s="300">
        <f>+'Tech 2025'!W30</f>
        <v>30000</v>
      </c>
      <c r="Y152" s="300">
        <f>+'Tech 2025'!X30</f>
        <v>30000</v>
      </c>
      <c r="Z152" s="300">
        <f>+'Tech 2025'!Y30</f>
        <v>30000</v>
      </c>
      <c r="AA152" s="300">
        <f>+'Tech 2025'!Z30</f>
        <v>30000</v>
      </c>
      <c r="AB152" s="300">
        <f>+'Tech 2025'!AA30</f>
        <v>30000</v>
      </c>
      <c r="AC152" s="301">
        <f t="shared" si="56"/>
        <v>1</v>
      </c>
      <c r="AD152" s="511">
        <f t="shared" si="57"/>
        <v>18461.538461538465</v>
      </c>
      <c r="AE152" s="300">
        <f t="shared" si="58"/>
        <v>1538.4615384615386</v>
      </c>
      <c r="AF152" s="300">
        <f t="shared" si="59"/>
        <v>1538.4615384615386</v>
      </c>
      <c r="AG152" s="300">
        <f t="shared" si="60"/>
        <v>1538.4615384615386</v>
      </c>
      <c r="AH152" s="300">
        <f t="shared" si="61"/>
        <v>1538.4615384615386</v>
      </c>
      <c r="AI152" s="300">
        <f t="shared" si="62"/>
        <v>1538.4615384615386</v>
      </c>
      <c r="AJ152" s="300">
        <f t="shared" si="63"/>
        <v>1538.4615384615386</v>
      </c>
      <c r="AK152" s="300">
        <f t="shared" si="64"/>
        <v>1538.4615384615386</v>
      </c>
      <c r="AL152" s="300">
        <f t="shared" si="65"/>
        <v>1538.4615384615386</v>
      </c>
      <c r="AM152" s="300">
        <f t="shared" si="66"/>
        <v>1538.4615384615386</v>
      </c>
      <c r="AN152" s="300">
        <f t="shared" si="67"/>
        <v>1538.4615384615386</v>
      </c>
      <c r="AO152" s="300">
        <f t="shared" si="68"/>
        <v>1538.4615384615386</v>
      </c>
      <c r="AP152" s="300">
        <f t="shared" si="69"/>
        <v>1538.4615384615386</v>
      </c>
    </row>
    <row r="153" spans="1:42" hidden="1">
      <c r="B153" t="str">
        <f>+'Tech 2025'!A31</f>
        <v>TEC</v>
      </c>
      <c r="C153" t="str">
        <f>+'Tech 2025'!B31</f>
        <v>Mariana Kalifa</v>
      </c>
      <c r="D153" s="191">
        <f>+'Tech 2025'!C31</f>
        <v>1</v>
      </c>
      <c r="E153" s="191">
        <f>+'Tech 2025'!D31</f>
        <v>0</v>
      </c>
      <c r="F153" s="191">
        <f>+'Tech 2025'!E31</f>
        <v>0</v>
      </c>
      <c r="G153" s="191">
        <f>+'Tech 2025'!F31</f>
        <v>0</v>
      </c>
      <c r="H153" t="str">
        <f>+'Tech 2025'!G31</f>
        <v>Payroll</v>
      </c>
      <c r="I153" t="str">
        <f>+'Tech 2025'!H31</f>
        <v>COBA REYES LUIS FERNANDO</v>
      </c>
      <c r="J153" t="str">
        <f>+'Tech 2025'!I31</f>
        <v>Jr. Back-End Developer</v>
      </c>
      <c r="K153" t="str">
        <f>+'Tech 2025'!J31</f>
        <v>603.01.001</v>
      </c>
      <c r="L153" t="str">
        <f>+'Tech 2025'!K31</f>
        <v>Sueldos y salarios</v>
      </c>
      <c r="M153" t="str">
        <f>+'Tech 2025'!L31</f>
        <v>Sueldos y Salarios</v>
      </c>
      <c r="N153" t="str">
        <f>+'Tech 2025'!M31</f>
        <v>MXN</v>
      </c>
      <c r="O153" s="300">
        <f>+'Tech 2025'!N31</f>
        <v>18461.538461538461</v>
      </c>
      <c r="P153" s="300">
        <f>+'Tech 2025'!O31</f>
        <v>360000</v>
      </c>
      <c r="Q153" s="300">
        <f>+'Tech 2025'!P31</f>
        <v>30000</v>
      </c>
      <c r="R153" s="300">
        <f>+'Tech 2025'!Q31</f>
        <v>30000</v>
      </c>
      <c r="S153" s="300">
        <f>+'Tech 2025'!R31</f>
        <v>30000</v>
      </c>
      <c r="T153" s="300">
        <f>+'Tech 2025'!S31</f>
        <v>30000</v>
      </c>
      <c r="U153" s="300">
        <f>+'Tech 2025'!T31</f>
        <v>30000</v>
      </c>
      <c r="V153" s="300">
        <f>+'Tech 2025'!U31</f>
        <v>30000</v>
      </c>
      <c r="W153" s="300">
        <f>+'Tech 2025'!V31</f>
        <v>30000</v>
      </c>
      <c r="X153" s="300">
        <f>+'Tech 2025'!W31</f>
        <v>30000</v>
      </c>
      <c r="Y153" s="300">
        <f>+'Tech 2025'!X31</f>
        <v>30000</v>
      </c>
      <c r="Z153" s="300">
        <f>+'Tech 2025'!Y31</f>
        <v>30000</v>
      </c>
      <c r="AA153" s="300">
        <f>+'Tech 2025'!Z31</f>
        <v>30000</v>
      </c>
      <c r="AB153" s="300">
        <f>+'Tech 2025'!AA31</f>
        <v>30000</v>
      </c>
      <c r="AC153" s="301">
        <f t="shared" si="56"/>
        <v>1</v>
      </c>
      <c r="AD153" s="511">
        <f t="shared" si="57"/>
        <v>18461.538461538465</v>
      </c>
      <c r="AE153" s="300">
        <f t="shared" si="58"/>
        <v>1538.4615384615386</v>
      </c>
      <c r="AF153" s="300">
        <f t="shared" si="59"/>
        <v>1538.4615384615386</v>
      </c>
      <c r="AG153" s="300">
        <f t="shared" si="60"/>
        <v>1538.4615384615386</v>
      </c>
      <c r="AH153" s="300">
        <f t="shared" si="61"/>
        <v>1538.4615384615386</v>
      </c>
      <c r="AI153" s="300">
        <f t="shared" si="62"/>
        <v>1538.4615384615386</v>
      </c>
      <c r="AJ153" s="300">
        <f t="shared" si="63"/>
        <v>1538.4615384615386</v>
      </c>
      <c r="AK153" s="300">
        <f t="shared" si="64"/>
        <v>1538.4615384615386</v>
      </c>
      <c r="AL153" s="300">
        <f t="shared" si="65"/>
        <v>1538.4615384615386</v>
      </c>
      <c r="AM153" s="300">
        <f t="shared" si="66"/>
        <v>1538.4615384615386</v>
      </c>
      <c r="AN153" s="300">
        <f t="shared" si="67"/>
        <v>1538.4615384615386</v>
      </c>
      <c r="AO153" s="300">
        <f t="shared" si="68"/>
        <v>1538.4615384615386</v>
      </c>
      <c r="AP153" s="300">
        <f t="shared" si="69"/>
        <v>1538.4615384615386</v>
      </c>
    </row>
    <row r="154" spans="1:42" hidden="1">
      <c r="B154" t="str">
        <f>+'Tech 2025'!A33</f>
        <v>TEC</v>
      </c>
      <c r="C154" t="str">
        <f>+'Tech 2025'!B33</f>
        <v>Mariana Kalifa</v>
      </c>
      <c r="D154" s="191">
        <f>+'Tech 2025'!C33</f>
        <v>0</v>
      </c>
      <c r="E154" s="191">
        <f>+'Tech 2025'!D33</f>
        <v>1</v>
      </c>
      <c r="F154" s="191">
        <f>+'Tech 2025'!E33</f>
        <v>0</v>
      </c>
      <c r="G154" s="191">
        <f>+'Tech 2025'!F33</f>
        <v>0</v>
      </c>
      <c r="H154" t="str">
        <f>+'Tech 2025'!G33</f>
        <v>Payroll</v>
      </c>
      <c r="I154" t="str">
        <f>+'Tech 2025'!H33</f>
        <v>GONZALEZ CANTILLO NAYCOOL DAVID</v>
      </c>
      <c r="J154" t="str">
        <f>+'Tech 2025'!I33</f>
        <v>Web</v>
      </c>
      <c r="K154" t="str">
        <f>+'Tech 2025'!J33</f>
        <v>603.01.001</v>
      </c>
      <c r="L154" t="str">
        <f>+'Tech 2025'!K33</f>
        <v>Sueldos y salarios</v>
      </c>
      <c r="M154" t="str">
        <f>+'Tech 2025'!L33</f>
        <v>Sueldos y Salarios</v>
      </c>
      <c r="N154" t="str">
        <f>+'Tech 2025'!M33</f>
        <v>USD</v>
      </c>
      <c r="O154" s="300">
        <f>+'Tech 2025'!N33</f>
        <v>13860</v>
      </c>
      <c r="P154" s="300">
        <f>+'Tech 2025'!O33</f>
        <v>13860</v>
      </c>
      <c r="Q154" s="300">
        <f>+'Tech 2025'!P33</f>
        <v>1155</v>
      </c>
      <c r="R154" s="300">
        <f>+'Tech 2025'!Q33</f>
        <v>1155</v>
      </c>
      <c r="S154" s="300">
        <f>+'Tech 2025'!R33</f>
        <v>1155</v>
      </c>
      <c r="T154" s="300">
        <f>+'Tech 2025'!S33</f>
        <v>1155</v>
      </c>
      <c r="U154" s="300">
        <f>+'Tech 2025'!T33</f>
        <v>1155</v>
      </c>
      <c r="V154" s="300">
        <f>+'Tech 2025'!U33</f>
        <v>1155</v>
      </c>
      <c r="W154" s="300">
        <f>+'Tech 2025'!V33</f>
        <v>1155</v>
      </c>
      <c r="X154" s="300">
        <f>+'Tech 2025'!W33</f>
        <v>1155</v>
      </c>
      <c r="Y154" s="300">
        <f>+'Tech 2025'!X33</f>
        <v>1155</v>
      </c>
      <c r="Z154" s="300">
        <f>+'Tech 2025'!Y33</f>
        <v>1155</v>
      </c>
      <c r="AA154" s="300">
        <f>+'Tech 2025'!Z33</f>
        <v>1155</v>
      </c>
      <c r="AB154" s="300">
        <f>+'Tech 2025'!AA33</f>
        <v>1155</v>
      </c>
      <c r="AC154" s="301">
        <f t="shared" si="56"/>
        <v>1</v>
      </c>
      <c r="AD154" s="511">
        <f t="shared" si="57"/>
        <v>13860</v>
      </c>
      <c r="AE154" s="300">
        <f t="shared" si="58"/>
        <v>1155</v>
      </c>
      <c r="AF154" s="300">
        <f t="shared" si="59"/>
        <v>1155</v>
      </c>
      <c r="AG154" s="300">
        <f t="shared" si="60"/>
        <v>1155</v>
      </c>
      <c r="AH154" s="300">
        <f t="shared" si="61"/>
        <v>1155</v>
      </c>
      <c r="AI154" s="300">
        <f t="shared" si="62"/>
        <v>1155</v>
      </c>
      <c r="AJ154" s="300">
        <f t="shared" si="63"/>
        <v>1155</v>
      </c>
      <c r="AK154" s="300">
        <f t="shared" si="64"/>
        <v>1155</v>
      </c>
      <c r="AL154" s="300">
        <f t="shared" si="65"/>
        <v>1155</v>
      </c>
      <c r="AM154" s="300">
        <f t="shared" si="66"/>
        <v>1155</v>
      </c>
      <c r="AN154" s="300">
        <f t="shared" si="67"/>
        <v>1155</v>
      </c>
      <c r="AO154" s="300">
        <f t="shared" si="68"/>
        <v>1155</v>
      </c>
      <c r="AP154" s="300">
        <f t="shared" si="69"/>
        <v>1155</v>
      </c>
    </row>
    <row r="155" spans="1:42" hidden="1">
      <c r="B155" t="str">
        <f>+'Tech 2025'!A35</f>
        <v>TEC</v>
      </c>
      <c r="C155" t="str">
        <f>+'Tech 2025'!B35</f>
        <v>Mariana Kalifa</v>
      </c>
      <c r="D155" s="191">
        <f>+'Tech 2025'!C35</f>
        <v>1</v>
      </c>
      <c r="E155" s="191">
        <f>+'Tech 2025'!D35</f>
        <v>0</v>
      </c>
      <c r="F155" s="191">
        <f>+'Tech 2025'!E35</f>
        <v>0</v>
      </c>
      <c r="G155" s="191">
        <f>+'Tech 2025'!F35</f>
        <v>0</v>
      </c>
      <c r="H155" t="str">
        <f>+'Tech 2025'!G35</f>
        <v>Benefits</v>
      </c>
      <c r="I155" t="str">
        <f>+'Tech 2025'!H35</f>
        <v>SiVale</v>
      </c>
      <c r="J155" t="str">
        <f>+'Tech 2025'!I35</f>
        <v>11 empleados</v>
      </c>
      <c r="K155" t="str">
        <f>+'Tech 2025'!J35</f>
        <v>603.15.001</v>
      </c>
      <c r="L155" t="str">
        <f>+'Tech 2025'!K35</f>
        <v>Despensa</v>
      </c>
      <c r="M155" t="str">
        <f>+'Tech 2025'!L35</f>
        <v>Sueldos y Salarios</v>
      </c>
      <c r="N155" t="str">
        <f>+'Tech 2025'!M35</f>
        <v>MXN</v>
      </c>
      <c r="O155" s="300">
        <f>+'Tech 2025'!N35</f>
        <v>4923.0769230769229</v>
      </c>
      <c r="P155" s="300">
        <f>+'Tech 2025'!O35</f>
        <v>96000</v>
      </c>
      <c r="Q155" s="300">
        <f>+'Tech 2025'!P35</f>
        <v>8000</v>
      </c>
      <c r="R155" s="300">
        <f>+'Tech 2025'!Q35</f>
        <v>8000</v>
      </c>
      <c r="S155" s="300">
        <f>+'Tech 2025'!R35</f>
        <v>8000</v>
      </c>
      <c r="T155" s="300">
        <f>+'Tech 2025'!S35</f>
        <v>8000</v>
      </c>
      <c r="U155" s="300">
        <f>+'Tech 2025'!T35</f>
        <v>8000</v>
      </c>
      <c r="V155" s="300">
        <f>+'Tech 2025'!U35</f>
        <v>8000</v>
      </c>
      <c r="W155" s="300">
        <f>+'Tech 2025'!V35</f>
        <v>8000</v>
      </c>
      <c r="X155" s="300">
        <f>+'Tech 2025'!W35</f>
        <v>8000</v>
      </c>
      <c r="Y155" s="300">
        <f>+'Tech 2025'!X35</f>
        <v>8000</v>
      </c>
      <c r="Z155" s="300">
        <f>+'Tech 2025'!Y35</f>
        <v>8000</v>
      </c>
      <c r="AA155" s="300">
        <f>+'Tech 2025'!Z35</f>
        <v>8000</v>
      </c>
      <c r="AB155" s="300">
        <f>+'Tech 2025'!AA35</f>
        <v>8000</v>
      </c>
      <c r="AC155" s="301">
        <f t="shared" si="56"/>
        <v>1</v>
      </c>
      <c r="AD155" s="511">
        <f t="shared" si="57"/>
        <v>4923.0769230769229</v>
      </c>
      <c r="AE155" s="300">
        <f t="shared" si="58"/>
        <v>410.25641025641028</v>
      </c>
      <c r="AF155" s="300">
        <f t="shared" si="59"/>
        <v>410.25641025641028</v>
      </c>
      <c r="AG155" s="300">
        <f t="shared" si="60"/>
        <v>410.25641025641028</v>
      </c>
      <c r="AH155" s="300">
        <f t="shared" si="61"/>
        <v>410.25641025641028</v>
      </c>
      <c r="AI155" s="300">
        <f t="shared" si="62"/>
        <v>410.25641025641028</v>
      </c>
      <c r="AJ155" s="300">
        <f t="shared" si="63"/>
        <v>410.25641025641028</v>
      </c>
      <c r="AK155" s="300">
        <f t="shared" si="64"/>
        <v>410.25641025641028</v>
      </c>
      <c r="AL155" s="300">
        <f t="shared" si="65"/>
        <v>410.25641025641028</v>
      </c>
      <c r="AM155" s="300">
        <f t="shared" si="66"/>
        <v>410.25641025641028</v>
      </c>
      <c r="AN155" s="300">
        <f t="shared" si="67"/>
        <v>410.25641025641028</v>
      </c>
      <c r="AO155" s="300">
        <f t="shared" si="68"/>
        <v>410.25641025641028</v>
      </c>
      <c r="AP155" s="300">
        <f t="shared" si="69"/>
        <v>410.25641025641028</v>
      </c>
    </row>
    <row r="156" spans="1:42" hidden="1">
      <c r="A156" s="46">
        <f>SUM(D156:G156)</f>
        <v>1</v>
      </c>
      <c r="B156" t="str">
        <f>+'Tech 2025'!A36</f>
        <v>TEC</v>
      </c>
      <c r="C156" t="str">
        <f>+'Tech 2025'!B36</f>
        <v>Mariana Kalifa</v>
      </c>
      <c r="D156" s="191">
        <f>+'Tech 2025'!C36</f>
        <v>0.875</v>
      </c>
      <c r="E156" s="191">
        <f>+'Tech 2025'!D36</f>
        <v>0.125</v>
      </c>
      <c r="F156" s="191">
        <f>+'Tech 2025'!E36</f>
        <v>0</v>
      </c>
      <c r="G156" s="191">
        <f>+'Tech 2025'!F36</f>
        <v>0</v>
      </c>
      <c r="H156" t="str">
        <f>+'Tech 2025'!G36</f>
        <v>Benefits</v>
      </c>
      <c r="I156" t="str">
        <f>+'Tech 2025'!H36</f>
        <v>Aguinaldo</v>
      </c>
      <c r="J156" t="str">
        <f>+'Tech 2025'!I36</f>
        <v>Aguinaldo</v>
      </c>
      <c r="K156" t="str">
        <f>+'Tech 2025'!J36</f>
        <v>603.12.001</v>
      </c>
      <c r="L156" t="str">
        <f>+'Tech 2025'!K36</f>
        <v>Aguinaldo</v>
      </c>
      <c r="M156" t="str">
        <f>+'Tech 2025'!L36</f>
        <v>Sueldos y Salarios</v>
      </c>
      <c r="N156" t="str">
        <f>+'Tech 2025'!M36</f>
        <v>USD</v>
      </c>
      <c r="O156" s="300">
        <f>+'Tech 2025'!N36</f>
        <v>43214.625641025639</v>
      </c>
      <c r="P156" s="300">
        <f>+'Tech 2025'!O36</f>
        <v>43214.625641025639</v>
      </c>
      <c r="Q156" s="300">
        <f>+'Tech 2025'!P36</f>
        <v>0</v>
      </c>
      <c r="R156" s="300">
        <f>+'Tech 2025'!Q36</f>
        <v>0</v>
      </c>
      <c r="S156" s="300">
        <f>+'Tech 2025'!R36</f>
        <v>0</v>
      </c>
      <c r="T156" s="300">
        <f>+'Tech 2025'!S36</f>
        <v>0</v>
      </c>
      <c r="U156" s="300">
        <f>+'Tech 2025'!T36</f>
        <v>0</v>
      </c>
      <c r="V156" s="300">
        <f>+'Tech 2025'!U36</f>
        <v>0</v>
      </c>
      <c r="W156" s="300">
        <f>+'Tech 2025'!V36</f>
        <v>0</v>
      </c>
      <c r="X156" s="300">
        <f>+'Tech 2025'!W36</f>
        <v>0</v>
      </c>
      <c r="Y156" s="300">
        <f>+'Tech 2025'!X36</f>
        <v>0</v>
      </c>
      <c r="Z156" s="300">
        <f>+'Tech 2025'!Y36</f>
        <v>0</v>
      </c>
      <c r="AA156" s="300">
        <f>+'Tech 2025'!Z36</f>
        <v>0</v>
      </c>
      <c r="AB156" s="300">
        <f>+'Tech 2025'!AA36</f>
        <v>43214.625641025639</v>
      </c>
      <c r="AC156" s="301">
        <f t="shared" si="56"/>
        <v>1</v>
      </c>
      <c r="AD156" s="511">
        <f t="shared" si="57"/>
        <v>43214.625641025639</v>
      </c>
      <c r="AE156" s="300">
        <f t="shared" si="58"/>
        <v>0</v>
      </c>
      <c r="AF156" s="300">
        <f t="shared" si="59"/>
        <v>0</v>
      </c>
      <c r="AG156" s="300">
        <f t="shared" si="60"/>
        <v>0</v>
      </c>
      <c r="AH156" s="300">
        <f t="shared" si="61"/>
        <v>0</v>
      </c>
      <c r="AI156" s="300">
        <f t="shared" si="62"/>
        <v>0</v>
      </c>
      <c r="AJ156" s="300">
        <f t="shared" si="63"/>
        <v>0</v>
      </c>
      <c r="AK156" s="300">
        <f t="shared" si="64"/>
        <v>0</v>
      </c>
      <c r="AL156" s="300">
        <f t="shared" si="65"/>
        <v>0</v>
      </c>
      <c r="AM156" s="300">
        <f t="shared" si="66"/>
        <v>0</v>
      </c>
      <c r="AN156" s="300">
        <f t="shared" si="67"/>
        <v>0</v>
      </c>
      <c r="AO156" s="300">
        <f t="shared" si="68"/>
        <v>0</v>
      </c>
      <c r="AP156" s="300">
        <f t="shared" si="69"/>
        <v>43214.625641025639</v>
      </c>
    </row>
    <row r="157" spans="1:42" hidden="1">
      <c r="B157" t="str">
        <f>+'Tech 2025'!A37</f>
        <v>TEC</v>
      </c>
      <c r="C157" t="str">
        <f>+'Tech 2025'!B37</f>
        <v>Mariana Kalifa</v>
      </c>
      <c r="D157" s="191">
        <f>+'Tech 2025'!C37</f>
        <v>1</v>
      </c>
      <c r="E157" s="191">
        <f>+'Tech 2025'!D37</f>
        <v>0</v>
      </c>
      <c r="F157" s="191">
        <f>+'Tech 2025'!E37</f>
        <v>0</v>
      </c>
      <c r="G157" s="191">
        <f>+'Tech 2025'!F37</f>
        <v>0</v>
      </c>
      <c r="H157" t="str">
        <f>+'Tech 2025'!G37</f>
        <v>Benefits</v>
      </c>
      <c r="I157" t="str">
        <f>+'Tech 2025'!H37</f>
        <v>Prima Vacacional (prom. 8 días de vacaciones)</v>
      </c>
      <c r="J157" t="str">
        <f>+'Tech 2025'!I37</f>
        <v>Prima Vacacional (prom. 8 días de vacaciones)</v>
      </c>
      <c r="K157" t="str">
        <f>+'Tech 2025'!J37</f>
        <v>603.07.001</v>
      </c>
      <c r="L157" t="str">
        <f>+'Tech 2025'!K37</f>
        <v>Prima vacacional</v>
      </c>
      <c r="M157" t="str">
        <f>+'Tech 2025'!L37</f>
        <v>Sueldos y Salarios</v>
      </c>
      <c r="N157" t="str">
        <f>+'Tech 2025'!M37</f>
        <v>MXN</v>
      </c>
      <c r="O157" s="300">
        <f>+'Tech 2025'!N37</f>
        <v>4535.5782051282049</v>
      </c>
      <c r="P157" s="300">
        <f>+'Tech 2025'!O37</f>
        <v>88443.774999999994</v>
      </c>
      <c r="Q157" s="300">
        <f>+'Tech 2025'!P37</f>
        <v>6362.5020833333328</v>
      </c>
      <c r="R157" s="300">
        <f>+'Tech 2025'!Q37</f>
        <v>6362.5020833333328</v>
      </c>
      <c r="S157" s="300">
        <f>+'Tech 2025'!R37</f>
        <v>6362.5020833333328</v>
      </c>
      <c r="T157" s="300">
        <f>+'Tech 2025'!S37</f>
        <v>7706.2520833333328</v>
      </c>
      <c r="U157" s="300">
        <f>+'Tech 2025'!T37</f>
        <v>7706.2520833333328</v>
      </c>
      <c r="V157" s="300">
        <f>+'Tech 2025'!U37</f>
        <v>7706.2520833333328</v>
      </c>
      <c r="W157" s="300">
        <f>+'Tech 2025'!V37</f>
        <v>7706.2520833333328</v>
      </c>
      <c r="X157" s="300">
        <f>+'Tech 2025'!W37</f>
        <v>7706.2520833333328</v>
      </c>
      <c r="Y157" s="300">
        <f>+'Tech 2025'!X37</f>
        <v>7706.2520833333328</v>
      </c>
      <c r="Z157" s="300">
        <f>+'Tech 2025'!Y37</f>
        <v>7706.2520833333328</v>
      </c>
      <c r="AA157" s="300">
        <f>+'Tech 2025'!Z37</f>
        <v>7706.2520833333328</v>
      </c>
      <c r="AB157" s="300">
        <f>+'Tech 2025'!AA37</f>
        <v>7706.2520833333328</v>
      </c>
      <c r="AC157" s="301">
        <f t="shared" si="56"/>
        <v>1</v>
      </c>
      <c r="AD157" s="511">
        <f t="shared" si="57"/>
        <v>4535.5782051282049</v>
      </c>
      <c r="AE157" s="300">
        <f t="shared" si="58"/>
        <v>326.28215811965811</v>
      </c>
      <c r="AF157" s="300">
        <f t="shared" si="59"/>
        <v>326.28215811965811</v>
      </c>
      <c r="AG157" s="300">
        <f t="shared" si="60"/>
        <v>326.28215811965811</v>
      </c>
      <c r="AH157" s="300">
        <f t="shared" si="61"/>
        <v>395.19241452991452</v>
      </c>
      <c r="AI157" s="300">
        <f t="shared" si="62"/>
        <v>395.19241452991452</v>
      </c>
      <c r="AJ157" s="300">
        <f t="shared" si="63"/>
        <v>395.19241452991452</v>
      </c>
      <c r="AK157" s="300">
        <f t="shared" si="64"/>
        <v>395.19241452991452</v>
      </c>
      <c r="AL157" s="300">
        <f t="shared" si="65"/>
        <v>395.19241452991452</v>
      </c>
      <c r="AM157" s="300">
        <f t="shared" si="66"/>
        <v>395.19241452991452</v>
      </c>
      <c r="AN157" s="300">
        <f t="shared" si="67"/>
        <v>395.19241452991452</v>
      </c>
      <c r="AO157" s="300">
        <f t="shared" si="68"/>
        <v>395.19241452991452</v>
      </c>
      <c r="AP157" s="300">
        <f t="shared" si="69"/>
        <v>395.19241452991452</v>
      </c>
    </row>
    <row r="158" spans="1:42" hidden="1">
      <c r="B158" t="str">
        <f>+'Tech 2025'!A38</f>
        <v>TEC</v>
      </c>
      <c r="C158" t="str">
        <f>+'Tech 2025'!B38</f>
        <v>Mariana Kalifa</v>
      </c>
      <c r="D158" s="191">
        <f>+'Tech 2025'!C38</f>
        <v>1</v>
      </c>
      <c r="E158" s="191">
        <f>+'Tech 2025'!D38</f>
        <v>0</v>
      </c>
      <c r="F158" s="191">
        <f>+'Tech 2025'!E38</f>
        <v>0</v>
      </c>
      <c r="G158" s="191">
        <f>+'Tech 2025'!F38</f>
        <v>0</v>
      </c>
      <c r="H158" t="str">
        <f>+'Tech 2025'!G38</f>
        <v>Payroll</v>
      </c>
      <c r="I158" t="str">
        <f>+'Tech 2025'!H38</f>
        <v>Impuestos ISN</v>
      </c>
      <c r="J158" t="str">
        <f>+'Tech 2025'!I38</f>
        <v>Impuestos</v>
      </c>
      <c r="K158" t="str">
        <f>+'Tech 2025'!J38</f>
        <v>603.01.001</v>
      </c>
      <c r="L158" t="str">
        <f>+'Tech 2025'!K38</f>
        <v>Sueldos y salarios</v>
      </c>
      <c r="M158" t="str">
        <f>+'Tech 2025'!L38</f>
        <v>Sueldos y Salarios</v>
      </c>
      <c r="N158" t="str">
        <f>+'Tech 2025'!M38</f>
        <v>MXN</v>
      </c>
      <c r="O158" s="300">
        <f>+'Tech 2025'!N38</f>
        <v>52249.860923076914</v>
      </c>
      <c r="P158" s="300">
        <f>+'Tech 2025'!O38</f>
        <v>1018872.2879999998</v>
      </c>
      <c r="Q158" s="300">
        <f>+'Tech 2025'!P38</f>
        <v>73296.02399999999</v>
      </c>
      <c r="R158" s="300">
        <f>+'Tech 2025'!Q38</f>
        <v>73296.02399999999</v>
      </c>
      <c r="S158" s="300">
        <f>+'Tech 2025'!R38</f>
        <v>73296.02399999999</v>
      </c>
      <c r="T158" s="300">
        <f>+'Tech 2025'!S38</f>
        <v>88776.02399999999</v>
      </c>
      <c r="U158" s="300">
        <f>+'Tech 2025'!T38</f>
        <v>88776.02399999999</v>
      </c>
      <c r="V158" s="300">
        <f>+'Tech 2025'!U38</f>
        <v>88776.02399999999</v>
      </c>
      <c r="W158" s="300">
        <f>+'Tech 2025'!V38</f>
        <v>88776.02399999999</v>
      </c>
      <c r="X158" s="300">
        <f>+'Tech 2025'!W38</f>
        <v>88776.02399999999</v>
      </c>
      <c r="Y158" s="300">
        <f>+'Tech 2025'!X38</f>
        <v>88776.02399999999</v>
      </c>
      <c r="Z158" s="300">
        <f>+'Tech 2025'!Y38</f>
        <v>88776.02399999999</v>
      </c>
      <c r="AA158" s="300">
        <f>+'Tech 2025'!Z38</f>
        <v>88776.02399999999</v>
      </c>
      <c r="AB158" s="300">
        <f>+'Tech 2025'!AA38</f>
        <v>88776.02399999999</v>
      </c>
      <c r="AC158" s="301">
        <f t="shared" si="56"/>
        <v>1</v>
      </c>
      <c r="AD158" s="511">
        <f t="shared" si="57"/>
        <v>52249.860923076907</v>
      </c>
      <c r="AE158" s="300">
        <f t="shared" si="58"/>
        <v>3758.7704615384609</v>
      </c>
      <c r="AF158" s="300">
        <f t="shared" si="59"/>
        <v>3758.7704615384609</v>
      </c>
      <c r="AG158" s="300">
        <f t="shared" si="60"/>
        <v>3758.7704615384609</v>
      </c>
      <c r="AH158" s="300">
        <f t="shared" si="61"/>
        <v>4552.6166153846152</v>
      </c>
      <c r="AI158" s="300">
        <f t="shared" si="62"/>
        <v>4552.6166153846152</v>
      </c>
      <c r="AJ158" s="300">
        <f t="shared" si="63"/>
        <v>4552.6166153846152</v>
      </c>
      <c r="AK158" s="300">
        <f t="shared" si="64"/>
        <v>4552.6166153846152</v>
      </c>
      <c r="AL158" s="300">
        <f t="shared" si="65"/>
        <v>4552.6166153846152</v>
      </c>
      <c r="AM158" s="300">
        <f t="shared" si="66"/>
        <v>4552.6166153846152</v>
      </c>
      <c r="AN158" s="300">
        <f t="shared" si="67"/>
        <v>4552.6166153846152</v>
      </c>
      <c r="AO158" s="300">
        <f t="shared" si="68"/>
        <v>4552.6166153846152</v>
      </c>
      <c r="AP158" s="300">
        <f t="shared" si="69"/>
        <v>4552.6166153846152</v>
      </c>
    </row>
    <row r="162" spans="4:4">
      <c r="D162" s="747"/>
    </row>
    <row r="163" spans="4:4">
      <c r="D163" s="747"/>
    </row>
    <row r="164" spans="4:4">
      <c r="D164" s="747"/>
    </row>
    <row r="165" spans="4:4">
      <c r="D165" s="747"/>
    </row>
    <row r="166" spans="4:4">
      <c r="D166" s="747"/>
    </row>
  </sheetData>
  <autoFilter ref="B5:AP158" xr:uid="{182B542D-0FD4-AC46-BECF-8351D27FA95F}">
    <filterColumn colId="7">
      <filters>
        <filter val="GoDaddy"/>
      </filters>
    </filterColumn>
  </autoFilter>
  <conditionalFormatting sqref="AC6:AC158">
    <cfRule type="cellIs" dxfId="0" priority="1" operator="equal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A10CF-F5B9-CF4C-95A2-272F34A727E8}">
  <sheetPr codeName="Sheet8"/>
  <dimension ref="A1:AB53"/>
  <sheetViews>
    <sheetView showGridLines="0" topLeftCell="D1" zoomScale="75" workbookViewId="0">
      <selection activeCell="I35" sqref="I35"/>
    </sheetView>
  </sheetViews>
  <sheetFormatPr baseColWidth="10" defaultRowHeight="16"/>
  <cols>
    <col min="2" max="2" width="17.1640625" bestFit="1" customWidth="1"/>
    <col min="3" max="4" width="5.33203125" style="191" customWidth="1"/>
    <col min="5" max="6" width="6" style="191" bestFit="1" customWidth="1"/>
    <col min="7" max="7" width="27.33203125" bestFit="1" customWidth="1"/>
    <col min="8" max="8" width="28.5" bestFit="1" customWidth="1"/>
    <col min="9" max="9" width="44.33203125" bestFit="1" customWidth="1"/>
    <col min="11" max="11" width="37.1640625" bestFit="1" customWidth="1"/>
    <col min="12" max="12" width="17.83203125" bestFit="1" customWidth="1"/>
    <col min="14" max="14" width="13.33203125" style="5" bestFit="1" customWidth="1"/>
    <col min="15" max="15" width="14.5" bestFit="1" customWidth="1"/>
    <col min="16" max="23" width="12.83203125" bestFit="1" customWidth="1"/>
    <col min="24" max="24" width="13.5" bestFit="1" customWidth="1"/>
    <col min="25" max="25" width="12.83203125" bestFit="1" customWidth="1"/>
    <col min="26" max="27" width="13" bestFit="1" customWidth="1"/>
    <col min="29" max="29" width="12.6640625" customWidth="1"/>
    <col min="30" max="30" width="11" customWidth="1"/>
    <col min="31" max="31" width="11.5" customWidth="1"/>
    <col min="32" max="34" width="11" customWidth="1"/>
    <col min="35" max="35" width="11.5" customWidth="1"/>
    <col min="36" max="38" width="11" customWidth="1"/>
    <col min="39" max="39" width="11.5" customWidth="1"/>
    <col min="40" max="41" width="11" customWidth="1"/>
    <col min="42" max="42" width="62" bestFit="1" customWidth="1"/>
    <col min="43" max="51" width="10" customWidth="1"/>
  </cols>
  <sheetData>
    <row r="1" spans="1:27">
      <c r="A1" s="189" t="s">
        <v>124</v>
      </c>
      <c r="B1" s="190" t="s">
        <v>125</v>
      </c>
      <c r="N1" s="226"/>
    </row>
    <row r="2" spans="1:27">
      <c r="A2" s="192" t="s">
        <v>126</v>
      </c>
      <c r="B2" s="193" t="s">
        <v>127</v>
      </c>
      <c r="M2" t="s">
        <v>129</v>
      </c>
      <c r="N2" s="299">
        <f>+Supuestos!M8</f>
        <v>19.5</v>
      </c>
    </row>
    <row r="3" spans="1:27">
      <c r="M3" t="s">
        <v>27</v>
      </c>
      <c r="N3" s="299">
        <f>+Supuestos!M9</f>
        <v>5.5</v>
      </c>
    </row>
    <row r="4" spans="1:27">
      <c r="A4" s="194" t="s">
        <v>130</v>
      </c>
      <c r="B4" s="194" t="s">
        <v>131</v>
      </c>
      <c r="C4" s="195" t="s">
        <v>132</v>
      </c>
      <c r="D4" s="196" t="s">
        <v>133</v>
      </c>
      <c r="E4" s="197" t="s">
        <v>134</v>
      </c>
      <c r="F4" s="198" t="s">
        <v>135</v>
      </c>
      <c r="G4" s="194" t="s">
        <v>136</v>
      </c>
      <c r="H4" s="194" t="s">
        <v>137</v>
      </c>
      <c r="I4" s="194" t="s">
        <v>138</v>
      </c>
      <c r="J4" s="194" t="s">
        <v>139</v>
      </c>
      <c r="K4" s="194" t="s">
        <v>140</v>
      </c>
      <c r="L4" s="194" t="s">
        <v>141</v>
      </c>
      <c r="M4" s="194" t="s">
        <v>142</v>
      </c>
      <c r="N4" s="199" t="s">
        <v>143</v>
      </c>
      <c r="O4" s="194" t="s">
        <v>143</v>
      </c>
      <c r="P4" s="194" t="s">
        <v>144</v>
      </c>
      <c r="Q4" s="194" t="s">
        <v>145</v>
      </c>
      <c r="R4" s="194" t="s">
        <v>146</v>
      </c>
      <c r="S4" s="194" t="s">
        <v>147</v>
      </c>
      <c r="T4" s="194" t="s">
        <v>34</v>
      </c>
      <c r="U4" s="194" t="s">
        <v>148</v>
      </c>
      <c r="V4" s="194" t="s">
        <v>149</v>
      </c>
      <c r="W4" s="194" t="s">
        <v>150</v>
      </c>
      <c r="X4" s="194" t="s">
        <v>151</v>
      </c>
      <c r="Y4" s="194" t="s">
        <v>152</v>
      </c>
      <c r="Z4" s="194" t="s">
        <v>153</v>
      </c>
      <c r="AA4" s="194" t="s">
        <v>154</v>
      </c>
    </row>
    <row r="5" spans="1:27">
      <c r="A5" s="200" t="s">
        <v>155</v>
      </c>
      <c r="B5" s="200"/>
      <c r="C5" s="201" t="s">
        <v>156</v>
      </c>
      <c r="D5" s="201" t="s">
        <v>156</v>
      </c>
      <c r="E5" s="201" t="s">
        <v>156</v>
      </c>
      <c r="F5" s="201" t="s">
        <v>156</v>
      </c>
      <c r="G5" s="200"/>
      <c r="H5" s="200"/>
      <c r="I5" s="200"/>
      <c r="J5" s="200"/>
      <c r="K5" s="200"/>
      <c r="L5" s="200"/>
      <c r="M5" s="200"/>
      <c r="N5" s="200"/>
      <c r="O5" s="200"/>
      <c r="P5" s="200"/>
      <c r="Q5" s="200"/>
      <c r="R5" s="200"/>
      <c r="S5" s="200"/>
      <c r="T5" s="200"/>
      <c r="U5" s="200"/>
      <c r="V5" s="200"/>
      <c r="W5" s="200"/>
      <c r="X5" s="200"/>
      <c r="Y5" s="200"/>
      <c r="Z5" s="200"/>
      <c r="AA5" s="200"/>
    </row>
    <row r="6" spans="1:27">
      <c r="A6" t="s">
        <v>157</v>
      </c>
      <c r="B6" t="s">
        <v>158</v>
      </c>
      <c r="C6" s="202"/>
      <c r="D6" s="203"/>
      <c r="E6" s="204"/>
      <c r="F6" s="205">
        <v>1</v>
      </c>
      <c r="G6" t="s">
        <v>159</v>
      </c>
      <c r="H6" t="s">
        <v>160</v>
      </c>
      <c r="I6" t="s">
        <v>161</v>
      </c>
      <c r="J6" s="206" t="s">
        <v>162</v>
      </c>
      <c r="K6" t="s">
        <v>163</v>
      </c>
      <c r="L6" t="s">
        <v>164</v>
      </c>
      <c r="M6" t="s">
        <v>129</v>
      </c>
      <c r="N6" s="199">
        <f>+IF(M6="MXN",O6/$N$2,IF(M6="BRL",O6/$N$3,O6))</f>
        <v>12307.692307692309</v>
      </c>
      <c r="O6" s="207">
        <f>+SUM(P6:AA6)</f>
        <v>240000</v>
      </c>
      <c r="P6" s="208">
        <v>20000</v>
      </c>
      <c r="Q6" s="208">
        <v>20000</v>
      </c>
      <c r="R6" s="208">
        <v>20000</v>
      </c>
      <c r="S6" s="208">
        <v>20000</v>
      </c>
      <c r="T6" s="208">
        <v>20000</v>
      </c>
      <c r="U6" s="208">
        <v>20000</v>
      </c>
      <c r="V6" s="208">
        <v>20000</v>
      </c>
      <c r="W6" s="208">
        <v>20000</v>
      </c>
      <c r="X6" s="208">
        <v>20000</v>
      </c>
      <c r="Y6" s="208">
        <v>20000</v>
      </c>
      <c r="Z6" s="208">
        <v>20000</v>
      </c>
      <c r="AA6" s="208">
        <v>20000</v>
      </c>
    </row>
    <row r="7" spans="1:27">
      <c r="A7" t="s">
        <v>157</v>
      </c>
      <c r="B7" t="s">
        <v>158</v>
      </c>
      <c r="C7" s="202"/>
      <c r="D7" s="203"/>
      <c r="E7" s="204">
        <v>1</v>
      </c>
      <c r="F7" s="205"/>
      <c r="G7" t="s">
        <v>165</v>
      </c>
      <c r="H7" t="s">
        <v>166</v>
      </c>
      <c r="I7" t="s">
        <v>167</v>
      </c>
      <c r="J7" s="206" t="s">
        <v>162</v>
      </c>
      <c r="K7" t="s">
        <v>163</v>
      </c>
      <c r="L7" t="s">
        <v>164</v>
      </c>
      <c r="M7" t="s">
        <v>128</v>
      </c>
      <c r="N7" s="199">
        <f t="shared" ref="N7:N13" si="0">+IF(M7="MXN",O7/$N$2,IF(M7="BRL",O7/$N$3,O7))</f>
        <v>191.88000000000002</v>
      </c>
      <c r="O7" s="207">
        <f t="shared" ref="O7:O49" si="1">+SUM(P7:AA7)</f>
        <v>191.88000000000002</v>
      </c>
      <c r="P7" s="209">
        <v>15.99</v>
      </c>
      <c r="Q7" s="209">
        <v>15.99</v>
      </c>
      <c r="R7" s="209">
        <v>15.99</v>
      </c>
      <c r="S7" s="209">
        <v>15.99</v>
      </c>
      <c r="T7" s="209">
        <v>15.99</v>
      </c>
      <c r="U7" s="209">
        <v>15.99</v>
      </c>
      <c r="V7" s="209">
        <v>15.99</v>
      </c>
      <c r="W7" s="209">
        <v>15.99</v>
      </c>
      <c r="X7" s="209">
        <v>15.99</v>
      </c>
      <c r="Y7" s="209">
        <v>15.99</v>
      </c>
      <c r="Z7" s="209">
        <v>15.99</v>
      </c>
      <c r="AA7" s="209">
        <v>15.99</v>
      </c>
    </row>
    <row r="8" spans="1:27">
      <c r="A8" t="s">
        <v>157</v>
      </c>
      <c r="B8" t="s">
        <v>158</v>
      </c>
      <c r="C8" s="202"/>
      <c r="D8" s="203"/>
      <c r="E8" s="204"/>
      <c r="F8" s="205">
        <v>1</v>
      </c>
      <c r="G8" t="s">
        <v>165</v>
      </c>
      <c r="H8" t="s">
        <v>168</v>
      </c>
      <c r="I8" t="s">
        <v>169</v>
      </c>
      <c r="J8" s="206" t="s">
        <v>162</v>
      </c>
      <c r="K8" t="s">
        <v>163</v>
      </c>
      <c r="L8" t="s">
        <v>164</v>
      </c>
      <c r="M8" t="s">
        <v>128</v>
      </c>
      <c r="N8" s="199">
        <f t="shared" si="0"/>
        <v>4272</v>
      </c>
      <c r="O8" s="207">
        <f t="shared" si="1"/>
        <v>4272</v>
      </c>
      <c r="P8" s="209">
        <v>356</v>
      </c>
      <c r="Q8" s="209">
        <v>356</v>
      </c>
      <c r="R8" s="209">
        <v>356</v>
      </c>
      <c r="S8" s="209">
        <v>356</v>
      </c>
      <c r="T8" s="209">
        <v>356</v>
      </c>
      <c r="U8" s="209">
        <v>356</v>
      </c>
      <c r="V8" s="209">
        <v>356</v>
      </c>
      <c r="W8" s="209">
        <v>356</v>
      </c>
      <c r="X8" s="209">
        <v>356</v>
      </c>
      <c r="Y8" s="209">
        <v>356</v>
      </c>
      <c r="Z8" s="209">
        <v>356</v>
      </c>
      <c r="AA8" s="209">
        <v>356</v>
      </c>
    </row>
    <row r="9" spans="1:27">
      <c r="A9" t="s">
        <v>157</v>
      </c>
      <c r="B9" t="s">
        <v>158</v>
      </c>
      <c r="C9" s="202"/>
      <c r="D9" s="203"/>
      <c r="E9" s="204"/>
      <c r="F9" s="205">
        <v>1</v>
      </c>
      <c r="G9" t="s">
        <v>170</v>
      </c>
      <c r="H9" t="s">
        <v>171</v>
      </c>
      <c r="I9" t="s">
        <v>172</v>
      </c>
      <c r="J9" s="206" t="s">
        <v>162</v>
      </c>
      <c r="K9" t="s">
        <v>163</v>
      </c>
      <c r="L9" t="s">
        <v>164</v>
      </c>
      <c r="M9" t="s">
        <v>128</v>
      </c>
      <c r="N9" s="199">
        <f t="shared" si="0"/>
        <v>6096</v>
      </c>
      <c r="O9" s="207">
        <f t="shared" si="1"/>
        <v>6096</v>
      </c>
      <c r="P9" s="209">
        <v>508</v>
      </c>
      <c r="Q9" s="209">
        <v>508</v>
      </c>
      <c r="R9" s="209">
        <v>508</v>
      </c>
      <c r="S9" s="209">
        <v>508</v>
      </c>
      <c r="T9" s="209">
        <v>508</v>
      </c>
      <c r="U9" s="209">
        <v>508</v>
      </c>
      <c r="V9" s="209">
        <v>508</v>
      </c>
      <c r="W9" s="209">
        <v>508</v>
      </c>
      <c r="X9" s="209">
        <v>508</v>
      </c>
      <c r="Y9" s="209">
        <v>508</v>
      </c>
      <c r="Z9" s="209">
        <v>508</v>
      </c>
      <c r="AA9" s="209">
        <v>508</v>
      </c>
    </row>
    <row r="10" spans="1:27">
      <c r="A10" t="s">
        <v>157</v>
      </c>
      <c r="B10" t="s">
        <v>158</v>
      </c>
      <c r="C10" s="202"/>
      <c r="D10" s="203"/>
      <c r="E10" s="204"/>
      <c r="F10" s="205">
        <v>1</v>
      </c>
      <c r="G10" t="s">
        <v>173</v>
      </c>
      <c r="H10" t="s">
        <v>174</v>
      </c>
      <c r="I10" t="s">
        <v>175</v>
      </c>
      <c r="J10" s="206" t="s">
        <v>162</v>
      </c>
      <c r="K10" t="s">
        <v>163</v>
      </c>
      <c r="L10" t="s">
        <v>164</v>
      </c>
      <c r="M10" t="s">
        <v>128</v>
      </c>
      <c r="N10" s="199">
        <f t="shared" si="0"/>
        <v>840</v>
      </c>
      <c r="O10" s="210">
        <f t="shared" si="1"/>
        <v>840</v>
      </c>
      <c r="P10" s="209">
        <v>70</v>
      </c>
      <c r="Q10" s="209">
        <v>70</v>
      </c>
      <c r="R10" s="209">
        <v>70</v>
      </c>
      <c r="S10" s="209">
        <v>70</v>
      </c>
      <c r="T10" s="209">
        <v>70</v>
      </c>
      <c r="U10" s="209">
        <v>70</v>
      </c>
      <c r="V10" s="209">
        <v>70</v>
      </c>
      <c r="W10" s="209">
        <v>70</v>
      </c>
      <c r="X10" s="209">
        <v>70</v>
      </c>
      <c r="Y10" s="209">
        <v>70</v>
      </c>
      <c r="Z10" s="209">
        <v>70</v>
      </c>
      <c r="AA10" s="209">
        <v>70</v>
      </c>
    </row>
    <row r="11" spans="1:27">
      <c r="A11" t="s">
        <v>157</v>
      </c>
      <c r="B11" t="s">
        <v>158</v>
      </c>
      <c r="C11" s="202"/>
      <c r="D11" s="203"/>
      <c r="E11" s="204"/>
      <c r="F11" s="205">
        <v>1</v>
      </c>
      <c r="G11" t="s">
        <v>176</v>
      </c>
      <c r="H11" t="s">
        <v>177</v>
      </c>
      <c r="I11" t="s">
        <v>176</v>
      </c>
      <c r="J11" s="206" t="s">
        <v>162</v>
      </c>
      <c r="K11" t="s">
        <v>163</v>
      </c>
      <c r="L11" t="s">
        <v>164</v>
      </c>
      <c r="M11" t="s">
        <v>128</v>
      </c>
      <c r="N11" s="199">
        <f t="shared" si="0"/>
        <v>6010.72</v>
      </c>
      <c r="O11" s="207">
        <f t="shared" si="1"/>
        <v>6010.72</v>
      </c>
      <c r="P11" s="209">
        <v>0</v>
      </c>
      <c r="Q11" s="209">
        <v>0</v>
      </c>
      <c r="R11" s="209">
        <v>0</v>
      </c>
      <c r="S11" s="209">
        <v>0</v>
      </c>
      <c r="T11" s="209">
        <v>0</v>
      </c>
      <c r="U11" s="209">
        <v>0</v>
      </c>
      <c r="V11" s="209">
        <v>0</v>
      </c>
      <c r="W11" s="209">
        <v>0</v>
      </c>
      <c r="X11" s="209">
        <v>6010.72</v>
      </c>
      <c r="Y11" s="209">
        <v>0</v>
      </c>
      <c r="Z11" s="209">
        <v>0</v>
      </c>
      <c r="AA11" s="209">
        <v>0</v>
      </c>
    </row>
    <row r="12" spans="1:27">
      <c r="A12" t="s">
        <v>157</v>
      </c>
      <c r="B12" t="s">
        <v>158</v>
      </c>
      <c r="C12" s="202"/>
      <c r="D12" s="203"/>
      <c r="E12" s="204"/>
      <c r="F12" s="205">
        <v>1</v>
      </c>
      <c r="G12" t="s">
        <v>178</v>
      </c>
      <c r="H12" t="s">
        <v>179</v>
      </c>
      <c r="I12" t="s">
        <v>179</v>
      </c>
      <c r="J12" s="206" t="s">
        <v>162</v>
      </c>
      <c r="K12" t="s">
        <v>163</v>
      </c>
      <c r="L12" t="s">
        <v>164</v>
      </c>
      <c r="M12" t="s">
        <v>128</v>
      </c>
      <c r="N12" s="199">
        <f t="shared" si="0"/>
        <v>100</v>
      </c>
      <c r="O12" s="207">
        <f t="shared" si="1"/>
        <v>100</v>
      </c>
      <c r="P12" s="209">
        <v>0</v>
      </c>
      <c r="Q12" s="209">
        <v>0</v>
      </c>
      <c r="R12" s="209">
        <v>0</v>
      </c>
      <c r="S12" s="209">
        <v>0</v>
      </c>
      <c r="T12" s="209">
        <v>100</v>
      </c>
      <c r="U12" s="209">
        <v>0</v>
      </c>
      <c r="V12" s="209">
        <v>0</v>
      </c>
      <c r="W12" s="209">
        <v>0</v>
      </c>
      <c r="X12" s="209">
        <v>0</v>
      </c>
      <c r="Y12" s="209">
        <v>0</v>
      </c>
      <c r="Z12" s="209">
        <v>0</v>
      </c>
      <c r="AA12" s="209">
        <v>0</v>
      </c>
    </row>
    <row r="13" spans="1:27">
      <c r="A13" t="s">
        <v>157</v>
      </c>
      <c r="B13" t="s">
        <v>158</v>
      </c>
      <c r="C13" s="202"/>
      <c r="D13" s="203"/>
      <c r="E13" s="204"/>
      <c r="F13" s="205">
        <v>1</v>
      </c>
      <c r="G13" t="s">
        <v>180</v>
      </c>
      <c r="H13" t="s">
        <v>181</v>
      </c>
      <c r="I13" t="s">
        <v>181</v>
      </c>
      <c r="J13" s="206" t="s">
        <v>162</v>
      </c>
      <c r="K13" t="s">
        <v>163</v>
      </c>
      <c r="L13" t="s">
        <v>164</v>
      </c>
      <c r="M13" t="s">
        <v>128</v>
      </c>
      <c r="N13" s="199">
        <f t="shared" si="0"/>
        <v>0</v>
      </c>
      <c r="O13" s="207">
        <f t="shared" si="1"/>
        <v>0</v>
      </c>
      <c r="P13" s="555">
        <v>0</v>
      </c>
      <c r="Q13" s="555">
        <v>0</v>
      </c>
      <c r="R13" s="555">
        <v>0</v>
      </c>
      <c r="S13" s="555">
        <v>0</v>
      </c>
      <c r="T13" s="555">
        <v>0</v>
      </c>
      <c r="U13" s="555">
        <v>0</v>
      </c>
      <c r="V13" s="555">
        <v>0</v>
      </c>
      <c r="W13" s="556"/>
      <c r="X13" s="555">
        <v>0</v>
      </c>
      <c r="Y13" s="555">
        <v>0</v>
      </c>
      <c r="Z13" s="555">
        <v>0</v>
      </c>
      <c r="AA13" s="555">
        <v>0</v>
      </c>
    </row>
    <row r="14" spans="1:27">
      <c r="A14" s="200" t="s">
        <v>182</v>
      </c>
      <c r="B14" s="200"/>
      <c r="C14" s="201"/>
      <c r="D14" s="201"/>
      <c r="E14" s="201"/>
      <c r="F14" s="201"/>
      <c r="G14" s="200"/>
      <c r="H14" s="200"/>
      <c r="I14" s="200"/>
      <c r="J14" s="200"/>
      <c r="K14" s="200"/>
      <c r="L14" s="200"/>
      <c r="M14" s="200"/>
      <c r="N14" s="212"/>
      <c r="O14" s="200"/>
      <c r="P14" s="200"/>
      <c r="Q14" s="200"/>
      <c r="R14" s="200"/>
      <c r="S14" s="200"/>
      <c r="T14" s="200"/>
      <c r="U14" s="200"/>
      <c r="V14" s="200"/>
      <c r="W14" s="200"/>
      <c r="X14" s="200"/>
      <c r="Y14" s="200"/>
      <c r="Z14" s="200"/>
      <c r="AA14" s="200"/>
    </row>
    <row r="15" spans="1:27">
      <c r="A15" t="s">
        <v>157</v>
      </c>
      <c r="B15" t="s">
        <v>158</v>
      </c>
      <c r="C15" s="202"/>
      <c r="D15" s="203"/>
      <c r="E15" s="204"/>
      <c r="F15" s="205">
        <v>1</v>
      </c>
      <c r="G15" t="s">
        <v>183</v>
      </c>
      <c r="H15" s="213" t="s">
        <v>184</v>
      </c>
      <c r="I15" t="s">
        <v>185</v>
      </c>
      <c r="J15" s="214" t="s">
        <v>186</v>
      </c>
      <c r="K15" t="s">
        <v>187</v>
      </c>
      <c r="L15" t="s">
        <v>188</v>
      </c>
      <c r="M15" t="s">
        <v>129</v>
      </c>
      <c r="N15" s="199">
        <f t="shared" ref="N15:N22" si="2">+IF(M15="MXN",O15/$N$2,IF(M15="BRL",O15/$N$3,O15))</f>
        <v>8367.6492307692279</v>
      </c>
      <c r="O15" s="207">
        <f t="shared" si="1"/>
        <v>163169.15999999995</v>
      </c>
      <c r="P15" s="208">
        <v>13597.43</v>
      </c>
      <c r="Q15" s="208">
        <v>13597.43</v>
      </c>
      <c r="R15" s="208">
        <v>13597.43</v>
      </c>
      <c r="S15" s="208">
        <v>13597.43</v>
      </c>
      <c r="T15" s="208">
        <v>13597.43</v>
      </c>
      <c r="U15" s="208">
        <v>13597.43</v>
      </c>
      <c r="V15" s="208">
        <v>13597.43</v>
      </c>
      <c r="W15" s="208">
        <v>13597.43</v>
      </c>
      <c r="X15" s="208">
        <v>13597.43</v>
      </c>
      <c r="Y15" s="208">
        <v>13597.43</v>
      </c>
      <c r="Z15" s="208">
        <v>13597.43</v>
      </c>
      <c r="AA15" s="208">
        <v>13597.43</v>
      </c>
    </row>
    <row r="16" spans="1:27">
      <c r="A16" t="s">
        <v>157</v>
      </c>
      <c r="B16" t="s">
        <v>158</v>
      </c>
      <c r="C16" s="202"/>
      <c r="D16" s="203"/>
      <c r="E16" s="204"/>
      <c r="F16" s="205">
        <v>1</v>
      </c>
      <c r="G16" t="s">
        <v>189</v>
      </c>
      <c r="H16" t="s">
        <v>190</v>
      </c>
      <c r="I16" t="s">
        <v>191</v>
      </c>
      <c r="J16" s="206" t="s">
        <v>192</v>
      </c>
      <c r="K16" t="s">
        <v>193</v>
      </c>
      <c r="L16" t="s">
        <v>188</v>
      </c>
      <c r="M16" t="s">
        <v>128</v>
      </c>
      <c r="N16" s="199">
        <f t="shared" si="2"/>
        <v>24000</v>
      </c>
      <c r="O16" s="207">
        <f t="shared" si="1"/>
        <v>24000</v>
      </c>
      <c r="P16" s="208">
        <v>2000</v>
      </c>
      <c r="Q16" s="208">
        <v>2000</v>
      </c>
      <c r="R16" s="208">
        <v>2000</v>
      </c>
      <c r="S16" s="208">
        <v>2000</v>
      </c>
      <c r="T16" s="208">
        <v>2000</v>
      </c>
      <c r="U16" s="208">
        <v>2000</v>
      </c>
      <c r="V16" s="208">
        <v>2000</v>
      </c>
      <c r="W16" s="208">
        <v>2000</v>
      </c>
      <c r="X16" s="208">
        <v>2000</v>
      </c>
      <c r="Y16" s="208">
        <v>2000</v>
      </c>
      <c r="Z16" s="208">
        <v>2000</v>
      </c>
      <c r="AA16" s="208">
        <v>2000</v>
      </c>
    </row>
    <row r="17" spans="1:28">
      <c r="A17" t="s">
        <v>157</v>
      </c>
      <c r="B17" t="s">
        <v>158</v>
      </c>
      <c r="C17" s="202"/>
      <c r="D17" s="203"/>
      <c r="E17" s="204"/>
      <c r="F17" s="205">
        <v>1</v>
      </c>
      <c r="G17" t="s">
        <v>194</v>
      </c>
      <c r="H17" t="s">
        <v>195</v>
      </c>
      <c r="I17" t="s">
        <v>196</v>
      </c>
      <c r="J17" s="206" t="s">
        <v>186</v>
      </c>
      <c r="K17" t="s">
        <v>187</v>
      </c>
      <c r="L17" t="s">
        <v>188</v>
      </c>
      <c r="M17" t="s">
        <v>128</v>
      </c>
      <c r="N17" s="199">
        <f t="shared" si="2"/>
        <v>30066</v>
      </c>
      <c r="O17" s="207">
        <f t="shared" si="1"/>
        <v>30066</v>
      </c>
      <c r="P17" s="208">
        <v>2500</v>
      </c>
      <c r="Q17" s="208">
        <v>2501</v>
      </c>
      <c r="R17" s="208">
        <v>2502</v>
      </c>
      <c r="S17" s="208">
        <v>2503</v>
      </c>
      <c r="T17" s="208">
        <v>2504</v>
      </c>
      <c r="U17" s="208">
        <v>2505</v>
      </c>
      <c r="V17" s="208">
        <v>2506</v>
      </c>
      <c r="W17" s="208">
        <v>2507</v>
      </c>
      <c r="X17" s="208">
        <v>2508</v>
      </c>
      <c r="Y17" s="208">
        <v>2509</v>
      </c>
      <c r="Z17" s="208">
        <v>2510</v>
      </c>
      <c r="AA17" s="208">
        <v>2511</v>
      </c>
    </row>
    <row r="18" spans="1:28">
      <c r="A18" s="221" t="s">
        <v>157</v>
      </c>
      <c r="B18" s="221" t="s">
        <v>158</v>
      </c>
      <c r="C18" s="222"/>
      <c r="D18" s="222"/>
      <c r="E18" s="222"/>
      <c r="F18" s="222">
        <v>1</v>
      </c>
      <c r="G18" s="221" t="s">
        <v>197</v>
      </c>
      <c r="H18" s="221" t="s">
        <v>198</v>
      </c>
      <c r="I18" s="221" t="s">
        <v>199</v>
      </c>
      <c r="J18" s="223" t="s">
        <v>186</v>
      </c>
      <c r="K18" s="221" t="s">
        <v>187</v>
      </c>
      <c r="L18" s="221" t="s">
        <v>188</v>
      </c>
      <c r="M18" s="221" t="s">
        <v>128</v>
      </c>
      <c r="N18" s="224">
        <f t="shared" si="2"/>
        <v>89100</v>
      </c>
      <c r="O18" s="225">
        <f t="shared" si="1"/>
        <v>89100</v>
      </c>
      <c r="P18" s="358">
        <v>7425</v>
      </c>
      <c r="Q18" s="358">
        <v>7425</v>
      </c>
      <c r="R18" s="358">
        <v>7425</v>
      </c>
      <c r="S18" s="358">
        <v>7425</v>
      </c>
      <c r="T18" s="358">
        <v>7425</v>
      </c>
      <c r="U18" s="358">
        <v>7425</v>
      </c>
      <c r="V18" s="358">
        <v>7425</v>
      </c>
      <c r="W18" s="358">
        <v>7425</v>
      </c>
      <c r="X18" s="358">
        <v>7425</v>
      </c>
      <c r="Y18" s="358">
        <v>7425</v>
      </c>
      <c r="Z18" s="358">
        <v>7425</v>
      </c>
      <c r="AA18" s="358">
        <v>7425</v>
      </c>
    </row>
    <row r="19" spans="1:28">
      <c r="A19" t="s">
        <v>157</v>
      </c>
      <c r="B19" t="s">
        <v>158</v>
      </c>
      <c r="C19" s="202"/>
      <c r="D19" s="203"/>
      <c r="E19" s="204"/>
      <c r="F19" s="205">
        <v>1</v>
      </c>
      <c r="G19" t="s">
        <v>197</v>
      </c>
      <c r="H19" t="s">
        <v>200</v>
      </c>
      <c r="I19" t="s">
        <v>201</v>
      </c>
      <c r="J19" s="206" t="s">
        <v>186</v>
      </c>
      <c r="K19" t="s">
        <v>187</v>
      </c>
      <c r="L19" t="s">
        <v>188</v>
      </c>
      <c r="M19" t="s">
        <v>129</v>
      </c>
      <c r="N19" s="199">
        <f t="shared" si="2"/>
        <v>8003.3846153846152</v>
      </c>
      <c r="O19" s="207">
        <f t="shared" si="1"/>
        <v>156066</v>
      </c>
      <c r="P19" s="209">
        <v>13000</v>
      </c>
      <c r="Q19" s="209">
        <v>13001</v>
      </c>
      <c r="R19" s="209">
        <v>13002</v>
      </c>
      <c r="S19" s="209">
        <v>13003</v>
      </c>
      <c r="T19" s="209">
        <v>13004</v>
      </c>
      <c r="U19" s="209">
        <v>13005</v>
      </c>
      <c r="V19" s="209">
        <v>13006</v>
      </c>
      <c r="W19" s="209">
        <v>13007</v>
      </c>
      <c r="X19" s="209">
        <v>13008</v>
      </c>
      <c r="Y19" s="209">
        <v>13009</v>
      </c>
      <c r="Z19" s="209">
        <v>13010</v>
      </c>
      <c r="AA19" s="209">
        <v>13011</v>
      </c>
    </row>
    <row r="20" spans="1:28">
      <c r="A20" t="s">
        <v>157</v>
      </c>
      <c r="B20" t="s">
        <v>158</v>
      </c>
      <c r="C20" s="202"/>
      <c r="D20" s="203"/>
      <c r="E20" s="204"/>
      <c r="F20" s="205">
        <v>1</v>
      </c>
      <c r="G20" t="s">
        <v>197</v>
      </c>
      <c r="H20" t="s">
        <v>202</v>
      </c>
      <c r="I20" t="s">
        <v>203</v>
      </c>
      <c r="J20" s="206" t="s">
        <v>186</v>
      </c>
      <c r="K20" t="s">
        <v>187</v>
      </c>
      <c r="L20" t="s">
        <v>188</v>
      </c>
      <c r="M20" t="s">
        <v>129</v>
      </c>
      <c r="N20" s="199">
        <f t="shared" si="2"/>
        <v>314.09230769230766</v>
      </c>
      <c r="O20" s="207">
        <f t="shared" si="1"/>
        <v>6124.7999999999993</v>
      </c>
      <c r="P20" s="209">
        <v>510.4</v>
      </c>
      <c r="Q20" s="209">
        <v>510.4</v>
      </c>
      <c r="R20" s="209">
        <v>510.4</v>
      </c>
      <c r="S20" s="209">
        <v>510.4</v>
      </c>
      <c r="T20" s="209">
        <v>510.4</v>
      </c>
      <c r="U20" s="209">
        <v>510.4</v>
      </c>
      <c r="V20" s="209">
        <v>510.4</v>
      </c>
      <c r="W20" s="209">
        <v>510.4</v>
      </c>
      <c r="X20" s="209">
        <v>510.4</v>
      </c>
      <c r="Y20" s="209">
        <v>510.4</v>
      </c>
      <c r="Z20" s="209">
        <v>510.4</v>
      </c>
      <c r="AA20" s="209">
        <v>510.4</v>
      </c>
    </row>
    <row r="21" spans="1:28">
      <c r="A21" t="s">
        <v>157</v>
      </c>
      <c r="B21" t="s">
        <v>158</v>
      </c>
      <c r="C21" s="202"/>
      <c r="D21" s="203"/>
      <c r="E21" s="204"/>
      <c r="F21" s="205">
        <v>1</v>
      </c>
      <c r="G21" t="s">
        <v>197</v>
      </c>
      <c r="H21" t="s">
        <v>204</v>
      </c>
      <c r="I21" t="s">
        <v>203</v>
      </c>
      <c r="J21" s="206" t="s">
        <v>186</v>
      </c>
      <c r="K21" t="s">
        <v>187</v>
      </c>
      <c r="L21" t="s">
        <v>188</v>
      </c>
      <c r="M21" t="s">
        <v>129</v>
      </c>
      <c r="N21" s="199">
        <f t="shared" si="2"/>
        <v>18461.538461538461</v>
      </c>
      <c r="O21" s="207">
        <f t="shared" si="1"/>
        <v>360000</v>
      </c>
      <c r="P21" s="209">
        <v>30000</v>
      </c>
      <c r="Q21" s="209">
        <v>30000</v>
      </c>
      <c r="R21" s="209">
        <v>30000</v>
      </c>
      <c r="S21" s="209">
        <v>30000</v>
      </c>
      <c r="T21" s="209">
        <v>30000</v>
      </c>
      <c r="U21" s="209">
        <v>30000</v>
      </c>
      <c r="V21" s="209">
        <v>30000</v>
      </c>
      <c r="W21" s="209">
        <v>30000</v>
      </c>
      <c r="X21" s="209">
        <v>30000</v>
      </c>
      <c r="Y21" s="209">
        <v>30000</v>
      </c>
      <c r="Z21" s="209">
        <v>30000</v>
      </c>
      <c r="AA21" s="209">
        <v>30000</v>
      </c>
    </row>
    <row r="22" spans="1:28">
      <c r="A22" t="s">
        <v>157</v>
      </c>
      <c r="B22" t="s">
        <v>158</v>
      </c>
      <c r="C22" s="202"/>
      <c r="D22" s="203"/>
      <c r="E22" s="204"/>
      <c r="F22" s="205">
        <v>1</v>
      </c>
      <c r="G22" t="s">
        <v>205</v>
      </c>
      <c r="H22" t="s">
        <v>206</v>
      </c>
      <c r="I22" t="s">
        <v>205</v>
      </c>
      <c r="J22" s="206" t="s">
        <v>186</v>
      </c>
      <c r="K22" t="s">
        <v>187</v>
      </c>
      <c r="L22" t="s">
        <v>188</v>
      </c>
      <c r="M22" t="s">
        <v>129</v>
      </c>
      <c r="N22" s="199">
        <f t="shared" si="2"/>
        <v>0</v>
      </c>
      <c r="O22" s="207">
        <f t="shared" si="1"/>
        <v>0</v>
      </c>
      <c r="P22" s="555">
        <v>0</v>
      </c>
      <c r="Q22" s="555">
        <v>0</v>
      </c>
      <c r="R22" s="555">
        <v>0</v>
      </c>
      <c r="S22" s="555">
        <v>0</v>
      </c>
      <c r="T22" s="555">
        <v>0</v>
      </c>
      <c r="U22" s="555">
        <v>0</v>
      </c>
      <c r="V22" s="555">
        <v>0</v>
      </c>
      <c r="W22" s="555">
        <v>0</v>
      </c>
      <c r="X22" s="555">
        <v>0</v>
      </c>
      <c r="Y22" s="555">
        <v>0</v>
      </c>
      <c r="Z22" s="555">
        <v>0</v>
      </c>
      <c r="AA22" s="555">
        <v>0</v>
      </c>
    </row>
    <row r="23" spans="1:28">
      <c r="A23" s="200" t="s">
        <v>207</v>
      </c>
      <c r="B23" s="200"/>
      <c r="C23" s="201"/>
      <c r="D23" s="201"/>
      <c r="E23" s="201"/>
      <c r="F23" s="201"/>
      <c r="G23" s="200"/>
      <c r="H23" s="200"/>
      <c r="I23" s="200"/>
      <c r="J23" s="200"/>
      <c r="K23" s="200"/>
      <c r="L23" s="200"/>
      <c r="M23" s="200"/>
      <c r="N23" s="212"/>
      <c r="O23" s="200"/>
      <c r="P23" s="200"/>
      <c r="Q23" s="200"/>
      <c r="R23" s="200"/>
      <c r="S23" s="200"/>
      <c r="T23" s="200"/>
      <c r="U23" s="200"/>
      <c r="V23" s="200"/>
      <c r="W23" s="200"/>
      <c r="X23" s="200"/>
      <c r="Y23" s="200"/>
      <c r="Z23" s="200"/>
      <c r="AA23" s="200"/>
    </row>
    <row r="24" spans="1:28">
      <c r="A24" s="215" t="s">
        <v>208</v>
      </c>
      <c r="B24" s="215"/>
      <c r="C24" s="216"/>
      <c r="D24" s="216"/>
      <c r="E24" s="216"/>
      <c r="F24" s="216"/>
      <c r="G24" s="215"/>
      <c r="H24" s="215"/>
      <c r="I24" s="215"/>
      <c r="J24" s="215"/>
      <c r="K24" s="215"/>
      <c r="L24" s="215"/>
      <c r="M24" s="215"/>
      <c r="N24" s="215"/>
      <c r="O24" s="215"/>
      <c r="P24" s="215"/>
      <c r="Q24" s="215"/>
      <c r="R24" s="215"/>
      <c r="S24" s="215"/>
      <c r="T24" s="215"/>
      <c r="U24" s="215"/>
      <c r="V24" s="215"/>
      <c r="W24" s="215"/>
      <c r="X24" s="215"/>
      <c r="Y24" s="215"/>
      <c r="Z24" s="215"/>
      <c r="AA24" s="215"/>
    </row>
    <row r="25" spans="1:28">
      <c r="A25" t="s">
        <v>157</v>
      </c>
      <c r="B25" t="s">
        <v>158</v>
      </c>
      <c r="C25" s="202">
        <v>0.4</v>
      </c>
      <c r="D25" s="203">
        <v>0.4</v>
      </c>
      <c r="E25" s="204">
        <v>0.2</v>
      </c>
      <c r="F25" s="205">
        <v>0</v>
      </c>
      <c r="G25" t="s">
        <v>209</v>
      </c>
      <c r="H25" t="s">
        <v>210</v>
      </c>
      <c r="I25" t="s">
        <v>211</v>
      </c>
      <c r="J25" s="214" t="s">
        <v>212</v>
      </c>
      <c r="K25" t="s">
        <v>213</v>
      </c>
      <c r="L25" t="s">
        <v>214</v>
      </c>
      <c r="M25" t="s">
        <v>129</v>
      </c>
      <c r="N25" s="199">
        <f>+IF(M25="MXN",O25/$N$2,IF(M25="BRL",O25/$N$3,O25))</f>
        <v>0</v>
      </c>
      <c r="O25" s="553">
        <f t="shared" si="1"/>
        <v>0</v>
      </c>
      <c r="P25" s="554"/>
      <c r="Q25" s="554"/>
      <c r="R25" s="554"/>
      <c r="S25" s="554"/>
      <c r="T25" s="554"/>
      <c r="U25" s="554"/>
      <c r="V25" s="554"/>
      <c r="W25" s="554"/>
      <c r="X25" s="554"/>
      <c r="Y25" s="554"/>
      <c r="Z25" s="554"/>
      <c r="AA25" s="554"/>
    </row>
    <row r="26" spans="1:28">
      <c r="A26" s="215" t="s">
        <v>215</v>
      </c>
      <c r="B26" s="215"/>
      <c r="C26" s="216"/>
      <c r="D26" s="216"/>
      <c r="E26" s="216"/>
      <c r="F26" s="216"/>
      <c r="G26" s="215"/>
      <c r="H26" s="215"/>
      <c r="I26" s="215"/>
      <c r="J26" s="215"/>
      <c r="K26" s="215"/>
      <c r="L26" s="215"/>
      <c r="M26" s="215"/>
      <c r="N26" s="215"/>
      <c r="O26" s="215"/>
      <c r="P26" s="215"/>
      <c r="Q26" s="215"/>
      <c r="R26" s="215"/>
      <c r="S26" s="215"/>
      <c r="T26" s="215"/>
      <c r="U26" s="215"/>
      <c r="V26" s="215"/>
      <c r="W26" s="215"/>
      <c r="X26" s="215"/>
      <c r="Y26" s="215"/>
      <c r="Z26" s="215"/>
      <c r="AA26" s="215"/>
    </row>
    <row r="27" spans="1:28">
      <c r="A27" t="s">
        <v>157</v>
      </c>
      <c r="B27" t="s">
        <v>158</v>
      </c>
      <c r="C27" s="202">
        <v>0.2</v>
      </c>
      <c r="D27" s="203">
        <v>0.2</v>
      </c>
      <c r="E27" s="204">
        <v>0.4</v>
      </c>
      <c r="F27" s="205">
        <v>0.2</v>
      </c>
      <c r="G27" t="s">
        <v>209</v>
      </c>
      <c r="H27" t="s">
        <v>158</v>
      </c>
      <c r="I27" t="s">
        <v>216</v>
      </c>
      <c r="J27" s="206" t="s">
        <v>217</v>
      </c>
      <c r="K27" t="s">
        <v>218</v>
      </c>
      <c r="L27" t="s">
        <v>214</v>
      </c>
      <c r="M27" t="s">
        <v>129</v>
      </c>
      <c r="N27" s="199">
        <f>+IF(M27="MXN",O27/$N$2,IF(M27="BRL",O27/$N$3,O27))</f>
        <v>64146.461538461539</v>
      </c>
      <c r="O27" s="218">
        <f t="shared" si="1"/>
        <v>1250856</v>
      </c>
      <c r="P27" s="208">
        <v>104238</v>
      </c>
      <c r="Q27" s="208">
        <v>104238</v>
      </c>
      <c r="R27" s="208">
        <v>104238</v>
      </c>
      <c r="S27" s="208">
        <v>104238</v>
      </c>
      <c r="T27" s="208">
        <v>104238</v>
      </c>
      <c r="U27" s="208">
        <v>104238</v>
      </c>
      <c r="V27" s="208">
        <v>104238</v>
      </c>
      <c r="W27" s="208">
        <v>104238</v>
      </c>
      <c r="X27" s="208">
        <v>104238</v>
      </c>
      <c r="Y27" s="208">
        <v>104238</v>
      </c>
      <c r="Z27" s="208">
        <v>104238</v>
      </c>
      <c r="AA27" s="208">
        <v>104238</v>
      </c>
    </row>
    <row r="28" spans="1:28">
      <c r="A28" t="s">
        <v>157</v>
      </c>
      <c r="B28" t="s">
        <v>158</v>
      </c>
      <c r="C28" s="202"/>
      <c r="D28" s="203"/>
      <c r="E28" s="204"/>
      <c r="F28" s="205">
        <v>1</v>
      </c>
      <c r="G28" t="s">
        <v>209</v>
      </c>
      <c r="H28" t="s">
        <v>219</v>
      </c>
      <c r="I28" t="s">
        <v>220</v>
      </c>
      <c r="J28" s="206" t="s">
        <v>217</v>
      </c>
      <c r="K28" t="s">
        <v>218</v>
      </c>
      <c r="L28" t="s">
        <v>214</v>
      </c>
      <c r="M28" t="s">
        <v>129</v>
      </c>
      <c r="N28" s="199">
        <f>+IF(M28="MXN",O28/$N$2,IF(M28="BRL",O28/$N$3,O28))</f>
        <v>13476.923076923076</v>
      </c>
      <c r="O28" s="218">
        <f t="shared" si="1"/>
        <v>262800</v>
      </c>
      <c r="P28" s="554">
        <f t="shared" ref="P28:V28" si="3">43800/2</f>
        <v>21900</v>
      </c>
      <c r="Q28" s="554">
        <f t="shared" si="3"/>
        <v>21900</v>
      </c>
      <c r="R28" s="554">
        <f t="shared" si="3"/>
        <v>21900</v>
      </c>
      <c r="S28" s="554">
        <f t="shared" si="3"/>
        <v>21900</v>
      </c>
      <c r="T28" s="554">
        <f t="shared" si="3"/>
        <v>21900</v>
      </c>
      <c r="U28" s="554">
        <f t="shared" si="3"/>
        <v>21900</v>
      </c>
      <c r="V28" s="554">
        <f t="shared" si="3"/>
        <v>21900</v>
      </c>
      <c r="W28" s="554">
        <f>43800/2</f>
        <v>21900</v>
      </c>
      <c r="X28" s="554">
        <f>43800/2</f>
        <v>21900</v>
      </c>
      <c r="Y28" s="554">
        <f>43800/2</f>
        <v>21900</v>
      </c>
      <c r="Z28" s="554">
        <f>43800/2</f>
        <v>21900</v>
      </c>
      <c r="AA28" s="554">
        <f>43800/2</f>
        <v>21900</v>
      </c>
      <c r="AB28" s="46"/>
    </row>
    <row r="29" spans="1:28">
      <c r="A29" t="s">
        <v>157</v>
      </c>
      <c r="B29" t="s">
        <v>158</v>
      </c>
      <c r="C29" s="202">
        <v>0.05</v>
      </c>
      <c r="D29" s="203">
        <v>0.05</v>
      </c>
      <c r="E29" s="204">
        <v>0.8</v>
      </c>
      <c r="F29" s="205">
        <v>0.1</v>
      </c>
      <c r="G29" t="s">
        <v>209</v>
      </c>
      <c r="H29" t="s">
        <v>221</v>
      </c>
      <c r="I29" t="s">
        <v>222</v>
      </c>
      <c r="J29" s="206" t="s">
        <v>217</v>
      </c>
      <c r="K29" t="s">
        <v>218</v>
      </c>
      <c r="L29" t="s">
        <v>214</v>
      </c>
      <c r="M29" t="s">
        <v>129</v>
      </c>
      <c r="N29" s="199">
        <f>+IF(M29="MXN",O29/$N$2,IF(M29="BRL",O29/$N$3,O29))</f>
        <v>18953.846153846152</v>
      </c>
      <c r="O29" s="218">
        <f t="shared" si="1"/>
        <v>369600</v>
      </c>
      <c r="P29" s="217">
        <v>30800</v>
      </c>
      <c r="Q29" s="217">
        <v>30800</v>
      </c>
      <c r="R29" s="217">
        <v>30800</v>
      </c>
      <c r="S29" s="217">
        <v>30800</v>
      </c>
      <c r="T29" s="217">
        <v>30800</v>
      </c>
      <c r="U29" s="217">
        <v>30800</v>
      </c>
      <c r="V29" s="217">
        <v>30800</v>
      </c>
      <c r="W29" s="217">
        <v>30800</v>
      </c>
      <c r="X29" s="217">
        <v>30800</v>
      </c>
      <c r="Y29" s="217">
        <v>30800</v>
      </c>
      <c r="Z29" s="217">
        <v>30800</v>
      </c>
      <c r="AA29" s="217">
        <v>30800</v>
      </c>
    </row>
    <row r="30" spans="1:28">
      <c r="A30" s="215" t="s">
        <v>223</v>
      </c>
      <c r="B30" s="215"/>
      <c r="C30" s="216"/>
      <c r="D30" s="216"/>
      <c r="E30" s="216"/>
      <c r="F30" s="216"/>
      <c r="G30" s="215"/>
      <c r="H30" s="215"/>
      <c r="I30" s="215"/>
      <c r="J30" s="215"/>
      <c r="K30" s="215"/>
      <c r="L30" s="215"/>
      <c r="M30" s="215"/>
      <c r="N30" s="215"/>
      <c r="O30" s="215"/>
      <c r="P30" s="215"/>
      <c r="Q30" s="215"/>
      <c r="R30" s="215"/>
      <c r="S30" s="215"/>
      <c r="T30" s="215"/>
      <c r="U30" s="215"/>
      <c r="V30" s="215"/>
      <c r="W30" s="215"/>
      <c r="X30" s="215"/>
      <c r="Y30" s="215"/>
      <c r="Z30" s="215"/>
      <c r="AA30" s="215"/>
    </row>
    <row r="31" spans="1:28">
      <c r="A31" t="s">
        <v>157</v>
      </c>
      <c r="B31" t="s">
        <v>158</v>
      </c>
      <c r="C31" s="202">
        <f>+C25</f>
        <v>0.4</v>
      </c>
      <c r="D31" s="203">
        <f>+D25</f>
        <v>0.4</v>
      </c>
      <c r="E31" s="204">
        <f>+E25</f>
        <v>0.2</v>
      </c>
      <c r="F31" s="205">
        <f>+F25</f>
        <v>0</v>
      </c>
      <c r="G31" t="s">
        <v>224</v>
      </c>
      <c r="H31" t="s">
        <v>225</v>
      </c>
      <c r="I31" t="s">
        <v>226</v>
      </c>
      <c r="J31" s="206" t="s">
        <v>227</v>
      </c>
      <c r="K31" t="s">
        <v>228</v>
      </c>
      <c r="L31" t="s">
        <v>214</v>
      </c>
      <c r="M31" t="s">
        <v>129</v>
      </c>
      <c r="N31" s="199">
        <f t="shared" ref="N31:N36" si="4">+IF(M31="MXN",O31/$N$2,IF(M31="BRL",O31/$N$3,O31))</f>
        <v>931.07692307692309</v>
      </c>
      <c r="O31" s="207">
        <f t="shared" si="1"/>
        <v>18156</v>
      </c>
      <c r="P31" s="219">
        <v>1513</v>
      </c>
      <c r="Q31" s="219">
        <v>1513</v>
      </c>
      <c r="R31" s="219">
        <v>1513</v>
      </c>
      <c r="S31" s="219">
        <v>1513</v>
      </c>
      <c r="T31" s="219">
        <v>1513</v>
      </c>
      <c r="U31" s="219">
        <v>1513</v>
      </c>
      <c r="V31" s="219">
        <v>1513</v>
      </c>
      <c r="W31" s="219">
        <v>1513</v>
      </c>
      <c r="X31" s="219">
        <v>1513</v>
      </c>
      <c r="Y31" s="219">
        <v>1513</v>
      </c>
      <c r="Z31" s="219">
        <v>1513</v>
      </c>
      <c r="AA31" s="219">
        <v>1513</v>
      </c>
    </row>
    <row r="32" spans="1:28">
      <c r="A32" t="s">
        <v>157</v>
      </c>
      <c r="B32" t="s">
        <v>158</v>
      </c>
      <c r="C32" s="202">
        <f>+SUM(C25:C29)/4</f>
        <v>0.16250000000000003</v>
      </c>
      <c r="D32" s="203">
        <f>+SUM(D25:D29)/4</f>
        <v>0.16250000000000003</v>
      </c>
      <c r="E32" s="204">
        <f>+SUM(E25:E29)/4</f>
        <v>0.35000000000000003</v>
      </c>
      <c r="F32" s="205">
        <f>+SUM(F25:F29)/4</f>
        <v>0.32500000000000001</v>
      </c>
      <c r="G32" t="s">
        <v>224</v>
      </c>
      <c r="H32" t="s">
        <v>229</v>
      </c>
      <c r="I32" t="s">
        <v>230</v>
      </c>
      <c r="J32" s="206" t="s">
        <v>231</v>
      </c>
      <c r="K32" t="s">
        <v>229</v>
      </c>
      <c r="L32" t="s">
        <v>214</v>
      </c>
      <c r="M32" t="s">
        <v>129</v>
      </c>
      <c r="N32" s="199">
        <f t="shared" si="4"/>
        <v>5633.6717948717942</v>
      </c>
      <c r="O32" s="207">
        <f t="shared" si="1"/>
        <v>109856.59999999999</v>
      </c>
      <c r="P32" s="219">
        <v>0</v>
      </c>
      <c r="Q32" s="219">
        <v>0</v>
      </c>
      <c r="R32" s="219">
        <v>0</v>
      </c>
      <c r="S32" s="219">
        <v>0</v>
      </c>
      <c r="T32" s="219">
        <v>0</v>
      </c>
      <c r="U32" s="219">
        <v>0</v>
      </c>
      <c r="V32" s="219">
        <v>0</v>
      </c>
      <c r="W32" s="219">
        <v>0</v>
      </c>
      <c r="X32" s="219">
        <v>0</v>
      </c>
      <c r="Y32" s="219">
        <v>0</v>
      </c>
      <c r="Z32" s="219">
        <v>0</v>
      </c>
      <c r="AA32" s="219">
        <f>+AA25/2+SUM(AA27:AA29)*0.7</f>
        <v>109856.59999999999</v>
      </c>
    </row>
    <row r="33" spans="1:27">
      <c r="A33" t="s">
        <v>157</v>
      </c>
      <c r="B33" t="s">
        <v>158</v>
      </c>
      <c r="C33" s="202"/>
      <c r="D33" s="203"/>
      <c r="E33" s="204"/>
      <c r="F33" s="205">
        <v>1</v>
      </c>
      <c r="G33" t="s">
        <v>224</v>
      </c>
      <c r="H33" t="s">
        <v>232</v>
      </c>
      <c r="I33" t="s">
        <v>232</v>
      </c>
      <c r="J33" s="206" t="s">
        <v>233</v>
      </c>
      <c r="K33" t="s">
        <v>234</v>
      </c>
      <c r="L33" t="s">
        <v>214</v>
      </c>
      <c r="M33" t="s">
        <v>128</v>
      </c>
      <c r="N33" s="199">
        <f t="shared" si="4"/>
        <v>0</v>
      </c>
      <c r="O33" s="553">
        <f t="shared" si="1"/>
        <v>0</v>
      </c>
      <c r="P33" s="557">
        <v>0</v>
      </c>
      <c r="Q33" s="557"/>
      <c r="R33" s="557">
        <v>0</v>
      </c>
      <c r="S33" s="557">
        <v>0</v>
      </c>
      <c r="T33" s="557">
        <v>0</v>
      </c>
      <c r="U33" s="557">
        <v>0</v>
      </c>
      <c r="V33" s="557">
        <v>0</v>
      </c>
      <c r="W33" s="557">
        <v>0</v>
      </c>
      <c r="X33" s="557">
        <v>0</v>
      </c>
      <c r="Y33" s="557">
        <v>0</v>
      </c>
      <c r="Z33" s="557">
        <v>0</v>
      </c>
      <c r="AA33" s="557">
        <v>0</v>
      </c>
    </row>
    <row r="34" spans="1:27">
      <c r="A34" t="s">
        <v>157</v>
      </c>
      <c r="B34" t="s">
        <v>158</v>
      </c>
      <c r="C34" s="202">
        <v>0.92</v>
      </c>
      <c r="D34" s="203">
        <v>0.06</v>
      </c>
      <c r="E34" s="204">
        <v>0.02</v>
      </c>
      <c r="F34" s="205">
        <v>0</v>
      </c>
      <c r="G34" t="s">
        <v>224</v>
      </c>
      <c r="H34" t="s">
        <v>235</v>
      </c>
      <c r="I34" t="s">
        <v>236</v>
      </c>
      <c r="J34" s="206" t="s">
        <v>237</v>
      </c>
      <c r="K34" t="s">
        <v>238</v>
      </c>
      <c r="L34" t="s">
        <v>239</v>
      </c>
      <c r="M34" t="s">
        <v>129</v>
      </c>
      <c r="N34" s="199">
        <f t="shared" si="4"/>
        <v>24205.128205128207</v>
      </c>
      <c r="O34" s="207">
        <f t="shared" si="1"/>
        <v>472000</v>
      </c>
      <c r="P34" s="219">
        <v>0</v>
      </c>
      <c r="Q34" s="219">
        <v>118000</v>
      </c>
      <c r="R34" s="219">
        <v>0</v>
      </c>
      <c r="S34" s="219">
        <v>118000</v>
      </c>
      <c r="T34" s="219">
        <v>0</v>
      </c>
      <c r="U34" s="219">
        <v>0</v>
      </c>
      <c r="V34" s="219">
        <v>0</v>
      </c>
      <c r="W34" s="219">
        <v>118000</v>
      </c>
      <c r="X34" s="219">
        <v>0</v>
      </c>
      <c r="Y34" s="219">
        <v>0</v>
      </c>
      <c r="Z34" s="219">
        <v>118000</v>
      </c>
      <c r="AA34" s="219">
        <v>0</v>
      </c>
    </row>
    <row r="35" spans="1:27">
      <c r="A35" t="s">
        <v>157</v>
      </c>
      <c r="B35" t="s">
        <v>158</v>
      </c>
      <c r="C35" s="202">
        <v>0.92</v>
      </c>
      <c r="D35" s="203">
        <v>0.06</v>
      </c>
      <c r="E35" s="204">
        <v>0.02</v>
      </c>
      <c r="F35" s="205">
        <v>0</v>
      </c>
      <c r="G35" t="s">
        <v>224</v>
      </c>
      <c r="H35" t="s">
        <v>240</v>
      </c>
      <c r="I35" t="s">
        <v>236</v>
      </c>
      <c r="J35" s="206" t="s">
        <v>237</v>
      </c>
      <c r="K35" t="s">
        <v>238</v>
      </c>
      <c r="L35" t="s">
        <v>239</v>
      </c>
      <c r="M35" t="s">
        <v>129</v>
      </c>
      <c r="N35" s="199">
        <f t="shared" si="4"/>
        <v>3589.7435897435898</v>
      </c>
      <c r="O35" s="207">
        <f t="shared" si="1"/>
        <v>70000</v>
      </c>
      <c r="P35" s="209">
        <v>0</v>
      </c>
      <c r="Q35" s="219">
        <v>0</v>
      </c>
      <c r="R35" s="219">
        <v>0</v>
      </c>
      <c r="S35" s="219">
        <v>0</v>
      </c>
      <c r="T35" s="219">
        <v>0</v>
      </c>
      <c r="U35" s="219">
        <v>35000</v>
      </c>
      <c r="V35" s="219">
        <v>0</v>
      </c>
      <c r="W35" s="219">
        <v>0</v>
      </c>
      <c r="X35" s="219">
        <v>0</v>
      </c>
      <c r="Y35" s="219">
        <v>0</v>
      </c>
      <c r="Z35" s="219">
        <v>0</v>
      </c>
      <c r="AA35" s="219">
        <v>35000</v>
      </c>
    </row>
    <row r="36" spans="1:27">
      <c r="A36" t="s">
        <v>157</v>
      </c>
      <c r="B36" t="s">
        <v>158</v>
      </c>
      <c r="C36" s="202">
        <v>0.92</v>
      </c>
      <c r="D36" s="203">
        <v>0.06</v>
      </c>
      <c r="E36" s="204">
        <v>0.02</v>
      </c>
      <c r="F36" s="205">
        <v>0</v>
      </c>
      <c r="G36" t="s">
        <v>224</v>
      </c>
      <c r="H36" t="s">
        <v>241</v>
      </c>
      <c r="I36" t="s">
        <v>236</v>
      </c>
      <c r="J36" s="206" t="s">
        <v>237</v>
      </c>
      <c r="K36" t="s">
        <v>238</v>
      </c>
      <c r="L36" t="s">
        <v>239</v>
      </c>
      <c r="M36" t="s">
        <v>129</v>
      </c>
      <c r="N36" s="199">
        <f t="shared" si="4"/>
        <v>512.82051282051282</v>
      </c>
      <c r="O36" s="207">
        <f t="shared" si="1"/>
        <v>10000</v>
      </c>
      <c r="P36" s="209">
        <v>10000</v>
      </c>
      <c r="Q36" s="219">
        <v>0</v>
      </c>
      <c r="R36" s="219">
        <v>0</v>
      </c>
      <c r="S36" s="219">
        <v>0</v>
      </c>
      <c r="T36" s="219">
        <v>0</v>
      </c>
      <c r="U36" s="219">
        <v>0</v>
      </c>
      <c r="V36" s="219">
        <v>0</v>
      </c>
      <c r="W36" s="219">
        <v>0</v>
      </c>
      <c r="X36" s="219">
        <v>0</v>
      </c>
      <c r="Y36" s="219">
        <v>0</v>
      </c>
      <c r="Z36" s="219">
        <v>0</v>
      </c>
      <c r="AA36" s="219">
        <v>0</v>
      </c>
    </row>
    <row r="37" spans="1:27">
      <c r="A37" s="200" t="s">
        <v>242</v>
      </c>
      <c r="B37" s="200"/>
      <c r="C37" s="201"/>
      <c r="D37" s="201"/>
      <c r="E37" s="201"/>
      <c r="F37" s="201"/>
      <c r="G37" s="200"/>
      <c r="H37" s="200"/>
      <c r="I37" s="200"/>
      <c r="J37" s="200"/>
      <c r="K37" s="200"/>
      <c r="L37" s="200"/>
      <c r="M37" s="200"/>
      <c r="N37" s="212"/>
      <c r="O37" s="200"/>
      <c r="P37" s="200"/>
      <c r="Q37" s="200"/>
      <c r="R37" s="200"/>
      <c r="S37" s="200"/>
      <c r="T37" s="200"/>
      <c r="U37" s="200"/>
      <c r="V37" s="200"/>
      <c r="W37" s="200"/>
      <c r="X37" s="200"/>
      <c r="Y37" s="200"/>
      <c r="Z37" s="200"/>
      <c r="AA37" s="200"/>
    </row>
    <row r="38" spans="1:27">
      <c r="A38" t="s">
        <v>157</v>
      </c>
      <c r="B38" t="s">
        <v>158</v>
      </c>
      <c r="C38" s="202"/>
      <c r="D38" s="203"/>
      <c r="E38" s="204"/>
      <c r="F38" s="205">
        <v>1</v>
      </c>
      <c r="G38" t="s">
        <v>243</v>
      </c>
      <c r="H38" t="s">
        <v>244</v>
      </c>
      <c r="I38" t="s">
        <v>245</v>
      </c>
      <c r="J38" s="214" t="s">
        <v>246</v>
      </c>
      <c r="K38" t="s">
        <v>247</v>
      </c>
      <c r="L38" t="s">
        <v>248</v>
      </c>
      <c r="M38" t="s">
        <v>129</v>
      </c>
      <c r="N38" s="199">
        <f>+IF(M38="MXN",O38/$N$2,IF(M38="BRL",O38/$N$3,O38))</f>
        <v>0</v>
      </c>
      <c r="O38" s="553">
        <f t="shared" si="1"/>
        <v>0</v>
      </c>
      <c r="P38" s="557">
        <v>0</v>
      </c>
      <c r="Q38" s="558">
        <v>0</v>
      </c>
      <c r="R38" s="558">
        <v>0</v>
      </c>
      <c r="S38" s="558">
        <v>0</v>
      </c>
      <c r="T38" s="559">
        <v>0</v>
      </c>
      <c r="U38" s="557">
        <v>0</v>
      </c>
      <c r="V38" s="558">
        <v>0</v>
      </c>
      <c r="W38" s="558">
        <v>0</v>
      </c>
      <c r="X38" s="558">
        <v>0</v>
      </c>
      <c r="Y38" s="558">
        <v>0</v>
      </c>
      <c r="Z38" s="558">
        <v>0</v>
      </c>
      <c r="AA38" s="558">
        <v>0</v>
      </c>
    </row>
    <row r="39" spans="1:27">
      <c r="A39" t="s">
        <v>157</v>
      </c>
      <c r="B39" t="s">
        <v>158</v>
      </c>
      <c r="C39" s="202"/>
      <c r="D39" s="203"/>
      <c r="E39" s="204"/>
      <c r="F39" s="205">
        <v>1</v>
      </c>
      <c r="G39" t="s">
        <v>249</v>
      </c>
      <c r="H39" t="s">
        <v>244</v>
      </c>
      <c r="I39" t="s">
        <v>245</v>
      </c>
      <c r="J39" s="214" t="s">
        <v>250</v>
      </c>
      <c r="K39" t="s">
        <v>251</v>
      </c>
      <c r="L39" t="s">
        <v>248</v>
      </c>
      <c r="M39" t="s">
        <v>129</v>
      </c>
      <c r="N39" s="199">
        <f>+IF(M39="MXN",O39/$N$2,IF(M39="BRL",O39/$N$3,O39))</f>
        <v>0</v>
      </c>
      <c r="O39" s="553">
        <f t="shared" si="1"/>
        <v>0</v>
      </c>
      <c r="P39" s="557">
        <v>0</v>
      </c>
      <c r="Q39" s="558">
        <v>0</v>
      </c>
      <c r="R39" s="558">
        <v>0</v>
      </c>
      <c r="S39" s="558">
        <v>0</v>
      </c>
      <c r="T39" s="559">
        <v>0</v>
      </c>
      <c r="U39" s="557">
        <v>0</v>
      </c>
      <c r="V39" s="558">
        <v>0</v>
      </c>
      <c r="W39" s="558">
        <v>0</v>
      </c>
      <c r="X39" s="558">
        <v>0</v>
      </c>
      <c r="Y39" s="558">
        <v>0</v>
      </c>
      <c r="Z39" s="558">
        <v>0</v>
      </c>
      <c r="AA39" s="558">
        <v>0</v>
      </c>
    </row>
    <row r="40" spans="1:27">
      <c r="A40" t="s">
        <v>157</v>
      </c>
      <c r="B40" t="s">
        <v>158</v>
      </c>
      <c r="C40" s="202"/>
      <c r="D40" s="203"/>
      <c r="E40" s="204"/>
      <c r="F40" s="205">
        <v>1</v>
      </c>
      <c r="G40" t="s">
        <v>252</v>
      </c>
      <c r="H40" t="s">
        <v>244</v>
      </c>
      <c r="I40" t="s">
        <v>245</v>
      </c>
      <c r="J40" s="214" t="s">
        <v>253</v>
      </c>
      <c r="K40" t="s">
        <v>254</v>
      </c>
      <c r="L40" t="s">
        <v>248</v>
      </c>
      <c r="M40" t="s">
        <v>129</v>
      </c>
      <c r="N40" s="199">
        <f>+IF(M40="MXN",O40/$N$2,IF(M40="BRL",O40/$N$3,O40))</f>
        <v>0</v>
      </c>
      <c r="O40" s="553">
        <f t="shared" si="1"/>
        <v>0</v>
      </c>
      <c r="P40" s="557">
        <v>0</v>
      </c>
      <c r="Q40" s="558">
        <v>0</v>
      </c>
      <c r="R40" s="558">
        <v>0</v>
      </c>
      <c r="S40" s="558">
        <v>0</v>
      </c>
      <c r="T40" s="559">
        <v>0</v>
      </c>
      <c r="U40" s="557">
        <v>0</v>
      </c>
      <c r="V40" s="558">
        <v>0</v>
      </c>
      <c r="W40" s="558">
        <v>0</v>
      </c>
      <c r="X40" s="558">
        <v>0</v>
      </c>
      <c r="Y40" s="558">
        <v>0</v>
      </c>
      <c r="Z40" s="558">
        <v>0</v>
      </c>
      <c r="AA40" s="558">
        <v>0</v>
      </c>
    </row>
    <row r="41" spans="1:27">
      <c r="A41" t="s">
        <v>157</v>
      </c>
      <c r="B41" t="s">
        <v>158</v>
      </c>
      <c r="C41" s="202"/>
      <c r="D41" s="203"/>
      <c r="E41" s="204"/>
      <c r="F41" s="205">
        <v>1</v>
      </c>
      <c r="G41" t="s">
        <v>255</v>
      </c>
      <c r="H41" t="s">
        <v>244</v>
      </c>
      <c r="I41" t="s">
        <v>245</v>
      </c>
      <c r="J41" s="214" t="s">
        <v>256</v>
      </c>
      <c r="K41" t="s">
        <v>257</v>
      </c>
      <c r="L41" t="s">
        <v>248</v>
      </c>
      <c r="M41" t="s">
        <v>129</v>
      </c>
      <c r="N41" s="199">
        <f>+IF(M41="MXN",O41/$N$2,IF(M41="BRL",O41/$N$3,O41))</f>
        <v>0</v>
      </c>
      <c r="O41" s="553">
        <f t="shared" si="1"/>
        <v>0</v>
      </c>
      <c r="P41" s="557">
        <v>0</v>
      </c>
      <c r="Q41" s="558">
        <v>0</v>
      </c>
      <c r="R41" s="558">
        <v>0</v>
      </c>
      <c r="S41" s="558">
        <v>0</v>
      </c>
      <c r="T41" s="559">
        <v>0</v>
      </c>
      <c r="U41" s="557">
        <v>0</v>
      </c>
      <c r="V41" s="558">
        <v>0</v>
      </c>
      <c r="W41" s="558">
        <v>0</v>
      </c>
      <c r="X41" s="558">
        <v>0</v>
      </c>
      <c r="Y41" s="558">
        <v>0</v>
      </c>
      <c r="Z41" s="558">
        <v>0</v>
      </c>
      <c r="AA41" s="558">
        <v>0</v>
      </c>
    </row>
    <row r="42" spans="1:27">
      <c r="A42" s="200" t="s">
        <v>258</v>
      </c>
      <c r="B42" s="200"/>
      <c r="C42" s="201"/>
      <c r="D42" s="201"/>
      <c r="E42" s="201"/>
      <c r="F42" s="201"/>
      <c r="G42" s="200"/>
      <c r="H42" s="200"/>
      <c r="I42" s="200"/>
      <c r="J42" s="200"/>
      <c r="K42" s="200"/>
      <c r="L42" s="200"/>
      <c r="M42" s="200"/>
      <c r="N42" s="212"/>
      <c r="O42" s="200"/>
      <c r="P42" s="200"/>
      <c r="Q42" s="200"/>
      <c r="R42" s="200"/>
      <c r="S42" s="200"/>
      <c r="T42" s="200"/>
      <c r="U42" s="200"/>
      <c r="V42" s="200"/>
      <c r="W42" s="200"/>
      <c r="X42" s="200"/>
      <c r="Y42" s="200"/>
      <c r="Z42" s="200"/>
      <c r="AA42" s="200"/>
    </row>
    <row r="43" spans="1:27">
      <c r="A43" t="s">
        <v>157</v>
      </c>
      <c r="B43" t="s">
        <v>158</v>
      </c>
      <c r="C43" s="202"/>
      <c r="D43" s="203"/>
      <c r="E43" s="204"/>
      <c r="F43" s="205">
        <v>1</v>
      </c>
      <c r="G43" t="s">
        <v>259</v>
      </c>
      <c r="H43" t="s">
        <v>244</v>
      </c>
      <c r="I43" t="s">
        <v>260</v>
      </c>
      <c r="J43" s="206" t="s">
        <v>261</v>
      </c>
      <c r="K43" t="s">
        <v>259</v>
      </c>
      <c r="L43" t="s">
        <v>239</v>
      </c>
      <c r="M43" t="s">
        <v>129</v>
      </c>
      <c r="N43" s="199">
        <f t="shared" ref="N43:N49" si="5">+IF(M43="MXN",O43/$N$2,IF(M43="BRL",O43/$N$3,O43))</f>
        <v>3076.9230769230771</v>
      </c>
      <c r="O43" s="207">
        <f t="shared" si="1"/>
        <v>60000</v>
      </c>
      <c r="P43" s="220">
        <v>5000</v>
      </c>
      <c r="Q43" s="220">
        <v>5000</v>
      </c>
      <c r="R43" s="220">
        <v>5000</v>
      </c>
      <c r="S43" s="220">
        <v>5000</v>
      </c>
      <c r="T43" s="220">
        <v>5000</v>
      </c>
      <c r="U43" s="220">
        <v>5000</v>
      </c>
      <c r="V43" s="220">
        <v>5000</v>
      </c>
      <c r="W43" s="220">
        <v>5000</v>
      </c>
      <c r="X43" s="220">
        <v>5000</v>
      </c>
      <c r="Y43" s="220">
        <v>5000</v>
      </c>
      <c r="Z43" s="220">
        <v>5000</v>
      </c>
      <c r="AA43" s="220">
        <v>5000</v>
      </c>
    </row>
    <row r="44" spans="1:27">
      <c r="A44" t="s">
        <v>157</v>
      </c>
      <c r="B44" t="s">
        <v>158</v>
      </c>
      <c r="C44" s="202"/>
      <c r="D44" s="203"/>
      <c r="E44" s="204"/>
      <c r="F44" s="205">
        <v>1</v>
      </c>
      <c r="G44" t="s">
        <v>262</v>
      </c>
      <c r="H44" t="s">
        <v>263</v>
      </c>
      <c r="I44" t="s">
        <v>264</v>
      </c>
      <c r="J44" s="206" t="s">
        <v>265</v>
      </c>
      <c r="K44" t="s">
        <v>266</v>
      </c>
      <c r="L44" t="s">
        <v>239</v>
      </c>
      <c r="M44" t="s">
        <v>129</v>
      </c>
      <c r="N44" s="199">
        <f t="shared" si="5"/>
        <v>1025.6410256410256</v>
      </c>
      <c r="O44" s="207">
        <f t="shared" si="1"/>
        <v>20000</v>
      </c>
      <c r="P44" s="220">
        <v>20000</v>
      </c>
      <c r="Q44" s="220">
        <v>0</v>
      </c>
      <c r="R44" s="220">
        <v>0</v>
      </c>
      <c r="S44" s="220">
        <v>0</v>
      </c>
      <c r="T44" s="220">
        <v>0</v>
      </c>
      <c r="U44" s="220">
        <v>0</v>
      </c>
      <c r="V44" s="220">
        <v>0</v>
      </c>
      <c r="W44" s="220">
        <v>0</v>
      </c>
      <c r="X44" s="220">
        <v>0</v>
      </c>
      <c r="Y44" s="220">
        <v>0</v>
      </c>
      <c r="Z44" s="220">
        <v>0</v>
      </c>
      <c r="AA44" s="220">
        <v>0</v>
      </c>
    </row>
    <row r="45" spans="1:27">
      <c r="A45" t="s">
        <v>157</v>
      </c>
      <c r="B45" t="s">
        <v>158</v>
      </c>
      <c r="C45" s="202"/>
      <c r="D45" s="203"/>
      <c r="E45" s="204"/>
      <c r="F45" s="205">
        <v>1</v>
      </c>
      <c r="G45" t="s">
        <v>267</v>
      </c>
      <c r="H45" t="s">
        <v>244</v>
      </c>
      <c r="I45" t="s">
        <v>268</v>
      </c>
      <c r="J45" s="206" t="s">
        <v>269</v>
      </c>
      <c r="K45" t="s">
        <v>270</v>
      </c>
      <c r="L45" t="s">
        <v>239</v>
      </c>
      <c r="M45" t="s">
        <v>129</v>
      </c>
      <c r="N45" s="199">
        <f t="shared" si="5"/>
        <v>3076.9230769230771</v>
      </c>
      <c r="O45" s="207">
        <f t="shared" si="1"/>
        <v>60000</v>
      </c>
      <c r="P45" s="220">
        <v>5000</v>
      </c>
      <c r="Q45" s="220">
        <v>5000</v>
      </c>
      <c r="R45" s="220">
        <v>5000</v>
      </c>
      <c r="S45" s="220">
        <v>5000</v>
      </c>
      <c r="T45" s="220">
        <v>5000</v>
      </c>
      <c r="U45" s="220">
        <v>5000</v>
      </c>
      <c r="V45" s="220">
        <v>5000</v>
      </c>
      <c r="W45" s="220">
        <v>5000</v>
      </c>
      <c r="X45" s="220">
        <v>5000</v>
      </c>
      <c r="Y45" s="220">
        <v>5000</v>
      </c>
      <c r="Z45" s="220">
        <v>5000</v>
      </c>
      <c r="AA45" s="220">
        <v>5000</v>
      </c>
    </row>
    <row r="46" spans="1:27">
      <c r="A46" t="s">
        <v>157</v>
      </c>
      <c r="B46" t="s">
        <v>158</v>
      </c>
      <c r="C46" s="202"/>
      <c r="D46" s="203"/>
      <c r="E46" s="204"/>
      <c r="F46" s="205">
        <v>1</v>
      </c>
      <c r="G46" t="s">
        <v>271</v>
      </c>
      <c r="H46" t="s">
        <v>244</v>
      </c>
      <c r="I46" t="s">
        <v>271</v>
      </c>
      <c r="J46" s="206" t="s">
        <v>269</v>
      </c>
      <c r="K46" t="s">
        <v>270</v>
      </c>
      <c r="L46" t="s">
        <v>239</v>
      </c>
      <c r="M46" t="s">
        <v>129</v>
      </c>
      <c r="N46" s="199">
        <f t="shared" si="5"/>
        <v>1025.6410256410256</v>
      </c>
      <c r="O46" s="207">
        <f t="shared" si="1"/>
        <v>20000</v>
      </c>
      <c r="P46" s="220">
        <v>0</v>
      </c>
      <c r="Q46" s="220">
        <v>0</v>
      </c>
      <c r="R46" s="220">
        <v>0</v>
      </c>
      <c r="S46" s="220">
        <v>0</v>
      </c>
      <c r="T46" s="220">
        <v>0</v>
      </c>
      <c r="U46" s="220">
        <v>0</v>
      </c>
      <c r="V46" s="220">
        <v>0</v>
      </c>
      <c r="W46" s="220">
        <v>0</v>
      </c>
      <c r="X46" s="220">
        <v>0</v>
      </c>
      <c r="Y46" s="220">
        <v>0</v>
      </c>
      <c r="Z46" s="220">
        <v>0</v>
      </c>
      <c r="AA46" s="209">
        <v>20000</v>
      </c>
    </row>
    <row r="47" spans="1:27">
      <c r="A47" t="s">
        <v>157</v>
      </c>
      <c r="B47" t="s">
        <v>158</v>
      </c>
      <c r="C47" s="202"/>
      <c r="D47" s="203"/>
      <c r="E47" s="204"/>
      <c r="F47" s="205">
        <v>1</v>
      </c>
      <c r="G47" t="s">
        <v>272</v>
      </c>
      <c r="H47" t="s">
        <v>273</v>
      </c>
      <c r="I47" t="s">
        <v>274</v>
      </c>
      <c r="J47" s="206" t="s">
        <v>275</v>
      </c>
      <c r="K47" t="s">
        <v>276</v>
      </c>
      <c r="L47" t="s">
        <v>239</v>
      </c>
      <c r="M47" t="s">
        <v>129</v>
      </c>
      <c r="N47" s="199">
        <f t="shared" si="5"/>
        <v>2564.102564102564</v>
      </c>
      <c r="O47" s="207">
        <f t="shared" si="1"/>
        <v>50000</v>
      </c>
      <c r="P47" s="220">
        <v>0</v>
      </c>
      <c r="Q47" s="220">
        <v>10000</v>
      </c>
      <c r="R47" s="220">
        <v>0</v>
      </c>
      <c r="S47" s="220">
        <v>10000</v>
      </c>
      <c r="T47" s="220">
        <v>0</v>
      </c>
      <c r="U47" s="220">
        <v>10000</v>
      </c>
      <c r="V47" s="220">
        <v>0</v>
      </c>
      <c r="W47" s="220">
        <v>10000</v>
      </c>
      <c r="X47" s="220">
        <v>0</v>
      </c>
      <c r="Y47" s="220">
        <v>10000</v>
      </c>
      <c r="Z47" s="220">
        <v>0</v>
      </c>
      <c r="AA47" s="209">
        <v>0</v>
      </c>
    </row>
    <row r="48" spans="1:27">
      <c r="A48" t="s">
        <v>157</v>
      </c>
      <c r="B48" t="s">
        <v>158</v>
      </c>
      <c r="C48" s="202"/>
      <c r="D48" s="203"/>
      <c r="E48" s="204"/>
      <c r="F48" s="205">
        <v>1</v>
      </c>
      <c r="G48" t="s">
        <v>277</v>
      </c>
      <c r="H48" t="s">
        <v>278</v>
      </c>
      <c r="I48" t="s">
        <v>279</v>
      </c>
      <c r="J48" s="206" t="s">
        <v>280</v>
      </c>
      <c r="K48" t="s">
        <v>281</v>
      </c>
      <c r="L48" t="s">
        <v>282</v>
      </c>
      <c r="M48" t="s">
        <v>129</v>
      </c>
      <c r="N48" s="199">
        <f t="shared" si="5"/>
        <v>0</v>
      </c>
      <c r="O48" s="207">
        <f t="shared" si="1"/>
        <v>0</v>
      </c>
      <c r="P48" s="220">
        <v>0</v>
      </c>
      <c r="Q48" s="220">
        <v>0</v>
      </c>
      <c r="R48" s="220">
        <v>0</v>
      </c>
      <c r="S48" s="220">
        <v>0</v>
      </c>
      <c r="T48" s="220">
        <v>0</v>
      </c>
      <c r="U48" s="220">
        <v>0</v>
      </c>
      <c r="V48" s="220">
        <v>0</v>
      </c>
      <c r="W48" s="220">
        <v>0</v>
      </c>
      <c r="X48" s="220">
        <v>0</v>
      </c>
      <c r="Y48" s="220">
        <v>0</v>
      </c>
      <c r="Z48" s="220">
        <v>0</v>
      </c>
      <c r="AA48" s="209">
        <v>0</v>
      </c>
    </row>
    <row r="49" spans="1:27">
      <c r="A49" t="s">
        <v>157</v>
      </c>
      <c r="B49" t="s">
        <v>158</v>
      </c>
      <c r="C49" s="202"/>
      <c r="D49" s="203"/>
      <c r="E49" s="204"/>
      <c r="F49" s="205">
        <v>1</v>
      </c>
      <c r="G49" t="s">
        <v>325</v>
      </c>
      <c r="H49" t="s">
        <v>701</v>
      </c>
      <c r="I49" t="s">
        <v>701</v>
      </c>
      <c r="J49" s="206" t="s">
        <v>321</v>
      </c>
      <c r="K49" t="s">
        <v>322</v>
      </c>
      <c r="L49" t="s">
        <v>324</v>
      </c>
      <c r="M49" t="s">
        <v>129</v>
      </c>
      <c r="N49" s="199">
        <f t="shared" si="5"/>
        <v>3809.2307692307691</v>
      </c>
      <c r="O49" s="207">
        <f t="shared" si="1"/>
        <v>74280</v>
      </c>
      <c r="P49" s="220">
        <v>6190</v>
      </c>
      <c r="Q49" s="220">
        <v>6190</v>
      </c>
      <c r="R49" s="220">
        <v>6190</v>
      </c>
      <c r="S49" s="220">
        <v>6190</v>
      </c>
      <c r="T49" s="220">
        <v>6190</v>
      </c>
      <c r="U49" s="555">
        <v>6190</v>
      </c>
      <c r="V49" s="555">
        <v>6190</v>
      </c>
      <c r="W49" s="555">
        <v>6190</v>
      </c>
      <c r="X49" s="555">
        <v>6190</v>
      </c>
      <c r="Y49" s="555">
        <v>6190</v>
      </c>
      <c r="Z49" s="555">
        <v>6190</v>
      </c>
      <c r="AA49" s="555">
        <v>6190</v>
      </c>
    </row>
    <row r="51" spans="1:27">
      <c r="O51" s="29"/>
    </row>
    <row r="52" spans="1:27">
      <c r="O52" s="29"/>
    </row>
    <row r="53" spans="1:27">
      <c r="O53" s="29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FEF2E-BE29-D64E-A9DA-E388F6D42DE8}">
  <sheetPr codeName="Sheet9"/>
  <dimension ref="A1:AC38"/>
  <sheetViews>
    <sheetView showGridLines="0" topLeftCell="A2" workbookViewId="0">
      <selection activeCell="AC9" sqref="AC9"/>
    </sheetView>
  </sheetViews>
  <sheetFormatPr baseColWidth="10" defaultColWidth="11" defaultRowHeight="16"/>
  <cols>
    <col min="1" max="1" width="19.1640625" bestFit="1" customWidth="1"/>
    <col min="2" max="2" width="17.5" bestFit="1" customWidth="1"/>
    <col min="3" max="3" width="5.6640625" bestFit="1" customWidth="1"/>
    <col min="4" max="4" width="4.6640625" bestFit="1" customWidth="1"/>
    <col min="5" max="5" width="3.6640625" bestFit="1" customWidth="1"/>
    <col min="6" max="6" width="5.6640625" bestFit="1" customWidth="1"/>
    <col min="7" max="7" width="15.83203125" bestFit="1" customWidth="1"/>
    <col min="8" max="8" width="39.1640625" bestFit="1" customWidth="1"/>
    <col min="9" max="9" width="56" customWidth="1"/>
    <col min="10" max="10" width="10.1640625" bestFit="1" customWidth="1"/>
    <col min="11" max="11" width="20.6640625" bestFit="1" customWidth="1"/>
    <col min="12" max="12" width="15.5" bestFit="1" customWidth="1"/>
    <col min="13" max="13" width="8.6640625" bestFit="1" customWidth="1"/>
    <col min="14" max="14" width="11.5" bestFit="1" customWidth="1"/>
    <col min="15" max="15" width="14" bestFit="1" customWidth="1"/>
    <col min="16" max="26" width="11.83203125" bestFit="1" customWidth="1"/>
    <col min="27" max="27" width="12.5" bestFit="1" customWidth="1"/>
    <col min="29" max="29" width="46.33203125" bestFit="1" customWidth="1"/>
  </cols>
  <sheetData>
    <row r="1" spans="1:29">
      <c r="A1" s="189" t="s">
        <v>124</v>
      </c>
      <c r="B1" s="190" t="s">
        <v>125</v>
      </c>
      <c r="C1" s="191"/>
      <c r="D1" s="191"/>
      <c r="E1" s="191"/>
      <c r="F1" s="191"/>
      <c r="G1" s="191"/>
      <c r="H1" s="191"/>
      <c r="I1" s="191"/>
      <c r="J1" s="191"/>
      <c r="N1" s="5"/>
    </row>
    <row r="2" spans="1:29">
      <c r="A2" s="192" t="s">
        <v>126</v>
      </c>
      <c r="B2" s="193" t="s">
        <v>127</v>
      </c>
      <c r="C2" s="191"/>
      <c r="D2" s="191"/>
      <c r="E2" s="191"/>
      <c r="F2" s="191"/>
      <c r="G2" s="191"/>
      <c r="H2" s="191"/>
      <c r="I2" s="191"/>
      <c r="J2" s="191"/>
      <c r="M2" t="s">
        <v>129</v>
      </c>
      <c r="N2" s="120">
        <f>+Supuestos!M8</f>
        <v>19.5</v>
      </c>
    </row>
    <row r="3" spans="1:29">
      <c r="C3" s="191"/>
      <c r="D3" s="191"/>
      <c r="E3" s="191"/>
      <c r="F3" s="191"/>
      <c r="G3" s="191"/>
      <c r="H3" s="191"/>
      <c r="I3" s="191"/>
      <c r="J3" s="191"/>
      <c r="M3" t="s">
        <v>27</v>
      </c>
      <c r="N3" s="120">
        <f>+Supuestos!M9</f>
        <v>5.5</v>
      </c>
    </row>
    <row r="4" spans="1:29">
      <c r="A4" s="194" t="s">
        <v>130</v>
      </c>
      <c r="B4" s="194" t="s">
        <v>131</v>
      </c>
      <c r="C4" s="195" t="s">
        <v>132</v>
      </c>
      <c r="D4" s="196" t="s">
        <v>133</v>
      </c>
      <c r="E4" s="197" t="s">
        <v>134</v>
      </c>
      <c r="F4" s="198" t="s">
        <v>135</v>
      </c>
      <c r="G4" s="194" t="s">
        <v>136</v>
      </c>
      <c r="H4" s="194" t="s">
        <v>137</v>
      </c>
      <c r="I4" s="194" t="s">
        <v>138</v>
      </c>
      <c r="J4" s="194" t="s">
        <v>139</v>
      </c>
      <c r="K4" s="194" t="s">
        <v>140</v>
      </c>
      <c r="L4" s="194" t="s">
        <v>141</v>
      </c>
      <c r="M4" s="194" t="s">
        <v>142</v>
      </c>
      <c r="N4" s="199" t="s">
        <v>143</v>
      </c>
      <c r="O4" s="194" t="s">
        <v>143</v>
      </c>
      <c r="P4" s="194" t="s">
        <v>144</v>
      </c>
      <c r="Q4" s="194" t="s">
        <v>145</v>
      </c>
      <c r="R4" s="194" t="s">
        <v>146</v>
      </c>
      <c r="S4" s="194" t="s">
        <v>147</v>
      </c>
      <c r="T4" s="194" t="s">
        <v>34</v>
      </c>
      <c r="U4" s="194" t="s">
        <v>148</v>
      </c>
      <c r="V4" s="194" t="s">
        <v>149</v>
      </c>
      <c r="W4" s="194" t="s">
        <v>150</v>
      </c>
      <c r="X4" s="194" t="s">
        <v>151</v>
      </c>
      <c r="Y4" s="194" t="s">
        <v>152</v>
      </c>
      <c r="Z4" s="194" t="s">
        <v>153</v>
      </c>
      <c r="AA4" s="194" t="s">
        <v>154</v>
      </c>
      <c r="AC4" s="227" t="s">
        <v>283</v>
      </c>
    </row>
    <row r="5" spans="1:29">
      <c r="A5" s="200" t="s">
        <v>155</v>
      </c>
      <c r="B5" s="200"/>
      <c r="C5" s="201" t="s">
        <v>156</v>
      </c>
      <c r="D5" s="201" t="s">
        <v>156</v>
      </c>
      <c r="E5" s="201" t="s">
        <v>156</v>
      </c>
      <c r="F5" s="201" t="s">
        <v>156</v>
      </c>
      <c r="G5" s="200"/>
      <c r="H5" s="200"/>
      <c r="I5" s="200"/>
      <c r="J5" s="200"/>
      <c r="K5" s="200"/>
      <c r="L5" s="200"/>
      <c r="M5" s="200"/>
      <c r="N5" s="200"/>
      <c r="O5" s="200"/>
      <c r="P5" s="200"/>
      <c r="Q5" s="200"/>
      <c r="R5" s="200"/>
      <c r="S5" s="200"/>
      <c r="T5" s="200"/>
      <c r="U5" s="200"/>
      <c r="V5" s="200"/>
      <c r="W5" s="200"/>
      <c r="X5" s="200"/>
      <c r="Y5" s="200"/>
      <c r="Z5" s="200"/>
      <c r="AA5" s="200"/>
      <c r="AC5" s="200"/>
    </row>
    <row r="6" spans="1:29">
      <c r="A6" t="s">
        <v>284</v>
      </c>
      <c r="B6" t="s">
        <v>285</v>
      </c>
      <c r="C6" s="202">
        <v>1</v>
      </c>
      <c r="D6" s="203"/>
      <c r="E6" s="204"/>
      <c r="F6" s="205"/>
      <c r="G6" t="s">
        <v>286</v>
      </c>
      <c r="H6" t="s">
        <v>287</v>
      </c>
      <c r="I6" t="s">
        <v>288</v>
      </c>
      <c r="J6" s="206" t="s">
        <v>162</v>
      </c>
      <c r="K6" t="s">
        <v>163</v>
      </c>
      <c r="L6" t="s">
        <v>164</v>
      </c>
      <c r="M6" t="s">
        <v>129</v>
      </c>
      <c r="N6" s="199">
        <f>+IF(M6="MXN",O6/$N$2,IF(M6="BRL",O6/$N$3,O6))</f>
        <v>854.70153846153823</v>
      </c>
      <c r="O6" s="207">
        <f>+SUM(P6:AA6)</f>
        <v>16666.679999999997</v>
      </c>
      <c r="P6" s="209">
        <v>1388.89</v>
      </c>
      <c r="Q6" s="209">
        <v>1388.89</v>
      </c>
      <c r="R6" s="209">
        <v>1388.89</v>
      </c>
      <c r="S6" s="209">
        <v>1388.89</v>
      </c>
      <c r="T6" s="209">
        <v>1388.89</v>
      </c>
      <c r="U6" s="209">
        <v>1388.89</v>
      </c>
      <c r="V6" s="209">
        <v>1388.89</v>
      </c>
      <c r="W6" s="209">
        <v>1388.89</v>
      </c>
      <c r="X6" s="209">
        <v>1388.89</v>
      </c>
      <c r="Y6" s="209">
        <v>1388.89</v>
      </c>
      <c r="Z6" s="209">
        <v>1388.89</v>
      </c>
      <c r="AA6" s="209">
        <v>1388.89</v>
      </c>
    </row>
    <row r="7" spans="1:29">
      <c r="A7" t="s">
        <v>284</v>
      </c>
      <c r="B7" t="s">
        <v>285</v>
      </c>
      <c r="C7" s="202">
        <v>0.9</v>
      </c>
      <c r="D7" s="203">
        <v>0.1</v>
      </c>
      <c r="E7" s="204"/>
      <c r="F7" s="205"/>
      <c r="G7" t="s">
        <v>286</v>
      </c>
      <c r="H7" t="s">
        <v>289</v>
      </c>
      <c r="I7" t="s">
        <v>290</v>
      </c>
      <c r="J7" s="206" t="s">
        <v>162</v>
      </c>
      <c r="K7" t="s">
        <v>163</v>
      </c>
      <c r="L7" t="s">
        <v>164</v>
      </c>
      <c r="M7" t="s">
        <v>128</v>
      </c>
      <c r="N7" s="199">
        <f>+IF(M7="MXN",O7/$N$2,IF(M7="BRL",O7/$N$3,O7))</f>
        <v>840</v>
      </c>
      <c r="O7" s="207">
        <f>+SUM(P7:AA7)</f>
        <v>840</v>
      </c>
      <c r="P7" s="209">
        <v>70</v>
      </c>
      <c r="Q7" s="209">
        <v>70</v>
      </c>
      <c r="R7" s="209">
        <v>70</v>
      </c>
      <c r="S7" s="209">
        <v>70</v>
      </c>
      <c r="T7" s="209">
        <v>70</v>
      </c>
      <c r="U7" s="209">
        <v>70</v>
      </c>
      <c r="V7" s="209">
        <v>70</v>
      </c>
      <c r="W7" s="209">
        <v>70</v>
      </c>
      <c r="X7" s="209">
        <v>70</v>
      </c>
      <c r="Y7" s="209">
        <v>70</v>
      </c>
      <c r="Z7" s="209">
        <v>70</v>
      </c>
      <c r="AA7" s="209">
        <v>70</v>
      </c>
    </row>
    <row r="8" spans="1:29">
      <c r="A8" t="s">
        <v>284</v>
      </c>
      <c r="B8" t="s">
        <v>285</v>
      </c>
      <c r="C8" s="202">
        <v>1</v>
      </c>
      <c r="D8" s="203"/>
      <c r="E8" s="204"/>
      <c r="F8" s="205"/>
      <c r="G8" t="s">
        <v>291</v>
      </c>
      <c r="H8" t="s">
        <v>292</v>
      </c>
      <c r="I8" t="s">
        <v>293</v>
      </c>
      <c r="J8" s="206" t="s">
        <v>162</v>
      </c>
      <c r="K8" t="s">
        <v>163</v>
      </c>
      <c r="L8" t="s">
        <v>164</v>
      </c>
      <c r="M8" t="s">
        <v>128</v>
      </c>
      <c r="N8" s="199">
        <f>+IF(M8="MXN",O8/$N$2,IF(M8="BRL",O8/$N$3,O8))</f>
        <v>765</v>
      </c>
      <c r="O8" s="207">
        <f>+SUM(P8:AA8)</f>
        <v>765</v>
      </c>
      <c r="P8" s="209">
        <v>0</v>
      </c>
      <c r="Q8" s="209">
        <v>0</v>
      </c>
      <c r="R8" s="209">
        <v>0</v>
      </c>
      <c r="S8" s="209">
        <v>0</v>
      </c>
      <c r="T8" s="209">
        <v>0</v>
      </c>
      <c r="U8" s="209">
        <v>0</v>
      </c>
      <c r="V8" s="209">
        <v>765</v>
      </c>
      <c r="W8" s="209">
        <v>0</v>
      </c>
      <c r="X8" s="209">
        <v>0</v>
      </c>
      <c r="Y8" s="209">
        <v>0</v>
      </c>
      <c r="Z8" s="209">
        <v>0</v>
      </c>
      <c r="AA8" s="209">
        <v>0</v>
      </c>
    </row>
    <row r="9" spans="1:29">
      <c r="A9" t="s">
        <v>284</v>
      </c>
      <c r="B9" t="s">
        <v>285</v>
      </c>
      <c r="C9" s="202"/>
      <c r="D9" s="203"/>
      <c r="E9" s="204"/>
      <c r="F9" s="205">
        <v>1</v>
      </c>
      <c r="G9" t="s">
        <v>294</v>
      </c>
      <c r="H9" t="s">
        <v>295</v>
      </c>
      <c r="I9" t="s">
        <v>296</v>
      </c>
      <c r="J9" s="206" t="s">
        <v>162</v>
      </c>
      <c r="K9" t="s">
        <v>163</v>
      </c>
      <c r="L9" t="s">
        <v>164</v>
      </c>
      <c r="M9" t="s">
        <v>128</v>
      </c>
      <c r="N9" s="199">
        <f>+IF(M9="MXN",O9/$N$2,IF(M9="BRL",O9/$N$3,O9))</f>
        <v>0</v>
      </c>
      <c r="O9" s="210">
        <f>+SUM(P9:AA9)</f>
        <v>0</v>
      </c>
      <c r="P9" s="209">
        <v>0</v>
      </c>
      <c r="Q9" s="209">
        <v>0</v>
      </c>
      <c r="R9" s="209">
        <v>0</v>
      </c>
      <c r="S9" s="209">
        <v>0</v>
      </c>
      <c r="T9" s="209">
        <v>0</v>
      </c>
      <c r="U9" s="209">
        <v>0</v>
      </c>
      <c r="V9" s="209">
        <v>0</v>
      </c>
      <c r="W9" s="209">
        <v>0</v>
      </c>
      <c r="X9" s="209">
        <v>0</v>
      </c>
      <c r="Y9" s="209">
        <v>0</v>
      </c>
      <c r="Z9" s="209">
        <v>0</v>
      </c>
      <c r="AA9" s="209">
        <v>0</v>
      </c>
    </row>
    <row r="10" spans="1:29">
      <c r="A10" t="s">
        <v>284</v>
      </c>
      <c r="B10" t="s">
        <v>285</v>
      </c>
      <c r="C10" s="222">
        <v>0.5</v>
      </c>
      <c r="D10" s="222">
        <v>0.5</v>
      </c>
      <c r="E10" s="204"/>
      <c r="F10" s="205"/>
      <c r="G10" t="s">
        <v>294</v>
      </c>
      <c r="H10" t="s">
        <v>297</v>
      </c>
      <c r="I10" t="s">
        <v>298</v>
      </c>
      <c r="J10" s="206" t="s">
        <v>162</v>
      </c>
      <c r="K10" t="s">
        <v>163</v>
      </c>
      <c r="L10" t="s">
        <v>164</v>
      </c>
      <c r="M10" t="s">
        <v>128</v>
      </c>
      <c r="N10" s="199">
        <f>+IF(M10="MXN",O10/$N$2,IF(M10="BRL",O10/$N$3,O10))</f>
        <v>28994</v>
      </c>
      <c r="O10" s="210">
        <f>+SUM(P10:AA10)</f>
        <v>28994</v>
      </c>
      <c r="P10" s="209">
        <v>0</v>
      </c>
      <c r="Q10" s="547">
        <v>28994</v>
      </c>
      <c r="R10" s="209">
        <v>0</v>
      </c>
      <c r="S10" s="209">
        <v>0</v>
      </c>
      <c r="T10" s="209">
        <v>0</v>
      </c>
      <c r="U10" s="209">
        <v>0</v>
      </c>
      <c r="V10" s="209">
        <v>0</v>
      </c>
      <c r="W10" s="209">
        <v>0</v>
      </c>
      <c r="X10" s="209">
        <v>0</v>
      </c>
      <c r="Y10" s="209">
        <v>0</v>
      </c>
      <c r="Z10" s="209">
        <v>0</v>
      </c>
      <c r="AA10" s="209">
        <v>0</v>
      </c>
    </row>
    <row r="11" spans="1:29">
      <c r="A11" s="200" t="s">
        <v>207</v>
      </c>
      <c r="B11" s="201"/>
      <c r="C11" s="201"/>
      <c r="D11" s="201"/>
      <c r="E11" s="201"/>
      <c r="F11" s="201"/>
      <c r="G11" s="201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C11" s="200"/>
    </row>
    <row r="12" spans="1:29">
      <c r="A12" s="215" t="s">
        <v>215</v>
      </c>
      <c r="B12" s="215"/>
      <c r="C12" s="216"/>
      <c r="D12" s="216"/>
      <c r="E12" s="216"/>
      <c r="F12" s="216"/>
      <c r="G12" s="215"/>
      <c r="H12" s="215"/>
      <c r="I12" s="215"/>
      <c r="J12" s="215"/>
      <c r="K12" s="215"/>
      <c r="L12" s="215"/>
      <c r="M12" s="215"/>
      <c r="N12" s="228"/>
      <c r="O12" s="228"/>
      <c r="P12" s="228"/>
      <c r="Q12" s="228"/>
      <c r="R12" s="228"/>
      <c r="S12" s="228"/>
      <c r="T12" s="228"/>
      <c r="U12" s="228"/>
      <c r="V12" s="228"/>
      <c r="W12" s="228"/>
      <c r="X12" s="228"/>
      <c r="Y12" s="228"/>
      <c r="Z12" s="228"/>
      <c r="AA12" s="228"/>
      <c r="AC12" s="215"/>
    </row>
    <row r="13" spans="1:29">
      <c r="A13" t="s">
        <v>284</v>
      </c>
      <c r="B13" t="s">
        <v>285</v>
      </c>
      <c r="C13" s="202">
        <v>0.9</v>
      </c>
      <c r="D13" s="203">
        <v>0.1</v>
      </c>
      <c r="E13" s="204"/>
      <c r="F13" s="205"/>
      <c r="G13" t="s">
        <v>209</v>
      </c>
      <c r="H13" t="s">
        <v>285</v>
      </c>
      <c r="I13" t="s">
        <v>299</v>
      </c>
      <c r="J13" s="206" t="s">
        <v>217</v>
      </c>
      <c r="K13" t="s">
        <v>218</v>
      </c>
      <c r="L13" t="s">
        <v>214</v>
      </c>
      <c r="M13" t="s">
        <v>129</v>
      </c>
      <c r="N13" s="199">
        <f>+IF(M13="MXN",O13/$N$2,IF(M13="BRL",O13/$N$3,O13))</f>
        <v>66338.461538461532</v>
      </c>
      <c r="O13" s="207">
        <f>+SUM(P13:AA13)</f>
        <v>1293600</v>
      </c>
      <c r="P13" s="229">
        <v>107800</v>
      </c>
      <c r="Q13" s="211">
        <v>107800</v>
      </c>
      <c r="R13" s="211">
        <v>107800</v>
      </c>
      <c r="S13" s="211">
        <v>107800</v>
      </c>
      <c r="T13" s="211">
        <v>107800</v>
      </c>
      <c r="U13" s="230">
        <v>107800</v>
      </c>
      <c r="V13" s="211">
        <v>107800</v>
      </c>
      <c r="W13" s="211">
        <v>107800</v>
      </c>
      <c r="X13" s="211">
        <v>107800</v>
      </c>
      <c r="Y13" s="211">
        <v>107800</v>
      </c>
      <c r="Z13" s="211">
        <v>107800</v>
      </c>
      <c r="AA13" s="211">
        <v>107800</v>
      </c>
      <c r="AC13" t="s">
        <v>300</v>
      </c>
    </row>
    <row r="14" spans="1:29">
      <c r="A14" t="s">
        <v>284</v>
      </c>
      <c r="B14" t="s">
        <v>285</v>
      </c>
      <c r="C14" s="202">
        <v>0.9</v>
      </c>
      <c r="D14" s="203">
        <v>0.1</v>
      </c>
      <c r="E14" s="204"/>
      <c r="F14" s="205"/>
      <c r="G14" t="s">
        <v>209</v>
      </c>
      <c r="H14" t="s">
        <v>301</v>
      </c>
      <c r="I14" t="s">
        <v>302</v>
      </c>
      <c r="J14" s="206" t="s">
        <v>217</v>
      </c>
      <c r="K14" t="s">
        <v>218</v>
      </c>
      <c r="L14" t="s">
        <v>214</v>
      </c>
      <c r="M14" t="s">
        <v>129</v>
      </c>
      <c r="N14" s="199">
        <f>+IF(M14="MXN",O14/$N$2,IF(M14="BRL",O14/$N$3,O14))</f>
        <v>35076.923076923078</v>
      </c>
      <c r="O14" s="207">
        <f>+SUM(P14:AA14)</f>
        <v>684000</v>
      </c>
      <c r="P14" s="231">
        <v>57000</v>
      </c>
      <c r="Q14" s="231">
        <v>57000</v>
      </c>
      <c r="R14" s="231">
        <v>57000</v>
      </c>
      <c r="S14" s="231">
        <v>57000</v>
      </c>
      <c r="T14" s="231">
        <v>57000</v>
      </c>
      <c r="U14" s="231">
        <v>57000</v>
      </c>
      <c r="V14" s="231">
        <v>57000</v>
      </c>
      <c r="W14" s="231">
        <v>57000</v>
      </c>
      <c r="X14" s="231">
        <v>57000</v>
      </c>
      <c r="Y14" s="231">
        <v>57000</v>
      </c>
      <c r="Z14" s="231">
        <v>57000</v>
      </c>
      <c r="AA14" s="231">
        <v>57000</v>
      </c>
      <c r="AC14" s="221" t="s">
        <v>303</v>
      </c>
    </row>
    <row r="15" spans="1:29">
      <c r="A15" t="s">
        <v>284</v>
      </c>
      <c r="B15" t="s">
        <v>285</v>
      </c>
      <c r="C15" s="202">
        <v>0.9</v>
      </c>
      <c r="D15" s="203">
        <v>0.1</v>
      </c>
      <c r="E15" s="204"/>
      <c r="F15" s="205"/>
      <c r="G15" t="s">
        <v>209</v>
      </c>
      <c r="H15" t="s">
        <v>304</v>
      </c>
      <c r="I15" t="s">
        <v>305</v>
      </c>
      <c r="J15" s="206" t="s">
        <v>217</v>
      </c>
      <c r="K15" t="s">
        <v>218</v>
      </c>
      <c r="L15" t="s">
        <v>214</v>
      </c>
      <c r="M15" t="s">
        <v>129</v>
      </c>
      <c r="N15" s="199">
        <f>+IF(M15="MXN",O15/$N$2,IF(M15="BRL",O15/$N$3,O15))</f>
        <v>20184.615384615383</v>
      </c>
      <c r="O15" s="207">
        <f>+SUM(P15:AA15)</f>
        <v>393600</v>
      </c>
      <c r="P15" s="209">
        <v>32800</v>
      </c>
      <c r="Q15" s="209">
        <v>32800</v>
      </c>
      <c r="R15" s="209">
        <v>32800</v>
      </c>
      <c r="S15" s="209">
        <v>32800</v>
      </c>
      <c r="T15" s="209">
        <v>32800</v>
      </c>
      <c r="U15" s="209">
        <v>32800</v>
      </c>
      <c r="V15" s="209">
        <v>32800</v>
      </c>
      <c r="W15" s="209">
        <v>32800</v>
      </c>
      <c r="X15" s="209">
        <v>32800</v>
      </c>
      <c r="Y15" s="209">
        <v>32800</v>
      </c>
      <c r="Z15" s="209">
        <v>32800</v>
      </c>
      <c r="AA15" s="209">
        <v>32800</v>
      </c>
      <c r="AC15" t="s">
        <v>306</v>
      </c>
    </row>
    <row r="16" spans="1:29">
      <c r="A16" s="215" t="s">
        <v>307</v>
      </c>
      <c r="B16" s="215"/>
      <c r="C16" s="216"/>
      <c r="D16" s="216"/>
      <c r="E16" s="216"/>
      <c r="F16" s="216"/>
      <c r="G16" s="215"/>
      <c r="H16" s="215"/>
      <c r="I16" s="215"/>
      <c r="J16" s="215"/>
      <c r="K16" s="215"/>
      <c r="L16" s="215"/>
      <c r="M16" s="215"/>
      <c r="N16" s="228"/>
      <c r="O16" s="228"/>
      <c r="P16" s="228"/>
      <c r="Q16" s="228"/>
      <c r="R16" s="228"/>
      <c r="S16" s="228"/>
      <c r="T16" s="228"/>
      <c r="U16" s="228"/>
      <c r="V16" s="228"/>
      <c r="W16" s="228"/>
      <c r="X16" s="228"/>
      <c r="Y16" s="228"/>
      <c r="Z16" s="228"/>
      <c r="AA16" s="228"/>
      <c r="AC16" s="215"/>
    </row>
    <row r="17" spans="1:29">
      <c r="A17" t="s">
        <v>284</v>
      </c>
      <c r="B17" t="s">
        <v>285</v>
      </c>
      <c r="C17" s="202">
        <v>0.9</v>
      </c>
      <c r="D17" s="203">
        <v>0.1</v>
      </c>
      <c r="E17" s="204"/>
      <c r="F17" s="205"/>
      <c r="G17" t="s">
        <v>209</v>
      </c>
      <c r="H17" t="s">
        <v>308</v>
      </c>
      <c r="I17" t="s">
        <v>309</v>
      </c>
      <c r="J17" s="206" t="s">
        <v>217</v>
      </c>
      <c r="K17" t="s">
        <v>218</v>
      </c>
      <c r="L17" t="s">
        <v>214</v>
      </c>
      <c r="M17" t="s">
        <v>129</v>
      </c>
      <c r="N17" s="199">
        <f>+IF(M17="MXN",O17/$N$2,IF(M17="BRL",O17/$N$3,O17))</f>
        <v>18461.538461538352</v>
      </c>
      <c r="O17" s="207">
        <f>+SUM(P17:AA17)</f>
        <v>359999.99999999785</v>
      </c>
      <c r="P17" s="231">
        <v>29999.999999999818</v>
      </c>
      <c r="Q17" s="231">
        <v>29999.999999999818</v>
      </c>
      <c r="R17" s="231">
        <v>29999.999999999818</v>
      </c>
      <c r="S17" s="231">
        <v>29999.999999999818</v>
      </c>
      <c r="T17" s="231">
        <v>29999.999999999818</v>
      </c>
      <c r="U17" s="231">
        <v>29999.999999999818</v>
      </c>
      <c r="V17" s="231">
        <v>29999.999999999818</v>
      </c>
      <c r="W17" s="231">
        <v>29999.999999999818</v>
      </c>
      <c r="X17" s="231">
        <v>29999.999999999818</v>
      </c>
      <c r="Y17" s="231">
        <v>29999.999999999818</v>
      </c>
      <c r="Z17" s="231">
        <v>29999.999999999818</v>
      </c>
      <c r="AA17" s="231">
        <v>29999.999999999818</v>
      </c>
      <c r="AC17" s="221" t="s">
        <v>310</v>
      </c>
    </row>
    <row r="18" spans="1:29">
      <c r="A18" s="215" t="s">
        <v>311</v>
      </c>
      <c r="B18" s="215"/>
      <c r="C18" s="216"/>
      <c r="D18" s="216"/>
      <c r="E18" s="216"/>
      <c r="F18" s="216"/>
      <c r="G18" s="215"/>
      <c r="H18" s="215"/>
      <c r="I18" s="215"/>
      <c r="J18" s="215"/>
      <c r="K18" s="215"/>
      <c r="L18" s="215"/>
      <c r="M18" s="215"/>
      <c r="N18" s="228"/>
      <c r="O18" s="228"/>
      <c r="P18" s="228"/>
      <c r="Q18" s="228"/>
      <c r="R18" s="228"/>
      <c r="S18" s="228"/>
      <c r="T18" s="228"/>
      <c r="U18" s="228"/>
      <c r="V18" s="228"/>
      <c r="W18" s="228"/>
      <c r="X18" s="228"/>
      <c r="Y18" s="228"/>
      <c r="Z18" s="228"/>
      <c r="AA18" s="228"/>
      <c r="AC18" s="215"/>
    </row>
    <row r="19" spans="1:29">
      <c r="A19" t="s">
        <v>284</v>
      </c>
      <c r="B19" t="s">
        <v>285</v>
      </c>
      <c r="C19" s="202">
        <f>+C17</f>
        <v>0.9</v>
      </c>
      <c r="D19" s="203">
        <f>+D17</f>
        <v>0.1</v>
      </c>
      <c r="E19" s="232">
        <f>+E17</f>
        <v>0</v>
      </c>
      <c r="F19" s="205">
        <v>0</v>
      </c>
      <c r="G19" t="s">
        <v>224</v>
      </c>
      <c r="H19" t="s">
        <v>225</v>
      </c>
      <c r="I19" t="s">
        <v>226</v>
      </c>
      <c r="J19" s="206" t="s">
        <v>227</v>
      </c>
      <c r="K19" t="s">
        <v>228</v>
      </c>
      <c r="L19" t="s">
        <v>214</v>
      </c>
      <c r="M19" t="s">
        <v>129</v>
      </c>
      <c r="N19" s="199">
        <f>+IF(M19="MXN",O19/$N$2,IF(M19="BRL",O19/$N$3,O19))</f>
        <v>492.30769230769232</v>
      </c>
      <c r="O19" s="207">
        <f>+SUM(P19:AA19)</f>
        <v>9600</v>
      </c>
      <c r="P19" s="209">
        <v>800</v>
      </c>
      <c r="Q19" s="209">
        <v>800</v>
      </c>
      <c r="R19" s="209">
        <v>800</v>
      </c>
      <c r="S19" s="209">
        <v>800</v>
      </c>
      <c r="T19" s="209">
        <v>800</v>
      </c>
      <c r="U19" s="209">
        <v>800</v>
      </c>
      <c r="V19" s="209">
        <v>800</v>
      </c>
      <c r="W19" s="209">
        <v>800</v>
      </c>
      <c r="X19" s="209">
        <v>800</v>
      </c>
      <c r="Y19" s="209">
        <v>800</v>
      </c>
      <c r="Z19" s="209">
        <v>800</v>
      </c>
      <c r="AA19" s="209">
        <v>800</v>
      </c>
    </row>
    <row r="20" spans="1:29">
      <c r="A20" t="s">
        <v>284</v>
      </c>
      <c r="B20" t="s">
        <v>285</v>
      </c>
      <c r="C20" s="202">
        <f>+SUM(C13:C15,C17)/4</f>
        <v>0.9</v>
      </c>
      <c r="D20" s="203">
        <f>+SUM(D13:D15,D17)/4</f>
        <v>0.1</v>
      </c>
      <c r="E20" s="232">
        <f>+SUM(E13:E15,E17)/4</f>
        <v>0</v>
      </c>
      <c r="F20" s="205">
        <f>+SUM(F13:F15,F17)/4</f>
        <v>0</v>
      </c>
      <c r="G20" t="s">
        <v>224</v>
      </c>
      <c r="H20" t="s">
        <v>229</v>
      </c>
      <c r="I20" t="s">
        <v>229</v>
      </c>
      <c r="J20" s="206" t="s">
        <v>231</v>
      </c>
      <c r="K20" t="s">
        <v>229</v>
      </c>
      <c r="L20" t="s">
        <v>214</v>
      </c>
      <c r="M20" t="s">
        <v>129</v>
      </c>
      <c r="N20" s="199">
        <f>+IF(M20="MXN",O20/$N$2,IF(M20="BRL",O20/$N$3,O20))</f>
        <v>7862.564102564098</v>
      </c>
      <c r="O20" s="207">
        <f>+SUM(P20:AA20)</f>
        <v>153319.99999999991</v>
      </c>
      <c r="P20" s="209">
        <v>0</v>
      </c>
      <c r="Q20" s="209">
        <v>0</v>
      </c>
      <c r="R20" s="209">
        <v>0</v>
      </c>
      <c r="S20" s="209">
        <v>0</v>
      </c>
      <c r="T20" s="209">
        <v>0</v>
      </c>
      <c r="U20" s="209">
        <v>0</v>
      </c>
      <c r="V20" s="209">
        <v>0</v>
      </c>
      <c r="W20" s="209">
        <v>0</v>
      </c>
      <c r="X20" s="209">
        <v>0</v>
      </c>
      <c r="Y20" s="209">
        <v>0</v>
      </c>
      <c r="Z20" s="209">
        <v>0</v>
      </c>
      <c r="AA20" s="209">
        <f>+SUM(AA13:AA15)*0.7+AA17/2</f>
        <v>153319.99999999991</v>
      </c>
    </row>
    <row r="21" spans="1:29">
      <c r="A21" t="s">
        <v>284</v>
      </c>
      <c r="B21" t="s">
        <v>285</v>
      </c>
      <c r="C21" s="202">
        <f>+C17</f>
        <v>0.9</v>
      </c>
      <c r="D21" s="203">
        <f>+D17</f>
        <v>0.1</v>
      </c>
      <c r="E21" s="232">
        <f>+E17</f>
        <v>0</v>
      </c>
      <c r="F21" s="205">
        <f>+F17</f>
        <v>0</v>
      </c>
      <c r="G21" t="s">
        <v>224</v>
      </c>
      <c r="H21" t="s">
        <v>312</v>
      </c>
      <c r="I21" t="s">
        <v>312</v>
      </c>
      <c r="J21" s="206" t="s">
        <v>313</v>
      </c>
      <c r="K21" t="s">
        <v>314</v>
      </c>
      <c r="L21" t="s">
        <v>214</v>
      </c>
      <c r="M21" t="s">
        <v>129</v>
      </c>
      <c r="N21" s="199">
        <f>+IF(M21="MXN",O21/$N$2,IF(M21="BRL",O21/$N$3,O21))</f>
        <v>384.61538461538231</v>
      </c>
      <c r="O21" s="207">
        <f>+SUM(P21:AA21)</f>
        <v>7499.9999999999554</v>
      </c>
      <c r="P21" s="209">
        <f>+P17*0.25/12</f>
        <v>624.99999999999625</v>
      </c>
      <c r="Q21" s="209">
        <f t="shared" ref="Q21:AA21" si="0">+Q17*0.25/12</f>
        <v>624.99999999999625</v>
      </c>
      <c r="R21" s="209">
        <f t="shared" si="0"/>
        <v>624.99999999999625</v>
      </c>
      <c r="S21" s="209">
        <f t="shared" si="0"/>
        <v>624.99999999999625</v>
      </c>
      <c r="T21" s="209">
        <f t="shared" si="0"/>
        <v>624.99999999999625</v>
      </c>
      <c r="U21" s="209">
        <f t="shared" si="0"/>
        <v>624.99999999999625</v>
      </c>
      <c r="V21" s="209">
        <f t="shared" si="0"/>
        <v>624.99999999999625</v>
      </c>
      <c r="W21" s="209">
        <f t="shared" si="0"/>
        <v>624.99999999999625</v>
      </c>
      <c r="X21" s="209">
        <f t="shared" si="0"/>
        <v>624.99999999999625</v>
      </c>
      <c r="Y21" s="209">
        <f t="shared" si="0"/>
        <v>624.99999999999625</v>
      </c>
      <c r="Z21" s="209">
        <f t="shared" si="0"/>
        <v>624.99999999999625</v>
      </c>
      <c r="AA21" s="209">
        <f t="shared" si="0"/>
        <v>624.99999999999625</v>
      </c>
    </row>
    <row r="22" spans="1:29">
      <c r="A22" t="s">
        <v>284</v>
      </c>
      <c r="B22" t="s">
        <v>285</v>
      </c>
      <c r="C22" s="202">
        <f>+C17</f>
        <v>0.9</v>
      </c>
      <c r="D22" s="203">
        <f>+D17</f>
        <v>0.1</v>
      </c>
      <c r="E22" s="232">
        <f>+E17</f>
        <v>0</v>
      </c>
      <c r="F22" s="205">
        <f>+F17</f>
        <v>0</v>
      </c>
      <c r="G22" t="s">
        <v>209</v>
      </c>
      <c r="H22" t="s">
        <v>315</v>
      </c>
      <c r="I22" s="52" t="s">
        <v>316</v>
      </c>
      <c r="J22" s="206" t="s">
        <v>217</v>
      </c>
      <c r="K22" t="s">
        <v>218</v>
      </c>
      <c r="L22" t="s">
        <v>214</v>
      </c>
      <c r="M22" t="s">
        <v>129</v>
      </c>
      <c r="N22" s="199">
        <f>+IF(M22="MXN",O22/$N$2,IF(M22="BRL",O22/$N$3,O22))</f>
        <v>4430.7692307692041</v>
      </c>
      <c r="O22" s="207">
        <f>+SUM(P22:AA22)</f>
        <v>86399.999999999476</v>
      </c>
      <c r="P22" s="209">
        <f>+P17*0.24</f>
        <v>7199.9999999999563</v>
      </c>
      <c r="Q22" s="209">
        <f t="shared" ref="Q22:AA22" si="1">+Q17*0.24</f>
        <v>7199.9999999999563</v>
      </c>
      <c r="R22" s="209">
        <f t="shared" si="1"/>
        <v>7199.9999999999563</v>
      </c>
      <c r="S22" s="209">
        <f t="shared" si="1"/>
        <v>7199.9999999999563</v>
      </c>
      <c r="T22" s="209">
        <f t="shared" si="1"/>
        <v>7199.9999999999563</v>
      </c>
      <c r="U22" s="209">
        <f t="shared" si="1"/>
        <v>7199.9999999999563</v>
      </c>
      <c r="V22" s="209">
        <f t="shared" si="1"/>
        <v>7199.9999999999563</v>
      </c>
      <c r="W22" s="209">
        <f t="shared" si="1"/>
        <v>7199.9999999999563</v>
      </c>
      <c r="X22" s="209">
        <f t="shared" si="1"/>
        <v>7199.9999999999563</v>
      </c>
      <c r="Y22" s="209">
        <f t="shared" si="1"/>
        <v>7199.9999999999563</v>
      </c>
      <c r="Z22" s="209">
        <f t="shared" si="1"/>
        <v>7199.9999999999563</v>
      </c>
      <c r="AA22" s="209">
        <f t="shared" si="1"/>
        <v>7199.9999999999563</v>
      </c>
    </row>
    <row r="23" spans="1:29">
      <c r="A23" s="200" t="s">
        <v>242</v>
      </c>
      <c r="B23" s="200"/>
      <c r="C23" s="200"/>
      <c r="D23" s="200"/>
      <c r="E23" s="200"/>
      <c r="F23" s="200"/>
      <c r="G23" s="200"/>
      <c r="H23" s="200"/>
      <c r="I23" s="200"/>
      <c r="J23" s="200"/>
      <c r="K23" s="200"/>
      <c r="L23" s="200"/>
      <c r="M23" s="200"/>
      <c r="N23" s="200"/>
      <c r="O23" s="200"/>
      <c r="P23" s="200"/>
      <c r="Q23" s="200"/>
      <c r="R23" s="200"/>
      <c r="S23" s="200"/>
      <c r="T23" s="200"/>
      <c r="U23" s="200"/>
      <c r="V23" s="200"/>
      <c r="W23" s="200"/>
      <c r="X23" s="200"/>
      <c r="Y23" s="200"/>
      <c r="Z23" s="200"/>
      <c r="AA23" s="200"/>
      <c r="AC23" s="200"/>
    </row>
    <row r="24" spans="1:29">
      <c r="A24" t="s">
        <v>284</v>
      </c>
      <c r="B24" t="s">
        <v>285</v>
      </c>
      <c r="C24" s="202"/>
      <c r="D24" s="203"/>
      <c r="E24" s="204"/>
      <c r="F24" s="205">
        <v>1</v>
      </c>
      <c r="G24" t="s">
        <v>243</v>
      </c>
      <c r="H24" t="s">
        <v>244</v>
      </c>
      <c r="J24" s="214" t="s">
        <v>246</v>
      </c>
      <c r="K24" t="s">
        <v>247</v>
      </c>
      <c r="L24" t="s">
        <v>248</v>
      </c>
      <c r="M24" t="s">
        <v>129</v>
      </c>
      <c r="N24" s="199">
        <f>+IF(M24="MXN",O24/$N$2,IF(M24="BRL",O24/$N$3,O24))</f>
        <v>0</v>
      </c>
      <c r="O24" s="207">
        <f>+SUM(P24:AA24)</f>
        <v>0</v>
      </c>
      <c r="P24" s="207">
        <v>0</v>
      </c>
      <c r="Q24" s="207">
        <v>0</v>
      </c>
      <c r="R24" s="207">
        <v>0</v>
      </c>
      <c r="S24" s="207">
        <v>0</v>
      </c>
      <c r="T24" s="207">
        <v>0</v>
      </c>
      <c r="U24" s="207">
        <v>0</v>
      </c>
      <c r="V24" s="207">
        <v>0</v>
      </c>
      <c r="W24" s="207">
        <v>0</v>
      </c>
      <c r="X24" s="207">
        <v>0</v>
      </c>
      <c r="Y24" s="207">
        <v>0</v>
      </c>
      <c r="Z24" s="207">
        <v>0</v>
      </c>
      <c r="AA24" s="207">
        <v>0</v>
      </c>
      <c r="AC24" t="s">
        <v>317</v>
      </c>
    </row>
    <row r="25" spans="1:29">
      <c r="A25" t="s">
        <v>284</v>
      </c>
      <c r="B25" t="s">
        <v>285</v>
      </c>
      <c r="C25" s="202"/>
      <c r="D25" s="203"/>
      <c r="E25" s="204"/>
      <c r="F25" s="205">
        <v>1</v>
      </c>
      <c r="G25" t="s">
        <v>249</v>
      </c>
      <c r="H25" t="s">
        <v>244</v>
      </c>
      <c r="J25" s="214" t="s">
        <v>250</v>
      </c>
      <c r="K25" t="s">
        <v>251</v>
      </c>
      <c r="L25" t="s">
        <v>248</v>
      </c>
      <c r="M25" t="s">
        <v>129</v>
      </c>
      <c r="N25" s="199">
        <f>+IF(M25="MXN",O25/$N$2,IF(M25="BRL",O25/$N$3,O25))</f>
        <v>0</v>
      </c>
      <c r="O25" s="207">
        <f>+SUM(P25:AA25)</f>
        <v>0</v>
      </c>
      <c r="P25" s="207">
        <v>0</v>
      </c>
      <c r="Q25" s="207">
        <v>0</v>
      </c>
      <c r="R25" s="207">
        <v>0</v>
      </c>
      <c r="S25" s="207">
        <v>0</v>
      </c>
      <c r="T25" s="207">
        <v>0</v>
      </c>
      <c r="U25" s="207">
        <v>0</v>
      </c>
      <c r="V25" s="207">
        <v>0</v>
      </c>
      <c r="W25" s="207">
        <v>0</v>
      </c>
      <c r="X25" s="207">
        <v>0</v>
      </c>
      <c r="Y25" s="207">
        <v>0</v>
      </c>
      <c r="Z25" s="207">
        <v>0</v>
      </c>
      <c r="AA25" s="207">
        <v>0</v>
      </c>
      <c r="AC25" t="s">
        <v>317</v>
      </c>
    </row>
    <row r="26" spans="1:29">
      <c r="A26" t="s">
        <v>284</v>
      </c>
      <c r="B26" t="s">
        <v>285</v>
      </c>
      <c r="C26" s="202"/>
      <c r="D26" s="203"/>
      <c r="E26" s="204"/>
      <c r="F26" s="205">
        <v>1</v>
      </c>
      <c r="G26" t="s">
        <v>252</v>
      </c>
      <c r="H26" t="s">
        <v>244</v>
      </c>
      <c r="J26" s="214" t="s">
        <v>253</v>
      </c>
      <c r="K26" t="s">
        <v>254</v>
      </c>
      <c r="L26" t="s">
        <v>248</v>
      </c>
      <c r="M26" t="s">
        <v>129</v>
      </c>
      <c r="N26" s="199">
        <f>+IF(M26="MXN",O26/$N$2,IF(M26="BRL",O26/$N$3,O26))</f>
        <v>0</v>
      </c>
      <c r="O26" s="207">
        <f>+SUM(P26:AA26)</f>
        <v>0</v>
      </c>
      <c r="P26" s="207">
        <v>0</v>
      </c>
      <c r="Q26" s="207">
        <v>0</v>
      </c>
      <c r="R26" s="207">
        <v>0</v>
      </c>
      <c r="S26" s="207">
        <v>0</v>
      </c>
      <c r="T26" s="207">
        <v>0</v>
      </c>
      <c r="U26" s="207">
        <v>0</v>
      </c>
      <c r="V26" s="207">
        <v>0</v>
      </c>
      <c r="W26" s="207">
        <v>0</v>
      </c>
      <c r="X26" s="207">
        <v>0</v>
      </c>
      <c r="Y26" s="207">
        <v>0</v>
      </c>
      <c r="Z26" s="207">
        <v>0</v>
      </c>
      <c r="AA26" s="207">
        <v>0</v>
      </c>
      <c r="AC26" t="s">
        <v>317</v>
      </c>
    </row>
    <row r="27" spans="1:29">
      <c r="A27" t="s">
        <v>284</v>
      </c>
      <c r="B27" t="s">
        <v>285</v>
      </c>
      <c r="C27" s="202"/>
      <c r="D27" s="203"/>
      <c r="E27" s="204"/>
      <c r="F27" s="205">
        <v>1</v>
      </c>
      <c r="G27" t="s">
        <v>255</v>
      </c>
      <c r="H27" t="s">
        <v>244</v>
      </c>
      <c r="J27" s="214" t="s">
        <v>256</v>
      </c>
      <c r="K27" t="s">
        <v>257</v>
      </c>
      <c r="L27" t="s">
        <v>248</v>
      </c>
      <c r="M27" t="s">
        <v>129</v>
      </c>
      <c r="N27" s="199">
        <f>+IF(M27="MXN",O27/$N$2,IF(M27="BRL",O27/$N$3,O27))</f>
        <v>0</v>
      </c>
      <c r="O27" s="207">
        <f>+SUM(P27:AA27)</f>
        <v>0</v>
      </c>
      <c r="P27" s="207">
        <v>0</v>
      </c>
      <c r="Q27" s="207">
        <v>0</v>
      </c>
      <c r="R27" s="207">
        <v>0</v>
      </c>
      <c r="S27" s="207">
        <v>0</v>
      </c>
      <c r="T27" s="207">
        <v>0</v>
      </c>
      <c r="U27" s="207">
        <v>0</v>
      </c>
      <c r="V27" s="207">
        <v>0</v>
      </c>
      <c r="W27" s="207">
        <v>0</v>
      </c>
      <c r="X27" s="207">
        <v>0</v>
      </c>
      <c r="Y27" s="207">
        <v>0</v>
      </c>
      <c r="Z27" s="207">
        <v>0</v>
      </c>
      <c r="AA27" s="207">
        <v>0</v>
      </c>
      <c r="AC27" t="s">
        <v>317</v>
      </c>
    </row>
    <row r="28" spans="1:29">
      <c r="A28" s="200" t="s">
        <v>258</v>
      </c>
      <c r="B28" s="200"/>
      <c r="C28" s="200"/>
      <c r="D28" s="200"/>
      <c r="E28" s="200"/>
      <c r="F28" s="200"/>
      <c r="G28" s="200"/>
      <c r="H28" s="200"/>
      <c r="I28" s="200"/>
      <c r="J28" s="200"/>
      <c r="K28" s="200"/>
      <c r="L28" s="200"/>
      <c r="M28" s="200"/>
      <c r="N28" s="200"/>
      <c r="O28" s="200"/>
      <c r="P28" s="200"/>
      <c r="Q28" s="200"/>
      <c r="R28" s="200"/>
      <c r="S28" s="200"/>
      <c r="T28" s="200"/>
      <c r="U28" s="200"/>
      <c r="V28" s="200"/>
      <c r="W28" s="200"/>
      <c r="X28" s="200"/>
      <c r="Y28" s="200"/>
      <c r="Z28" s="200"/>
      <c r="AA28" s="200"/>
      <c r="AC28" s="200"/>
    </row>
    <row r="29" spans="1:29">
      <c r="A29" t="s">
        <v>284</v>
      </c>
      <c r="B29" t="s">
        <v>285</v>
      </c>
      <c r="C29" s="202"/>
      <c r="D29" s="203"/>
      <c r="E29" s="204"/>
      <c r="F29" s="205">
        <v>1</v>
      </c>
      <c r="G29" t="s">
        <v>318</v>
      </c>
      <c r="H29" t="s">
        <v>319</v>
      </c>
      <c r="I29" t="s">
        <v>320</v>
      </c>
      <c r="J29" s="214" t="s">
        <v>321</v>
      </c>
      <c r="K29" t="s">
        <v>322</v>
      </c>
      <c r="L29" t="s">
        <v>324</v>
      </c>
      <c r="M29" t="s">
        <v>129</v>
      </c>
      <c r="N29" s="199">
        <f>+IF(M29="MXN",O29/$N$2,IF(M29="BRL",O29/$N$3,O29))</f>
        <v>1025.6410256410256</v>
      </c>
      <c r="O29" s="207">
        <f>+SUM(P29:AA29)</f>
        <v>20000</v>
      </c>
      <c r="P29" s="207">
        <v>0</v>
      </c>
      <c r="Q29" s="207">
        <v>0</v>
      </c>
      <c r="R29" s="207">
        <v>20000</v>
      </c>
      <c r="S29" s="207">
        <v>0</v>
      </c>
      <c r="T29" s="207">
        <v>0</v>
      </c>
      <c r="U29" s="207">
        <v>0</v>
      </c>
      <c r="V29" s="207">
        <v>0</v>
      </c>
      <c r="W29" s="207">
        <v>0</v>
      </c>
      <c r="X29" s="207">
        <v>0</v>
      </c>
      <c r="Y29" s="207">
        <v>0</v>
      </c>
      <c r="Z29" s="207">
        <v>0</v>
      </c>
      <c r="AA29" s="207">
        <v>0</v>
      </c>
      <c r="AC29" t="s">
        <v>323</v>
      </c>
    </row>
    <row r="33" spans="8:10">
      <c r="H33" s="529"/>
    </row>
    <row r="34" spans="8:10">
      <c r="I34" s="231"/>
      <c r="J34" s="221"/>
    </row>
    <row r="35" spans="8:10">
      <c r="I35" s="231"/>
      <c r="J35" s="221"/>
    </row>
    <row r="37" spans="8:10">
      <c r="H37" s="529"/>
    </row>
    <row r="38" spans="8:10">
      <c r="I38" s="268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C50CE1-DE0E-E94A-A4FD-B0FD601A331B}">
  <sheetPr codeName="Sheet10"/>
  <dimension ref="A1:AC47"/>
  <sheetViews>
    <sheetView showGridLines="0" topLeftCell="D8" workbookViewId="0">
      <selection activeCell="R35" sqref="R35:V36"/>
    </sheetView>
  </sheetViews>
  <sheetFormatPr baseColWidth="10" defaultColWidth="11.1640625" defaultRowHeight="16"/>
  <cols>
    <col min="1" max="1" width="19.1640625" bestFit="1" customWidth="1"/>
    <col min="2" max="2" width="17.5" bestFit="1" customWidth="1"/>
    <col min="3" max="4" width="5.6640625" bestFit="1" customWidth="1"/>
    <col min="5" max="5" width="3.6640625" bestFit="1" customWidth="1"/>
    <col min="6" max="6" width="5.6640625" bestFit="1" customWidth="1"/>
    <col min="7" max="7" width="10.1640625" bestFit="1" customWidth="1"/>
    <col min="8" max="8" width="39.1640625" bestFit="1" customWidth="1"/>
    <col min="9" max="9" width="44.83203125" bestFit="1" customWidth="1"/>
    <col min="10" max="10" width="10.1640625" bestFit="1" customWidth="1"/>
    <col min="11" max="11" width="22.33203125" bestFit="1" customWidth="1"/>
    <col min="12" max="12" width="15.5" bestFit="1" customWidth="1"/>
    <col min="13" max="13" width="8.6640625" bestFit="1" customWidth="1"/>
    <col min="14" max="14" width="11.5" bestFit="1" customWidth="1"/>
    <col min="15" max="15" width="15.33203125" bestFit="1" customWidth="1"/>
    <col min="16" max="27" width="12.6640625" bestFit="1" customWidth="1"/>
    <col min="29" max="29" width="65.1640625" bestFit="1" customWidth="1"/>
  </cols>
  <sheetData>
    <row r="1" spans="1:29">
      <c r="A1" s="189" t="s">
        <v>124</v>
      </c>
      <c r="B1" s="190" t="s">
        <v>125</v>
      </c>
      <c r="C1" s="191"/>
      <c r="D1" s="191"/>
      <c r="E1" s="191"/>
      <c r="F1" s="191"/>
      <c r="G1" s="191"/>
      <c r="H1" s="191"/>
      <c r="I1" s="191"/>
      <c r="J1" s="191"/>
      <c r="N1" s="5"/>
    </row>
    <row r="2" spans="1:29">
      <c r="A2" s="192" t="s">
        <v>126</v>
      </c>
      <c r="B2" s="193" t="s">
        <v>127</v>
      </c>
      <c r="C2" s="191"/>
      <c r="D2" s="191"/>
      <c r="E2" s="191"/>
      <c r="F2" s="191"/>
      <c r="G2" s="191"/>
      <c r="H2" s="191"/>
      <c r="I2" s="191"/>
      <c r="J2" s="191"/>
      <c r="M2" t="s">
        <v>129</v>
      </c>
      <c r="N2" s="120">
        <f>+Supuestos!M8</f>
        <v>19.5</v>
      </c>
    </row>
    <row r="3" spans="1:29">
      <c r="C3" s="191"/>
      <c r="D3" s="191"/>
      <c r="E3" s="191"/>
      <c r="F3" s="191"/>
      <c r="G3" s="191"/>
      <c r="H3" s="191"/>
      <c r="I3" s="191"/>
      <c r="J3" s="191"/>
      <c r="M3" t="s">
        <v>27</v>
      </c>
      <c r="N3" s="120">
        <f>+Supuestos!M9</f>
        <v>5.5</v>
      </c>
    </row>
    <row r="4" spans="1:29">
      <c r="A4" s="194" t="s">
        <v>130</v>
      </c>
      <c r="B4" s="194" t="s">
        <v>131</v>
      </c>
      <c r="C4" s="195" t="s">
        <v>132</v>
      </c>
      <c r="D4" s="196" t="s">
        <v>133</v>
      </c>
      <c r="E4" s="197" t="s">
        <v>134</v>
      </c>
      <c r="F4" s="198" t="s">
        <v>135</v>
      </c>
      <c r="G4" s="194" t="s">
        <v>136</v>
      </c>
      <c r="H4" s="194" t="s">
        <v>137</v>
      </c>
      <c r="I4" s="194" t="s">
        <v>138</v>
      </c>
      <c r="J4" s="194" t="s">
        <v>139</v>
      </c>
      <c r="K4" s="194" t="s">
        <v>140</v>
      </c>
      <c r="L4" s="194" t="s">
        <v>141</v>
      </c>
      <c r="M4" s="194" t="s">
        <v>142</v>
      </c>
      <c r="N4" s="199" t="s">
        <v>143</v>
      </c>
      <c r="O4" s="194" t="s">
        <v>143</v>
      </c>
      <c r="P4" s="194" t="s">
        <v>144</v>
      </c>
      <c r="Q4" s="194" t="s">
        <v>145</v>
      </c>
      <c r="R4" s="194" t="s">
        <v>146</v>
      </c>
      <c r="S4" s="194" t="s">
        <v>147</v>
      </c>
      <c r="T4" s="194" t="s">
        <v>34</v>
      </c>
      <c r="U4" s="194" t="s">
        <v>148</v>
      </c>
      <c r="V4" s="194" t="s">
        <v>149</v>
      </c>
      <c r="W4" s="194" t="s">
        <v>150</v>
      </c>
      <c r="X4" s="194" t="s">
        <v>151</v>
      </c>
      <c r="Y4" s="194" t="s">
        <v>152</v>
      </c>
      <c r="Z4" s="194" t="s">
        <v>153</v>
      </c>
      <c r="AA4" s="194" t="s">
        <v>154</v>
      </c>
      <c r="AC4" s="227" t="s">
        <v>283</v>
      </c>
    </row>
    <row r="5" spans="1:29">
      <c r="A5" s="200" t="s">
        <v>326</v>
      </c>
      <c r="B5" s="200"/>
      <c r="C5" s="201" t="s">
        <v>156</v>
      </c>
      <c r="D5" s="201" t="s">
        <v>156</v>
      </c>
      <c r="E5" s="201" t="s">
        <v>156</v>
      </c>
      <c r="F5" s="201" t="s">
        <v>156</v>
      </c>
      <c r="G5" s="200"/>
      <c r="H5" s="200"/>
      <c r="I5" s="200"/>
      <c r="J5" s="200"/>
      <c r="K5" s="200"/>
      <c r="L5" s="200"/>
      <c r="M5" s="200"/>
      <c r="N5" s="200"/>
      <c r="O5" s="200"/>
      <c r="P5" s="200"/>
      <c r="Q5" s="200"/>
      <c r="R5" s="200"/>
      <c r="S5" s="200"/>
      <c r="T5" s="200"/>
      <c r="U5" s="200"/>
      <c r="V5" s="200"/>
      <c r="W5" s="200"/>
      <c r="X5" s="200"/>
      <c r="Y5" s="200"/>
      <c r="Z5" s="200"/>
      <c r="AA5" s="200"/>
      <c r="AC5" s="200"/>
    </row>
    <row r="6" spans="1:29" ht="15.25" customHeight="1">
      <c r="A6" s="260" t="s">
        <v>327</v>
      </c>
      <c r="B6" t="s">
        <v>285</v>
      </c>
      <c r="C6" s="202">
        <v>1</v>
      </c>
      <c r="D6" s="203"/>
      <c r="E6" s="204"/>
      <c r="F6" s="205"/>
      <c r="G6" t="s">
        <v>328</v>
      </c>
      <c r="H6" t="s">
        <v>329</v>
      </c>
      <c r="I6" t="s">
        <v>330</v>
      </c>
      <c r="J6" s="261" t="s">
        <v>331</v>
      </c>
      <c r="K6" t="s">
        <v>332</v>
      </c>
      <c r="L6" t="s">
        <v>164</v>
      </c>
      <c r="M6" t="s">
        <v>128</v>
      </c>
      <c r="N6" s="199">
        <f>+IF(M6="MXN",O6/$N$2,IF(M6="BRL",O6/$N$3,O6))</f>
        <v>74400</v>
      </c>
      <c r="O6" s="207">
        <f>+SUM(P6:AA6)</f>
        <v>74400</v>
      </c>
      <c r="P6" s="262">
        <v>6200</v>
      </c>
      <c r="Q6" s="262">
        <v>6200</v>
      </c>
      <c r="R6" s="262">
        <v>6200</v>
      </c>
      <c r="S6" s="262">
        <v>6200</v>
      </c>
      <c r="T6" s="262">
        <v>6200</v>
      </c>
      <c r="U6" s="262">
        <v>6200</v>
      </c>
      <c r="V6" s="262">
        <v>6200</v>
      </c>
      <c r="W6" s="262">
        <v>6200</v>
      </c>
      <c r="X6" s="262">
        <v>6200</v>
      </c>
      <c r="Y6" s="262">
        <v>6200</v>
      </c>
      <c r="Z6" s="262">
        <v>6200</v>
      </c>
      <c r="AA6" s="262">
        <v>6200</v>
      </c>
    </row>
    <row r="7" spans="1:29">
      <c r="A7" t="s">
        <v>327</v>
      </c>
      <c r="B7" t="s">
        <v>285</v>
      </c>
      <c r="C7" s="202">
        <v>1</v>
      </c>
      <c r="D7" s="203"/>
      <c r="E7" s="204"/>
      <c r="F7" s="205"/>
      <c r="G7" t="s">
        <v>294</v>
      </c>
      <c r="H7" t="s">
        <v>333</v>
      </c>
      <c r="I7" t="s">
        <v>330</v>
      </c>
      <c r="J7" s="261" t="s">
        <v>331</v>
      </c>
      <c r="K7" t="s">
        <v>332</v>
      </c>
      <c r="L7" t="s">
        <v>164</v>
      </c>
      <c r="M7" t="s">
        <v>129</v>
      </c>
      <c r="N7" s="199">
        <f>+IF(M7="MXN",O7/$N$2,IF(M7="BRL",O7/$N$3,O7))</f>
        <v>12307.692307692309</v>
      </c>
      <c r="O7" s="207">
        <f>+SUM(P7:AA7)</f>
        <v>240000</v>
      </c>
      <c r="P7" s="263">
        <v>20000</v>
      </c>
      <c r="Q7" s="263">
        <v>20000</v>
      </c>
      <c r="R7" s="263">
        <v>20000</v>
      </c>
      <c r="S7" s="263">
        <v>20000</v>
      </c>
      <c r="T7" s="263">
        <v>20000</v>
      </c>
      <c r="U7" s="263">
        <v>20000</v>
      </c>
      <c r="V7" s="263">
        <v>20000</v>
      </c>
      <c r="W7" s="263">
        <v>20000</v>
      </c>
      <c r="X7" s="263">
        <v>20000</v>
      </c>
      <c r="Y7" s="263">
        <v>20000</v>
      </c>
      <c r="Z7" s="263">
        <v>20000</v>
      </c>
      <c r="AA7" s="263">
        <v>20000</v>
      </c>
    </row>
    <row r="8" spans="1:29">
      <c r="A8" s="200" t="s">
        <v>155</v>
      </c>
      <c r="B8" s="200"/>
      <c r="C8" s="201"/>
      <c r="D8" s="201"/>
      <c r="E8" s="201"/>
      <c r="F8" s="201"/>
      <c r="G8" s="200"/>
      <c r="H8" s="200"/>
      <c r="I8" s="200"/>
      <c r="J8" s="200"/>
      <c r="K8" s="200"/>
      <c r="L8" s="200"/>
      <c r="M8" s="200"/>
      <c r="N8" s="200"/>
      <c r="O8" s="200"/>
      <c r="P8" s="200"/>
      <c r="Q8" s="200"/>
      <c r="R8" s="200"/>
      <c r="S8" s="200"/>
      <c r="T8" s="200"/>
      <c r="U8" s="200"/>
      <c r="V8" s="200"/>
      <c r="W8" s="200"/>
      <c r="X8" s="200"/>
      <c r="Y8" s="200"/>
      <c r="Z8" s="200"/>
      <c r="AA8" s="200"/>
      <c r="AC8" s="200"/>
    </row>
    <row r="9" spans="1:29" ht="15.25" customHeight="1">
      <c r="A9" s="260" t="s">
        <v>327</v>
      </c>
      <c r="B9" t="s">
        <v>285</v>
      </c>
      <c r="C9" s="202">
        <v>1</v>
      </c>
      <c r="D9" s="203"/>
      <c r="E9" s="204"/>
      <c r="F9" s="205"/>
      <c r="G9" t="s">
        <v>334</v>
      </c>
      <c r="H9" t="s">
        <v>335</v>
      </c>
      <c r="I9" t="s">
        <v>336</v>
      </c>
      <c r="J9" s="260" t="s">
        <v>162</v>
      </c>
      <c r="K9" t="s">
        <v>163</v>
      </c>
      <c r="L9" t="s">
        <v>164</v>
      </c>
      <c r="M9" t="s">
        <v>128</v>
      </c>
      <c r="N9" s="199">
        <f t="shared" ref="N9:N17" si="0">+IF(M9="MXN",O9/$N$2,IF(M9="BRL",O9/$N$3,O9))</f>
        <v>356.39999999999992</v>
      </c>
      <c r="O9" s="207">
        <f t="shared" ref="O9:O17" si="1">+SUM(P9:AA9)</f>
        <v>356.39999999999992</v>
      </c>
      <c r="P9" s="234">
        <v>29.7</v>
      </c>
      <c r="Q9" s="234">
        <v>29.7</v>
      </c>
      <c r="R9" s="234">
        <v>29.7</v>
      </c>
      <c r="S9" s="234">
        <v>29.7</v>
      </c>
      <c r="T9" s="234">
        <v>29.7</v>
      </c>
      <c r="U9" s="234">
        <v>29.7</v>
      </c>
      <c r="V9" s="234">
        <v>29.7</v>
      </c>
      <c r="W9" s="234">
        <v>29.7</v>
      </c>
      <c r="X9" s="234">
        <v>29.7</v>
      </c>
      <c r="Y9" s="234">
        <v>29.7</v>
      </c>
      <c r="Z9" s="234">
        <v>29.7</v>
      </c>
      <c r="AA9" s="234">
        <v>29.7</v>
      </c>
    </row>
    <row r="10" spans="1:29" ht="18" customHeight="1">
      <c r="A10" s="260" t="s">
        <v>327</v>
      </c>
      <c r="B10" t="s">
        <v>285</v>
      </c>
      <c r="C10" s="202">
        <v>1</v>
      </c>
      <c r="D10" s="203"/>
      <c r="E10" s="204"/>
      <c r="F10" s="205"/>
      <c r="G10" t="s">
        <v>328</v>
      </c>
      <c r="H10" t="s">
        <v>337</v>
      </c>
      <c r="I10" t="s">
        <v>338</v>
      </c>
      <c r="J10" s="260" t="s">
        <v>162</v>
      </c>
      <c r="K10" t="s">
        <v>163</v>
      </c>
      <c r="L10" t="s">
        <v>164</v>
      </c>
      <c r="M10" t="s">
        <v>128</v>
      </c>
      <c r="N10" s="199">
        <f t="shared" si="0"/>
        <v>84</v>
      </c>
      <c r="O10" s="207">
        <f t="shared" si="1"/>
        <v>84</v>
      </c>
      <c r="P10" s="234">
        <v>7</v>
      </c>
      <c r="Q10" s="234">
        <v>7</v>
      </c>
      <c r="R10" s="234">
        <v>7</v>
      </c>
      <c r="S10" s="234">
        <v>7</v>
      </c>
      <c r="T10" s="234">
        <v>7</v>
      </c>
      <c r="U10" s="234">
        <v>7</v>
      </c>
      <c r="V10" s="234">
        <v>7</v>
      </c>
      <c r="W10" s="234">
        <v>7</v>
      </c>
      <c r="X10" s="234">
        <v>7</v>
      </c>
      <c r="Y10" s="234">
        <v>7</v>
      </c>
      <c r="Z10" s="234">
        <v>7</v>
      </c>
      <c r="AA10" s="234">
        <v>7</v>
      </c>
    </row>
    <row r="11" spans="1:29" ht="15.25" customHeight="1">
      <c r="A11" s="260" t="s">
        <v>327</v>
      </c>
      <c r="B11" t="s">
        <v>285</v>
      </c>
      <c r="C11" s="202"/>
      <c r="D11" s="203">
        <v>1</v>
      </c>
      <c r="E11" s="204"/>
      <c r="F11" s="205"/>
      <c r="G11" t="s">
        <v>328</v>
      </c>
      <c r="H11" t="s">
        <v>339</v>
      </c>
      <c r="I11" t="s">
        <v>340</v>
      </c>
      <c r="J11" s="260" t="s">
        <v>162</v>
      </c>
      <c r="K11" t="s">
        <v>163</v>
      </c>
      <c r="L11" t="s">
        <v>164</v>
      </c>
      <c r="M11" t="s">
        <v>129</v>
      </c>
      <c r="N11" s="199">
        <f t="shared" si="0"/>
        <v>20.512307692307694</v>
      </c>
      <c r="O11" s="207">
        <f t="shared" si="1"/>
        <v>399.99</v>
      </c>
      <c r="P11" s="234">
        <v>0</v>
      </c>
      <c r="Q11" s="234">
        <v>399.99</v>
      </c>
      <c r="R11" s="234">
        <v>0</v>
      </c>
      <c r="S11" s="234">
        <v>0</v>
      </c>
      <c r="T11" s="234">
        <v>0</v>
      </c>
      <c r="U11" s="234">
        <v>0</v>
      </c>
      <c r="V11" s="234">
        <v>0</v>
      </c>
      <c r="W11" s="234">
        <v>0</v>
      </c>
      <c r="X11" s="234">
        <v>0</v>
      </c>
      <c r="Y11" s="234">
        <v>0</v>
      </c>
      <c r="Z11" s="234">
        <v>0</v>
      </c>
      <c r="AA11" s="234">
        <v>0</v>
      </c>
      <c r="AC11" t="s">
        <v>341</v>
      </c>
    </row>
    <row r="12" spans="1:29" ht="18" customHeight="1">
      <c r="A12" s="260" t="s">
        <v>327</v>
      </c>
      <c r="B12" t="s">
        <v>285</v>
      </c>
      <c r="C12" s="202">
        <v>0.9</v>
      </c>
      <c r="D12" s="203">
        <v>0.1</v>
      </c>
      <c r="E12" s="204"/>
      <c r="F12" s="205"/>
      <c r="G12" t="s">
        <v>328</v>
      </c>
      <c r="H12" t="s">
        <v>342</v>
      </c>
      <c r="I12" t="s">
        <v>343</v>
      </c>
      <c r="J12" s="260" t="s">
        <v>162</v>
      </c>
      <c r="K12" t="s">
        <v>163</v>
      </c>
      <c r="L12" t="s">
        <v>164</v>
      </c>
      <c r="M12" t="s">
        <v>128</v>
      </c>
      <c r="N12" s="199">
        <f t="shared" si="0"/>
        <v>336</v>
      </c>
      <c r="O12" s="207">
        <f t="shared" si="1"/>
        <v>336</v>
      </c>
      <c r="P12" s="264">
        <v>0</v>
      </c>
      <c r="Q12" s="234">
        <v>0</v>
      </c>
      <c r="R12" s="234">
        <v>0</v>
      </c>
      <c r="S12" s="234">
        <v>0</v>
      </c>
      <c r="T12" s="234">
        <v>0</v>
      </c>
      <c r="U12" s="234">
        <v>0</v>
      </c>
      <c r="V12" s="234">
        <v>0</v>
      </c>
      <c r="W12" s="234">
        <v>336</v>
      </c>
      <c r="X12" s="234">
        <v>0</v>
      </c>
      <c r="Y12" s="234">
        <v>0</v>
      </c>
      <c r="Z12" s="234">
        <v>0</v>
      </c>
      <c r="AA12" s="234">
        <v>0</v>
      </c>
    </row>
    <row r="13" spans="1:29" ht="18" customHeight="1">
      <c r="A13" s="260" t="s">
        <v>327</v>
      </c>
      <c r="B13" t="s">
        <v>285</v>
      </c>
      <c r="C13" s="202">
        <v>1</v>
      </c>
      <c r="D13" s="203"/>
      <c r="E13" s="204"/>
      <c r="F13" s="205"/>
      <c r="G13" t="s">
        <v>328</v>
      </c>
      <c r="H13" t="s">
        <v>344</v>
      </c>
      <c r="I13" t="s">
        <v>345</v>
      </c>
      <c r="J13" s="260" t="s">
        <v>162</v>
      </c>
      <c r="K13" t="s">
        <v>163</v>
      </c>
      <c r="L13" t="s">
        <v>164</v>
      </c>
      <c r="M13" t="s">
        <v>128</v>
      </c>
      <c r="N13" s="199">
        <f t="shared" si="0"/>
        <v>588</v>
      </c>
      <c r="O13" s="207">
        <f t="shared" si="1"/>
        <v>588</v>
      </c>
      <c r="P13" s="234">
        <v>49</v>
      </c>
      <c r="Q13" s="234">
        <v>49</v>
      </c>
      <c r="R13" s="234">
        <v>49</v>
      </c>
      <c r="S13" s="234">
        <v>49</v>
      </c>
      <c r="T13" s="234">
        <v>49</v>
      </c>
      <c r="U13" s="234">
        <v>49</v>
      </c>
      <c r="V13" s="234">
        <v>49</v>
      </c>
      <c r="W13" s="234">
        <v>49</v>
      </c>
      <c r="X13" s="234">
        <v>49</v>
      </c>
      <c r="Y13" s="234">
        <v>49</v>
      </c>
      <c r="Z13" s="234">
        <v>49</v>
      </c>
      <c r="AA13" s="234">
        <v>49</v>
      </c>
    </row>
    <row r="14" spans="1:29" ht="18" customHeight="1">
      <c r="A14" s="260" t="s">
        <v>327</v>
      </c>
      <c r="B14" t="s">
        <v>285</v>
      </c>
      <c r="C14" s="202">
        <v>1</v>
      </c>
      <c r="D14" s="203"/>
      <c r="E14" s="204"/>
      <c r="F14" s="205"/>
      <c r="G14" t="s">
        <v>294</v>
      </c>
      <c r="H14" t="s">
        <v>346</v>
      </c>
      <c r="I14" t="s">
        <v>347</v>
      </c>
      <c r="J14" s="260" t="s">
        <v>162</v>
      </c>
      <c r="K14" t="s">
        <v>163</v>
      </c>
      <c r="L14" t="s">
        <v>164</v>
      </c>
      <c r="M14" t="s">
        <v>128</v>
      </c>
      <c r="N14" s="199">
        <f t="shared" si="0"/>
        <v>13728</v>
      </c>
      <c r="O14" s="207">
        <f t="shared" si="1"/>
        <v>13728</v>
      </c>
      <c r="P14" s="234">
        <v>0</v>
      </c>
      <c r="Q14" s="234">
        <v>6864</v>
      </c>
      <c r="R14" s="234">
        <v>0</v>
      </c>
      <c r="S14" s="234">
        <v>0</v>
      </c>
      <c r="T14" s="234">
        <v>0</v>
      </c>
      <c r="U14" s="234">
        <v>0</v>
      </c>
      <c r="V14" s="234">
        <v>0</v>
      </c>
      <c r="W14" s="234">
        <v>6864</v>
      </c>
      <c r="X14" s="234">
        <v>0</v>
      </c>
      <c r="Y14" s="234">
        <v>0</v>
      </c>
      <c r="Z14" s="234">
        <v>0</v>
      </c>
      <c r="AA14" s="234">
        <v>0</v>
      </c>
      <c r="AC14" t="s">
        <v>348</v>
      </c>
    </row>
    <row r="15" spans="1:29" ht="18" customHeight="1">
      <c r="A15" s="260" t="s">
        <v>327</v>
      </c>
      <c r="B15" t="s">
        <v>285</v>
      </c>
      <c r="C15" s="202">
        <v>1</v>
      </c>
      <c r="D15" s="203"/>
      <c r="E15" s="204"/>
      <c r="F15" s="205"/>
      <c r="G15" t="s">
        <v>328</v>
      </c>
      <c r="H15" s="213" t="s">
        <v>349</v>
      </c>
      <c r="I15" t="s">
        <v>350</v>
      </c>
      <c r="J15" s="260" t="s">
        <v>162</v>
      </c>
      <c r="K15" t="s">
        <v>163</v>
      </c>
      <c r="L15" t="s">
        <v>164</v>
      </c>
      <c r="M15" t="s">
        <v>128</v>
      </c>
      <c r="N15" s="199">
        <f t="shared" si="0"/>
        <v>144</v>
      </c>
      <c r="O15" s="207">
        <f t="shared" si="1"/>
        <v>144</v>
      </c>
      <c r="P15" s="234">
        <v>12</v>
      </c>
      <c r="Q15" s="234">
        <v>12</v>
      </c>
      <c r="R15" s="234">
        <v>12</v>
      </c>
      <c r="S15" s="234">
        <v>12</v>
      </c>
      <c r="T15" s="234">
        <v>12</v>
      </c>
      <c r="U15" s="234">
        <v>12</v>
      </c>
      <c r="V15" s="234">
        <v>12</v>
      </c>
      <c r="W15" s="234">
        <v>12</v>
      </c>
      <c r="X15" s="234">
        <v>12</v>
      </c>
      <c r="Y15" s="234">
        <v>12</v>
      </c>
      <c r="Z15" s="234">
        <v>12</v>
      </c>
      <c r="AA15" s="234">
        <v>12</v>
      </c>
      <c r="AC15" t="s">
        <v>351</v>
      </c>
    </row>
    <row r="16" spans="1:29">
      <c r="A16" t="s">
        <v>327</v>
      </c>
      <c r="B16" t="s">
        <v>285</v>
      </c>
      <c r="C16" s="202">
        <v>0.9</v>
      </c>
      <c r="D16" s="203">
        <v>0.1</v>
      </c>
      <c r="E16" s="204"/>
      <c r="F16" s="205"/>
      <c r="G16" t="s">
        <v>294</v>
      </c>
      <c r="H16" t="s">
        <v>352</v>
      </c>
      <c r="I16" t="s">
        <v>353</v>
      </c>
      <c r="J16" s="206" t="s">
        <v>162</v>
      </c>
      <c r="K16" t="s">
        <v>163</v>
      </c>
      <c r="L16" t="s">
        <v>164</v>
      </c>
      <c r="M16" t="s">
        <v>128</v>
      </c>
      <c r="N16" s="199">
        <f t="shared" si="0"/>
        <v>120</v>
      </c>
      <c r="O16" s="207">
        <f t="shared" si="1"/>
        <v>120</v>
      </c>
      <c r="P16" s="263">
        <v>10</v>
      </c>
      <c r="Q16" s="263">
        <v>10</v>
      </c>
      <c r="R16" s="263">
        <v>10</v>
      </c>
      <c r="S16" s="263">
        <v>10</v>
      </c>
      <c r="T16" s="263">
        <v>10</v>
      </c>
      <c r="U16" s="263">
        <v>10</v>
      </c>
      <c r="V16" s="263">
        <v>10</v>
      </c>
      <c r="W16" s="263">
        <v>10</v>
      </c>
      <c r="X16" s="263">
        <v>10</v>
      </c>
      <c r="Y16" s="263">
        <v>10</v>
      </c>
      <c r="Z16" s="263">
        <v>10</v>
      </c>
      <c r="AA16" s="263">
        <v>10</v>
      </c>
    </row>
    <row r="17" spans="1:29" ht="18" customHeight="1">
      <c r="A17" s="260" t="s">
        <v>327</v>
      </c>
      <c r="B17" t="s">
        <v>285</v>
      </c>
      <c r="C17" s="202"/>
      <c r="D17" s="203">
        <v>1</v>
      </c>
      <c r="E17" s="204"/>
      <c r="F17" s="205"/>
      <c r="G17" t="s">
        <v>328</v>
      </c>
      <c r="H17" s="213" t="s">
        <v>354</v>
      </c>
      <c r="I17" t="s">
        <v>355</v>
      </c>
      <c r="J17" s="260" t="s">
        <v>162</v>
      </c>
      <c r="K17" t="s">
        <v>163</v>
      </c>
      <c r="L17" t="s">
        <v>164</v>
      </c>
      <c r="M17" t="s">
        <v>128</v>
      </c>
      <c r="N17" s="199">
        <f t="shared" si="0"/>
        <v>1188</v>
      </c>
      <c r="O17" s="207">
        <f t="shared" si="1"/>
        <v>1188</v>
      </c>
      <c r="P17" s="234">
        <v>99</v>
      </c>
      <c r="Q17" s="234">
        <v>99</v>
      </c>
      <c r="R17" s="234">
        <v>99</v>
      </c>
      <c r="S17" s="234">
        <v>99</v>
      </c>
      <c r="T17" s="234">
        <v>99</v>
      </c>
      <c r="U17" s="234">
        <v>99</v>
      </c>
      <c r="V17" s="234">
        <v>99</v>
      </c>
      <c r="W17" s="234">
        <v>99</v>
      </c>
      <c r="X17" s="234">
        <v>99</v>
      </c>
      <c r="Y17" s="234">
        <v>99</v>
      </c>
      <c r="Z17" s="234">
        <v>99</v>
      </c>
      <c r="AA17" s="234">
        <v>99</v>
      </c>
    </row>
    <row r="18" spans="1:29">
      <c r="A18" s="200" t="s">
        <v>207</v>
      </c>
      <c r="B18" s="200"/>
      <c r="C18" s="201"/>
      <c r="D18" s="201"/>
      <c r="E18" s="201"/>
      <c r="F18" s="201"/>
      <c r="G18" s="200"/>
      <c r="H18" s="200"/>
      <c r="I18" s="200"/>
      <c r="J18" s="200"/>
      <c r="K18" s="200"/>
      <c r="L18" s="200"/>
      <c r="M18" s="200"/>
      <c r="N18" s="200"/>
      <c r="O18" s="200"/>
      <c r="P18" s="200"/>
      <c r="Q18" s="200"/>
      <c r="R18" s="200"/>
      <c r="S18" s="200"/>
      <c r="T18" s="200"/>
      <c r="U18" s="200"/>
      <c r="V18" s="200"/>
      <c r="W18" s="200"/>
      <c r="X18" s="200"/>
      <c r="Y18" s="200"/>
      <c r="Z18" s="200"/>
      <c r="AA18" s="200"/>
      <c r="AC18" s="200"/>
    </row>
    <row r="19" spans="1:29">
      <c r="A19" s="215" t="s">
        <v>174</v>
      </c>
      <c r="B19" s="215"/>
      <c r="C19" s="216"/>
      <c r="D19" s="216"/>
      <c r="E19" s="216"/>
      <c r="F19" s="216"/>
      <c r="G19" s="215"/>
      <c r="H19" s="215"/>
      <c r="I19" s="215"/>
      <c r="J19" s="215"/>
      <c r="K19" s="215"/>
      <c r="L19" s="215"/>
      <c r="M19" s="215"/>
      <c r="N19" s="265"/>
      <c r="O19" s="265"/>
      <c r="P19" s="265"/>
      <c r="Q19" s="265"/>
      <c r="R19" s="265"/>
      <c r="S19" s="265"/>
      <c r="T19" s="265"/>
      <c r="U19" s="265"/>
      <c r="V19" s="265"/>
      <c r="W19" s="265"/>
      <c r="X19" s="265"/>
      <c r="Y19" s="265"/>
      <c r="Z19" s="265"/>
      <c r="AA19" s="265"/>
      <c r="AC19" s="215"/>
    </row>
    <row r="20" spans="1:29" s="297" customFormat="1">
      <c r="A20" s="725" t="s">
        <v>327</v>
      </c>
      <c r="B20" s="297" t="s">
        <v>285</v>
      </c>
      <c r="C20" s="202">
        <v>1</v>
      </c>
      <c r="D20" s="203"/>
      <c r="E20" s="204"/>
      <c r="F20" s="205"/>
      <c r="G20" s="297" t="s">
        <v>209</v>
      </c>
      <c r="H20" s="297" t="s">
        <v>743</v>
      </c>
      <c r="I20" s="297" t="s">
        <v>370</v>
      </c>
      <c r="J20" s="725" t="s">
        <v>217</v>
      </c>
      <c r="K20" s="221" t="s">
        <v>218</v>
      </c>
      <c r="L20" s="221" t="s">
        <v>214</v>
      </c>
      <c r="M20" s="725" t="s">
        <v>128</v>
      </c>
      <c r="N20" s="224">
        <f>+IF(M20="MXN",O20/$N$2,IF(M20="BRL",O20/$N$3,O20))</f>
        <v>25200</v>
      </c>
      <c r="O20" s="225">
        <f>+SUM(P20:AA20)</f>
        <v>25200</v>
      </c>
      <c r="P20" s="726">
        <v>2100</v>
      </c>
      <c r="Q20" s="726">
        <v>2100</v>
      </c>
      <c r="R20" s="726">
        <v>2100</v>
      </c>
      <c r="S20" s="726">
        <v>2100</v>
      </c>
      <c r="T20" s="726">
        <v>2100</v>
      </c>
      <c r="U20" s="726">
        <v>2100</v>
      </c>
      <c r="V20" s="726">
        <v>2100</v>
      </c>
      <c r="W20" s="726">
        <v>2100</v>
      </c>
      <c r="X20" s="726">
        <v>2100</v>
      </c>
      <c r="Y20" s="726">
        <v>2100</v>
      </c>
      <c r="Z20" s="726">
        <v>2100</v>
      </c>
      <c r="AA20" s="726">
        <v>2100</v>
      </c>
      <c r="AC20" s="221" t="s">
        <v>371</v>
      </c>
    </row>
    <row r="21" spans="1:29">
      <c r="A21" s="215" t="s">
        <v>307</v>
      </c>
      <c r="B21" s="215"/>
      <c r="C21" s="216"/>
      <c r="D21" s="216"/>
      <c r="E21" s="216"/>
      <c r="F21" s="216"/>
      <c r="G21" s="215"/>
      <c r="H21" s="215"/>
      <c r="I21" s="215"/>
      <c r="J21" s="215"/>
      <c r="K21" s="215"/>
      <c r="L21" s="215"/>
      <c r="M21" s="215"/>
      <c r="N21" s="265"/>
      <c r="O21" s="265"/>
      <c r="P21" s="265"/>
      <c r="Q21" s="265"/>
      <c r="R21" s="265"/>
      <c r="S21" s="265"/>
      <c r="T21" s="265"/>
      <c r="U21" s="265"/>
      <c r="V21" s="265"/>
      <c r="W21" s="265"/>
      <c r="X21" s="265"/>
      <c r="Y21" s="265"/>
      <c r="Z21" s="265"/>
      <c r="AA21" s="265"/>
      <c r="AC21" s="215"/>
    </row>
    <row r="22" spans="1:29">
      <c r="A22" s="260" t="s">
        <v>327</v>
      </c>
      <c r="B22" t="s">
        <v>285</v>
      </c>
      <c r="C22" s="202">
        <v>1</v>
      </c>
      <c r="D22" s="203"/>
      <c r="E22" s="204"/>
      <c r="F22" s="205"/>
      <c r="G22" t="s">
        <v>209</v>
      </c>
      <c r="H22" t="s">
        <v>356</v>
      </c>
      <c r="I22" t="s">
        <v>357</v>
      </c>
      <c r="J22" s="260" t="s">
        <v>217</v>
      </c>
      <c r="K22" t="s">
        <v>218</v>
      </c>
      <c r="L22" t="s">
        <v>214</v>
      </c>
      <c r="M22" s="260" t="s">
        <v>129</v>
      </c>
      <c r="N22" s="199">
        <f t="shared" ref="N22:N31" si="2">+IF(M22="MXN",O22/$N$2,IF(M22="BRL",O22/$N$3,O22))</f>
        <v>48953.907692307686</v>
      </c>
      <c r="O22" s="207">
        <f t="shared" ref="O22:O31" si="3">+SUM(P22:AA22)</f>
        <v>954601.19999999984</v>
      </c>
      <c r="P22" s="266">
        <v>79550.100000000006</v>
      </c>
      <c r="Q22" s="266">
        <v>79550.100000000006</v>
      </c>
      <c r="R22" s="266">
        <v>79550.100000000006</v>
      </c>
      <c r="S22" s="266">
        <v>79550.100000000006</v>
      </c>
      <c r="T22" s="266">
        <v>79550.100000000006</v>
      </c>
      <c r="U22" s="266">
        <v>79550.100000000006</v>
      </c>
      <c r="V22" s="266">
        <v>79550.100000000006</v>
      </c>
      <c r="W22" s="266">
        <v>79550.100000000006</v>
      </c>
      <c r="X22" s="266">
        <v>79550.100000000006</v>
      </c>
      <c r="Y22" s="266">
        <v>79550.100000000006</v>
      </c>
      <c r="Z22" s="266">
        <v>79550.100000000006</v>
      </c>
      <c r="AA22" s="266">
        <v>79550.100000000006</v>
      </c>
      <c r="AC22" t="s">
        <v>358</v>
      </c>
    </row>
    <row r="23" spans="1:29">
      <c r="A23" s="260" t="s">
        <v>327</v>
      </c>
      <c r="B23" t="s">
        <v>285</v>
      </c>
      <c r="C23" s="202"/>
      <c r="D23" s="203"/>
      <c r="E23" s="204"/>
      <c r="F23" s="205"/>
      <c r="G23" t="s">
        <v>209</v>
      </c>
      <c r="H23" t="s">
        <v>359</v>
      </c>
      <c r="I23" t="s">
        <v>360</v>
      </c>
      <c r="J23" s="260" t="s">
        <v>217</v>
      </c>
      <c r="K23" t="s">
        <v>218</v>
      </c>
      <c r="L23" t="s">
        <v>214</v>
      </c>
      <c r="M23" s="260" t="s">
        <v>129</v>
      </c>
      <c r="N23" s="199">
        <f t="shared" si="2"/>
        <v>0</v>
      </c>
      <c r="O23" s="207">
        <f t="shared" si="3"/>
        <v>0</v>
      </c>
      <c r="P23" s="561">
        <v>0</v>
      </c>
      <c r="Q23" s="561">
        <v>0</v>
      </c>
      <c r="R23" s="561">
        <v>0</v>
      </c>
      <c r="S23" s="561">
        <v>0</v>
      </c>
      <c r="T23" s="561">
        <v>0</v>
      </c>
      <c r="U23" s="561">
        <v>0</v>
      </c>
      <c r="V23" s="561">
        <v>0</v>
      </c>
      <c r="W23" s="561">
        <v>0</v>
      </c>
      <c r="X23" s="561">
        <v>0</v>
      </c>
      <c r="Y23" s="561">
        <v>0</v>
      </c>
      <c r="Z23" s="561">
        <v>0</v>
      </c>
      <c r="AA23" s="561">
        <v>0</v>
      </c>
      <c r="AC23" t="s">
        <v>358</v>
      </c>
    </row>
    <row r="24" spans="1:29">
      <c r="A24" s="260" t="s">
        <v>327</v>
      </c>
      <c r="B24" t="s">
        <v>285</v>
      </c>
      <c r="C24" s="202">
        <v>1</v>
      </c>
      <c r="D24" s="203"/>
      <c r="E24" s="204"/>
      <c r="F24" s="205"/>
      <c r="G24" t="s">
        <v>209</v>
      </c>
      <c r="H24" t="s">
        <v>361</v>
      </c>
      <c r="I24" t="s">
        <v>362</v>
      </c>
      <c r="J24" s="260" t="s">
        <v>217</v>
      </c>
      <c r="K24" t="s">
        <v>218</v>
      </c>
      <c r="L24" t="s">
        <v>214</v>
      </c>
      <c r="M24" s="260" t="s">
        <v>129</v>
      </c>
      <c r="N24" s="199">
        <f t="shared" si="2"/>
        <v>39384.615384615383</v>
      </c>
      <c r="O24" s="207">
        <f t="shared" si="3"/>
        <v>768000</v>
      </c>
      <c r="P24" s="266">
        <v>64000</v>
      </c>
      <c r="Q24" s="266">
        <v>64000</v>
      </c>
      <c r="R24" s="266">
        <v>64000</v>
      </c>
      <c r="S24" s="266">
        <v>64000</v>
      </c>
      <c r="T24" s="266">
        <v>64000</v>
      </c>
      <c r="U24" s="266">
        <v>64000</v>
      </c>
      <c r="V24" s="266">
        <v>64000</v>
      </c>
      <c r="W24" s="266">
        <v>64000</v>
      </c>
      <c r="X24" s="266">
        <v>64000</v>
      </c>
      <c r="Y24" s="266">
        <v>64000</v>
      </c>
      <c r="Z24" s="266">
        <v>64000</v>
      </c>
      <c r="AA24" s="266">
        <v>64000</v>
      </c>
      <c r="AC24" t="s">
        <v>358</v>
      </c>
    </row>
    <row r="25" spans="1:29">
      <c r="A25" s="260" t="s">
        <v>327</v>
      </c>
      <c r="B25" t="s">
        <v>285</v>
      </c>
      <c r="C25" s="202">
        <v>1</v>
      </c>
      <c r="D25" s="203"/>
      <c r="E25" s="204"/>
      <c r="F25" s="205"/>
      <c r="G25" t="s">
        <v>209</v>
      </c>
      <c r="H25" t="s">
        <v>363</v>
      </c>
      <c r="I25" t="s">
        <v>364</v>
      </c>
      <c r="J25" s="260" t="s">
        <v>217</v>
      </c>
      <c r="K25" t="s">
        <v>218</v>
      </c>
      <c r="L25" t="s">
        <v>214</v>
      </c>
      <c r="M25" s="260" t="s">
        <v>129</v>
      </c>
      <c r="N25" s="199">
        <f t="shared" si="2"/>
        <v>42738.461538461539</v>
      </c>
      <c r="O25" s="207">
        <f t="shared" si="3"/>
        <v>833400</v>
      </c>
      <c r="P25" s="267">
        <v>69450</v>
      </c>
      <c r="Q25" s="267">
        <v>69450</v>
      </c>
      <c r="R25" s="267">
        <v>69450</v>
      </c>
      <c r="S25" s="267">
        <v>69450</v>
      </c>
      <c r="T25" s="267">
        <v>69450</v>
      </c>
      <c r="U25" s="267">
        <v>69450</v>
      </c>
      <c r="V25" s="267">
        <v>69450</v>
      </c>
      <c r="W25" s="267">
        <v>69450</v>
      </c>
      <c r="X25" s="267">
        <v>69450</v>
      </c>
      <c r="Y25" s="267">
        <v>69450</v>
      </c>
      <c r="Z25" s="267">
        <v>69450</v>
      </c>
      <c r="AA25" s="267">
        <v>69450</v>
      </c>
      <c r="AC25" t="s">
        <v>358</v>
      </c>
    </row>
    <row r="26" spans="1:29">
      <c r="A26" s="260" t="s">
        <v>327</v>
      </c>
      <c r="B26" t="s">
        <v>285</v>
      </c>
      <c r="C26" s="202">
        <v>1</v>
      </c>
      <c r="D26" s="203"/>
      <c r="E26" s="204"/>
      <c r="F26" s="205"/>
      <c r="G26" t="s">
        <v>209</v>
      </c>
      <c r="H26" t="s">
        <v>365</v>
      </c>
      <c r="I26" t="s">
        <v>366</v>
      </c>
      <c r="J26" s="260" t="s">
        <v>217</v>
      </c>
      <c r="K26" t="s">
        <v>218</v>
      </c>
      <c r="L26" t="s">
        <v>214</v>
      </c>
      <c r="M26" s="260" t="s">
        <v>129</v>
      </c>
      <c r="N26" s="199">
        <f>+IF(M26="MXN",O26/$N$2,IF(M26="BRL",O26/$N$3,O26))</f>
        <v>29769.23076923077</v>
      </c>
      <c r="O26" s="207">
        <f>+SUM(P26:AA26)</f>
        <v>580500</v>
      </c>
      <c r="P26" s="723">
        <v>0</v>
      </c>
      <c r="Q26" s="723">
        <v>0</v>
      </c>
      <c r="R26" s="723">
        <v>0</v>
      </c>
      <c r="S26" s="266">
        <v>64500</v>
      </c>
      <c r="T26" s="266">
        <v>64500</v>
      </c>
      <c r="U26" s="266">
        <v>64500</v>
      </c>
      <c r="V26" s="266">
        <v>64500</v>
      </c>
      <c r="W26" s="266">
        <v>64500</v>
      </c>
      <c r="X26" s="266">
        <v>64500</v>
      </c>
      <c r="Y26" s="266">
        <v>64500</v>
      </c>
      <c r="Z26" s="266">
        <v>64500</v>
      </c>
      <c r="AA26" s="266">
        <v>64500</v>
      </c>
      <c r="AC26" t="s">
        <v>358</v>
      </c>
    </row>
    <row r="27" spans="1:29">
      <c r="A27" s="260" t="s">
        <v>327</v>
      </c>
      <c r="B27" t="s">
        <v>285</v>
      </c>
      <c r="C27" s="202"/>
      <c r="D27" s="203"/>
      <c r="E27" s="204"/>
      <c r="F27" s="205"/>
      <c r="G27" t="s">
        <v>209</v>
      </c>
      <c r="H27" t="s">
        <v>367</v>
      </c>
      <c r="I27" t="s">
        <v>368</v>
      </c>
      <c r="J27" s="260" t="s">
        <v>217</v>
      </c>
      <c r="K27" t="s">
        <v>218</v>
      </c>
      <c r="L27" t="s">
        <v>214</v>
      </c>
      <c r="M27" s="260" t="s">
        <v>129</v>
      </c>
      <c r="N27" s="199">
        <f t="shared" si="2"/>
        <v>0</v>
      </c>
      <c r="O27" s="207">
        <f t="shared" si="3"/>
        <v>0</v>
      </c>
      <c r="P27" s="561">
        <v>0</v>
      </c>
      <c r="Q27" s="561">
        <v>0</v>
      </c>
      <c r="R27" s="561">
        <v>0</v>
      </c>
      <c r="S27" s="561">
        <v>0</v>
      </c>
      <c r="T27" s="561">
        <v>0</v>
      </c>
      <c r="U27" s="561">
        <v>0</v>
      </c>
      <c r="V27" s="561">
        <v>0</v>
      </c>
      <c r="W27" s="561">
        <v>0</v>
      </c>
      <c r="X27" s="561">
        <v>0</v>
      </c>
      <c r="Y27" s="561">
        <v>0</v>
      </c>
      <c r="Z27" s="561">
        <v>0</v>
      </c>
      <c r="AA27" s="561">
        <v>0</v>
      </c>
      <c r="AC27" t="s">
        <v>369</v>
      </c>
    </row>
    <row r="28" spans="1:29">
      <c r="A28" s="260" t="s">
        <v>327</v>
      </c>
      <c r="B28" t="s">
        <v>285</v>
      </c>
      <c r="C28" s="202"/>
      <c r="D28" s="203"/>
      <c r="E28" s="204"/>
      <c r="F28" s="205"/>
      <c r="G28" t="s">
        <v>209</v>
      </c>
      <c r="H28" t="s">
        <v>372</v>
      </c>
      <c r="I28" t="s">
        <v>368</v>
      </c>
      <c r="J28" s="260" t="s">
        <v>217</v>
      </c>
      <c r="K28" t="s">
        <v>218</v>
      </c>
      <c r="L28" t="s">
        <v>214</v>
      </c>
      <c r="M28" s="260" t="s">
        <v>129</v>
      </c>
      <c r="N28" s="199">
        <f t="shared" si="2"/>
        <v>0</v>
      </c>
      <c r="O28" s="207">
        <f t="shared" si="3"/>
        <v>0</v>
      </c>
      <c r="P28" s="560">
        <v>0</v>
      </c>
      <c r="Q28" s="560">
        <v>0</v>
      </c>
      <c r="R28" s="560">
        <v>0</v>
      </c>
      <c r="S28" s="560">
        <v>0</v>
      </c>
      <c r="T28" s="560">
        <v>0</v>
      </c>
      <c r="U28" s="560">
        <v>0</v>
      </c>
      <c r="V28" s="560">
        <v>0</v>
      </c>
      <c r="W28" s="560">
        <v>0</v>
      </c>
      <c r="X28" s="560">
        <v>0</v>
      </c>
      <c r="Y28" s="560">
        <v>0</v>
      </c>
      <c r="Z28" s="560">
        <v>0</v>
      </c>
      <c r="AA28" s="560">
        <v>0</v>
      </c>
      <c r="AC28" t="s">
        <v>317</v>
      </c>
    </row>
    <row r="29" spans="1:29">
      <c r="A29" s="260" t="s">
        <v>327</v>
      </c>
      <c r="B29" t="s">
        <v>285</v>
      </c>
      <c r="C29" s="202">
        <v>1</v>
      </c>
      <c r="D29" s="203"/>
      <c r="E29" s="204"/>
      <c r="F29" s="205"/>
      <c r="G29" t="s">
        <v>209</v>
      </c>
      <c r="H29" t="s">
        <v>373</v>
      </c>
      <c r="I29" t="s">
        <v>374</v>
      </c>
      <c r="J29" s="260" t="s">
        <v>217</v>
      </c>
      <c r="K29" t="s">
        <v>218</v>
      </c>
      <c r="L29" t="s">
        <v>214</v>
      </c>
      <c r="M29" s="260" t="s">
        <v>129</v>
      </c>
      <c r="N29" s="199">
        <f t="shared" si="2"/>
        <v>19938.461538461543</v>
      </c>
      <c r="O29" s="207">
        <f t="shared" si="3"/>
        <v>388800.00000000006</v>
      </c>
      <c r="P29" s="268">
        <v>32400.000000000004</v>
      </c>
      <c r="Q29" s="268">
        <v>32400.000000000004</v>
      </c>
      <c r="R29" s="268">
        <v>32400.000000000004</v>
      </c>
      <c r="S29" s="268">
        <v>32400.000000000004</v>
      </c>
      <c r="T29" s="268">
        <v>32400.000000000004</v>
      </c>
      <c r="U29" s="268">
        <v>32400.000000000004</v>
      </c>
      <c r="V29" s="268">
        <v>32400.000000000004</v>
      </c>
      <c r="W29" s="268">
        <v>32400.000000000004</v>
      </c>
      <c r="X29" s="268">
        <v>32400.000000000004</v>
      </c>
      <c r="Y29" s="268">
        <v>32400.000000000004</v>
      </c>
      <c r="Z29" s="268">
        <v>32400.000000000004</v>
      </c>
      <c r="AA29" s="268">
        <v>32400.000000000004</v>
      </c>
      <c r="AC29" s="221" t="s">
        <v>375</v>
      </c>
    </row>
    <row r="30" spans="1:29">
      <c r="A30" s="260" t="s">
        <v>327</v>
      </c>
      <c r="B30" t="s">
        <v>285</v>
      </c>
      <c r="C30" s="202">
        <v>1</v>
      </c>
      <c r="D30" s="203"/>
      <c r="E30" s="204"/>
      <c r="F30" s="205"/>
      <c r="G30" t="s">
        <v>209</v>
      </c>
      <c r="H30" t="s">
        <v>376</v>
      </c>
      <c r="I30" t="s">
        <v>377</v>
      </c>
      <c r="J30" s="260" t="s">
        <v>217</v>
      </c>
      <c r="K30" t="s">
        <v>218</v>
      </c>
      <c r="L30" t="s">
        <v>214</v>
      </c>
      <c r="M30" s="260" t="s">
        <v>129</v>
      </c>
      <c r="N30" s="199">
        <f t="shared" si="2"/>
        <v>18461.538461538461</v>
      </c>
      <c r="O30" s="207">
        <f t="shared" si="3"/>
        <v>360000</v>
      </c>
      <c r="P30" s="266">
        <v>30000</v>
      </c>
      <c r="Q30" s="266">
        <v>30000</v>
      </c>
      <c r="R30" s="266">
        <v>30000</v>
      </c>
      <c r="S30" s="266">
        <v>30000</v>
      </c>
      <c r="T30" s="266">
        <v>30000</v>
      </c>
      <c r="U30" s="266">
        <v>30000</v>
      </c>
      <c r="V30" s="266">
        <v>30000</v>
      </c>
      <c r="W30" s="266">
        <v>30000</v>
      </c>
      <c r="X30" s="266">
        <v>30000</v>
      </c>
      <c r="Y30" s="266">
        <v>30000</v>
      </c>
      <c r="Z30" s="266">
        <v>30000</v>
      </c>
      <c r="AA30" s="266">
        <v>30000</v>
      </c>
      <c r="AC30" t="s">
        <v>378</v>
      </c>
    </row>
    <row r="31" spans="1:29" ht="15.25" customHeight="1">
      <c r="A31" s="261" t="s">
        <v>327</v>
      </c>
      <c r="B31" s="236" t="s">
        <v>285</v>
      </c>
      <c r="C31" s="202">
        <v>1</v>
      </c>
      <c r="D31" s="203"/>
      <c r="E31" s="204"/>
      <c r="F31" s="205"/>
      <c r="G31" s="236" t="s">
        <v>209</v>
      </c>
      <c r="H31" s="236" t="s">
        <v>379</v>
      </c>
      <c r="I31" s="261" t="s">
        <v>368</v>
      </c>
      <c r="J31" s="261" t="s">
        <v>217</v>
      </c>
      <c r="K31" t="s">
        <v>218</v>
      </c>
      <c r="L31" t="s">
        <v>214</v>
      </c>
      <c r="M31" s="261" t="s">
        <v>129</v>
      </c>
      <c r="N31" s="199">
        <f t="shared" si="2"/>
        <v>18461.538461538461</v>
      </c>
      <c r="O31" s="207">
        <f t="shared" si="3"/>
        <v>360000</v>
      </c>
      <c r="P31" s="267">
        <v>30000</v>
      </c>
      <c r="Q31" s="267">
        <v>30000</v>
      </c>
      <c r="R31" s="267">
        <v>30000</v>
      </c>
      <c r="S31" s="267">
        <v>30000</v>
      </c>
      <c r="T31" s="267">
        <v>30000</v>
      </c>
      <c r="U31" s="267">
        <v>30000</v>
      </c>
      <c r="V31" s="267">
        <v>30000</v>
      </c>
      <c r="W31" s="267">
        <v>30000</v>
      </c>
      <c r="X31" s="267">
        <v>30000</v>
      </c>
      <c r="Y31" s="267">
        <v>30000</v>
      </c>
      <c r="Z31" s="267">
        <v>30000</v>
      </c>
      <c r="AA31" s="267">
        <v>30000</v>
      </c>
      <c r="AC31" t="s">
        <v>380</v>
      </c>
    </row>
    <row r="32" spans="1:29">
      <c r="A32" s="215" t="s">
        <v>381</v>
      </c>
      <c r="B32" s="215"/>
      <c r="C32" s="216"/>
      <c r="D32" s="216"/>
      <c r="E32" s="216"/>
      <c r="F32" s="216"/>
      <c r="G32" s="215"/>
      <c r="H32" s="215"/>
      <c r="I32" s="215"/>
      <c r="J32" s="215"/>
      <c r="K32" s="215"/>
      <c r="L32" s="215"/>
      <c r="M32" s="215"/>
      <c r="N32" s="265"/>
      <c r="O32" s="265"/>
      <c r="P32" s="265"/>
      <c r="Q32" s="265"/>
      <c r="R32" s="265"/>
      <c r="S32" s="265"/>
      <c r="T32" s="265"/>
      <c r="U32" s="265"/>
      <c r="V32" s="265"/>
      <c r="W32" s="265"/>
      <c r="X32" s="265"/>
      <c r="Y32" s="265"/>
      <c r="Z32" s="265"/>
      <c r="AA32" s="265"/>
      <c r="AC32" s="215"/>
    </row>
    <row r="33" spans="1:29">
      <c r="A33" s="260" t="s">
        <v>327</v>
      </c>
      <c r="B33" t="s">
        <v>285</v>
      </c>
      <c r="C33" s="202"/>
      <c r="D33" s="203">
        <v>1</v>
      </c>
      <c r="E33" s="204"/>
      <c r="F33" s="205"/>
      <c r="G33" t="s">
        <v>209</v>
      </c>
      <c r="H33" t="s">
        <v>382</v>
      </c>
      <c r="I33" t="s">
        <v>383</v>
      </c>
      <c r="J33" s="260" t="s">
        <v>217</v>
      </c>
      <c r="K33" t="s">
        <v>218</v>
      </c>
      <c r="L33" t="s">
        <v>214</v>
      </c>
      <c r="M33" s="260" t="s">
        <v>128</v>
      </c>
      <c r="N33" s="199">
        <f>+IF(M33="MXN",O33/$N$2,IF(M33="BRL",O33/$N$3,O33))</f>
        <v>13860</v>
      </c>
      <c r="O33" s="553">
        <f>+SUM(P33:AA33)</f>
        <v>13860</v>
      </c>
      <c r="P33" s="560">
        <v>1155</v>
      </c>
      <c r="Q33" s="560">
        <v>1155</v>
      </c>
      <c r="R33" s="560">
        <v>1155</v>
      </c>
      <c r="S33" s="560">
        <v>1155</v>
      </c>
      <c r="T33" s="560">
        <v>1155</v>
      </c>
      <c r="U33" s="560">
        <v>1155</v>
      </c>
      <c r="V33" s="560">
        <v>1155</v>
      </c>
      <c r="W33" s="560">
        <v>1155</v>
      </c>
      <c r="X33" s="560">
        <v>1155</v>
      </c>
      <c r="Y33" s="560">
        <v>1155</v>
      </c>
      <c r="Z33" s="560">
        <v>1155</v>
      </c>
      <c r="AA33" s="560">
        <v>1155</v>
      </c>
      <c r="AC33" t="s">
        <v>317</v>
      </c>
    </row>
    <row r="34" spans="1:29">
      <c r="A34" s="215" t="s">
        <v>311</v>
      </c>
      <c r="B34" s="215"/>
      <c r="C34" s="216"/>
      <c r="D34" s="216"/>
      <c r="E34" s="216"/>
      <c r="F34" s="216"/>
      <c r="G34" s="215"/>
      <c r="H34" s="215"/>
      <c r="I34" s="215"/>
      <c r="J34" s="215"/>
      <c r="K34" s="215"/>
      <c r="L34" s="215"/>
      <c r="M34" s="215"/>
      <c r="N34" s="265"/>
      <c r="O34" s="265"/>
      <c r="P34" s="265"/>
      <c r="Q34" s="265"/>
      <c r="R34" s="265"/>
      <c r="S34" s="265"/>
      <c r="T34" s="265"/>
      <c r="U34" s="265"/>
      <c r="V34" s="265"/>
      <c r="W34" s="265"/>
      <c r="X34" s="265"/>
      <c r="Y34" s="265"/>
      <c r="Z34" s="265"/>
      <c r="AA34" s="265"/>
      <c r="AC34" s="215"/>
    </row>
    <row r="35" spans="1:29" ht="15.25" customHeight="1">
      <c r="A35" s="260" t="s">
        <v>327</v>
      </c>
      <c r="B35" t="s">
        <v>285</v>
      </c>
      <c r="C35" s="202">
        <v>1</v>
      </c>
      <c r="D35" s="203">
        <v>0</v>
      </c>
      <c r="E35" s="204">
        <f>+SUM(E22:E31)/11</f>
        <v>0</v>
      </c>
      <c r="F35" s="205">
        <f>+SUM(F22:F31)/11</f>
        <v>0</v>
      </c>
      <c r="G35" t="s">
        <v>224</v>
      </c>
      <c r="H35" s="260" t="s">
        <v>225</v>
      </c>
      <c r="I35" s="260" t="s">
        <v>384</v>
      </c>
      <c r="J35" s="260" t="s">
        <v>227</v>
      </c>
      <c r="K35" t="s">
        <v>228</v>
      </c>
      <c r="L35" t="s">
        <v>214</v>
      </c>
      <c r="M35" s="260" t="s">
        <v>129</v>
      </c>
      <c r="N35" s="199">
        <f>+IF(M35="MXN",O35/$N$2,IF(M35="BRL",O35/$N$3,O35))</f>
        <v>4923.0769230769229</v>
      </c>
      <c r="O35" s="207">
        <f>+SUM(P35:AA35)</f>
        <v>96000</v>
      </c>
      <c r="P35" s="723">
        <f>800*COUNT(P22:P31)</f>
        <v>8000</v>
      </c>
      <c r="Q35" s="723">
        <f t="shared" ref="Q35:AA35" si="4">800*COUNT(Q22:Q31)</f>
        <v>8000</v>
      </c>
      <c r="R35" s="723">
        <f t="shared" si="4"/>
        <v>8000</v>
      </c>
      <c r="S35" s="723">
        <f t="shared" si="4"/>
        <v>8000</v>
      </c>
      <c r="T35" s="723">
        <f t="shared" si="4"/>
        <v>8000</v>
      </c>
      <c r="U35" s="723">
        <f t="shared" si="4"/>
        <v>8000</v>
      </c>
      <c r="V35" s="723">
        <f t="shared" si="4"/>
        <v>8000</v>
      </c>
      <c r="W35" s="723">
        <f t="shared" si="4"/>
        <v>8000</v>
      </c>
      <c r="X35" s="723">
        <f t="shared" si="4"/>
        <v>8000</v>
      </c>
      <c r="Y35" s="723">
        <f t="shared" si="4"/>
        <v>8000</v>
      </c>
      <c r="Z35" s="723">
        <f t="shared" si="4"/>
        <v>8000</v>
      </c>
      <c r="AA35" s="723">
        <f t="shared" si="4"/>
        <v>8000</v>
      </c>
    </row>
    <row r="36" spans="1:29" ht="15.25" customHeight="1">
      <c r="A36" s="260" t="s">
        <v>327</v>
      </c>
      <c r="B36" t="s">
        <v>285</v>
      </c>
      <c r="C36" s="202">
        <f>SUM(C22:C33)/8</f>
        <v>0.875</v>
      </c>
      <c r="D36" s="203">
        <f>SUM(D22:D33)/8</f>
        <v>0.125</v>
      </c>
      <c r="E36" s="204">
        <f>+SUM(E22:E33)/12</f>
        <v>0</v>
      </c>
      <c r="F36" s="205">
        <f>+SUM(F22:F33)/12</f>
        <v>0</v>
      </c>
      <c r="G36" t="s">
        <v>224</v>
      </c>
      <c r="H36" s="260" t="s">
        <v>229</v>
      </c>
      <c r="I36" s="260" t="s">
        <v>229</v>
      </c>
      <c r="J36" s="206" t="s">
        <v>231</v>
      </c>
      <c r="K36" t="s">
        <v>229</v>
      </c>
      <c r="L36" t="s">
        <v>214</v>
      </c>
      <c r="M36" s="260" t="s">
        <v>128</v>
      </c>
      <c r="N36" s="199">
        <f>+IF(M36="MXN",O36/$N$2,IF(M36="BRL",O36/$N$3,O36))</f>
        <v>43214.625641025639</v>
      </c>
      <c r="O36" s="207">
        <f>+SUM(P36:AA36)</f>
        <v>43214.625641025639</v>
      </c>
      <c r="P36" s="724">
        <v>0</v>
      </c>
      <c r="Q36" s="724">
        <v>0</v>
      </c>
      <c r="R36" s="724">
        <v>0</v>
      </c>
      <c r="S36" s="724">
        <v>0</v>
      </c>
      <c r="T36" s="724">
        <v>0</v>
      </c>
      <c r="U36" s="724">
        <v>0</v>
      </c>
      <c r="V36" s="724">
        <v>0</v>
      </c>
      <c r="W36" s="724">
        <v>0</v>
      </c>
      <c r="X36" s="724">
        <v>0</v>
      </c>
      <c r="Y36" s="724">
        <v>0</v>
      </c>
      <c r="Z36" s="724">
        <v>0</v>
      </c>
      <c r="AA36" s="724">
        <f>+SUM(N22:N31)/6+N33/2</f>
        <v>43214.625641025639</v>
      </c>
    </row>
    <row r="37" spans="1:29" ht="15.25" customHeight="1">
      <c r="A37" s="260" t="s">
        <v>327</v>
      </c>
      <c r="B37" t="s">
        <v>285</v>
      </c>
      <c r="C37" s="202">
        <v>1</v>
      </c>
      <c r="D37" s="203">
        <v>0</v>
      </c>
      <c r="E37" s="204">
        <f>+SUM(E22:E31)/11</f>
        <v>0</v>
      </c>
      <c r="F37" s="205">
        <f>+SUM(F22:F31)/11</f>
        <v>0</v>
      </c>
      <c r="G37" t="s">
        <v>224</v>
      </c>
      <c r="H37" s="260" t="s">
        <v>312</v>
      </c>
      <c r="I37" s="260" t="s">
        <v>312</v>
      </c>
      <c r="J37" s="206" t="s">
        <v>313</v>
      </c>
      <c r="K37" t="s">
        <v>314</v>
      </c>
      <c r="L37" t="s">
        <v>214</v>
      </c>
      <c r="M37" s="260" t="s">
        <v>129</v>
      </c>
      <c r="N37" s="199">
        <f>+IF(M37="MXN",O37/$N$2,IF(M37="BRL",O37/$N$3,O37))</f>
        <v>4535.5782051282049</v>
      </c>
      <c r="O37" s="207">
        <f>+SUM(P37:AA37)</f>
        <v>88443.774999999994</v>
      </c>
      <c r="P37" s="724">
        <f t="shared" ref="P37:AA37" si="5">+SUM(P22:P31)*0.25/12</f>
        <v>6362.5020833333328</v>
      </c>
      <c r="Q37" s="724">
        <f t="shared" si="5"/>
        <v>6362.5020833333328</v>
      </c>
      <c r="R37" s="724">
        <f t="shared" si="5"/>
        <v>6362.5020833333328</v>
      </c>
      <c r="S37" s="724">
        <f t="shared" si="5"/>
        <v>7706.2520833333328</v>
      </c>
      <c r="T37" s="724">
        <f t="shared" si="5"/>
        <v>7706.2520833333328</v>
      </c>
      <c r="U37" s="724">
        <f t="shared" si="5"/>
        <v>7706.2520833333328</v>
      </c>
      <c r="V37" s="724">
        <f t="shared" si="5"/>
        <v>7706.2520833333328</v>
      </c>
      <c r="W37" s="724">
        <f t="shared" si="5"/>
        <v>7706.2520833333328</v>
      </c>
      <c r="X37" s="724">
        <f t="shared" si="5"/>
        <v>7706.2520833333328</v>
      </c>
      <c r="Y37" s="724">
        <f t="shared" si="5"/>
        <v>7706.2520833333328</v>
      </c>
      <c r="Z37" s="724">
        <f t="shared" si="5"/>
        <v>7706.2520833333328</v>
      </c>
      <c r="AA37" s="724">
        <f t="shared" si="5"/>
        <v>7706.2520833333328</v>
      </c>
    </row>
    <row r="38" spans="1:29" ht="15.25" customHeight="1">
      <c r="A38" s="260" t="s">
        <v>327</v>
      </c>
      <c r="B38" t="s">
        <v>285</v>
      </c>
      <c r="C38" s="202">
        <v>1</v>
      </c>
      <c r="D38" s="203">
        <v>0</v>
      </c>
      <c r="E38" s="204">
        <f>+SUM(E22:E31)/11</f>
        <v>0</v>
      </c>
      <c r="F38" s="205">
        <f>+SUM(F22:F31)/11</f>
        <v>0</v>
      </c>
      <c r="G38" t="s">
        <v>209</v>
      </c>
      <c r="H38" s="260" t="s">
        <v>385</v>
      </c>
      <c r="I38" s="260" t="s">
        <v>315</v>
      </c>
      <c r="J38" s="260" t="s">
        <v>217</v>
      </c>
      <c r="K38" t="s">
        <v>218</v>
      </c>
      <c r="L38" t="s">
        <v>214</v>
      </c>
      <c r="M38" s="260" t="s">
        <v>129</v>
      </c>
      <c r="N38" s="199">
        <f>+IF(M38="MXN",O38/$N$2,IF(M38="BRL",O38/$N$3,O38))</f>
        <v>52249.860923076914</v>
      </c>
      <c r="O38" s="207">
        <f>+SUM(P38:AA38)</f>
        <v>1018872.2879999998</v>
      </c>
      <c r="P38" s="724">
        <f>+SUM(P22:P31)*0.24</f>
        <v>73296.02399999999</v>
      </c>
      <c r="Q38" s="724">
        <f t="shared" ref="Q38:AA38" si="6">+SUM(Q22:Q31)*0.24</f>
        <v>73296.02399999999</v>
      </c>
      <c r="R38" s="724">
        <f t="shared" si="6"/>
        <v>73296.02399999999</v>
      </c>
      <c r="S38" s="724">
        <f t="shared" si="6"/>
        <v>88776.02399999999</v>
      </c>
      <c r="T38" s="724">
        <f t="shared" si="6"/>
        <v>88776.02399999999</v>
      </c>
      <c r="U38" s="724">
        <f t="shared" si="6"/>
        <v>88776.02399999999</v>
      </c>
      <c r="V38" s="724">
        <f t="shared" si="6"/>
        <v>88776.02399999999</v>
      </c>
      <c r="W38" s="724">
        <f t="shared" si="6"/>
        <v>88776.02399999999</v>
      </c>
      <c r="X38" s="724">
        <f t="shared" si="6"/>
        <v>88776.02399999999</v>
      </c>
      <c r="Y38" s="724">
        <f t="shared" si="6"/>
        <v>88776.02399999999</v>
      </c>
      <c r="Z38" s="724">
        <f t="shared" si="6"/>
        <v>88776.02399999999</v>
      </c>
      <c r="AA38" s="724">
        <f t="shared" si="6"/>
        <v>88776.02399999999</v>
      </c>
    </row>
    <row r="39" spans="1:29">
      <c r="A39" s="200" t="s">
        <v>242</v>
      </c>
      <c r="B39" s="200"/>
      <c r="C39" s="201"/>
      <c r="D39" s="201"/>
      <c r="E39" s="201"/>
      <c r="F39" s="201"/>
      <c r="G39" s="200"/>
      <c r="H39" s="200"/>
      <c r="I39" s="200"/>
      <c r="J39" s="200"/>
      <c r="K39" s="200"/>
      <c r="L39" s="200"/>
      <c r="M39" s="200"/>
      <c r="N39" s="200"/>
      <c r="O39" s="200"/>
      <c r="P39" s="200"/>
      <c r="Q39" s="200"/>
      <c r="R39" s="200"/>
      <c r="S39" s="200"/>
      <c r="T39" s="200"/>
      <c r="U39" s="200"/>
      <c r="V39" s="200"/>
      <c r="W39" s="200"/>
      <c r="X39" s="200"/>
      <c r="Y39" s="200"/>
      <c r="Z39" s="200"/>
      <c r="AA39" s="200"/>
      <c r="AC39" s="200"/>
    </row>
    <row r="40" spans="1:29">
      <c r="A40" t="s">
        <v>327</v>
      </c>
      <c r="B40" t="s">
        <v>285</v>
      </c>
      <c r="C40" s="202"/>
      <c r="D40" s="203"/>
      <c r="E40" s="204"/>
      <c r="F40" s="205">
        <v>1</v>
      </c>
      <c r="G40" t="s">
        <v>243</v>
      </c>
      <c r="H40" t="s">
        <v>244</v>
      </c>
      <c r="J40" s="214" t="s">
        <v>246</v>
      </c>
      <c r="K40" t="s">
        <v>247</v>
      </c>
      <c r="L40" t="s">
        <v>248</v>
      </c>
      <c r="M40" t="s">
        <v>129</v>
      </c>
      <c r="N40" s="199">
        <f>+IF(M40="MXN",O40/$N$2,IF(M40="BRL",O40/$N$3,O40))</f>
        <v>0</v>
      </c>
      <c r="O40" s="207">
        <f>+SUM(P40:AA40)</f>
        <v>0</v>
      </c>
      <c r="P40" s="270">
        <v>0</v>
      </c>
      <c r="Q40" s="270">
        <v>0</v>
      </c>
      <c r="R40" s="270">
        <v>0</v>
      </c>
      <c r="S40" s="270">
        <v>0</v>
      </c>
      <c r="T40" s="270">
        <v>0</v>
      </c>
      <c r="U40" s="270">
        <v>0</v>
      </c>
      <c r="V40" s="270">
        <v>0</v>
      </c>
      <c r="W40" s="270">
        <v>0</v>
      </c>
      <c r="X40" s="270">
        <v>0</v>
      </c>
      <c r="Y40" s="270">
        <v>0</v>
      </c>
      <c r="Z40" s="270">
        <v>0</v>
      </c>
      <c r="AA40" s="270">
        <v>0</v>
      </c>
    </row>
    <row r="41" spans="1:29">
      <c r="A41" t="s">
        <v>327</v>
      </c>
      <c r="B41" t="s">
        <v>285</v>
      </c>
      <c r="C41" s="202"/>
      <c r="D41" s="203"/>
      <c r="E41" s="204"/>
      <c r="F41" s="205">
        <v>1</v>
      </c>
      <c r="G41" t="s">
        <v>249</v>
      </c>
      <c r="H41" t="s">
        <v>244</v>
      </c>
      <c r="J41" s="214" t="s">
        <v>250</v>
      </c>
      <c r="K41" t="s">
        <v>251</v>
      </c>
      <c r="L41" t="s">
        <v>248</v>
      </c>
      <c r="M41" t="s">
        <v>129</v>
      </c>
      <c r="N41" s="199">
        <f>+IF(M41="MXN",O41/$N$2,IF(M41="BRL",O41/$N$3,O41))</f>
        <v>0</v>
      </c>
      <c r="O41" s="207">
        <f>+SUM(P41:AA41)</f>
        <v>0</v>
      </c>
      <c r="P41" s="270">
        <v>0</v>
      </c>
      <c r="Q41" s="270">
        <v>0</v>
      </c>
      <c r="R41" s="270">
        <v>0</v>
      </c>
      <c r="S41" s="270">
        <v>0</v>
      </c>
      <c r="T41" s="270">
        <v>0</v>
      </c>
      <c r="U41" s="270">
        <v>0</v>
      </c>
      <c r="V41" s="270">
        <v>0</v>
      </c>
      <c r="W41" s="270">
        <v>0</v>
      </c>
      <c r="X41" s="270">
        <v>0</v>
      </c>
      <c r="Y41" s="270">
        <v>0</v>
      </c>
      <c r="Z41" s="270">
        <v>0</v>
      </c>
      <c r="AA41" s="270">
        <v>0</v>
      </c>
    </row>
    <row r="42" spans="1:29">
      <c r="A42" t="s">
        <v>327</v>
      </c>
      <c r="B42" t="s">
        <v>285</v>
      </c>
      <c r="C42" s="202"/>
      <c r="D42" s="203"/>
      <c r="E42" s="204"/>
      <c r="F42" s="205">
        <v>1</v>
      </c>
      <c r="G42" t="s">
        <v>252</v>
      </c>
      <c r="H42" t="s">
        <v>244</v>
      </c>
      <c r="J42" s="214" t="s">
        <v>253</v>
      </c>
      <c r="K42" t="s">
        <v>254</v>
      </c>
      <c r="L42" t="s">
        <v>248</v>
      </c>
      <c r="M42" t="s">
        <v>129</v>
      </c>
      <c r="N42" s="199">
        <f>+IF(M42="MXN",O42/$N$2,IF(M42="BRL",O42/$N$3,O42))</f>
        <v>0</v>
      </c>
      <c r="O42" s="207">
        <f>+SUM(P42:AA42)</f>
        <v>0</v>
      </c>
      <c r="P42" s="270">
        <v>0</v>
      </c>
      <c r="Q42" s="270">
        <v>0</v>
      </c>
      <c r="R42" s="270">
        <v>0</v>
      </c>
      <c r="S42" s="270">
        <v>0</v>
      </c>
      <c r="T42" s="270">
        <v>0</v>
      </c>
      <c r="U42" s="270">
        <v>0</v>
      </c>
      <c r="V42" s="270">
        <v>0</v>
      </c>
      <c r="W42" s="270">
        <v>0</v>
      </c>
      <c r="X42" s="270">
        <v>0</v>
      </c>
      <c r="Y42" s="270">
        <v>0</v>
      </c>
      <c r="Z42" s="270">
        <v>0</v>
      </c>
      <c r="AA42" s="270">
        <v>0</v>
      </c>
    </row>
    <row r="43" spans="1:29">
      <c r="A43" t="s">
        <v>327</v>
      </c>
      <c r="B43" t="s">
        <v>285</v>
      </c>
      <c r="C43" s="202"/>
      <c r="D43" s="203"/>
      <c r="E43" s="204"/>
      <c r="F43" s="205">
        <v>1</v>
      </c>
      <c r="G43" t="s">
        <v>255</v>
      </c>
      <c r="H43" t="s">
        <v>244</v>
      </c>
      <c r="J43" s="214" t="s">
        <v>256</v>
      </c>
      <c r="K43" t="s">
        <v>257</v>
      </c>
      <c r="L43" t="s">
        <v>248</v>
      </c>
      <c r="M43" t="s">
        <v>129</v>
      </c>
      <c r="N43" s="199">
        <f>+IF(M43="MXN",O43/$N$2,IF(M43="BRL",O43/$N$3,O43))</f>
        <v>0</v>
      </c>
      <c r="O43" s="207">
        <f>+SUM(P43:AA43)</f>
        <v>0</v>
      </c>
      <c r="P43" s="270">
        <v>0</v>
      </c>
      <c r="Q43" s="270">
        <v>0</v>
      </c>
      <c r="R43" s="270">
        <v>0</v>
      </c>
      <c r="S43" s="270">
        <v>0</v>
      </c>
      <c r="T43" s="270">
        <v>0</v>
      </c>
      <c r="U43" s="270">
        <v>0</v>
      </c>
      <c r="V43" s="270">
        <v>0</v>
      </c>
      <c r="W43" s="270">
        <v>0</v>
      </c>
      <c r="X43" s="270">
        <v>0</v>
      </c>
      <c r="Y43" s="270">
        <v>0</v>
      </c>
      <c r="Z43" s="270">
        <v>0</v>
      </c>
      <c r="AA43" s="270">
        <v>0</v>
      </c>
    </row>
    <row r="44" spans="1:29">
      <c r="A44" s="200" t="s">
        <v>258</v>
      </c>
      <c r="B44" s="200"/>
      <c r="C44" s="201"/>
      <c r="D44" s="201"/>
      <c r="E44" s="201"/>
      <c r="F44" s="201"/>
      <c r="G44" s="200"/>
      <c r="H44" s="200"/>
      <c r="I44" s="200"/>
      <c r="J44" s="200"/>
      <c r="K44" s="200"/>
      <c r="L44" s="200"/>
      <c r="M44" s="200"/>
      <c r="N44" s="200"/>
      <c r="O44" s="200"/>
      <c r="P44" s="200"/>
      <c r="Q44" s="200"/>
      <c r="R44" s="200"/>
      <c r="S44" s="200"/>
      <c r="T44" s="200"/>
      <c r="U44" s="200"/>
      <c r="V44" s="200"/>
      <c r="W44" s="200"/>
      <c r="X44" s="200"/>
      <c r="Y44" s="200"/>
      <c r="Z44" s="200"/>
      <c r="AA44" s="200"/>
      <c r="AC44" s="200"/>
    </row>
    <row r="46" spans="1:29">
      <c r="P46" s="727"/>
    </row>
    <row r="47" spans="1:29">
      <c r="P47" s="35"/>
    </row>
  </sheetData>
  <pageMargins left="0.7" right="0.7" top="0.75" bottom="0.75" header="0.3" footer="0.3"/>
  <pageSetup orientation="portrait" horizontalDpi="0" verticalDpi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50D6A-0CA7-2046-B41B-843A467DFDD8}">
  <sheetPr codeName="Sheet11"/>
  <dimension ref="A1:AC56"/>
  <sheetViews>
    <sheetView showGridLines="0" zoomScale="75" workbookViewId="0">
      <selection activeCell="I36" sqref="A36:XFD36"/>
    </sheetView>
  </sheetViews>
  <sheetFormatPr baseColWidth="10" defaultColWidth="11.1640625" defaultRowHeight="16"/>
  <cols>
    <col min="1" max="1" width="19.33203125" style="235" bestFit="1" customWidth="1"/>
    <col min="2" max="2" width="17.5" style="235" bestFit="1" customWidth="1"/>
    <col min="3" max="3" width="6.33203125" style="235" bestFit="1" customWidth="1"/>
    <col min="4" max="4" width="5.6640625" style="235" bestFit="1" customWidth="1"/>
    <col min="5" max="5" width="6.33203125" style="235" bestFit="1" customWidth="1"/>
    <col min="6" max="6" width="5.6640625" style="235" bestFit="1" customWidth="1"/>
    <col min="7" max="7" width="17.33203125" style="235" bestFit="1" customWidth="1"/>
    <col min="8" max="9" width="39.1640625" style="235" bestFit="1" customWidth="1"/>
    <col min="10" max="10" width="11.33203125" style="235" bestFit="1" customWidth="1"/>
    <col min="11" max="11" width="36.1640625" style="235" bestFit="1" customWidth="1"/>
    <col min="12" max="12" width="15.83203125" style="235" bestFit="1" customWidth="1"/>
    <col min="13" max="13" width="8.6640625" style="235" bestFit="1" customWidth="1"/>
    <col min="14" max="14" width="12.1640625" style="235" bestFit="1" customWidth="1"/>
    <col min="15" max="15" width="10.83203125" style="235" bestFit="1" customWidth="1"/>
    <col min="16" max="27" width="12" style="235" bestFit="1" customWidth="1"/>
    <col min="28" max="16384" width="11.1640625" style="235"/>
  </cols>
  <sheetData>
    <row r="1" spans="1:27" ht="17">
      <c r="A1" s="237" t="s">
        <v>124</v>
      </c>
      <c r="B1" s="238" t="s">
        <v>125</v>
      </c>
      <c r="C1" s="239"/>
      <c r="D1" s="239"/>
      <c r="E1" s="239"/>
      <c r="F1" s="239"/>
      <c r="G1" s="239"/>
      <c r="H1" s="239"/>
      <c r="I1" s="239"/>
      <c r="J1" s="239"/>
    </row>
    <row r="2" spans="1:27" ht="17">
      <c r="A2" s="240" t="s">
        <v>126</v>
      </c>
      <c r="B2" s="241" t="s">
        <v>127</v>
      </c>
      <c r="C2" s="239"/>
      <c r="D2" s="239"/>
      <c r="E2" s="239"/>
      <c r="F2" s="239"/>
      <c r="G2" s="239"/>
      <c r="H2" s="239"/>
      <c r="I2" s="239"/>
      <c r="J2" s="239"/>
      <c r="M2" t="s">
        <v>129</v>
      </c>
      <c r="N2" s="120">
        <f>+Supuestos!M8</f>
        <v>19.5</v>
      </c>
      <c r="O2"/>
    </row>
    <row r="3" spans="1:27">
      <c r="C3" s="239"/>
      <c r="D3" s="239"/>
      <c r="E3" s="239"/>
      <c r="F3" s="239"/>
      <c r="G3" s="239"/>
      <c r="H3" s="239"/>
      <c r="I3" s="239"/>
      <c r="J3" s="239"/>
      <c r="M3" t="s">
        <v>27</v>
      </c>
      <c r="N3" s="120">
        <f>+Supuestos!M9</f>
        <v>5.5</v>
      </c>
      <c r="O3"/>
    </row>
    <row r="4" spans="1:27" ht="17">
      <c r="A4" s="242" t="s">
        <v>130</v>
      </c>
      <c r="B4" s="242" t="s">
        <v>131</v>
      </c>
      <c r="C4" s="243" t="s">
        <v>132</v>
      </c>
      <c r="D4" s="244" t="s">
        <v>133</v>
      </c>
      <c r="E4" s="245" t="s">
        <v>134</v>
      </c>
      <c r="F4" s="246" t="s">
        <v>135</v>
      </c>
      <c r="G4" s="242" t="s">
        <v>136</v>
      </c>
      <c r="H4" s="242" t="s">
        <v>137</v>
      </c>
      <c r="I4" s="242" t="s">
        <v>138</v>
      </c>
      <c r="J4" s="242" t="s">
        <v>139</v>
      </c>
      <c r="K4" s="242" t="s">
        <v>140</v>
      </c>
      <c r="L4" s="242" t="s">
        <v>141</v>
      </c>
      <c r="M4" s="194" t="s">
        <v>142</v>
      </c>
      <c r="N4" s="199" t="s">
        <v>143</v>
      </c>
      <c r="O4" s="194" t="s">
        <v>143</v>
      </c>
      <c r="P4" s="273" t="s">
        <v>144</v>
      </c>
      <c r="Q4" s="273" t="s">
        <v>145</v>
      </c>
      <c r="R4" s="273" t="s">
        <v>146</v>
      </c>
      <c r="S4" s="273" t="s">
        <v>147</v>
      </c>
      <c r="T4" s="273" t="s">
        <v>34</v>
      </c>
      <c r="U4" s="273" t="s">
        <v>148</v>
      </c>
      <c r="V4" s="273" t="s">
        <v>149</v>
      </c>
      <c r="W4" s="273" t="s">
        <v>150</v>
      </c>
      <c r="X4" s="273" t="s">
        <v>151</v>
      </c>
      <c r="Y4" s="273" t="s">
        <v>152</v>
      </c>
      <c r="Z4" s="273" t="s">
        <v>153</v>
      </c>
      <c r="AA4" s="273" t="s">
        <v>154</v>
      </c>
    </row>
    <row r="5" spans="1:27" ht="17">
      <c r="A5" s="248" t="s">
        <v>155</v>
      </c>
      <c r="B5" s="248"/>
      <c r="C5" s="249" t="s">
        <v>156</v>
      </c>
      <c r="D5" s="249" t="s">
        <v>156</v>
      </c>
      <c r="E5" s="249" t="s">
        <v>156</v>
      </c>
      <c r="F5" s="249" t="s">
        <v>156</v>
      </c>
      <c r="G5" s="248"/>
      <c r="H5" s="248"/>
      <c r="I5" s="248"/>
      <c r="J5" s="248"/>
      <c r="K5" s="248"/>
      <c r="L5" s="248"/>
      <c r="M5" s="200"/>
      <c r="N5" s="200"/>
      <c r="O5" s="200"/>
      <c r="P5" s="274"/>
      <c r="Q5" s="274"/>
      <c r="R5" s="274"/>
      <c r="S5" s="274"/>
      <c r="T5" s="274"/>
      <c r="U5" s="274"/>
      <c r="V5" s="274"/>
      <c r="W5" s="274"/>
      <c r="X5" s="274"/>
      <c r="Y5" s="274"/>
      <c r="Z5" s="274"/>
      <c r="AA5" s="274"/>
    </row>
    <row r="6" spans="1:27" ht="17">
      <c r="A6" s="235" t="s">
        <v>386</v>
      </c>
      <c r="B6" s="235" t="s">
        <v>387</v>
      </c>
      <c r="C6" s="251"/>
      <c r="D6" s="252">
        <v>1</v>
      </c>
      <c r="E6" s="253"/>
      <c r="F6" s="254"/>
      <c r="G6" s="235" t="s">
        <v>388</v>
      </c>
      <c r="H6" s="235" t="s">
        <v>389</v>
      </c>
      <c r="J6" s="740" t="s">
        <v>162</v>
      </c>
      <c r="K6" s="235" t="s">
        <v>163</v>
      </c>
      <c r="L6" s="235" t="s">
        <v>164</v>
      </c>
      <c r="M6" t="s">
        <v>128</v>
      </c>
      <c r="N6" s="717">
        <f>+IF(M6="MXN",O6/$N$2,IF(M6="BRL",O6/$N$3,O6))</f>
        <v>419.88000000000005</v>
      </c>
      <c r="O6" s="207">
        <f>+SUM(P6:AA6)</f>
        <v>419.88000000000005</v>
      </c>
      <c r="P6" s="276">
        <v>34.99</v>
      </c>
      <c r="Q6" s="276">
        <v>34.99</v>
      </c>
      <c r="R6" s="276">
        <v>34.99</v>
      </c>
      <c r="S6" s="276">
        <v>34.99</v>
      </c>
      <c r="T6" s="276">
        <v>34.99</v>
      </c>
      <c r="U6" s="276">
        <v>34.99</v>
      </c>
      <c r="V6" s="276">
        <v>34.99</v>
      </c>
      <c r="W6" s="276">
        <v>34.99</v>
      </c>
      <c r="X6" s="276">
        <v>34.99</v>
      </c>
      <c r="Y6" s="276">
        <v>34.99</v>
      </c>
      <c r="Z6" s="276">
        <v>34.99</v>
      </c>
      <c r="AA6" s="276">
        <v>34.99</v>
      </c>
    </row>
    <row r="7" spans="1:27" ht="17">
      <c r="A7" s="235" t="s">
        <v>386</v>
      </c>
      <c r="B7" s="235" t="s">
        <v>387</v>
      </c>
      <c r="C7" s="251">
        <v>0.9</v>
      </c>
      <c r="D7" s="252">
        <v>0.1</v>
      </c>
      <c r="E7" s="253"/>
      <c r="F7" s="254"/>
      <c r="G7" s="235" t="s">
        <v>388</v>
      </c>
      <c r="H7" s="235" t="s">
        <v>390</v>
      </c>
      <c r="J7" s="250" t="s">
        <v>162</v>
      </c>
      <c r="K7" s="235" t="s">
        <v>163</v>
      </c>
      <c r="L7" s="235" t="s">
        <v>164</v>
      </c>
      <c r="M7" s="235" t="s">
        <v>128</v>
      </c>
      <c r="N7" s="718">
        <f t="shared" ref="N7:N18" si="0">+IF(M7="MXN",O7/$N$2,IF(M7="BRL",O7/$N$3,O7))</f>
        <v>2304</v>
      </c>
      <c r="O7" s="275">
        <f t="shared" ref="O7:O18" si="1">+SUM(P7:AA7)</f>
        <v>2304</v>
      </c>
      <c r="P7" s="276">
        <v>0</v>
      </c>
      <c r="Q7" s="276">
        <v>0</v>
      </c>
      <c r="R7" s="276">
        <v>0</v>
      </c>
      <c r="S7" s="276">
        <v>0</v>
      </c>
      <c r="T7" s="276">
        <v>0</v>
      </c>
      <c r="U7" s="276">
        <v>0</v>
      </c>
      <c r="V7" s="276">
        <v>2304</v>
      </c>
      <c r="W7" s="276">
        <v>0</v>
      </c>
      <c r="X7" s="276">
        <v>0</v>
      </c>
      <c r="Y7" s="276">
        <v>0</v>
      </c>
      <c r="Z7" s="276">
        <v>0</v>
      </c>
      <c r="AA7" s="276">
        <v>0</v>
      </c>
    </row>
    <row r="8" spans="1:27" ht="17">
      <c r="A8" s="235" t="s">
        <v>386</v>
      </c>
      <c r="B8" s="235" t="s">
        <v>387</v>
      </c>
      <c r="C8" s="251">
        <v>0.9</v>
      </c>
      <c r="D8" s="252">
        <v>0.1</v>
      </c>
      <c r="E8" s="253"/>
      <c r="F8" s="254"/>
      <c r="G8" s="235" t="s">
        <v>388</v>
      </c>
      <c r="H8" s="235" t="s">
        <v>391</v>
      </c>
      <c r="J8" s="250" t="s">
        <v>162</v>
      </c>
      <c r="K8" s="235" t="s">
        <v>163</v>
      </c>
      <c r="L8" s="235" t="s">
        <v>164</v>
      </c>
      <c r="M8" s="235" t="s">
        <v>128</v>
      </c>
      <c r="N8" s="718">
        <f t="shared" si="0"/>
        <v>180</v>
      </c>
      <c r="O8" s="275">
        <f t="shared" si="1"/>
        <v>180</v>
      </c>
      <c r="P8" s="276">
        <v>0</v>
      </c>
      <c r="Q8" s="276">
        <v>0</v>
      </c>
      <c r="R8" s="276">
        <v>0</v>
      </c>
      <c r="S8" s="276">
        <v>0</v>
      </c>
      <c r="T8" s="276">
        <v>0</v>
      </c>
      <c r="U8" s="276">
        <v>0</v>
      </c>
      <c r="V8" s="276">
        <v>0</v>
      </c>
      <c r="W8" s="276">
        <v>0</v>
      </c>
      <c r="X8" s="276">
        <v>0</v>
      </c>
      <c r="Y8" s="276">
        <v>180</v>
      </c>
      <c r="Z8" s="276">
        <v>0</v>
      </c>
      <c r="AA8" s="276">
        <v>0</v>
      </c>
    </row>
    <row r="9" spans="1:27" ht="17">
      <c r="A9" s="235" t="s">
        <v>386</v>
      </c>
      <c r="B9" s="235" t="s">
        <v>387</v>
      </c>
      <c r="C9" s="251">
        <v>0.9</v>
      </c>
      <c r="D9" s="252">
        <v>0.1</v>
      </c>
      <c r="E9" s="253"/>
      <c r="F9" s="254"/>
      <c r="G9" s="235" t="s">
        <v>388</v>
      </c>
      <c r="H9" s="235" t="s">
        <v>392</v>
      </c>
      <c r="I9" s="235" t="s">
        <v>393</v>
      </c>
      <c r="J9" s="255" t="s">
        <v>162</v>
      </c>
      <c r="K9" s="235" t="s">
        <v>163</v>
      </c>
      <c r="L9" s="235" t="s">
        <v>164</v>
      </c>
      <c r="M9" s="235" t="s">
        <v>129</v>
      </c>
      <c r="N9" s="718">
        <f t="shared" si="0"/>
        <v>854.70153846153823</v>
      </c>
      <c r="O9" s="275">
        <f t="shared" si="1"/>
        <v>16666.679999999997</v>
      </c>
      <c r="P9" s="208">
        <v>1388.89</v>
      </c>
      <c r="Q9" s="208">
        <v>1388.89</v>
      </c>
      <c r="R9" s="208">
        <v>1388.89</v>
      </c>
      <c r="S9" s="208">
        <v>1388.89</v>
      </c>
      <c r="T9" s="208">
        <v>1388.89</v>
      </c>
      <c r="U9" s="208">
        <v>1388.89</v>
      </c>
      <c r="V9" s="208">
        <v>1388.89</v>
      </c>
      <c r="W9" s="208">
        <v>1388.89</v>
      </c>
      <c r="X9" s="208">
        <v>1388.89</v>
      </c>
      <c r="Y9" s="208">
        <v>1388.89</v>
      </c>
      <c r="Z9" s="208">
        <v>1388.89</v>
      </c>
      <c r="AA9" s="208">
        <v>1388.89</v>
      </c>
    </row>
    <row r="10" spans="1:27" ht="17">
      <c r="A10" s="235" t="s">
        <v>386</v>
      </c>
      <c r="B10" s="235" t="s">
        <v>387</v>
      </c>
      <c r="C10" s="251">
        <v>0.9</v>
      </c>
      <c r="D10" s="252">
        <v>0.1</v>
      </c>
      <c r="E10" s="253"/>
      <c r="F10" s="254"/>
      <c r="G10" s="235" t="s">
        <v>388</v>
      </c>
      <c r="H10" s="235" t="s">
        <v>394</v>
      </c>
      <c r="J10" s="255" t="s">
        <v>162</v>
      </c>
      <c r="K10" s="235" t="s">
        <v>163</v>
      </c>
      <c r="L10" s="235" t="s">
        <v>164</v>
      </c>
      <c r="M10" s="235" t="s">
        <v>128</v>
      </c>
      <c r="N10" s="718">
        <f t="shared" si="0"/>
        <v>198</v>
      </c>
      <c r="O10" s="275">
        <f t="shared" si="1"/>
        <v>198</v>
      </c>
      <c r="P10" s="277">
        <v>0</v>
      </c>
      <c r="Q10" s="277">
        <v>0</v>
      </c>
      <c r="R10" s="277">
        <v>198</v>
      </c>
      <c r="S10" s="277">
        <v>0</v>
      </c>
      <c r="T10" s="277">
        <v>0</v>
      </c>
      <c r="U10" s="277">
        <v>0</v>
      </c>
      <c r="V10" s="277">
        <v>0</v>
      </c>
      <c r="W10" s="277">
        <v>0</v>
      </c>
      <c r="X10" s="277">
        <v>0</v>
      </c>
      <c r="Y10" s="277">
        <v>0</v>
      </c>
      <c r="Z10" s="277">
        <v>0</v>
      </c>
      <c r="AA10" s="277">
        <v>0</v>
      </c>
    </row>
    <row r="11" spans="1:27" ht="17">
      <c r="A11" s="235" t="s">
        <v>386</v>
      </c>
      <c r="B11" s="235" t="s">
        <v>387</v>
      </c>
      <c r="C11" s="251">
        <v>0.9</v>
      </c>
      <c r="D11" s="252">
        <v>0.1</v>
      </c>
      <c r="E11" s="253"/>
      <c r="F11" s="254"/>
      <c r="G11" s="235" t="s">
        <v>388</v>
      </c>
      <c r="H11" s="235" t="s">
        <v>395</v>
      </c>
      <c r="J11" s="255" t="s">
        <v>162</v>
      </c>
      <c r="K11" s="235" t="s">
        <v>163</v>
      </c>
      <c r="L11" s="235" t="s">
        <v>164</v>
      </c>
      <c r="M11" s="235" t="s">
        <v>128</v>
      </c>
      <c r="N11" s="718">
        <f t="shared" si="0"/>
        <v>288</v>
      </c>
      <c r="O11" s="275">
        <f t="shared" si="1"/>
        <v>288</v>
      </c>
      <c r="P11" s="276">
        <v>288</v>
      </c>
      <c r="Q11" s="277">
        <v>0</v>
      </c>
      <c r="R11" s="277">
        <v>0</v>
      </c>
      <c r="S11" s="277">
        <v>0</v>
      </c>
      <c r="T11" s="277">
        <v>0</v>
      </c>
      <c r="U11" s="277">
        <v>0</v>
      </c>
      <c r="V11" s="277">
        <v>0</v>
      </c>
      <c r="W11" s="277">
        <v>0</v>
      </c>
      <c r="X11" s="277">
        <v>0</v>
      </c>
      <c r="Y11" s="277">
        <v>0</v>
      </c>
      <c r="Z11" s="277">
        <v>0</v>
      </c>
      <c r="AA11" s="277">
        <v>0</v>
      </c>
    </row>
    <row r="12" spans="1:27" ht="17">
      <c r="A12" s="235" t="s">
        <v>386</v>
      </c>
      <c r="B12" s="235" t="s">
        <v>387</v>
      </c>
      <c r="C12" s="251">
        <v>0.9</v>
      </c>
      <c r="D12" s="252">
        <v>0.1</v>
      </c>
      <c r="E12" s="253"/>
      <c r="F12" s="254"/>
      <c r="G12" s="235" t="s">
        <v>388</v>
      </c>
      <c r="H12" s="235" t="s">
        <v>396</v>
      </c>
      <c r="J12" s="255" t="s">
        <v>162</v>
      </c>
      <c r="K12" s="235" t="s">
        <v>163</v>
      </c>
      <c r="L12" s="235" t="s">
        <v>164</v>
      </c>
      <c r="M12" s="235" t="s">
        <v>128</v>
      </c>
      <c r="N12" s="718">
        <f t="shared" si="0"/>
        <v>300</v>
      </c>
      <c r="O12" s="275">
        <f t="shared" si="1"/>
        <v>300</v>
      </c>
      <c r="P12" s="276">
        <v>20</v>
      </c>
      <c r="Q12" s="277">
        <v>20</v>
      </c>
      <c r="R12" s="276">
        <v>20</v>
      </c>
      <c r="S12" s="276">
        <v>20</v>
      </c>
      <c r="T12" s="276">
        <v>20</v>
      </c>
      <c r="U12" s="276">
        <v>20</v>
      </c>
      <c r="V12" s="276">
        <v>30</v>
      </c>
      <c r="W12" s="276">
        <v>30</v>
      </c>
      <c r="X12" s="276">
        <v>30</v>
      </c>
      <c r="Y12" s="276">
        <v>30</v>
      </c>
      <c r="Z12" s="276">
        <v>30</v>
      </c>
      <c r="AA12" s="276">
        <v>30</v>
      </c>
    </row>
    <row r="13" spans="1:27" ht="17">
      <c r="A13" s="235" t="s">
        <v>386</v>
      </c>
      <c r="B13" s="235" t="s">
        <v>387</v>
      </c>
      <c r="C13" s="251">
        <v>0.9</v>
      </c>
      <c r="D13" s="252">
        <v>0.1</v>
      </c>
      <c r="E13" s="253"/>
      <c r="F13" s="254"/>
      <c r="G13" s="235" t="s">
        <v>388</v>
      </c>
      <c r="H13" s="235" t="s">
        <v>397</v>
      </c>
      <c r="J13" s="255" t="s">
        <v>162</v>
      </c>
      <c r="K13" s="235" t="s">
        <v>163</v>
      </c>
      <c r="L13" s="235" t="s">
        <v>164</v>
      </c>
      <c r="M13" s="235" t="s">
        <v>128</v>
      </c>
      <c r="N13" s="718">
        <f t="shared" si="0"/>
        <v>1068</v>
      </c>
      <c r="O13" s="275">
        <f t="shared" si="1"/>
        <v>1068</v>
      </c>
      <c r="P13" s="276">
        <v>89</v>
      </c>
      <c r="Q13" s="277">
        <v>89</v>
      </c>
      <c r="R13" s="276">
        <v>89</v>
      </c>
      <c r="S13" s="276">
        <v>89</v>
      </c>
      <c r="T13" s="276">
        <v>89</v>
      </c>
      <c r="U13" s="276">
        <v>89</v>
      </c>
      <c r="V13" s="276">
        <v>89</v>
      </c>
      <c r="W13" s="276">
        <v>89</v>
      </c>
      <c r="X13" s="276">
        <v>89</v>
      </c>
      <c r="Y13" s="276">
        <v>89</v>
      </c>
      <c r="Z13" s="276">
        <v>89</v>
      </c>
      <c r="AA13" s="276">
        <v>89</v>
      </c>
    </row>
    <row r="14" spans="1:27" ht="17">
      <c r="A14" s="235" t="s">
        <v>386</v>
      </c>
      <c r="B14" s="235" t="s">
        <v>387</v>
      </c>
      <c r="C14" s="251">
        <v>0.9</v>
      </c>
      <c r="D14" s="252">
        <v>0.1</v>
      </c>
      <c r="E14" s="253"/>
      <c r="F14" s="254"/>
      <c r="G14" s="235" t="s">
        <v>388</v>
      </c>
      <c r="H14" s="235" t="s">
        <v>398</v>
      </c>
      <c r="I14" s="235" t="s">
        <v>616</v>
      </c>
      <c r="J14" s="255" t="s">
        <v>162</v>
      </c>
      <c r="K14" s="235" t="s">
        <v>163</v>
      </c>
      <c r="L14" s="235" t="s">
        <v>164</v>
      </c>
      <c r="M14" s="235" t="s">
        <v>128</v>
      </c>
      <c r="N14" s="718">
        <f t="shared" si="0"/>
        <v>0</v>
      </c>
      <c r="O14" s="577">
        <f t="shared" si="1"/>
        <v>0</v>
      </c>
      <c r="P14" s="576">
        <v>0</v>
      </c>
      <c r="Q14" s="576">
        <v>0</v>
      </c>
      <c r="R14" s="576">
        <v>0</v>
      </c>
      <c r="S14" s="576">
        <v>0</v>
      </c>
      <c r="T14" s="576">
        <v>0</v>
      </c>
      <c r="U14" s="576">
        <v>0</v>
      </c>
      <c r="V14" s="576">
        <v>0</v>
      </c>
      <c r="W14" s="576">
        <v>0</v>
      </c>
      <c r="X14" s="576">
        <v>0</v>
      </c>
      <c r="Y14" s="576">
        <v>0</v>
      </c>
      <c r="Z14" s="576">
        <v>0</v>
      </c>
      <c r="AA14" s="576">
        <v>0</v>
      </c>
    </row>
    <row r="15" spans="1:27" ht="17">
      <c r="A15" s="235" t="s">
        <v>386</v>
      </c>
      <c r="B15" s="235" t="s">
        <v>387</v>
      </c>
      <c r="C15" s="251">
        <v>0.9</v>
      </c>
      <c r="D15" s="252">
        <v>0.1</v>
      </c>
      <c r="E15" s="253"/>
      <c r="F15" s="254"/>
      <c r="G15" s="235" t="s">
        <v>388</v>
      </c>
      <c r="H15" s="235" t="s">
        <v>399</v>
      </c>
      <c r="J15" s="255" t="s">
        <v>162</v>
      </c>
      <c r="K15" s="235" t="s">
        <v>163</v>
      </c>
      <c r="L15" s="235" t="s">
        <v>164</v>
      </c>
      <c r="M15" s="235" t="s">
        <v>400</v>
      </c>
      <c r="N15" s="718">
        <f t="shared" si="0"/>
        <v>0</v>
      </c>
      <c r="O15" s="577">
        <f t="shared" si="1"/>
        <v>0</v>
      </c>
      <c r="P15" s="576">
        <v>0</v>
      </c>
      <c r="Q15" s="576">
        <v>0</v>
      </c>
      <c r="R15" s="576">
        <v>0</v>
      </c>
      <c r="S15" s="576">
        <v>0</v>
      </c>
      <c r="T15" s="576">
        <v>0</v>
      </c>
      <c r="U15" s="576">
        <v>0</v>
      </c>
      <c r="V15" s="576">
        <v>0</v>
      </c>
      <c r="W15" s="576">
        <v>0</v>
      </c>
      <c r="X15" s="576">
        <v>0</v>
      </c>
      <c r="Y15" s="576">
        <v>0</v>
      </c>
      <c r="Z15" s="576">
        <v>0</v>
      </c>
      <c r="AA15" s="576">
        <v>0</v>
      </c>
    </row>
    <row r="16" spans="1:27" ht="17">
      <c r="A16" s="235" t="s">
        <v>386</v>
      </c>
      <c r="B16" s="235" t="s">
        <v>387</v>
      </c>
      <c r="C16" s="251">
        <v>0.9</v>
      </c>
      <c r="D16" s="252">
        <v>0.1</v>
      </c>
      <c r="E16" s="253"/>
      <c r="F16" s="254"/>
      <c r="G16" s="235" t="s">
        <v>388</v>
      </c>
      <c r="H16" s="235" t="s">
        <v>166</v>
      </c>
      <c r="J16" s="255" t="s">
        <v>162</v>
      </c>
      <c r="K16" s="235" t="s">
        <v>163</v>
      </c>
      <c r="L16" s="235" t="s">
        <v>164</v>
      </c>
      <c r="M16" s="235" t="s">
        <v>128</v>
      </c>
      <c r="N16" s="718">
        <f t="shared" si="0"/>
        <v>459.70000000000005</v>
      </c>
      <c r="O16" s="275">
        <f t="shared" si="1"/>
        <v>459.70000000000005</v>
      </c>
      <c r="P16" s="277">
        <v>0</v>
      </c>
      <c r="Q16" s="277">
        <v>0</v>
      </c>
      <c r="R16" s="277">
        <v>0</v>
      </c>
      <c r="S16" s="277">
        <v>0</v>
      </c>
      <c r="T16" s="277">
        <v>0</v>
      </c>
      <c r="U16" s="277">
        <v>0</v>
      </c>
      <c r="V16" s="277">
        <v>0</v>
      </c>
      <c r="W16" s="277">
        <v>0</v>
      </c>
      <c r="X16" s="277">
        <v>159.9</v>
      </c>
      <c r="Y16" s="277">
        <v>299.8</v>
      </c>
      <c r="Z16" s="277">
        <v>0</v>
      </c>
      <c r="AA16" s="277">
        <v>0</v>
      </c>
    </row>
    <row r="17" spans="1:27" ht="17">
      <c r="A17" s="235" t="s">
        <v>386</v>
      </c>
      <c r="B17" s="235" t="s">
        <v>387</v>
      </c>
      <c r="C17" s="251">
        <v>0.9</v>
      </c>
      <c r="D17" s="252">
        <v>0.1</v>
      </c>
      <c r="E17" s="253"/>
      <c r="F17" s="254"/>
      <c r="G17" s="235" t="s">
        <v>388</v>
      </c>
      <c r="H17" s="235" t="s">
        <v>401</v>
      </c>
      <c r="I17" s="235" t="s">
        <v>402</v>
      </c>
      <c r="J17" s="255" t="s">
        <v>162</v>
      </c>
      <c r="K17" s="235" t="s">
        <v>163</v>
      </c>
      <c r="L17" s="235" t="s">
        <v>164</v>
      </c>
      <c r="M17" s="235" t="s">
        <v>128</v>
      </c>
      <c r="N17" s="718">
        <f t="shared" si="0"/>
        <v>460.51199999999994</v>
      </c>
      <c r="O17" s="590">
        <f t="shared" si="1"/>
        <v>460.51199999999994</v>
      </c>
      <c r="P17" s="277">
        <f>12*3*1.066</f>
        <v>38.376000000000005</v>
      </c>
      <c r="Q17" s="277">
        <f t="shared" ref="Q17:AA17" si="2">12*3*1.066</f>
        <v>38.376000000000005</v>
      </c>
      <c r="R17" s="277">
        <f t="shared" si="2"/>
        <v>38.376000000000005</v>
      </c>
      <c r="S17" s="277">
        <f t="shared" si="2"/>
        <v>38.376000000000005</v>
      </c>
      <c r="T17" s="277">
        <f t="shared" si="2"/>
        <v>38.376000000000005</v>
      </c>
      <c r="U17" s="277">
        <f t="shared" si="2"/>
        <v>38.376000000000005</v>
      </c>
      <c r="V17" s="277">
        <f t="shared" si="2"/>
        <v>38.376000000000005</v>
      </c>
      <c r="W17" s="277">
        <f t="shared" si="2"/>
        <v>38.376000000000005</v>
      </c>
      <c r="X17" s="277">
        <f t="shared" si="2"/>
        <v>38.376000000000005</v>
      </c>
      <c r="Y17" s="277">
        <f t="shared" si="2"/>
        <v>38.376000000000005</v>
      </c>
      <c r="Z17" s="277">
        <f t="shared" si="2"/>
        <v>38.376000000000005</v>
      </c>
      <c r="AA17" s="277">
        <f t="shared" si="2"/>
        <v>38.376000000000005</v>
      </c>
    </row>
    <row r="18" spans="1:27" ht="17">
      <c r="A18" s="235" t="s">
        <v>386</v>
      </c>
      <c r="B18" s="235" t="s">
        <v>387</v>
      </c>
      <c r="C18" s="251">
        <v>0.9</v>
      </c>
      <c r="D18" s="252">
        <v>0.1</v>
      </c>
      <c r="E18" s="253"/>
      <c r="F18" s="254"/>
      <c r="G18" s="235" t="s">
        <v>388</v>
      </c>
      <c r="H18" s="235" t="s">
        <v>403</v>
      </c>
      <c r="I18" s="235" t="s">
        <v>404</v>
      </c>
      <c r="J18" s="255" t="s">
        <v>162</v>
      </c>
      <c r="K18" s="235" t="s">
        <v>163</v>
      </c>
      <c r="L18" s="235" t="s">
        <v>164</v>
      </c>
      <c r="M18" s="235" t="s">
        <v>128</v>
      </c>
      <c r="N18" s="718">
        <f t="shared" si="0"/>
        <v>3360</v>
      </c>
      <c r="O18" s="590">
        <f t="shared" si="1"/>
        <v>3360</v>
      </c>
      <c r="P18" s="277">
        <f>35*8</f>
        <v>280</v>
      </c>
      <c r="Q18" s="277">
        <f t="shared" ref="Q18:AA18" si="3">35*8</f>
        <v>280</v>
      </c>
      <c r="R18" s="277">
        <f t="shared" si="3"/>
        <v>280</v>
      </c>
      <c r="S18" s="277">
        <f t="shared" si="3"/>
        <v>280</v>
      </c>
      <c r="T18" s="277">
        <f t="shared" si="3"/>
        <v>280</v>
      </c>
      <c r="U18" s="277">
        <f t="shared" si="3"/>
        <v>280</v>
      </c>
      <c r="V18" s="277">
        <f t="shared" si="3"/>
        <v>280</v>
      </c>
      <c r="W18" s="277">
        <f t="shared" si="3"/>
        <v>280</v>
      </c>
      <c r="X18" s="277">
        <f t="shared" si="3"/>
        <v>280</v>
      </c>
      <c r="Y18" s="277">
        <f t="shared" si="3"/>
        <v>280</v>
      </c>
      <c r="Z18" s="277">
        <f t="shared" si="3"/>
        <v>280</v>
      </c>
      <c r="AA18" s="277">
        <f t="shared" si="3"/>
        <v>280</v>
      </c>
    </row>
    <row r="19" spans="1:27" ht="17">
      <c r="A19" s="248" t="s">
        <v>182</v>
      </c>
      <c r="B19" s="248"/>
      <c r="C19" s="249" t="s">
        <v>156</v>
      </c>
      <c r="D19" s="249" t="s">
        <v>156</v>
      </c>
      <c r="E19" s="249" t="s">
        <v>156</v>
      </c>
      <c r="F19" s="249" t="s">
        <v>156</v>
      </c>
      <c r="G19" s="248"/>
      <c r="H19" s="248"/>
      <c r="I19" s="248"/>
      <c r="J19" s="248"/>
      <c r="K19" s="248"/>
      <c r="L19" s="248"/>
      <c r="M19" s="248"/>
      <c r="N19" s="719"/>
      <c r="O19" s="278">
        <v>0</v>
      </c>
      <c r="P19" s="278"/>
      <c r="Q19" s="278"/>
      <c r="R19" s="278"/>
      <c r="S19" s="278"/>
      <c r="T19" s="278"/>
      <c r="U19" s="278"/>
      <c r="V19" s="278"/>
      <c r="W19" s="278"/>
      <c r="X19" s="278"/>
      <c r="Y19" s="278"/>
      <c r="Z19" s="278"/>
      <c r="AA19" s="278"/>
    </row>
    <row r="20" spans="1:27" ht="17">
      <c r="A20" s="235" t="s">
        <v>386</v>
      </c>
      <c r="B20" s="235" t="s">
        <v>387</v>
      </c>
      <c r="C20" s="251">
        <v>1</v>
      </c>
      <c r="D20" s="252"/>
      <c r="E20" s="253"/>
      <c r="F20" s="254"/>
      <c r="G20" s="250" t="s">
        <v>405</v>
      </c>
      <c r="H20" s="250" t="s">
        <v>406</v>
      </c>
      <c r="I20" s="250" t="s">
        <v>407</v>
      </c>
      <c r="J20" s="259" t="s">
        <v>186</v>
      </c>
      <c r="K20" s="235" t="s">
        <v>187</v>
      </c>
      <c r="L20" s="235" t="s">
        <v>188</v>
      </c>
      <c r="M20" s="235" t="s">
        <v>128</v>
      </c>
      <c r="N20" s="718">
        <f t="shared" ref="N20:N25" si="4">+IF(M20="MXN",O20/$N$2,IF(M20="BRL",O20/$N$3,O20))</f>
        <v>18000</v>
      </c>
      <c r="O20" s="275">
        <f t="shared" ref="O20:O25" si="5">+SUM(P20:AA20)</f>
        <v>18000</v>
      </c>
      <c r="P20" s="277">
        <v>1500</v>
      </c>
      <c r="Q20" s="277">
        <v>1500</v>
      </c>
      <c r="R20" s="277">
        <v>1500</v>
      </c>
      <c r="S20" s="277">
        <v>1500</v>
      </c>
      <c r="T20" s="277">
        <v>1500</v>
      </c>
      <c r="U20" s="277">
        <v>1500</v>
      </c>
      <c r="V20" s="277">
        <v>1500</v>
      </c>
      <c r="W20" s="277">
        <v>1500</v>
      </c>
      <c r="X20" s="277">
        <v>1500</v>
      </c>
      <c r="Y20" s="277">
        <v>1500</v>
      </c>
      <c r="Z20" s="277">
        <v>1500</v>
      </c>
      <c r="AA20" s="277">
        <v>1500</v>
      </c>
    </row>
    <row r="21" spans="1:27" ht="17">
      <c r="A21" s="235" t="s">
        <v>386</v>
      </c>
      <c r="B21" s="235" t="s">
        <v>387</v>
      </c>
      <c r="C21" s="251">
        <v>1</v>
      </c>
      <c r="D21" s="252"/>
      <c r="E21" s="253"/>
      <c r="F21" s="254"/>
      <c r="G21" s="250" t="s">
        <v>408</v>
      </c>
      <c r="H21" s="250" t="s">
        <v>409</v>
      </c>
      <c r="I21" s="250" t="s">
        <v>407</v>
      </c>
      <c r="J21" s="259" t="s">
        <v>186</v>
      </c>
      <c r="K21" s="235" t="s">
        <v>187</v>
      </c>
      <c r="L21" s="235" t="s">
        <v>188</v>
      </c>
      <c r="M21" s="235" t="s">
        <v>128</v>
      </c>
      <c r="N21" s="718">
        <f t="shared" si="4"/>
        <v>24000</v>
      </c>
      <c r="O21" s="275">
        <f t="shared" si="5"/>
        <v>24000</v>
      </c>
      <c r="P21" s="277">
        <v>2000</v>
      </c>
      <c r="Q21" s="277">
        <v>2000</v>
      </c>
      <c r="R21" s="277">
        <v>2000</v>
      </c>
      <c r="S21" s="277">
        <v>2000</v>
      </c>
      <c r="T21" s="277">
        <v>2000</v>
      </c>
      <c r="U21" s="277">
        <v>2000</v>
      </c>
      <c r="V21" s="277">
        <v>2000</v>
      </c>
      <c r="W21" s="277">
        <v>2000</v>
      </c>
      <c r="X21" s="277">
        <v>2000</v>
      </c>
      <c r="Y21" s="277">
        <v>2000</v>
      </c>
      <c r="Z21" s="277">
        <v>2000</v>
      </c>
      <c r="AA21" s="277">
        <v>2000</v>
      </c>
    </row>
    <row r="22" spans="1:27" ht="17">
      <c r="A22" s="235" t="s">
        <v>386</v>
      </c>
      <c r="B22" s="235" t="s">
        <v>387</v>
      </c>
      <c r="C22" s="251">
        <v>1</v>
      </c>
      <c r="D22" s="252"/>
      <c r="E22" s="253"/>
      <c r="F22" s="254"/>
      <c r="G22" s="250" t="s">
        <v>410</v>
      </c>
      <c r="H22" s="250" t="s">
        <v>411</v>
      </c>
      <c r="I22" s="250" t="s">
        <v>407</v>
      </c>
      <c r="J22" s="259" t="s">
        <v>186</v>
      </c>
      <c r="K22" s="235" t="s">
        <v>187</v>
      </c>
      <c r="L22" s="235" t="s">
        <v>188</v>
      </c>
      <c r="M22" s="235" t="s">
        <v>128</v>
      </c>
      <c r="N22" s="718">
        <f t="shared" si="4"/>
        <v>36000</v>
      </c>
      <c r="O22" s="275">
        <f t="shared" si="5"/>
        <v>36000</v>
      </c>
      <c r="P22" s="277">
        <v>3000</v>
      </c>
      <c r="Q22" s="277">
        <v>3000</v>
      </c>
      <c r="R22" s="277">
        <v>3000</v>
      </c>
      <c r="S22" s="277">
        <v>3000</v>
      </c>
      <c r="T22" s="277">
        <v>3000</v>
      </c>
      <c r="U22" s="277">
        <v>3000</v>
      </c>
      <c r="V22" s="277">
        <v>3000</v>
      </c>
      <c r="W22" s="277">
        <v>3000</v>
      </c>
      <c r="X22" s="277">
        <v>3000</v>
      </c>
      <c r="Y22" s="277">
        <v>3000</v>
      </c>
      <c r="Z22" s="277">
        <v>3000</v>
      </c>
      <c r="AA22" s="277">
        <v>3000</v>
      </c>
    </row>
    <row r="23" spans="1:27" ht="17">
      <c r="A23" s="235" t="s">
        <v>386</v>
      </c>
      <c r="B23" s="235" t="s">
        <v>387</v>
      </c>
      <c r="C23" s="251"/>
      <c r="D23" s="252"/>
      <c r="E23" s="253">
        <v>1</v>
      </c>
      <c r="F23" s="254"/>
      <c r="G23" s="250" t="s">
        <v>408</v>
      </c>
      <c r="H23" s="235" t="s">
        <v>412</v>
      </c>
      <c r="I23" s="250" t="s">
        <v>407</v>
      </c>
      <c r="J23" s="259" t="s">
        <v>186</v>
      </c>
      <c r="K23" s="235" t="s">
        <v>187</v>
      </c>
      <c r="L23" s="235" t="s">
        <v>188</v>
      </c>
      <c r="M23" s="235" t="s">
        <v>128</v>
      </c>
      <c r="N23" s="718">
        <f t="shared" si="4"/>
        <v>12000</v>
      </c>
      <c r="O23" s="275">
        <f t="shared" si="5"/>
        <v>12000</v>
      </c>
      <c r="P23" s="277">
        <v>1000</v>
      </c>
      <c r="Q23" s="277">
        <v>1000</v>
      </c>
      <c r="R23" s="277">
        <v>1000</v>
      </c>
      <c r="S23" s="277">
        <v>1000</v>
      </c>
      <c r="T23" s="277">
        <v>1000</v>
      </c>
      <c r="U23" s="277">
        <v>1000</v>
      </c>
      <c r="V23" s="277">
        <v>1000</v>
      </c>
      <c r="W23" s="277">
        <v>1000</v>
      </c>
      <c r="X23" s="277">
        <v>1000</v>
      </c>
      <c r="Y23" s="277">
        <v>1000</v>
      </c>
      <c r="Z23" s="277">
        <v>1000</v>
      </c>
      <c r="AA23" s="277">
        <v>1000</v>
      </c>
    </row>
    <row r="24" spans="1:27" ht="17">
      <c r="A24" s="235" t="s">
        <v>386</v>
      </c>
      <c r="B24" s="235" t="s">
        <v>387</v>
      </c>
      <c r="C24" s="251">
        <v>0.9</v>
      </c>
      <c r="D24" s="252">
        <v>0.1</v>
      </c>
      <c r="E24" s="253"/>
      <c r="F24" s="254"/>
      <c r="G24" s="250" t="s">
        <v>388</v>
      </c>
      <c r="H24" s="250" t="s">
        <v>413</v>
      </c>
      <c r="I24" s="250" t="s">
        <v>414</v>
      </c>
      <c r="J24" s="259" t="s">
        <v>186</v>
      </c>
      <c r="K24" s="235" t="s">
        <v>187</v>
      </c>
      <c r="L24" s="235" t="s">
        <v>188</v>
      </c>
      <c r="M24" s="235" t="s">
        <v>128</v>
      </c>
      <c r="N24" s="718">
        <f t="shared" si="4"/>
        <v>0</v>
      </c>
      <c r="O24" s="276">
        <f t="shared" si="5"/>
        <v>0</v>
      </c>
      <c r="P24" s="576">
        <v>0</v>
      </c>
      <c r="Q24" s="576">
        <v>0</v>
      </c>
      <c r="R24" s="576">
        <v>0</v>
      </c>
      <c r="S24" s="576">
        <v>0</v>
      </c>
      <c r="T24" s="576">
        <v>0</v>
      </c>
      <c r="U24" s="576">
        <v>0</v>
      </c>
      <c r="V24" s="576">
        <v>0</v>
      </c>
      <c r="W24" s="576">
        <v>0</v>
      </c>
      <c r="X24" s="576">
        <v>0</v>
      </c>
      <c r="Y24" s="576">
        <v>0</v>
      </c>
      <c r="Z24" s="576">
        <v>0</v>
      </c>
      <c r="AA24" s="576">
        <v>0</v>
      </c>
    </row>
    <row r="25" spans="1:27" ht="17">
      <c r="A25" s="235" t="s">
        <v>386</v>
      </c>
      <c r="B25" s="235" t="s">
        <v>387</v>
      </c>
      <c r="C25" s="251">
        <v>0.9</v>
      </c>
      <c r="D25" s="252">
        <v>0.1</v>
      </c>
      <c r="E25" s="253"/>
      <c r="F25" s="254"/>
      <c r="G25" s="250" t="s">
        <v>388</v>
      </c>
      <c r="H25" s="250" t="s">
        <v>415</v>
      </c>
      <c r="I25" s="250" t="s">
        <v>416</v>
      </c>
      <c r="J25" s="259" t="s">
        <v>186</v>
      </c>
      <c r="K25" s="235" t="s">
        <v>187</v>
      </c>
      <c r="L25" s="235" t="s">
        <v>188</v>
      </c>
      <c r="M25" s="235" t="s">
        <v>128</v>
      </c>
      <c r="N25" s="718">
        <f t="shared" si="4"/>
        <v>0</v>
      </c>
      <c r="O25" s="275">
        <f t="shared" si="5"/>
        <v>0</v>
      </c>
      <c r="P25" s="576">
        <v>0</v>
      </c>
      <c r="Q25" s="576">
        <v>0</v>
      </c>
      <c r="R25" s="576">
        <v>0</v>
      </c>
      <c r="S25" s="576">
        <v>0</v>
      </c>
      <c r="T25" s="576">
        <v>0</v>
      </c>
      <c r="U25" s="576">
        <v>0</v>
      </c>
      <c r="V25" s="576">
        <v>0</v>
      </c>
      <c r="W25" s="576">
        <v>0</v>
      </c>
      <c r="X25" s="576">
        <v>0</v>
      </c>
      <c r="Y25" s="576">
        <v>0</v>
      </c>
      <c r="Z25" s="576">
        <v>0</v>
      </c>
      <c r="AA25" s="576">
        <v>0</v>
      </c>
    </row>
    <row r="26" spans="1:27" ht="17">
      <c r="A26" s="248" t="s">
        <v>207</v>
      </c>
      <c r="B26" s="248"/>
      <c r="C26" s="249"/>
      <c r="D26" s="249"/>
      <c r="E26" s="249"/>
      <c r="F26" s="249"/>
      <c r="G26" s="248"/>
      <c r="H26" s="248"/>
      <c r="I26" s="248"/>
      <c r="J26" s="248"/>
      <c r="K26" s="248"/>
      <c r="L26" s="248"/>
      <c r="M26" s="248"/>
      <c r="N26" s="719"/>
      <c r="O26" s="278">
        <v>0</v>
      </c>
      <c r="P26" s="278"/>
      <c r="Q26" s="278"/>
      <c r="R26" s="278"/>
      <c r="S26" s="278"/>
      <c r="T26" s="278"/>
      <c r="U26" s="278"/>
      <c r="V26" s="278"/>
      <c r="W26" s="278"/>
      <c r="X26" s="278"/>
      <c r="Y26" s="278"/>
      <c r="Z26" s="278"/>
      <c r="AA26" s="278"/>
    </row>
    <row r="27" spans="1:27" ht="17">
      <c r="A27" s="256" t="s">
        <v>381</v>
      </c>
      <c r="B27" s="256"/>
      <c r="C27" s="257"/>
      <c r="D27" s="257"/>
      <c r="E27" s="257"/>
      <c r="F27" s="257"/>
      <c r="G27" s="256"/>
      <c r="H27" s="256"/>
      <c r="I27" s="256"/>
      <c r="J27" s="256"/>
      <c r="K27" s="256"/>
      <c r="L27" s="256"/>
      <c r="M27" s="256"/>
      <c r="N27" s="720"/>
      <c r="O27" s="258">
        <v>0</v>
      </c>
      <c r="P27" s="258"/>
      <c r="Q27" s="258"/>
      <c r="R27" s="258"/>
      <c r="S27" s="258"/>
      <c r="T27" s="258"/>
      <c r="U27" s="258"/>
      <c r="V27" s="258"/>
      <c r="W27" s="258"/>
      <c r="X27" s="258"/>
      <c r="Y27" s="258"/>
      <c r="Z27" s="258"/>
      <c r="AA27" s="258"/>
    </row>
    <row r="28" spans="1:27" s="271" customFormat="1" ht="17">
      <c r="A28" s="271" t="s">
        <v>386</v>
      </c>
      <c r="B28" s="271" t="s">
        <v>387</v>
      </c>
      <c r="C28" s="279">
        <v>0.8</v>
      </c>
      <c r="D28" s="280">
        <v>0.1</v>
      </c>
      <c r="E28" s="253">
        <v>0.1</v>
      </c>
      <c r="F28" s="281"/>
      <c r="G28" s="271" t="s">
        <v>209</v>
      </c>
      <c r="H28" s="282" t="s">
        <v>387</v>
      </c>
      <c r="I28" s="271" t="s">
        <v>417</v>
      </c>
      <c r="J28" s="283" t="s">
        <v>217</v>
      </c>
      <c r="K28" s="271" t="s">
        <v>218</v>
      </c>
      <c r="L28" s="271" t="s">
        <v>214</v>
      </c>
      <c r="M28" s="271" t="s">
        <v>27</v>
      </c>
      <c r="N28" s="718">
        <f>+IF(M28="MXN",O28/$N$2,IF(M28="BRL",O28/$N$3,O28))</f>
        <v>61090.909090909088</v>
      </c>
      <c r="O28" s="284">
        <f>+SUM(P28:AA28)</f>
        <v>336000</v>
      </c>
      <c r="P28" s="285">
        <v>28000</v>
      </c>
      <c r="Q28" s="285">
        <v>28000</v>
      </c>
      <c r="R28" s="285">
        <v>28000</v>
      </c>
      <c r="S28" s="285">
        <v>28000</v>
      </c>
      <c r="T28" s="285">
        <v>28000</v>
      </c>
      <c r="U28" s="285">
        <v>28000</v>
      </c>
      <c r="V28" s="285">
        <v>28000</v>
      </c>
      <c r="W28" s="285">
        <v>28000</v>
      </c>
      <c r="X28" s="285">
        <v>28000</v>
      </c>
      <c r="Y28" s="285">
        <v>28000</v>
      </c>
      <c r="Z28" s="285">
        <v>28000</v>
      </c>
      <c r="AA28" s="285">
        <v>28000</v>
      </c>
    </row>
    <row r="29" spans="1:27" ht="17">
      <c r="A29" s="256" t="s">
        <v>381</v>
      </c>
      <c r="B29" s="256"/>
      <c r="C29" s="257"/>
      <c r="D29" s="257"/>
      <c r="E29" s="257"/>
      <c r="F29" s="257"/>
      <c r="G29" s="256"/>
      <c r="H29" s="256"/>
      <c r="I29" s="256"/>
      <c r="J29" s="256"/>
      <c r="K29" s="256"/>
      <c r="L29" s="256"/>
      <c r="M29" s="256"/>
      <c r="N29" s="720"/>
      <c r="O29" s="258">
        <v>0</v>
      </c>
      <c r="P29" s="258"/>
      <c r="Q29" s="258"/>
      <c r="R29" s="258"/>
      <c r="S29" s="258"/>
      <c r="T29" s="258"/>
      <c r="U29" s="258"/>
      <c r="V29" s="258"/>
      <c r="W29" s="258"/>
      <c r="X29" s="258"/>
      <c r="Y29" s="258"/>
      <c r="Z29" s="258"/>
      <c r="AA29" s="258"/>
    </row>
    <row r="30" spans="1:27" s="271" customFormat="1" ht="17">
      <c r="A30" s="271" t="s">
        <v>386</v>
      </c>
      <c r="B30" s="271" t="s">
        <v>387</v>
      </c>
      <c r="C30" s="251">
        <v>0.9</v>
      </c>
      <c r="D30" s="280">
        <v>0.1</v>
      </c>
      <c r="E30" s="286"/>
      <c r="F30" s="281"/>
      <c r="G30" s="271" t="s">
        <v>209</v>
      </c>
      <c r="H30" s="282" t="s">
        <v>418</v>
      </c>
      <c r="I30" s="271" t="s">
        <v>419</v>
      </c>
      <c r="J30" s="283" t="s">
        <v>217</v>
      </c>
      <c r="K30" s="271" t="s">
        <v>218</v>
      </c>
      <c r="L30" s="271" t="s">
        <v>214</v>
      </c>
      <c r="M30" s="271" t="s">
        <v>128</v>
      </c>
      <c r="N30" s="718">
        <f>+IF(M30="MXN",O30/$N$2,IF(M30="BRL",O30/$N$3,O30))</f>
        <v>18000</v>
      </c>
      <c r="O30" s="284">
        <f>+SUM(P30:AA30)</f>
        <v>18000</v>
      </c>
      <c r="P30" s="285">
        <v>1500</v>
      </c>
      <c r="Q30" s="285">
        <v>1500</v>
      </c>
      <c r="R30" s="285">
        <v>1500</v>
      </c>
      <c r="S30" s="285">
        <v>1500</v>
      </c>
      <c r="T30" s="285">
        <v>1500</v>
      </c>
      <c r="U30" s="285">
        <v>1500</v>
      </c>
      <c r="V30" s="285">
        <v>1500</v>
      </c>
      <c r="W30" s="285">
        <v>1500</v>
      </c>
      <c r="X30" s="285">
        <v>1500</v>
      </c>
      <c r="Y30" s="285">
        <v>1500</v>
      </c>
      <c r="Z30" s="285">
        <v>1500</v>
      </c>
      <c r="AA30" s="285">
        <v>1500</v>
      </c>
    </row>
    <row r="31" spans="1:27" s="271" customFormat="1" ht="17">
      <c r="A31" s="271" t="s">
        <v>386</v>
      </c>
      <c r="B31" s="271" t="s">
        <v>387</v>
      </c>
      <c r="C31" s="251">
        <v>0.9</v>
      </c>
      <c r="D31" s="280">
        <v>0.1</v>
      </c>
      <c r="E31" s="286"/>
      <c r="F31" s="281"/>
      <c r="G31" s="271" t="s">
        <v>209</v>
      </c>
      <c r="H31" s="282" t="s">
        <v>420</v>
      </c>
      <c r="I31" s="271" t="s">
        <v>421</v>
      </c>
      <c r="J31" s="283" t="s">
        <v>217</v>
      </c>
      <c r="K31" s="271" t="s">
        <v>218</v>
      </c>
      <c r="L31" s="271" t="s">
        <v>214</v>
      </c>
      <c r="M31" s="271" t="s">
        <v>128</v>
      </c>
      <c r="N31" s="718">
        <f>+IF(M31="MXN",O31/$N$2,IF(M31="BRL",O31/$N$3,O31))</f>
        <v>13200</v>
      </c>
      <c r="O31" s="284">
        <f>+SUM(P31:AA31)</f>
        <v>13200</v>
      </c>
      <c r="P31" s="285">
        <v>1100</v>
      </c>
      <c r="Q31" s="285">
        <v>1100</v>
      </c>
      <c r="R31" s="285">
        <v>1100</v>
      </c>
      <c r="S31" s="285">
        <v>1100</v>
      </c>
      <c r="T31" s="285">
        <v>1100</v>
      </c>
      <c r="U31" s="285">
        <v>1100</v>
      </c>
      <c r="V31" s="285">
        <v>1100</v>
      </c>
      <c r="W31" s="285">
        <v>1100</v>
      </c>
      <c r="X31" s="285">
        <v>1100</v>
      </c>
      <c r="Y31" s="285">
        <v>1100</v>
      </c>
      <c r="Z31" s="285">
        <v>1100</v>
      </c>
      <c r="AA31" s="285">
        <v>1100</v>
      </c>
    </row>
    <row r="32" spans="1:27" ht="17">
      <c r="A32" s="256" t="s">
        <v>215</v>
      </c>
      <c r="B32" s="256"/>
      <c r="C32" s="257"/>
      <c r="D32" s="257"/>
      <c r="E32" s="257"/>
      <c r="F32" s="257"/>
      <c r="G32" s="256"/>
      <c r="H32" s="256"/>
      <c r="I32" s="256"/>
      <c r="J32" s="256"/>
      <c r="K32" s="256"/>
      <c r="L32" s="256"/>
      <c r="M32" s="256"/>
      <c r="N32" s="720"/>
      <c r="O32" s="258">
        <v>0</v>
      </c>
      <c r="P32" s="258"/>
      <c r="Q32" s="258"/>
      <c r="R32" s="258"/>
      <c r="S32" s="258"/>
      <c r="T32" s="258"/>
      <c r="U32" s="258"/>
      <c r="V32" s="258"/>
      <c r="W32" s="258"/>
      <c r="X32" s="258"/>
      <c r="Y32" s="258"/>
      <c r="Z32" s="258"/>
      <c r="AA32" s="258"/>
    </row>
    <row r="33" spans="1:29" s="271" customFormat="1" ht="17">
      <c r="A33" s="271" t="s">
        <v>386</v>
      </c>
      <c r="B33" s="271" t="s">
        <v>387</v>
      </c>
      <c r="C33" s="279"/>
      <c r="D33" s="280"/>
      <c r="E33" s="253"/>
      <c r="F33" s="281"/>
      <c r="G33" s="271" t="s">
        <v>209</v>
      </c>
      <c r="H33" s="282" t="s">
        <v>422</v>
      </c>
      <c r="I33" s="271" t="s">
        <v>423</v>
      </c>
      <c r="J33" s="283" t="s">
        <v>217</v>
      </c>
      <c r="K33" s="271" t="s">
        <v>218</v>
      </c>
      <c r="L33" s="271" t="s">
        <v>214</v>
      </c>
      <c r="M33" s="271" t="s">
        <v>129</v>
      </c>
      <c r="N33" s="718">
        <f>+IF(M33="MXN",O33/$N$2,IF(M33="BRL",O33/$N$3,O33))</f>
        <v>0</v>
      </c>
      <c r="O33" s="578">
        <f>+SUM(P33:AA33)</f>
        <v>0</v>
      </c>
      <c r="P33" s="576">
        <v>0</v>
      </c>
      <c r="Q33" s="576">
        <v>0</v>
      </c>
      <c r="R33" s="576">
        <v>0</v>
      </c>
      <c r="S33" s="576">
        <v>0</v>
      </c>
      <c r="T33" s="576">
        <v>0</v>
      </c>
      <c r="U33" s="576">
        <v>0</v>
      </c>
      <c r="V33" s="576">
        <v>0</v>
      </c>
      <c r="W33" s="576">
        <v>0</v>
      </c>
      <c r="X33" s="576">
        <v>0</v>
      </c>
      <c r="Y33" s="576">
        <v>0</v>
      </c>
      <c r="Z33" s="576">
        <v>0</v>
      </c>
      <c r="AA33" s="576">
        <v>0</v>
      </c>
    </row>
    <row r="34" spans="1:29" s="271" customFormat="1" ht="17">
      <c r="A34" s="271" t="s">
        <v>386</v>
      </c>
      <c r="B34" s="271" t="s">
        <v>387</v>
      </c>
      <c r="C34" s="251">
        <v>0.9</v>
      </c>
      <c r="D34" s="252">
        <v>0.1</v>
      </c>
      <c r="E34" s="286"/>
      <c r="F34" s="281"/>
      <c r="G34" s="271" t="s">
        <v>209</v>
      </c>
      <c r="H34" s="271" t="s">
        <v>431</v>
      </c>
      <c r="I34" s="271" t="s">
        <v>432</v>
      </c>
      <c r="J34" s="283" t="s">
        <v>217</v>
      </c>
      <c r="K34" s="271" t="s">
        <v>218</v>
      </c>
      <c r="L34" s="271" t="s">
        <v>214</v>
      </c>
      <c r="M34" s="271" t="s">
        <v>129</v>
      </c>
      <c r="N34" s="718">
        <f>+IF(M34="MXN",O34/$N$2,IF(M34="BRL",O34/$N$3,O34))</f>
        <v>18953.846153846152</v>
      </c>
      <c r="O34" s="284">
        <f>+SUM(P34:AA34)</f>
        <v>369600</v>
      </c>
      <c r="P34" s="285">
        <v>30800</v>
      </c>
      <c r="Q34" s="285">
        <v>30800</v>
      </c>
      <c r="R34" s="285">
        <v>30800</v>
      </c>
      <c r="S34" s="285">
        <v>30800</v>
      </c>
      <c r="T34" s="285">
        <v>30800</v>
      </c>
      <c r="U34" s="285">
        <v>30800</v>
      </c>
      <c r="V34" s="285">
        <v>30800</v>
      </c>
      <c r="W34" s="285">
        <v>30800</v>
      </c>
      <c r="X34" s="285">
        <v>30800</v>
      </c>
      <c r="Y34" s="285">
        <v>30800</v>
      </c>
      <c r="Z34" s="285">
        <v>30800</v>
      </c>
      <c r="AA34" s="285">
        <v>30800</v>
      </c>
    </row>
    <row r="35" spans="1:29" ht="17">
      <c r="A35" s="256" t="s">
        <v>307</v>
      </c>
      <c r="B35" s="256"/>
      <c r="C35" s="257"/>
      <c r="D35" s="257"/>
      <c r="E35" s="257"/>
      <c r="F35" s="257"/>
      <c r="G35" s="256"/>
      <c r="H35" s="256"/>
      <c r="I35" s="256"/>
      <c r="J35" s="256"/>
      <c r="K35" s="256"/>
      <c r="L35" s="256"/>
      <c r="M35" s="256"/>
      <c r="N35" s="720"/>
      <c r="O35" s="258">
        <v>0</v>
      </c>
      <c r="P35" s="258"/>
      <c r="Q35" s="258"/>
      <c r="R35" s="258"/>
      <c r="S35" s="258"/>
      <c r="T35" s="258"/>
      <c r="U35" s="258"/>
      <c r="V35" s="258"/>
      <c r="W35" s="258"/>
      <c r="X35" s="258"/>
      <c r="Y35" s="258"/>
      <c r="Z35" s="258"/>
      <c r="AA35" s="258"/>
    </row>
    <row r="36" spans="1:29" s="271" customFormat="1" ht="17">
      <c r="A36" s="271" t="s">
        <v>386</v>
      </c>
      <c r="B36" s="271" t="s">
        <v>387</v>
      </c>
      <c r="C36" s="251">
        <v>0.9</v>
      </c>
      <c r="D36" s="252">
        <v>0.1</v>
      </c>
      <c r="E36" s="286"/>
      <c r="F36" s="281"/>
      <c r="G36" s="271" t="s">
        <v>209</v>
      </c>
      <c r="H36" s="271" t="s">
        <v>424</v>
      </c>
      <c r="I36" s="271" t="s">
        <v>425</v>
      </c>
      <c r="J36" s="283" t="s">
        <v>217</v>
      </c>
      <c r="K36" s="271" t="s">
        <v>218</v>
      </c>
      <c r="L36" s="271" t="s">
        <v>214</v>
      </c>
      <c r="M36" s="271" t="s">
        <v>129</v>
      </c>
      <c r="N36" s="718">
        <f t="shared" ref="N36:N40" si="6">+IF(M36="MXN",O36/$N$2,IF(M36="BRL",O36/$N$3,O36))</f>
        <v>16000</v>
      </c>
      <c r="O36" s="284">
        <f t="shared" ref="O36:O39" si="7">+SUM(P36:AA36)</f>
        <v>312000</v>
      </c>
      <c r="P36" s="285">
        <v>26000</v>
      </c>
      <c r="Q36" s="285">
        <v>26000</v>
      </c>
      <c r="R36" s="285">
        <v>26000</v>
      </c>
      <c r="S36" s="285">
        <v>26000</v>
      </c>
      <c r="T36" s="285">
        <v>26000</v>
      </c>
      <c r="U36" s="285">
        <v>26000</v>
      </c>
      <c r="V36" s="285">
        <v>26000</v>
      </c>
      <c r="W36" s="285">
        <v>26000</v>
      </c>
      <c r="X36" s="285">
        <v>26000</v>
      </c>
      <c r="Y36" s="285">
        <v>26000</v>
      </c>
      <c r="Z36" s="285">
        <v>26000</v>
      </c>
      <c r="AA36" s="285">
        <v>26000</v>
      </c>
    </row>
    <row r="37" spans="1:29" s="271" customFormat="1" ht="17">
      <c r="A37" s="271" t="s">
        <v>386</v>
      </c>
      <c r="B37" s="271" t="s">
        <v>387</v>
      </c>
      <c r="C37" s="279">
        <v>0.8</v>
      </c>
      <c r="D37" s="252">
        <v>0.1</v>
      </c>
      <c r="E37" s="253">
        <v>0.1</v>
      </c>
      <c r="F37" s="281"/>
      <c r="G37" s="271" t="s">
        <v>209</v>
      </c>
      <c r="H37" s="271" t="s">
        <v>426</v>
      </c>
      <c r="I37" s="271" t="s">
        <v>427</v>
      </c>
      <c r="J37" s="283" t="s">
        <v>217</v>
      </c>
      <c r="K37" s="271" t="s">
        <v>218</v>
      </c>
      <c r="L37" s="271" t="s">
        <v>214</v>
      </c>
      <c r="M37" s="271" t="s">
        <v>129</v>
      </c>
      <c r="N37" s="718">
        <f t="shared" si="6"/>
        <v>24369.23076923077</v>
      </c>
      <c r="O37" s="284">
        <f t="shared" si="7"/>
        <v>475200</v>
      </c>
      <c r="P37" s="716">
        <f>36000*1.1</f>
        <v>39600</v>
      </c>
      <c r="Q37" s="716">
        <f t="shared" ref="Q37:AA37" si="8">36000*1.1</f>
        <v>39600</v>
      </c>
      <c r="R37" s="716">
        <f t="shared" si="8"/>
        <v>39600</v>
      </c>
      <c r="S37" s="716">
        <f t="shared" si="8"/>
        <v>39600</v>
      </c>
      <c r="T37" s="716">
        <f t="shared" si="8"/>
        <v>39600</v>
      </c>
      <c r="U37" s="716">
        <f t="shared" si="8"/>
        <v>39600</v>
      </c>
      <c r="V37" s="716">
        <f t="shared" si="8"/>
        <v>39600</v>
      </c>
      <c r="W37" s="716">
        <f t="shared" si="8"/>
        <v>39600</v>
      </c>
      <c r="X37" s="716">
        <f t="shared" si="8"/>
        <v>39600</v>
      </c>
      <c r="Y37" s="716">
        <f t="shared" si="8"/>
        <v>39600</v>
      </c>
      <c r="Z37" s="716">
        <f t="shared" si="8"/>
        <v>39600</v>
      </c>
      <c r="AA37" s="716">
        <f t="shared" si="8"/>
        <v>39600</v>
      </c>
    </row>
    <row r="38" spans="1:29" s="271" customFormat="1" ht="17">
      <c r="A38" s="271" t="s">
        <v>386</v>
      </c>
      <c r="B38" s="271" t="s">
        <v>387</v>
      </c>
      <c r="C38" s="251"/>
      <c r="D38" s="252"/>
      <c r="E38" s="286"/>
      <c r="F38" s="281"/>
      <c r="G38" s="271" t="s">
        <v>209</v>
      </c>
      <c r="H38" s="271" t="s">
        <v>428</v>
      </c>
      <c r="I38" s="271" t="s">
        <v>425</v>
      </c>
      <c r="J38" s="283" t="s">
        <v>217</v>
      </c>
      <c r="K38" s="271" t="s">
        <v>218</v>
      </c>
      <c r="L38" s="271" t="s">
        <v>214</v>
      </c>
      <c r="M38" s="271" t="s">
        <v>129</v>
      </c>
      <c r="N38" s="718">
        <f t="shared" si="6"/>
        <v>0</v>
      </c>
      <c r="O38" s="578">
        <f t="shared" si="7"/>
        <v>0</v>
      </c>
      <c r="P38" s="562">
        <v>0</v>
      </c>
      <c r="Q38" s="562">
        <v>0</v>
      </c>
      <c r="R38" s="562">
        <v>0</v>
      </c>
      <c r="S38" s="562">
        <v>0</v>
      </c>
      <c r="T38" s="562">
        <v>0</v>
      </c>
      <c r="U38" s="562">
        <v>0</v>
      </c>
      <c r="V38" s="562">
        <v>0</v>
      </c>
      <c r="W38" s="562">
        <v>0</v>
      </c>
      <c r="X38" s="562">
        <v>0</v>
      </c>
      <c r="Y38" s="562">
        <v>0</v>
      </c>
      <c r="Z38" s="562">
        <v>0</v>
      </c>
      <c r="AA38" s="562">
        <v>0</v>
      </c>
    </row>
    <row r="39" spans="1:29" s="271" customFormat="1" ht="17">
      <c r="A39" s="271" t="s">
        <v>386</v>
      </c>
      <c r="B39" s="271" t="s">
        <v>387</v>
      </c>
      <c r="C39" s="251">
        <v>0.9</v>
      </c>
      <c r="D39" s="252">
        <v>0.1</v>
      </c>
      <c r="E39" s="286"/>
      <c r="F39" s="281"/>
      <c r="G39" s="271" t="s">
        <v>209</v>
      </c>
      <c r="H39" s="271" t="s">
        <v>429</v>
      </c>
      <c r="I39" s="271" t="s">
        <v>430</v>
      </c>
      <c r="J39" s="283" t="s">
        <v>217</v>
      </c>
      <c r="K39" s="271" t="s">
        <v>218</v>
      </c>
      <c r="L39" s="271" t="s">
        <v>214</v>
      </c>
      <c r="M39" s="271" t="s">
        <v>129</v>
      </c>
      <c r="N39" s="718">
        <f t="shared" si="6"/>
        <v>7384.6153846153848</v>
      </c>
      <c r="O39" s="284">
        <f t="shared" si="7"/>
        <v>144000</v>
      </c>
      <c r="P39" s="285">
        <v>12000</v>
      </c>
      <c r="Q39" s="285">
        <v>12000</v>
      </c>
      <c r="R39" s="285">
        <v>12000</v>
      </c>
      <c r="S39" s="285">
        <v>12000</v>
      </c>
      <c r="T39" s="285">
        <v>12000</v>
      </c>
      <c r="U39" s="285">
        <v>12000</v>
      </c>
      <c r="V39" s="285">
        <v>12000</v>
      </c>
      <c r="W39" s="285">
        <v>12000</v>
      </c>
      <c r="X39" s="285">
        <v>12000</v>
      </c>
      <c r="Y39" s="285">
        <v>12000</v>
      </c>
      <c r="Z39" s="285">
        <v>12000</v>
      </c>
      <c r="AA39" s="285">
        <v>12000</v>
      </c>
    </row>
    <row r="40" spans="1:29" s="271" customFormat="1" ht="17">
      <c r="A40" s="271" t="s">
        <v>386</v>
      </c>
      <c r="B40" s="271" t="s">
        <v>387</v>
      </c>
      <c r="C40" s="251">
        <v>0.9</v>
      </c>
      <c r="D40" s="252">
        <v>0.1</v>
      </c>
      <c r="E40" s="286"/>
      <c r="F40" s="281"/>
      <c r="G40" s="271" t="s">
        <v>209</v>
      </c>
      <c r="H40" s="271" t="s">
        <v>433</v>
      </c>
      <c r="I40" s="271" t="s">
        <v>434</v>
      </c>
      <c r="J40" s="283" t="s">
        <v>217</v>
      </c>
      <c r="K40" s="271" t="s">
        <v>218</v>
      </c>
      <c r="L40" s="271" t="s">
        <v>214</v>
      </c>
      <c r="M40" s="271" t="s">
        <v>129</v>
      </c>
      <c r="N40" s="718">
        <f t="shared" si="6"/>
        <v>14230.76923076923</v>
      </c>
      <c r="O40" s="715">
        <f>+SUM(P40:AA40)</f>
        <v>277500</v>
      </c>
      <c r="P40" s="716">
        <f>(18500*1.25)</f>
        <v>23125</v>
      </c>
      <c r="Q40" s="716">
        <f t="shared" ref="Q40:AA40" si="9">(18500*1.25)</f>
        <v>23125</v>
      </c>
      <c r="R40" s="716">
        <f t="shared" si="9"/>
        <v>23125</v>
      </c>
      <c r="S40" s="716">
        <f t="shared" si="9"/>
        <v>23125</v>
      </c>
      <c r="T40" s="716">
        <f t="shared" si="9"/>
        <v>23125</v>
      </c>
      <c r="U40" s="716">
        <f t="shared" si="9"/>
        <v>23125</v>
      </c>
      <c r="V40" s="716">
        <f t="shared" si="9"/>
        <v>23125</v>
      </c>
      <c r="W40" s="716">
        <f t="shared" si="9"/>
        <v>23125</v>
      </c>
      <c r="X40" s="716">
        <f t="shared" si="9"/>
        <v>23125</v>
      </c>
      <c r="Y40" s="716">
        <f t="shared" si="9"/>
        <v>23125</v>
      </c>
      <c r="Z40" s="716">
        <f t="shared" si="9"/>
        <v>23125</v>
      </c>
      <c r="AA40" s="716">
        <f t="shared" si="9"/>
        <v>23125</v>
      </c>
    </row>
    <row r="41" spans="1:29" s="271" customFormat="1" ht="17">
      <c r="A41" s="271" t="s">
        <v>386</v>
      </c>
      <c r="B41" s="271" t="s">
        <v>387</v>
      </c>
      <c r="C41" s="251">
        <v>0.9</v>
      </c>
      <c r="D41" s="252">
        <v>0.1</v>
      </c>
      <c r="E41" s="286"/>
      <c r="F41" s="281"/>
      <c r="G41" s="271" t="s">
        <v>209</v>
      </c>
      <c r="H41" s="271" t="s">
        <v>713</v>
      </c>
      <c r="I41" s="271" t="s">
        <v>714</v>
      </c>
      <c r="J41" s="283" t="s">
        <v>217</v>
      </c>
      <c r="K41" s="271" t="s">
        <v>218</v>
      </c>
      <c r="L41" s="271" t="s">
        <v>214</v>
      </c>
      <c r="M41" s="271" t="s">
        <v>129</v>
      </c>
      <c r="N41" s="718">
        <v>2769.2307692307691</v>
      </c>
      <c r="O41" s="715">
        <f>SUM(P41:AA41)</f>
        <v>54000</v>
      </c>
      <c r="P41" s="285">
        <v>4500</v>
      </c>
      <c r="Q41" s="285">
        <v>4500</v>
      </c>
      <c r="R41" s="285">
        <v>4500</v>
      </c>
      <c r="S41" s="285">
        <v>4500</v>
      </c>
      <c r="T41" s="285">
        <v>4500</v>
      </c>
      <c r="U41" s="285">
        <v>4500</v>
      </c>
      <c r="V41" s="285">
        <v>4500</v>
      </c>
      <c r="W41" s="285">
        <v>4500</v>
      </c>
      <c r="X41" s="285">
        <v>4500</v>
      </c>
      <c r="Y41" s="285">
        <v>4500</v>
      </c>
      <c r="Z41" s="285">
        <v>4500</v>
      </c>
      <c r="AA41" s="285">
        <v>4500</v>
      </c>
      <c r="AC41" s="271" t="s">
        <v>716</v>
      </c>
    </row>
    <row r="42" spans="1:29" ht="17">
      <c r="A42" s="256" t="s">
        <v>223</v>
      </c>
      <c r="B42" s="256"/>
      <c r="C42" s="257"/>
      <c r="D42" s="257"/>
      <c r="E42" s="257"/>
      <c r="F42" s="257"/>
      <c r="G42" s="256"/>
      <c r="H42" s="256"/>
      <c r="I42" s="256"/>
      <c r="J42" s="256"/>
      <c r="K42" s="256"/>
      <c r="L42" s="256"/>
      <c r="M42" s="256"/>
      <c r="N42" s="720"/>
      <c r="O42" s="258">
        <v>0</v>
      </c>
      <c r="P42" s="258"/>
      <c r="Q42" s="258"/>
      <c r="R42" s="258"/>
      <c r="S42" s="258"/>
      <c r="T42" s="258"/>
      <c r="U42" s="258"/>
      <c r="V42" s="258"/>
      <c r="W42" s="258"/>
      <c r="X42" s="258"/>
      <c r="Y42" s="258"/>
      <c r="Z42" s="258"/>
      <c r="AA42" s="258"/>
    </row>
    <row r="43" spans="1:29" s="271" customFormat="1" ht="17">
      <c r="A43" s="271" t="s">
        <v>386</v>
      </c>
      <c r="B43" s="271" t="s">
        <v>387</v>
      </c>
      <c r="C43" s="251">
        <f>+SUM(C$36:C$40)/4</f>
        <v>0.875</v>
      </c>
      <c r="D43" s="252">
        <f>+SUM(D$36:D$40)/4</f>
        <v>0.1</v>
      </c>
      <c r="E43" s="286">
        <f>+SUM(E$36:E$40)/4</f>
        <v>2.5000000000000001E-2</v>
      </c>
      <c r="F43" s="281">
        <f>+SUM(F$36:F$40)/4</f>
        <v>0</v>
      </c>
      <c r="G43" s="271" t="s">
        <v>224</v>
      </c>
      <c r="H43" s="271" t="s">
        <v>225</v>
      </c>
      <c r="I43" s="271" t="s">
        <v>435</v>
      </c>
      <c r="J43" s="283" t="s">
        <v>227</v>
      </c>
      <c r="K43" s="271" t="s">
        <v>228</v>
      </c>
      <c r="L43" s="271" t="s">
        <v>214</v>
      </c>
      <c r="M43" s="271" t="s">
        <v>129</v>
      </c>
      <c r="N43" s="718">
        <f>+IF(M43="MXN",O43/$N$2,IF(M43="BRL",O43/$N$3,O43))</f>
        <v>2953.8461538461538</v>
      </c>
      <c r="O43" s="284">
        <f>+SUM(P43:AA43)</f>
        <v>57600</v>
      </c>
      <c r="P43" s="285">
        <v>4800</v>
      </c>
      <c r="Q43" s="285">
        <v>4800</v>
      </c>
      <c r="R43" s="285">
        <v>4800</v>
      </c>
      <c r="S43" s="285">
        <v>4800</v>
      </c>
      <c r="T43" s="285">
        <v>4800</v>
      </c>
      <c r="U43" s="285">
        <v>4800</v>
      </c>
      <c r="V43" s="285">
        <v>4800</v>
      </c>
      <c r="W43" s="285">
        <v>4800</v>
      </c>
      <c r="X43" s="285">
        <v>4800</v>
      </c>
      <c r="Y43" s="285">
        <v>4800</v>
      </c>
      <c r="Z43" s="285">
        <v>4800</v>
      </c>
      <c r="AA43" s="285">
        <v>4800</v>
      </c>
    </row>
    <row r="44" spans="1:29" s="271" customFormat="1" ht="17">
      <c r="A44" s="271" t="s">
        <v>386</v>
      </c>
      <c r="B44" s="271" t="s">
        <v>387</v>
      </c>
      <c r="C44" s="251">
        <f>+SUM(C36:C40,C33:C34)/5</f>
        <v>0.88000000000000012</v>
      </c>
      <c r="D44" s="252">
        <f>+SUM(D36:D40,D33:D34)/5</f>
        <v>0.1</v>
      </c>
      <c r="E44" s="286">
        <f>+SUM(E36:E40,E33:E34)/5</f>
        <v>0.02</v>
      </c>
      <c r="F44" s="281">
        <f>+SUM(F36:F40,F33:F34)/5</f>
        <v>0</v>
      </c>
      <c r="G44" s="271" t="s">
        <v>224</v>
      </c>
      <c r="H44" s="271" t="s">
        <v>229</v>
      </c>
      <c r="I44" s="271" t="s">
        <v>229</v>
      </c>
      <c r="J44" s="283" t="s">
        <v>313</v>
      </c>
      <c r="K44" s="271" t="s">
        <v>314</v>
      </c>
      <c r="L44" s="271" t="s">
        <v>214</v>
      </c>
      <c r="M44" s="271" t="s">
        <v>129</v>
      </c>
      <c r="N44" s="718">
        <f>+IF(M44="MXN",O44/$N$2,IF(M44="BRL",O44/$N$3,O44))</f>
        <v>3688.3333333333335</v>
      </c>
      <c r="O44" s="284">
        <f>+SUM(P44:AA44)</f>
        <v>71922.5</v>
      </c>
      <c r="P44" s="285">
        <v>0</v>
      </c>
      <c r="Q44" s="285">
        <v>0</v>
      </c>
      <c r="R44" s="285">
        <v>0</v>
      </c>
      <c r="S44" s="285">
        <v>0</v>
      </c>
      <c r="T44" s="285">
        <v>0</v>
      </c>
      <c r="U44" s="285">
        <v>0</v>
      </c>
      <c r="V44" s="285">
        <v>0</v>
      </c>
      <c r="W44" s="285">
        <v>0</v>
      </c>
      <c r="X44" s="285">
        <v>0</v>
      </c>
      <c r="Y44" s="285">
        <v>0</v>
      </c>
      <c r="Z44" s="285">
        <v>0</v>
      </c>
      <c r="AA44" s="285">
        <f>+SUM(AA36:AA40)/2+SUM(AA33:AA34)*0.7</f>
        <v>71922.5</v>
      </c>
    </row>
    <row r="45" spans="1:29" s="271" customFormat="1" ht="17">
      <c r="A45" s="271" t="s">
        <v>386</v>
      </c>
      <c r="B45" s="271" t="s">
        <v>387</v>
      </c>
      <c r="C45" s="251">
        <f>+SUM(C$36:C$40)/4</f>
        <v>0.875</v>
      </c>
      <c r="D45" s="252">
        <f>+SUM(D$36:D$40)/4</f>
        <v>0.1</v>
      </c>
      <c r="E45" s="286">
        <f>+SUM(E$36:E$40)/4</f>
        <v>2.5000000000000001E-2</v>
      </c>
      <c r="F45" s="281">
        <f>+SUM(F$36:F$40)/4</f>
        <v>0</v>
      </c>
      <c r="G45" s="271" t="s">
        <v>224</v>
      </c>
      <c r="H45" s="271" t="s">
        <v>312</v>
      </c>
      <c r="I45" s="271" t="s">
        <v>312</v>
      </c>
      <c r="J45" s="283" t="s">
        <v>231</v>
      </c>
      <c r="K45" s="271" t="s">
        <v>229</v>
      </c>
      <c r="L45" s="271" t="s">
        <v>214</v>
      </c>
      <c r="M45" s="271" t="s">
        <v>129</v>
      </c>
      <c r="N45" s="718">
        <f>+IF(M45="MXN",O45/$N$2,IF(M45="BRL",O45/$N$3,O45))</f>
        <v>1291.3461538461538</v>
      </c>
      <c r="O45" s="284">
        <f>+SUM(P45:AA45)</f>
        <v>25181.25</v>
      </c>
      <c r="P45" s="285">
        <f>+SUM(P36:P40)*0.25/12</f>
        <v>2098.4375</v>
      </c>
      <c r="Q45" s="285">
        <f t="shared" ref="Q45:AA45" si="10">+SUM(Q36:Q40)*0.25/12</f>
        <v>2098.4375</v>
      </c>
      <c r="R45" s="285">
        <f t="shared" si="10"/>
        <v>2098.4375</v>
      </c>
      <c r="S45" s="285">
        <f t="shared" si="10"/>
        <v>2098.4375</v>
      </c>
      <c r="T45" s="285">
        <f t="shared" si="10"/>
        <v>2098.4375</v>
      </c>
      <c r="U45" s="285">
        <f t="shared" si="10"/>
        <v>2098.4375</v>
      </c>
      <c r="V45" s="285">
        <f t="shared" si="10"/>
        <v>2098.4375</v>
      </c>
      <c r="W45" s="285">
        <f t="shared" si="10"/>
        <v>2098.4375</v>
      </c>
      <c r="X45" s="285">
        <f t="shared" si="10"/>
        <v>2098.4375</v>
      </c>
      <c r="Y45" s="285">
        <f t="shared" si="10"/>
        <v>2098.4375</v>
      </c>
      <c r="Z45" s="285">
        <f t="shared" si="10"/>
        <v>2098.4375</v>
      </c>
      <c r="AA45" s="285">
        <f t="shared" si="10"/>
        <v>2098.4375</v>
      </c>
    </row>
    <row r="46" spans="1:29" s="271" customFormat="1" ht="17">
      <c r="A46" s="271" t="s">
        <v>386</v>
      </c>
      <c r="B46" s="271" t="s">
        <v>387</v>
      </c>
      <c r="C46" s="251">
        <f>+SUM(C$36:C$40)/4</f>
        <v>0.875</v>
      </c>
      <c r="D46" s="252">
        <f>+SUM(D$36:D$40)/4</f>
        <v>0.1</v>
      </c>
      <c r="E46" s="286">
        <f>+SUM(E$36:E$40)/4</f>
        <v>2.5000000000000001E-2</v>
      </c>
      <c r="F46" s="281">
        <f t="shared" ref="F46" si="11">+SUM(F$36:F$40)/5</f>
        <v>0</v>
      </c>
      <c r="G46" s="271" t="s">
        <v>209</v>
      </c>
      <c r="H46" s="271" t="s">
        <v>315</v>
      </c>
      <c r="I46" s="271" t="s">
        <v>316</v>
      </c>
      <c r="J46" s="283" t="s">
        <v>217</v>
      </c>
      <c r="K46" s="271" t="s">
        <v>218</v>
      </c>
      <c r="L46" s="271" t="s">
        <v>214</v>
      </c>
      <c r="M46" s="271" t="s">
        <v>129</v>
      </c>
      <c r="N46" s="718">
        <f>+IF(M46="MXN",O46/$N$2,IF(M46="BRL",O46/$N$3,O46))</f>
        <v>14876.307692307691</v>
      </c>
      <c r="O46" s="284">
        <f>+SUM(P46:AA46)</f>
        <v>290088</v>
      </c>
      <c r="P46" s="285">
        <f>+SUM(P36:P40)*0.24</f>
        <v>24174</v>
      </c>
      <c r="Q46" s="285">
        <f t="shared" ref="Q46:AA46" si="12">+SUM(Q36:Q40)*0.24</f>
        <v>24174</v>
      </c>
      <c r="R46" s="285">
        <f t="shared" si="12"/>
        <v>24174</v>
      </c>
      <c r="S46" s="285">
        <f t="shared" si="12"/>
        <v>24174</v>
      </c>
      <c r="T46" s="285">
        <f t="shared" si="12"/>
        <v>24174</v>
      </c>
      <c r="U46" s="285">
        <f t="shared" si="12"/>
        <v>24174</v>
      </c>
      <c r="V46" s="285">
        <f t="shared" si="12"/>
        <v>24174</v>
      </c>
      <c r="W46" s="285">
        <f t="shared" si="12"/>
        <v>24174</v>
      </c>
      <c r="X46" s="285">
        <f t="shared" si="12"/>
        <v>24174</v>
      </c>
      <c r="Y46" s="285">
        <f t="shared" si="12"/>
        <v>24174</v>
      </c>
      <c r="Z46" s="285">
        <f t="shared" si="12"/>
        <v>24174</v>
      </c>
      <c r="AA46" s="285">
        <f t="shared" si="12"/>
        <v>24174</v>
      </c>
    </row>
    <row r="47" spans="1:29" ht="17">
      <c r="A47" s="248" t="s">
        <v>242</v>
      </c>
      <c r="B47" s="248"/>
      <c r="C47" s="248"/>
      <c r="D47" s="248"/>
      <c r="E47" s="248"/>
      <c r="F47" s="248"/>
      <c r="G47" s="248"/>
      <c r="H47" s="248"/>
      <c r="I47" s="248"/>
      <c r="J47" s="248"/>
      <c r="K47" s="248"/>
      <c r="L47" s="248"/>
      <c r="M47" s="248"/>
      <c r="N47" s="278"/>
      <c r="O47" s="278">
        <v>0</v>
      </c>
      <c r="P47" s="278"/>
      <c r="Q47" s="278"/>
      <c r="R47" s="278"/>
      <c r="S47" s="278"/>
      <c r="T47" s="278"/>
      <c r="U47" s="278"/>
      <c r="V47" s="278"/>
      <c r="W47" s="278"/>
      <c r="X47" s="278"/>
      <c r="Y47" s="278"/>
      <c r="Z47" s="278"/>
      <c r="AA47" s="278"/>
    </row>
    <row r="48" spans="1:29" ht="17">
      <c r="A48" s="235" t="s">
        <v>386</v>
      </c>
      <c r="B48" s="235" t="s">
        <v>387</v>
      </c>
      <c r="C48" s="251"/>
      <c r="D48" s="252"/>
      <c r="E48" s="253"/>
      <c r="F48" s="281">
        <v>1</v>
      </c>
      <c r="G48" s="235" t="s">
        <v>243</v>
      </c>
      <c r="H48" s="235" t="s">
        <v>244</v>
      </c>
      <c r="J48" s="259" t="s">
        <v>246</v>
      </c>
      <c r="K48" s="235" t="s">
        <v>247</v>
      </c>
      <c r="L48" s="235" t="s">
        <v>248</v>
      </c>
      <c r="M48" s="235" t="s">
        <v>129</v>
      </c>
      <c r="N48" s="247">
        <f>+IF(M48="MXN",O48/$N$2,IF(M48="BRL",O48/$N$3,O48))</f>
        <v>0</v>
      </c>
      <c r="O48" s="577">
        <f>+SUM(P48:AA48)</f>
        <v>0</v>
      </c>
      <c r="P48" s="576">
        <v>0</v>
      </c>
      <c r="Q48" s="576">
        <v>0</v>
      </c>
      <c r="R48" s="576">
        <v>0</v>
      </c>
      <c r="S48" s="576">
        <v>0</v>
      </c>
      <c r="T48" s="576">
        <v>0</v>
      </c>
      <c r="U48" s="576">
        <v>0</v>
      </c>
      <c r="V48" s="576">
        <v>0</v>
      </c>
      <c r="W48" s="576">
        <v>0</v>
      </c>
      <c r="X48" s="576">
        <v>0</v>
      </c>
      <c r="Y48" s="576">
        <v>0</v>
      </c>
      <c r="Z48" s="576">
        <v>0</v>
      </c>
      <c r="AA48" s="576">
        <v>0</v>
      </c>
    </row>
    <row r="49" spans="1:27" ht="17">
      <c r="A49" s="235" t="s">
        <v>386</v>
      </c>
      <c r="B49" s="235" t="s">
        <v>387</v>
      </c>
      <c r="C49" s="251"/>
      <c r="D49" s="252"/>
      <c r="E49" s="253"/>
      <c r="F49" s="281">
        <v>1</v>
      </c>
      <c r="G49" s="235" t="s">
        <v>249</v>
      </c>
      <c r="H49" s="235" t="s">
        <v>244</v>
      </c>
      <c r="J49" s="259" t="s">
        <v>250</v>
      </c>
      <c r="K49" s="235" t="s">
        <v>251</v>
      </c>
      <c r="L49" s="235" t="s">
        <v>248</v>
      </c>
      <c r="M49" s="235" t="s">
        <v>129</v>
      </c>
      <c r="N49" s="247">
        <f>+IF(M49="MXN",O49/$N$2,IF(M49="BRL",O49/$N$3,O49))</f>
        <v>0</v>
      </c>
      <c r="O49" s="577">
        <f>+SUM(P49:AA49)</f>
        <v>0</v>
      </c>
      <c r="P49" s="576">
        <v>0</v>
      </c>
      <c r="Q49" s="576">
        <v>0</v>
      </c>
      <c r="R49" s="576">
        <v>0</v>
      </c>
      <c r="S49" s="576">
        <v>0</v>
      </c>
      <c r="T49" s="576">
        <v>0</v>
      </c>
      <c r="U49" s="576">
        <v>0</v>
      </c>
      <c r="V49" s="576">
        <v>0</v>
      </c>
      <c r="W49" s="576">
        <v>0</v>
      </c>
      <c r="X49" s="576">
        <v>0</v>
      </c>
      <c r="Y49" s="576">
        <v>0</v>
      </c>
      <c r="Z49" s="576">
        <v>0</v>
      </c>
      <c r="AA49" s="576">
        <v>0</v>
      </c>
    </row>
    <row r="50" spans="1:27" ht="17">
      <c r="A50" s="235" t="s">
        <v>386</v>
      </c>
      <c r="B50" s="235" t="s">
        <v>387</v>
      </c>
      <c r="C50" s="251"/>
      <c r="D50" s="252"/>
      <c r="E50" s="253"/>
      <c r="F50" s="281">
        <v>1</v>
      </c>
      <c r="G50" s="235" t="s">
        <v>252</v>
      </c>
      <c r="H50" s="235" t="s">
        <v>244</v>
      </c>
      <c r="J50" s="259" t="s">
        <v>253</v>
      </c>
      <c r="K50" s="235" t="s">
        <v>254</v>
      </c>
      <c r="L50" s="235" t="s">
        <v>248</v>
      </c>
      <c r="M50" s="235" t="s">
        <v>27</v>
      </c>
      <c r="N50" s="247">
        <f>+IF(M50="MXN",O50/$N$2,IF(M50="BRL",O50/$N$3,O50))</f>
        <v>0</v>
      </c>
      <c r="O50" s="577">
        <f>+SUM(P50:AA50)</f>
        <v>0</v>
      </c>
      <c r="P50" s="576">
        <v>0</v>
      </c>
      <c r="Q50" s="576">
        <v>0</v>
      </c>
      <c r="R50" s="576">
        <v>0</v>
      </c>
      <c r="S50" s="576">
        <v>0</v>
      </c>
      <c r="T50" s="576">
        <v>0</v>
      </c>
      <c r="U50" s="576">
        <v>0</v>
      </c>
      <c r="V50" s="576">
        <v>0</v>
      </c>
      <c r="W50" s="576">
        <v>0</v>
      </c>
      <c r="X50" s="576">
        <v>0</v>
      </c>
      <c r="Y50" s="576">
        <v>0</v>
      </c>
      <c r="Z50" s="576">
        <v>0</v>
      </c>
      <c r="AA50" s="576">
        <v>0</v>
      </c>
    </row>
    <row r="51" spans="1:27" ht="17">
      <c r="A51" s="235" t="s">
        <v>386</v>
      </c>
      <c r="B51" s="235" t="s">
        <v>387</v>
      </c>
      <c r="C51" s="251"/>
      <c r="D51" s="252"/>
      <c r="E51" s="253"/>
      <c r="F51" s="281">
        <v>1</v>
      </c>
      <c r="G51" s="235" t="s">
        <v>255</v>
      </c>
      <c r="H51" s="235" t="s">
        <v>244</v>
      </c>
      <c r="J51" s="259" t="s">
        <v>256</v>
      </c>
      <c r="K51" s="235" t="s">
        <v>257</v>
      </c>
      <c r="L51" s="235" t="s">
        <v>248</v>
      </c>
      <c r="M51" s="235" t="s">
        <v>129</v>
      </c>
      <c r="N51" s="247">
        <f>+IF(M51="MXN",O51/$N$2,IF(M51="BRL",O51/$N$3,O51))</f>
        <v>0</v>
      </c>
      <c r="O51" s="577">
        <f>+SUM(P51:AA51)</f>
        <v>0</v>
      </c>
      <c r="P51" s="576">
        <v>0</v>
      </c>
      <c r="Q51" s="576">
        <v>0</v>
      </c>
      <c r="R51" s="576">
        <v>0</v>
      </c>
      <c r="S51" s="576">
        <v>0</v>
      </c>
      <c r="T51" s="576">
        <v>0</v>
      </c>
      <c r="U51" s="576">
        <v>0</v>
      </c>
      <c r="V51" s="576">
        <v>0</v>
      </c>
      <c r="W51" s="576">
        <v>0</v>
      </c>
      <c r="X51" s="576">
        <v>0</v>
      </c>
      <c r="Y51" s="576">
        <v>0</v>
      </c>
      <c r="Z51" s="576">
        <v>0</v>
      </c>
      <c r="AA51" s="576">
        <v>0</v>
      </c>
    </row>
    <row r="52" spans="1:27" ht="17">
      <c r="A52" s="248" t="s">
        <v>258</v>
      </c>
      <c r="B52" s="248"/>
      <c r="C52" s="249"/>
      <c r="D52" s="249"/>
      <c r="E52" s="249"/>
      <c r="F52" s="249"/>
      <c r="G52" s="248"/>
      <c r="H52" s="248"/>
      <c r="I52" s="248"/>
      <c r="J52" s="248"/>
      <c r="K52" s="248"/>
      <c r="L52" s="248"/>
      <c r="M52" s="248"/>
      <c r="N52" s="274"/>
      <c r="O52" s="274">
        <v>0</v>
      </c>
      <c r="P52" s="274"/>
      <c r="Q52" s="274"/>
      <c r="R52" s="274"/>
      <c r="S52" s="274"/>
      <c r="T52" s="274"/>
      <c r="U52" s="274"/>
      <c r="V52" s="274"/>
      <c r="W52" s="274"/>
      <c r="X52" s="274"/>
      <c r="Y52" s="274"/>
      <c r="Z52" s="274"/>
      <c r="AA52" s="274"/>
    </row>
    <row r="54" spans="1:27">
      <c r="N54" s="722"/>
      <c r="P54" s="728"/>
    </row>
    <row r="55" spans="1:27">
      <c r="N55" s="722"/>
    </row>
    <row r="56" spans="1:27">
      <c r="N56" s="722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4B411-6E9A-1045-8755-8826504EAB60}">
  <sheetPr codeName="Sheet12"/>
  <dimension ref="A1:AA46"/>
  <sheetViews>
    <sheetView showGridLines="0" topLeftCell="I1" zoomScale="89" workbookViewId="0">
      <selection activeCell="Q29" sqref="Q29"/>
    </sheetView>
  </sheetViews>
  <sheetFormatPr baseColWidth="10" defaultColWidth="48.83203125" defaultRowHeight="16"/>
  <cols>
    <col min="1" max="1" width="19.33203125" bestFit="1" customWidth="1"/>
    <col min="2" max="2" width="17.5" bestFit="1" customWidth="1"/>
    <col min="3" max="3" width="6.1640625" customWidth="1"/>
    <col min="4" max="4" width="6.1640625" bestFit="1" customWidth="1"/>
    <col min="5" max="5" width="3.6640625" bestFit="1" customWidth="1"/>
    <col min="6" max="6" width="6.1640625" bestFit="1" customWidth="1"/>
    <col min="7" max="7" width="9.1640625" bestFit="1" customWidth="1"/>
    <col min="8" max="8" width="39.1640625" bestFit="1" customWidth="1"/>
    <col min="9" max="9" width="80.33203125" bestFit="1" customWidth="1"/>
    <col min="10" max="10" width="11.33203125" bestFit="1" customWidth="1"/>
    <col min="11" max="11" width="36.1640625" bestFit="1" customWidth="1"/>
    <col min="12" max="12" width="15.83203125" bestFit="1" customWidth="1"/>
    <col min="13" max="13" width="8.6640625" bestFit="1" customWidth="1"/>
    <col min="14" max="15" width="15.33203125" bestFit="1" customWidth="1"/>
    <col min="16" max="27" width="13.6640625" bestFit="1" customWidth="1"/>
    <col min="28" max="29" width="30.1640625" customWidth="1"/>
  </cols>
  <sheetData>
    <row r="1" spans="1:27">
      <c r="A1" s="189" t="s">
        <v>124</v>
      </c>
      <c r="B1" s="190" t="s">
        <v>125</v>
      </c>
      <c r="C1" s="191"/>
      <c r="D1" s="191"/>
      <c r="E1" s="191"/>
      <c r="F1" s="191"/>
      <c r="G1" s="191"/>
      <c r="H1" s="191"/>
      <c r="I1" s="191"/>
      <c r="J1" s="191"/>
      <c r="N1" s="5"/>
    </row>
    <row r="2" spans="1:27">
      <c r="A2" s="192" t="s">
        <v>126</v>
      </c>
      <c r="B2" s="193" t="s">
        <v>127</v>
      </c>
      <c r="C2" s="191"/>
      <c r="D2" s="191"/>
      <c r="E2" s="191"/>
      <c r="F2" s="191"/>
      <c r="G2" s="191"/>
      <c r="H2" s="191"/>
      <c r="I2" s="191"/>
      <c r="J2" s="191"/>
      <c r="M2" t="s">
        <v>129</v>
      </c>
      <c r="N2" s="120">
        <f>+Supuestos!M8</f>
        <v>19.5</v>
      </c>
    </row>
    <row r="3" spans="1:27">
      <c r="C3" s="191"/>
      <c r="D3" s="191"/>
      <c r="E3" s="191"/>
      <c r="F3" s="191"/>
      <c r="G3" s="191"/>
      <c r="H3" s="191"/>
      <c r="I3" s="191"/>
      <c r="J3" s="191"/>
      <c r="M3" t="s">
        <v>27</v>
      </c>
      <c r="N3" s="120">
        <f>+Supuestos!M9</f>
        <v>5.5</v>
      </c>
    </row>
    <row r="4" spans="1:27">
      <c r="A4" s="194" t="s">
        <v>130</v>
      </c>
      <c r="B4" s="194" t="s">
        <v>131</v>
      </c>
      <c r="C4" s="195" t="s">
        <v>132</v>
      </c>
      <c r="D4" s="196" t="s">
        <v>133</v>
      </c>
      <c r="E4" s="197" t="s">
        <v>134</v>
      </c>
      <c r="F4" s="198" t="s">
        <v>135</v>
      </c>
      <c r="G4" s="194" t="s">
        <v>136</v>
      </c>
      <c r="H4" s="194" t="s">
        <v>137</v>
      </c>
      <c r="I4" s="194" t="s">
        <v>138</v>
      </c>
      <c r="J4" s="194" t="s">
        <v>139</v>
      </c>
      <c r="K4" s="194" t="s">
        <v>140</v>
      </c>
      <c r="L4" s="194" t="s">
        <v>141</v>
      </c>
      <c r="M4" s="194" t="s">
        <v>142</v>
      </c>
      <c r="N4" s="199" t="s">
        <v>143</v>
      </c>
      <c r="O4" s="194" t="s">
        <v>143</v>
      </c>
      <c r="P4" s="194" t="s">
        <v>144</v>
      </c>
      <c r="Q4" s="194" t="s">
        <v>145</v>
      </c>
      <c r="R4" s="194" t="s">
        <v>146</v>
      </c>
      <c r="S4" s="194" t="s">
        <v>147</v>
      </c>
      <c r="T4" s="194" t="s">
        <v>34</v>
      </c>
      <c r="U4" s="194" t="s">
        <v>148</v>
      </c>
      <c r="V4" s="194" t="s">
        <v>149</v>
      </c>
      <c r="W4" s="194" t="s">
        <v>150</v>
      </c>
      <c r="X4" s="194" t="s">
        <v>151</v>
      </c>
      <c r="Y4" s="194" t="s">
        <v>152</v>
      </c>
      <c r="Z4" s="194" t="s">
        <v>153</v>
      </c>
      <c r="AA4" s="194" t="s">
        <v>154</v>
      </c>
    </row>
    <row r="5" spans="1:27">
      <c r="A5" s="200" t="s">
        <v>58</v>
      </c>
      <c r="B5" s="200"/>
      <c r="C5" s="201" t="s">
        <v>156</v>
      </c>
      <c r="D5" s="201" t="s">
        <v>156</v>
      </c>
      <c r="E5" s="201" t="s">
        <v>156</v>
      </c>
      <c r="F5" s="201" t="s">
        <v>156</v>
      </c>
      <c r="G5" s="200"/>
      <c r="H5" s="200"/>
      <c r="I5" s="200"/>
      <c r="J5" s="200"/>
      <c r="K5" s="200"/>
      <c r="L5" s="200"/>
      <c r="M5" s="200"/>
      <c r="N5" s="200"/>
      <c r="O5" s="200"/>
      <c r="P5" s="200"/>
      <c r="Q5" s="200"/>
      <c r="R5" s="200"/>
      <c r="S5" s="200"/>
      <c r="T5" s="200"/>
      <c r="U5" s="200"/>
      <c r="V5" s="200"/>
      <c r="W5" s="200"/>
      <c r="X5" s="200"/>
      <c r="Y5" s="200"/>
      <c r="Z5" s="200"/>
      <c r="AA5" s="200"/>
    </row>
    <row r="6" spans="1:27">
      <c r="A6" t="s">
        <v>436</v>
      </c>
      <c r="B6" t="s">
        <v>437</v>
      </c>
      <c r="C6" s="202">
        <v>1</v>
      </c>
      <c r="D6" s="203"/>
      <c r="E6" s="204"/>
      <c r="F6" s="205"/>
      <c r="G6" t="s">
        <v>438</v>
      </c>
      <c r="H6" s="291" t="s">
        <v>439</v>
      </c>
      <c r="I6" t="s">
        <v>440</v>
      </c>
      <c r="J6" s="206" t="s">
        <v>441</v>
      </c>
      <c r="K6" t="s">
        <v>442</v>
      </c>
      <c r="L6" t="s">
        <v>58</v>
      </c>
      <c r="M6" t="s">
        <v>128</v>
      </c>
      <c r="N6" s="199">
        <f>+IF(M6="MXN",O6/$N$2,IF(M6="BRL",O6/$N$3,O6))</f>
        <v>2670000</v>
      </c>
      <c r="O6" s="207">
        <f>+SUM(P6:AA6)</f>
        <v>2670000</v>
      </c>
      <c r="P6" s="208">
        <v>180000</v>
      </c>
      <c r="Q6" s="208">
        <v>180000</v>
      </c>
      <c r="R6" s="208">
        <v>180000</v>
      </c>
      <c r="S6" s="208">
        <v>210000</v>
      </c>
      <c r="T6" s="208">
        <v>210000</v>
      </c>
      <c r="U6" s="208">
        <v>210000</v>
      </c>
      <c r="V6" s="208">
        <v>250000</v>
      </c>
      <c r="W6" s="208">
        <v>250000</v>
      </c>
      <c r="X6" s="208">
        <v>250000</v>
      </c>
      <c r="Y6" s="208">
        <v>250000</v>
      </c>
      <c r="Z6" s="208">
        <v>250000</v>
      </c>
      <c r="AA6" s="208">
        <v>250000</v>
      </c>
    </row>
    <row r="7" spans="1:27">
      <c r="A7" t="s">
        <v>436</v>
      </c>
      <c r="B7" t="s">
        <v>437</v>
      </c>
      <c r="C7" s="202"/>
      <c r="D7" s="203">
        <v>1</v>
      </c>
      <c r="E7" s="204"/>
      <c r="F7" s="205"/>
      <c r="G7" t="s">
        <v>438</v>
      </c>
      <c r="H7" s="291" t="s">
        <v>443</v>
      </c>
      <c r="I7" t="s">
        <v>440</v>
      </c>
      <c r="J7" s="206" t="s">
        <v>441</v>
      </c>
      <c r="K7" t="s">
        <v>442</v>
      </c>
      <c r="L7" t="s">
        <v>58</v>
      </c>
      <c r="M7" s="236" t="s">
        <v>128</v>
      </c>
      <c r="N7" s="199">
        <f>+IF(M7="MXN",O7/$N$2,IF(M7="BRL",O7/$N$3,O7))</f>
        <v>69600</v>
      </c>
      <c r="O7" s="207">
        <f>+SUM(P7:AA7)</f>
        <v>69600</v>
      </c>
      <c r="P7" s="208">
        <v>4000</v>
      </c>
      <c r="Q7" s="208">
        <v>4000</v>
      </c>
      <c r="R7" s="208">
        <v>4000</v>
      </c>
      <c r="S7" s="208">
        <v>5400</v>
      </c>
      <c r="T7" s="208">
        <v>5400</v>
      </c>
      <c r="U7" s="208">
        <v>5400</v>
      </c>
      <c r="V7" s="208">
        <v>6300</v>
      </c>
      <c r="W7" s="208">
        <v>6300</v>
      </c>
      <c r="X7" s="208">
        <v>6300</v>
      </c>
      <c r="Y7" s="208">
        <v>7500</v>
      </c>
      <c r="Z7" s="208">
        <v>7500</v>
      </c>
      <c r="AA7" s="208">
        <v>7500</v>
      </c>
    </row>
    <row r="8" spans="1:27">
      <c r="A8" t="s">
        <v>436</v>
      </c>
      <c r="B8" t="s">
        <v>437</v>
      </c>
      <c r="C8" s="202">
        <v>1</v>
      </c>
      <c r="D8" s="203"/>
      <c r="E8" s="204"/>
      <c r="F8" s="205"/>
      <c r="G8" t="s">
        <v>438</v>
      </c>
      <c r="H8" s="291" t="s">
        <v>444</v>
      </c>
      <c r="I8" s="291" t="s">
        <v>445</v>
      </c>
      <c r="J8" s="298" t="s">
        <v>186</v>
      </c>
      <c r="K8" s="221" t="s">
        <v>187</v>
      </c>
      <c r="L8" t="s">
        <v>188</v>
      </c>
      <c r="M8" s="236" t="s">
        <v>128</v>
      </c>
      <c r="N8" s="199">
        <f>+IF(M8="MXN",O8/$N$2,IF(M8="BRL",O8/$N$3,O8))</f>
        <v>48000</v>
      </c>
      <c r="O8" s="553">
        <f>+SUM(P8:AA8)</f>
        <v>48000</v>
      </c>
      <c r="P8" s="583">
        <v>4000</v>
      </c>
      <c r="Q8" s="583">
        <v>4000</v>
      </c>
      <c r="R8" s="583">
        <v>4000</v>
      </c>
      <c r="S8" s="583">
        <v>4000</v>
      </c>
      <c r="T8" s="583">
        <v>4000</v>
      </c>
      <c r="U8" s="583">
        <v>4000</v>
      </c>
      <c r="V8" s="583">
        <v>4000</v>
      </c>
      <c r="W8" s="583">
        <v>4000</v>
      </c>
      <c r="X8" s="583">
        <v>4000</v>
      </c>
      <c r="Y8" s="583">
        <v>4000</v>
      </c>
      <c r="Z8" s="583">
        <v>4000</v>
      </c>
      <c r="AA8" s="583">
        <v>4000</v>
      </c>
    </row>
    <row r="9" spans="1:27">
      <c r="A9" s="200" t="s">
        <v>155</v>
      </c>
      <c r="B9" s="200"/>
      <c r="C9" s="201"/>
      <c r="D9" s="201"/>
      <c r="E9" s="201"/>
      <c r="F9" s="201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</row>
    <row r="10" spans="1:27">
      <c r="A10" t="s">
        <v>436</v>
      </c>
      <c r="B10" t="s">
        <v>437</v>
      </c>
      <c r="C10" s="202">
        <v>0.8</v>
      </c>
      <c r="D10" s="203">
        <v>0.2</v>
      </c>
      <c r="E10" s="204"/>
      <c r="F10" s="205"/>
      <c r="G10" t="s">
        <v>446</v>
      </c>
      <c r="H10" s="291" t="s">
        <v>392</v>
      </c>
      <c r="I10" s="291" t="s">
        <v>447</v>
      </c>
      <c r="J10" s="206" t="s">
        <v>162</v>
      </c>
      <c r="K10" t="s">
        <v>163</v>
      </c>
      <c r="L10" t="s">
        <v>164</v>
      </c>
      <c r="M10" s="291" t="s">
        <v>129</v>
      </c>
      <c r="N10" s="199">
        <f t="shared" ref="N10:N18" si="0">+IF(M10="MXN",O10/$N$2,IF(M10="BRL",O10/$N$3,O10))</f>
        <v>707.07692307692309</v>
      </c>
      <c r="O10" s="207">
        <f t="shared" ref="O10:O18" si="1">+SUM(P10:AA10)</f>
        <v>13788</v>
      </c>
      <c r="P10" s="293">
        <v>0</v>
      </c>
      <c r="Q10" s="293">
        <v>0</v>
      </c>
      <c r="R10" s="293">
        <v>0</v>
      </c>
      <c r="S10" s="293">
        <v>0</v>
      </c>
      <c r="T10" s="293">
        <v>0</v>
      </c>
      <c r="U10" s="293">
        <v>0</v>
      </c>
      <c r="V10" s="293">
        <v>0</v>
      </c>
      <c r="W10" s="293">
        <v>0</v>
      </c>
      <c r="X10" s="293">
        <v>0</v>
      </c>
      <c r="Y10" s="292">
        <v>13788</v>
      </c>
      <c r="Z10" s="293">
        <v>0</v>
      </c>
      <c r="AA10" s="293">
        <v>0</v>
      </c>
    </row>
    <row r="11" spans="1:27">
      <c r="A11" t="s">
        <v>436</v>
      </c>
      <c r="B11" t="s">
        <v>437</v>
      </c>
      <c r="C11" s="202">
        <v>0.8</v>
      </c>
      <c r="D11" s="203">
        <v>0.2</v>
      </c>
      <c r="E11" s="204"/>
      <c r="F11" s="205"/>
      <c r="G11" t="s">
        <v>446</v>
      </c>
      <c r="H11" s="291" t="s">
        <v>448</v>
      </c>
      <c r="I11" t="s">
        <v>449</v>
      </c>
      <c r="J11" s="206" t="s">
        <v>162</v>
      </c>
      <c r="K11" t="s">
        <v>163</v>
      </c>
      <c r="L11" t="s">
        <v>164</v>
      </c>
      <c r="M11" s="236" t="s">
        <v>128</v>
      </c>
      <c r="N11" s="199">
        <f t="shared" si="0"/>
        <v>1044</v>
      </c>
      <c r="O11" s="210">
        <f t="shared" si="1"/>
        <v>1044</v>
      </c>
      <c r="P11" s="209">
        <v>87</v>
      </c>
      <c r="Q11" s="209">
        <v>87</v>
      </c>
      <c r="R11" s="209">
        <v>87</v>
      </c>
      <c r="S11" s="209">
        <v>87</v>
      </c>
      <c r="T11" s="209">
        <v>87</v>
      </c>
      <c r="U11" s="209">
        <v>87</v>
      </c>
      <c r="V11" s="209">
        <v>87</v>
      </c>
      <c r="W11" s="209">
        <v>87</v>
      </c>
      <c r="X11" s="209">
        <v>87</v>
      </c>
      <c r="Y11" s="209">
        <v>87</v>
      </c>
      <c r="Z11" s="209">
        <v>87</v>
      </c>
      <c r="AA11" s="209">
        <v>87</v>
      </c>
    </row>
    <row r="12" spans="1:27">
      <c r="A12" s="236" t="s">
        <v>436</v>
      </c>
      <c r="B12" t="s">
        <v>437</v>
      </c>
      <c r="C12" s="202">
        <v>0.8</v>
      </c>
      <c r="D12" s="203">
        <v>0.2</v>
      </c>
      <c r="E12" s="204"/>
      <c r="F12" s="205"/>
      <c r="G12" s="236" t="s">
        <v>446</v>
      </c>
      <c r="H12" s="236" t="s">
        <v>450</v>
      </c>
      <c r="I12" s="236" t="s">
        <v>451</v>
      </c>
      <c r="J12" s="294" t="s">
        <v>162</v>
      </c>
      <c r="K12" t="s">
        <v>163</v>
      </c>
      <c r="L12" t="s">
        <v>164</v>
      </c>
      <c r="M12" s="236" t="s">
        <v>128</v>
      </c>
      <c r="N12" s="199">
        <f t="shared" si="0"/>
        <v>9600</v>
      </c>
      <c r="O12" s="207">
        <f t="shared" si="1"/>
        <v>9600</v>
      </c>
      <c r="P12" s="295">
        <v>800</v>
      </c>
      <c r="Q12" s="295">
        <v>800</v>
      </c>
      <c r="R12" s="295">
        <v>800</v>
      </c>
      <c r="S12" s="295">
        <v>800</v>
      </c>
      <c r="T12" s="295">
        <v>800</v>
      </c>
      <c r="U12" s="295">
        <v>800</v>
      </c>
      <c r="V12" s="295">
        <v>800</v>
      </c>
      <c r="W12" s="295">
        <v>800</v>
      </c>
      <c r="X12" s="295">
        <v>800</v>
      </c>
      <c r="Y12" s="295">
        <v>800</v>
      </c>
      <c r="Z12" s="295">
        <v>800</v>
      </c>
      <c r="AA12" s="295">
        <v>800</v>
      </c>
    </row>
    <row r="13" spans="1:27">
      <c r="A13" t="s">
        <v>436</v>
      </c>
      <c r="B13" t="s">
        <v>437</v>
      </c>
      <c r="C13" s="202">
        <v>1</v>
      </c>
      <c r="D13" s="203"/>
      <c r="E13" s="204"/>
      <c r="F13" s="205"/>
      <c r="G13" t="s">
        <v>446</v>
      </c>
      <c r="H13" s="291" t="s">
        <v>394</v>
      </c>
      <c r="I13" s="291" t="s">
        <v>452</v>
      </c>
      <c r="J13" s="206" t="s">
        <v>162</v>
      </c>
      <c r="K13" t="s">
        <v>163</v>
      </c>
      <c r="L13" t="s">
        <v>164</v>
      </c>
      <c r="M13" s="236" t="s">
        <v>128</v>
      </c>
      <c r="N13" s="199">
        <f t="shared" si="0"/>
        <v>0</v>
      </c>
      <c r="O13" s="207">
        <f t="shared" si="1"/>
        <v>0</v>
      </c>
      <c r="P13" s="293">
        <v>0</v>
      </c>
      <c r="Q13" s="293">
        <v>0</v>
      </c>
      <c r="R13" s="293">
        <v>0</v>
      </c>
      <c r="S13" s="293">
        <v>0</v>
      </c>
      <c r="T13" s="293">
        <v>0</v>
      </c>
      <c r="U13" s="293">
        <v>0</v>
      </c>
      <c r="V13" s="293">
        <v>0</v>
      </c>
      <c r="W13" s="293">
        <v>0</v>
      </c>
      <c r="X13" s="293">
        <v>0</v>
      </c>
      <c r="Y13" s="293">
        <v>0</v>
      </c>
      <c r="Z13" s="293">
        <v>0</v>
      </c>
      <c r="AA13" s="293">
        <v>0</v>
      </c>
    </row>
    <row r="14" spans="1:27">
      <c r="A14" t="s">
        <v>436</v>
      </c>
      <c r="B14" t="s">
        <v>437</v>
      </c>
      <c r="C14" s="202">
        <v>1</v>
      </c>
      <c r="D14" s="203"/>
      <c r="E14" s="204"/>
      <c r="F14" s="205"/>
      <c r="G14" t="s">
        <v>446</v>
      </c>
      <c r="H14" s="291" t="s">
        <v>453</v>
      </c>
      <c r="I14" t="s">
        <v>454</v>
      </c>
      <c r="J14" s="206" t="s">
        <v>162</v>
      </c>
      <c r="K14" t="s">
        <v>163</v>
      </c>
      <c r="L14" t="s">
        <v>164</v>
      </c>
      <c r="M14" s="236" t="s">
        <v>128</v>
      </c>
      <c r="N14" s="199">
        <f t="shared" si="0"/>
        <v>2388</v>
      </c>
      <c r="O14" s="207">
        <f t="shared" si="1"/>
        <v>2388</v>
      </c>
      <c r="P14" s="209">
        <v>199</v>
      </c>
      <c r="Q14" s="209">
        <v>199</v>
      </c>
      <c r="R14" s="209">
        <v>199</v>
      </c>
      <c r="S14" s="209">
        <v>199</v>
      </c>
      <c r="T14" s="209">
        <v>199</v>
      </c>
      <c r="U14" s="209">
        <v>199</v>
      </c>
      <c r="V14" s="209">
        <v>199</v>
      </c>
      <c r="W14" s="209">
        <v>199</v>
      </c>
      <c r="X14" s="209">
        <v>199</v>
      </c>
      <c r="Y14" s="209">
        <v>199</v>
      </c>
      <c r="Z14" s="209">
        <v>199</v>
      </c>
      <c r="AA14" s="209">
        <v>199</v>
      </c>
    </row>
    <row r="15" spans="1:27">
      <c r="A15" t="s">
        <v>436</v>
      </c>
      <c r="B15" t="s">
        <v>437</v>
      </c>
      <c r="C15" s="202">
        <v>1</v>
      </c>
      <c r="D15" s="203"/>
      <c r="E15" s="204"/>
      <c r="F15" s="205"/>
      <c r="G15" t="s">
        <v>446</v>
      </c>
      <c r="H15" s="291" t="s">
        <v>455</v>
      </c>
      <c r="I15" t="s">
        <v>456</v>
      </c>
      <c r="J15" s="206" t="s">
        <v>162</v>
      </c>
      <c r="K15" t="s">
        <v>163</v>
      </c>
      <c r="L15" t="s">
        <v>164</v>
      </c>
      <c r="M15" s="236" t="s">
        <v>128</v>
      </c>
      <c r="N15" s="199">
        <f t="shared" si="0"/>
        <v>99</v>
      </c>
      <c r="O15" s="207">
        <f t="shared" si="1"/>
        <v>99</v>
      </c>
      <c r="P15" s="293">
        <v>0</v>
      </c>
      <c r="Q15" s="293">
        <v>0</v>
      </c>
      <c r="R15" s="293">
        <v>0</v>
      </c>
      <c r="S15" s="293">
        <v>0</v>
      </c>
      <c r="T15" s="293">
        <v>0</v>
      </c>
      <c r="U15" s="293">
        <v>0</v>
      </c>
      <c r="V15" s="293">
        <v>0</v>
      </c>
      <c r="W15" s="209">
        <v>99</v>
      </c>
      <c r="X15" s="293">
        <v>0</v>
      </c>
      <c r="Y15" s="293">
        <v>0</v>
      </c>
      <c r="Z15" s="293">
        <v>0</v>
      </c>
      <c r="AA15" s="293">
        <v>0</v>
      </c>
    </row>
    <row r="16" spans="1:27">
      <c r="A16" t="s">
        <v>436</v>
      </c>
      <c r="B16" t="s">
        <v>437</v>
      </c>
      <c r="C16" s="202"/>
      <c r="D16" s="203">
        <v>1</v>
      </c>
      <c r="E16" s="204"/>
      <c r="F16" s="205"/>
      <c r="G16" t="s">
        <v>446</v>
      </c>
      <c r="H16" s="291" t="s">
        <v>457</v>
      </c>
      <c r="I16" t="s">
        <v>458</v>
      </c>
      <c r="J16" s="206" t="s">
        <v>162</v>
      </c>
      <c r="K16" t="s">
        <v>163</v>
      </c>
      <c r="L16" t="s">
        <v>164</v>
      </c>
      <c r="M16" s="236" t="s">
        <v>128</v>
      </c>
      <c r="N16" s="199">
        <f t="shared" si="0"/>
        <v>1053</v>
      </c>
      <c r="O16" s="207">
        <f t="shared" si="1"/>
        <v>1053</v>
      </c>
      <c r="P16" s="209">
        <v>15</v>
      </c>
      <c r="Q16" s="209">
        <v>15</v>
      </c>
      <c r="R16" s="209">
        <v>15</v>
      </c>
      <c r="S16" s="209">
        <v>15</v>
      </c>
      <c r="T16" s="209">
        <v>15</v>
      </c>
      <c r="U16" s="209">
        <v>15</v>
      </c>
      <c r="V16" s="209">
        <v>15</v>
      </c>
      <c r="W16" s="209">
        <v>15</v>
      </c>
      <c r="X16" s="209">
        <v>15</v>
      </c>
      <c r="Y16" s="209">
        <v>15</v>
      </c>
      <c r="Z16" s="209">
        <v>15</v>
      </c>
      <c r="AA16" s="209">
        <v>888</v>
      </c>
    </row>
    <row r="17" spans="1:27" ht="17" customHeight="1">
      <c r="A17" t="s">
        <v>436</v>
      </c>
      <c r="B17" t="s">
        <v>437</v>
      </c>
      <c r="C17" s="202">
        <v>0.8</v>
      </c>
      <c r="D17" s="203">
        <v>0.2</v>
      </c>
      <c r="E17" s="204"/>
      <c r="F17" s="205"/>
      <c r="G17" t="s">
        <v>446</v>
      </c>
      <c r="H17" t="s">
        <v>459</v>
      </c>
      <c r="I17" t="s">
        <v>460</v>
      </c>
      <c r="J17" s="206" t="s">
        <v>162</v>
      </c>
      <c r="K17" t="s">
        <v>163</v>
      </c>
      <c r="L17" t="s">
        <v>164</v>
      </c>
      <c r="M17" s="236" t="s">
        <v>128</v>
      </c>
      <c r="N17" s="199">
        <f t="shared" si="0"/>
        <v>40000</v>
      </c>
      <c r="O17" s="207">
        <f t="shared" si="1"/>
        <v>40000</v>
      </c>
      <c r="P17" s="234">
        <v>40000</v>
      </c>
      <c r="Q17" s="293">
        <v>0</v>
      </c>
      <c r="R17" s="293">
        <v>0</v>
      </c>
      <c r="S17" s="293">
        <v>0</v>
      </c>
      <c r="T17" s="293">
        <v>0</v>
      </c>
      <c r="U17" s="293">
        <v>0</v>
      </c>
      <c r="V17" s="293">
        <v>0</v>
      </c>
      <c r="W17" s="293">
        <v>0</v>
      </c>
      <c r="X17" s="293">
        <v>0</v>
      </c>
      <c r="Y17" s="293">
        <v>0</v>
      </c>
      <c r="Z17" s="293">
        <v>0</v>
      </c>
      <c r="AA17" s="293">
        <v>0</v>
      </c>
    </row>
    <row r="18" spans="1:27">
      <c r="A18" t="s">
        <v>436</v>
      </c>
      <c r="B18" t="s">
        <v>437</v>
      </c>
      <c r="C18" s="202">
        <v>0.8</v>
      </c>
      <c r="D18" s="203">
        <v>0.2</v>
      </c>
      <c r="E18" s="204"/>
      <c r="F18" s="205"/>
      <c r="G18" t="s">
        <v>446</v>
      </c>
      <c r="H18" s="291" t="s">
        <v>461</v>
      </c>
      <c r="I18" s="291" t="s">
        <v>452</v>
      </c>
      <c r="J18" s="206" t="s">
        <v>162</v>
      </c>
      <c r="K18" t="s">
        <v>163</v>
      </c>
      <c r="L18" t="s">
        <v>164</v>
      </c>
      <c r="M18" s="236" t="s">
        <v>128</v>
      </c>
      <c r="N18" s="199">
        <f t="shared" si="0"/>
        <v>720</v>
      </c>
      <c r="O18" s="207">
        <f t="shared" si="1"/>
        <v>720</v>
      </c>
      <c r="P18" s="293">
        <v>0</v>
      </c>
      <c r="Q18" s="293">
        <v>0</v>
      </c>
      <c r="R18" s="209">
        <v>720</v>
      </c>
      <c r="S18" s="293">
        <v>0</v>
      </c>
      <c r="T18" s="293">
        <v>0</v>
      </c>
      <c r="U18" s="293">
        <v>0</v>
      </c>
      <c r="V18" s="293">
        <v>0</v>
      </c>
      <c r="W18" s="293">
        <v>0</v>
      </c>
      <c r="X18" s="293">
        <v>0</v>
      </c>
      <c r="Y18" s="293">
        <v>0</v>
      </c>
      <c r="Z18" s="293">
        <v>0</v>
      </c>
      <c r="AA18" s="293">
        <v>0</v>
      </c>
    </row>
    <row r="19" spans="1:27">
      <c r="A19" s="200" t="s">
        <v>182</v>
      </c>
      <c r="B19" s="200"/>
      <c r="C19" s="201"/>
      <c r="D19" s="201"/>
      <c r="E19" s="201"/>
      <c r="F19" s="201"/>
      <c r="G19" s="200"/>
      <c r="H19" s="200"/>
      <c r="I19" s="200"/>
      <c r="J19" s="200"/>
      <c r="K19" s="200"/>
      <c r="L19" s="200"/>
      <c r="M19" s="200"/>
      <c r="N19" s="200"/>
      <c r="O19" s="200"/>
      <c r="P19" s="200"/>
      <c r="Q19" s="200"/>
      <c r="R19" s="200"/>
      <c r="S19" s="200"/>
      <c r="T19" s="200"/>
      <c r="U19" s="200"/>
      <c r="V19" s="200"/>
      <c r="W19" s="200"/>
      <c r="X19" s="200"/>
      <c r="Y19" s="200"/>
      <c r="Z19" s="200"/>
      <c r="AA19" s="200"/>
    </row>
    <row r="20" spans="1:27">
      <c r="A20" s="236" t="s">
        <v>436</v>
      </c>
      <c r="B20" t="s">
        <v>437</v>
      </c>
      <c r="C20" s="601">
        <v>1</v>
      </c>
      <c r="D20" s="601"/>
      <c r="E20" s="601"/>
      <c r="F20" s="601"/>
      <c r="G20" s="236" t="s">
        <v>209</v>
      </c>
      <c r="H20" t="s">
        <v>462</v>
      </c>
      <c r="I20" s="236" t="s">
        <v>463</v>
      </c>
      <c r="J20" s="296" t="s">
        <v>186</v>
      </c>
      <c r="K20" t="s">
        <v>187</v>
      </c>
      <c r="L20" t="s">
        <v>188</v>
      </c>
      <c r="M20" s="236" t="s">
        <v>128</v>
      </c>
      <c r="N20" s="745">
        <f>+IF(M20="MXN",O20/$N$2,IF(M20="BRL",O20/$N$3,O20))</f>
        <v>54000</v>
      </c>
      <c r="O20" s="210">
        <f>+SUM(P20:AA20)</f>
        <v>54000</v>
      </c>
      <c r="P20" s="746">
        <v>4500</v>
      </c>
      <c r="Q20" s="746">
        <v>4500</v>
      </c>
      <c r="R20" s="746">
        <v>4500</v>
      </c>
      <c r="S20" s="746">
        <v>4500</v>
      </c>
      <c r="T20" s="746">
        <v>4500</v>
      </c>
      <c r="U20" s="746">
        <v>4500</v>
      </c>
      <c r="V20" s="746">
        <v>4500</v>
      </c>
      <c r="W20" s="746">
        <v>4500</v>
      </c>
      <c r="X20" s="746">
        <v>4500</v>
      </c>
      <c r="Y20" s="746">
        <v>4500</v>
      </c>
      <c r="Z20" s="746">
        <v>4500</v>
      </c>
      <c r="AA20" s="746">
        <v>4500</v>
      </c>
    </row>
    <row r="21" spans="1:27">
      <c r="A21" s="236" t="s">
        <v>436</v>
      </c>
      <c r="B21" t="s">
        <v>437</v>
      </c>
      <c r="C21" s="202"/>
      <c r="D21" s="203"/>
      <c r="E21" s="204"/>
      <c r="F21" s="205"/>
      <c r="G21" s="236" t="s">
        <v>209</v>
      </c>
      <c r="H21" t="s">
        <v>463</v>
      </c>
      <c r="I21" s="236" t="s">
        <v>464</v>
      </c>
      <c r="J21" s="296" t="s">
        <v>186</v>
      </c>
      <c r="K21" t="s">
        <v>187</v>
      </c>
      <c r="L21" t="s">
        <v>188</v>
      </c>
      <c r="M21" s="236" t="s">
        <v>128</v>
      </c>
      <c r="N21" s="199">
        <f>+IF(M21="MXN",O21/$N$2,IF(M21="BRL",O21/$N$3,O21))</f>
        <v>0</v>
      </c>
      <c r="O21" s="293">
        <f>+SUM(P21:AA21)</f>
        <v>0</v>
      </c>
      <c r="P21" s="293">
        <v>0</v>
      </c>
      <c r="Q21" s="293">
        <v>0</v>
      </c>
      <c r="R21" s="293">
        <v>0</v>
      </c>
      <c r="S21" s="293">
        <v>0</v>
      </c>
      <c r="T21" s="293">
        <v>0</v>
      </c>
      <c r="U21" s="293">
        <v>0</v>
      </c>
      <c r="V21" s="293">
        <v>0</v>
      </c>
      <c r="W21" s="293">
        <v>0</v>
      </c>
      <c r="X21" s="293">
        <v>0</v>
      </c>
      <c r="Y21" s="293">
        <v>0</v>
      </c>
      <c r="Z21" s="293">
        <v>0</v>
      </c>
      <c r="AA21" s="293">
        <v>0</v>
      </c>
    </row>
    <row r="22" spans="1:27">
      <c r="A22" s="200" t="s">
        <v>207</v>
      </c>
      <c r="B22" s="200"/>
      <c r="C22" s="201"/>
      <c r="D22" s="201"/>
      <c r="E22" s="201"/>
      <c r="F22" s="201"/>
      <c r="G22" s="200"/>
      <c r="H22" s="200"/>
      <c r="I22" s="200"/>
      <c r="J22" s="200"/>
      <c r="K22" s="200"/>
      <c r="L22" s="200"/>
      <c r="M22" s="200"/>
      <c r="N22" s="200"/>
      <c r="O22" s="200"/>
      <c r="P22" s="200"/>
      <c r="Q22" s="200"/>
      <c r="R22" s="200"/>
      <c r="S22" s="200"/>
      <c r="T22" s="200"/>
      <c r="U22" s="200"/>
      <c r="V22" s="200"/>
      <c r="W22" s="200"/>
      <c r="X22" s="200"/>
      <c r="Y22" s="200"/>
      <c r="Z22" s="200"/>
      <c r="AA22" s="200"/>
    </row>
    <row r="23" spans="1:27">
      <c r="A23" s="215" t="s">
        <v>215</v>
      </c>
      <c r="B23" s="215"/>
      <c r="C23" s="216"/>
      <c r="D23" s="216"/>
      <c r="E23" s="216"/>
      <c r="F23" s="216"/>
      <c r="G23" s="215"/>
      <c r="H23" s="215"/>
      <c r="I23" s="215"/>
      <c r="J23" s="215"/>
      <c r="K23" s="215"/>
      <c r="L23" s="215"/>
      <c r="M23" s="215"/>
      <c r="N23" s="228"/>
      <c r="O23" s="228"/>
      <c r="P23" s="228"/>
      <c r="Q23" s="228"/>
      <c r="R23" s="228"/>
      <c r="S23" s="228"/>
      <c r="T23" s="228"/>
      <c r="U23" s="228"/>
      <c r="V23" s="228"/>
      <c r="W23" s="228"/>
      <c r="X23" s="228"/>
      <c r="Y23" s="228"/>
      <c r="Z23" s="228"/>
      <c r="AA23" s="228"/>
    </row>
    <row r="24" spans="1:27">
      <c r="A24" t="s">
        <v>436</v>
      </c>
      <c r="B24" t="s">
        <v>437</v>
      </c>
      <c r="C24" s="202">
        <v>0.5</v>
      </c>
      <c r="D24" s="203">
        <v>0.5</v>
      </c>
      <c r="E24" s="204"/>
      <c r="F24" s="205"/>
      <c r="G24" t="s">
        <v>209</v>
      </c>
      <c r="H24" s="291" t="s">
        <v>465</v>
      </c>
      <c r="I24" t="s">
        <v>466</v>
      </c>
      <c r="J24" s="206" t="s">
        <v>217</v>
      </c>
      <c r="K24" t="s">
        <v>218</v>
      </c>
      <c r="L24" t="s">
        <v>214</v>
      </c>
      <c r="M24" s="291" t="s">
        <v>129</v>
      </c>
      <c r="N24" s="199">
        <f>+IF(M24="MXN",O24/$N$2,IF(M24="BRL",O24/$N$3,O24))</f>
        <v>49415.384615384617</v>
      </c>
      <c r="O24" s="207">
        <f>+SUM(P24:AA24)</f>
        <v>963600</v>
      </c>
      <c r="P24" s="716">
        <v>80300</v>
      </c>
      <c r="Q24" s="716">
        <v>80300</v>
      </c>
      <c r="R24" s="716">
        <v>80300</v>
      </c>
      <c r="S24" s="716">
        <v>80300</v>
      </c>
      <c r="T24" s="716">
        <v>80300</v>
      </c>
      <c r="U24" s="716">
        <v>80300</v>
      </c>
      <c r="V24" s="716">
        <v>80300</v>
      </c>
      <c r="W24" s="716">
        <v>80300</v>
      </c>
      <c r="X24" s="716">
        <v>80300</v>
      </c>
      <c r="Y24" s="716">
        <v>80300</v>
      </c>
      <c r="Z24" s="716">
        <v>80300</v>
      </c>
      <c r="AA24" s="716">
        <v>80300</v>
      </c>
    </row>
    <row r="25" spans="1:27">
      <c r="A25" s="215" t="s">
        <v>381</v>
      </c>
      <c r="B25" s="215"/>
      <c r="C25" s="216"/>
      <c r="D25" s="216"/>
      <c r="E25" s="216"/>
      <c r="F25" s="216"/>
      <c r="G25" s="215"/>
      <c r="H25" s="215"/>
      <c r="I25" s="215"/>
      <c r="J25" s="215"/>
      <c r="K25" s="215"/>
      <c r="L25" s="215"/>
      <c r="M25" s="215"/>
      <c r="N25" s="228"/>
      <c r="O25" s="228"/>
      <c r="P25" s="228"/>
      <c r="Q25" s="228"/>
      <c r="R25" s="228"/>
      <c r="S25" s="228"/>
      <c r="T25" s="228"/>
      <c r="U25" s="228"/>
      <c r="V25" s="228"/>
      <c r="W25" s="228"/>
      <c r="X25" s="228"/>
      <c r="Y25" s="228"/>
      <c r="Z25" s="228"/>
      <c r="AA25" s="228"/>
    </row>
    <row r="26" spans="1:27">
      <c r="A26" t="s">
        <v>436</v>
      </c>
      <c r="B26" t="s">
        <v>437</v>
      </c>
      <c r="C26" s="202">
        <v>1</v>
      </c>
      <c r="D26" s="203"/>
      <c r="E26" s="204"/>
      <c r="F26" s="205"/>
      <c r="G26" t="s">
        <v>209</v>
      </c>
      <c r="H26" s="233" t="s">
        <v>467</v>
      </c>
      <c r="I26" t="s">
        <v>468</v>
      </c>
      <c r="J26" s="206" t="s">
        <v>217</v>
      </c>
      <c r="K26" t="s">
        <v>218</v>
      </c>
      <c r="L26" t="s">
        <v>214</v>
      </c>
      <c r="M26" s="236" t="s">
        <v>128</v>
      </c>
      <c r="N26" s="199">
        <f>+IF(M26="MXN",O26/$N$2,IF(M26="BRL",O26/$N$3,O26))</f>
        <v>35714.87999999999</v>
      </c>
      <c r="O26" s="207">
        <f>+SUM(P26:AA26)</f>
        <v>35714.87999999999</v>
      </c>
      <c r="P26" s="211">
        <v>2976.24</v>
      </c>
      <c r="Q26" s="211">
        <v>2976.24</v>
      </c>
      <c r="R26" s="211">
        <v>2976.24</v>
      </c>
      <c r="S26" s="211">
        <v>2976.24</v>
      </c>
      <c r="T26" s="211">
        <v>2976.24</v>
      </c>
      <c r="U26" s="211">
        <v>2976.24</v>
      </c>
      <c r="V26" s="211">
        <v>2976.24</v>
      </c>
      <c r="W26" s="211">
        <v>2976.24</v>
      </c>
      <c r="X26" s="211">
        <v>2976.24</v>
      </c>
      <c r="Y26" s="211">
        <v>2976.24</v>
      </c>
      <c r="Z26" s="211">
        <v>2976.24</v>
      </c>
      <c r="AA26" s="211">
        <v>2976.24</v>
      </c>
    </row>
    <row r="27" spans="1:27">
      <c r="A27" s="215" t="s">
        <v>307</v>
      </c>
      <c r="B27" s="215"/>
      <c r="C27" s="216"/>
      <c r="D27" s="216"/>
      <c r="E27" s="216"/>
      <c r="F27" s="216"/>
      <c r="G27" s="215"/>
      <c r="H27" s="215"/>
      <c r="I27" s="215"/>
      <c r="J27" s="215"/>
      <c r="K27" s="215"/>
      <c r="L27" s="215"/>
      <c r="M27" s="215"/>
      <c r="N27" s="228"/>
      <c r="O27" s="228"/>
      <c r="P27" s="228"/>
      <c r="Q27" s="228"/>
      <c r="R27" s="228"/>
      <c r="S27" s="228"/>
      <c r="T27" s="228"/>
      <c r="U27" s="228"/>
      <c r="V27" s="228"/>
      <c r="W27" s="228"/>
      <c r="X27" s="228"/>
      <c r="Y27" s="228"/>
      <c r="Z27" s="228"/>
      <c r="AA27" s="228"/>
    </row>
    <row r="28" spans="1:27">
      <c r="A28" t="s">
        <v>436</v>
      </c>
      <c r="B28" t="s">
        <v>437</v>
      </c>
      <c r="C28" s="202">
        <v>0.7</v>
      </c>
      <c r="D28" s="203">
        <v>0.3</v>
      </c>
      <c r="E28" s="204"/>
      <c r="F28" s="205"/>
      <c r="G28" t="s">
        <v>209</v>
      </c>
      <c r="H28" s="233" t="s">
        <v>469</v>
      </c>
      <c r="I28" t="s">
        <v>470</v>
      </c>
      <c r="J28" s="206" t="s">
        <v>217</v>
      </c>
      <c r="K28" t="s">
        <v>218</v>
      </c>
      <c r="L28" t="s">
        <v>214</v>
      </c>
      <c r="M28" s="291" t="s">
        <v>129</v>
      </c>
      <c r="N28" s="199">
        <f>+IF(M28="MXN",O28/$N$2,IF(M28="BRL",O28/$N$3,O28))</f>
        <v>27446.215384615381</v>
      </c>
      <c r="O28" s="207">
        <f>+SUM(P28:AA28)</f>
        <v>535201.19999999995</v>
      </c>
      <c r="P28" s="209">
        <v>44600.100000000006</v>
      </c>
      <c r="Q28" s="209">
        <v>44600.100000000006</v>
      </c>
      <c r="R28" s="209">
        <v>44600.100000000006</v>
      </c>
      <c r="S28" s="209">
        <v>44600.100000000006</v>
      </c>
      <c r="T28" s="209">
        <v>44600.100000000006</v>
      </c>
      <c r="U28" s="209">
        <v>44600.100000000006</v>
      </c>
      <c r="V28" s="209">
        <v>44600.100000000006</v>
      </c>
      <c r="W28" s="209">
        <v>44600.100000000006</v>
      </c>
      <c r="X28" s="209">
        <v>44600.100000000006</v>
      </c>
      <c r="Y28" s="209">
        <v>44600.100000000006</v>
      </c>
      <c r="Z28" s="209">
        <v>44600.100000000006</v>
      </c>
      <c r="AA28" s="209">
        <v>44600.100000000006</v>
      </c>
    </row>
    <row r="29" spans="1:27" ht="17">
      <c r="A29" t="s">
        <v>436</v>
      </c>
      <c r="B29" t="s">
        <v>437</v>
      </c>
      <c r="C29" s="202">
        <v>1</v>
      </c>
      <c r="D29" s="203"/>
      <c r="E29" s="204"/>
      <c r="F29" s="205"/>
      <c r="G29" t="s">
        <v>209</v>
      </c>
      <c r="H29" s="291" t="s">
        <v>471</v>
      </c>
      <c r="I29" s="235" t="s">
        <v>472</v>
      </c>
      <c r="J29" s="206" t="s">
        <v>217</v>
      </c>
      <c r="K29" t="s">
        <v>218</v>
      </c>
      <c r="L29" t="s">
        <v>214</v>
      </c>
      <c r="M29" s="291" t="s">
        <v>129</v>
      </c>
      <c r="N29" s="199">
        <f>+IF(M29="MXN",O29/$N$2,IF(M29="BRL",O29/$N$3,O29))</f>
        <v>15384.738461538465</v>
      </c>
      <c r="O29" s="207">
        <f>+SUM(P29:AA29)</f>
        <v>300002.40000000008</v>
      </c>
      <c r="P29" s="209">
        <v>25000.2</v>
      </c>
      <c r="Q29" s="209">
        <v>25000.2</v>
      </c>
      <c r="R29" s="209">
        <v>25000.2</v>
      </c>
      <c r="S29" s="209">
        <v>25000.2</v>
      </c>
      <c r="T29" s="209">
        <v>25000.2</v>
      </c>
      <c r="U29" s="209">
        <v>25000.2</v>
      </c>
      <c r="V29" s="209">
        <v>25000.2</v>
      </c>
      <c r="W29" s="209">
        <v>25000.2</v>
      </c>
      <c r="X29" s="209">
        <v>25000.2</v>
      </c>
      <c r="Y29" s="209">
        <v>25000.2</v>
      </c>
      <c r="Z29" s="209">
        <v>25000.2</v>
      </c>
      <c r="AA29" s="209">
        <v>25000.2</v>
      </c>
    </row>
    <row r="30" spans="1:27">
      <c r="A30" t="s">
        <v>436</v>
      </c>
      <c r="B30" t="s">
        <v>437</v>
      </c>
      <c r="C30" s="202">
        <v>1</v>
      </c>
      <c r="D30" s="203"/>
      <c r="E30" s="204"/>
      <c r="F30" s="205"/>
      <c r="G30" t="s">
        <v>209</v>
      </c>
      <c r="H30" s="291" t="s">
        <v>473</v>
      </c>
      <c r="I30" t="s">
        <v>474</v>
      </c>
      <c r="J30" s="206" t="s">
        <v>217</v>
      </c>
      <c r="K30" t="s">
        <v>218</v>
      </c>
      <c r="L30" t="s">
        <v>214</v>
      </c>
      <c r="M30" s="291" t="s">
        <v>129</v>
      </c>
      <c r="N30" s="199">
        <f>+IF(M30="MXN",O30/$N$2,IF(M30="BRL",O30/$N$3,O30))</f>
        <v>11692.430769230772</v>
      </c>
      <c r="O30" s="207">
        <f>+SUM(P30:AA30)</f>
        <v>228002.40000000005</v>
      </c>
      <c r="P30" s="209">
        <v>19000.2</v>
      </c>
      <c r="Q30" s="209">
        <v>19000.2</v>
      </c>
      <c r="R30" s="209">
        <v>19000.2</v>
      </c>
      <c r="S30" s="209">
        <v>19000.2</v>
      </c>
      <c r="T30" s="209">
        <v>19000.2</v>
      </c>
      <c r="U30" s="209">
        <v>19000.2</v>
      </c>
      <c r="V30" s="209">
        <v>19000.2</v>
      </c>
      <c r="W30" s="209">
        <v>19000.2</v>
      </c>
      <c r="X30" s="209">
        <v>19000.2</v>
      </c>
      <c r="Y30" s="209">
        <v>19000.2</v>
      </c>
      <c r="Z30" s="209">
        <v>19000.2</v>
      </c>
      <c r="AA30" s="209">
        <v>19000.2</v>
      </c>
    </row>
    <row r="31" spans="1:27">
      <c r="A31" s="236" t="s">
        <v>436</v>
      </c>
      <c r="B31" t="s">
        <v>437</v>
      </c>
      <c r="C31" s="202"/>
      <c r="D31" s="203"/>
      <c r="E31" s="204"/>
      <c r="F31" s="205"/>
      <c r="G31" s="236" t="s">
        <v>209</v>
      </c>
      <c r="H31" s="291" t="s">
        <v>475</v>
      </c>
      <c r="I31" s="236" t="s">
        <v>476</v>
      </c>
      <c r="J31" s="294" t="s">
        <v>217</v>
      </c>
      <c r="K31" t="s">
        <v>218</v>
      </c>
      <c r="L31" t="s">
        <v>214</v>
      </c>
      <c r="M31" s="291" t="s">
        <v>129</v>
      </c>
      <c r="N31" s="199">
        <f>+IF(M31="MXN",O31/$N$2,IF(M31="BRL",O31/$N$3,O31))</f>
        <v>0</v>
      </c>
      <c r="O31" s="553">
        <f>+SUM(P31:AA31)</f>
        <v>0</v>
      </c>
      <c r="P31" s="582">
        <v>0</v>
      </c>
      <c r="Q31" s="582">
        <v>0</v>
      </c>
      <c r="R31" s="582">
        <v>0</v>
      </c>
      <c r="S31" s="582">
        <v>0</v>
      </c>
      <c r="T31" s="582">
        <v>0</v>
      </c>
      <c r="U31" s="582">
        <v>0</v>
      </c>
      <c r="V31" s="582">
        <v>0</v>
      </c>
      <c r="W31" s="582">
        <v>0</v>
      </c>
      <c r="X31" s="582">
        <v>0</v>
      </c>
      <c r="Y31" s="582">
        <v>0</v>
      </c>
      <c r="Z31" s="582">
        <v>0</v>
      </c>
      <c r="AA31" s="582">
        <v>0</v>
      </c>
    </row>
    <row r="32" spans="1:27">
      <c r="A32" s="215" t="s">
        <v>311</v>
      </c>
      <c r="B32" s="215"/>
      <c r="C32" s="216"/>
      <c r="D32" s="216"/>
      <c r="E32" s="216"/>
      <c r="F32" s="216"/>
      <c r="G32" s="215"/>
      <c r="H32" s="215"/>
      <c r="I32" s="215"/>
      <c r="J32" s="215"/>
      <c r="K32" s="215"/>
      <c r="L32" s="215"/>
      <c r="M32" s="215"/>
      <c r="N32" s="228"/>
      <c r="O32" s="228"/>
      <c r="P32" s="228"/>
      <c r="Q32" s="228"/>
      <c r="R32" s="228"/>
      <c r="S32" s="228"/>
      <c r="T32" s="228"/>
      <c r="U32" s="228"/>
      <c r="V32" s="228"/>
      <c r="W32" s="228"/>
      <c r="X32" s="228"/>
      <c r="Y32" s="228"/>
      <c r="Z32" s="228"/>
      <c r="AA32" s="228"/>
    </row>
    <row r="33" spans="1:27">
      <c r="A33" t="s">
        <v>436</v>
      </c>
      <c r="B33" t="s">
        <v>437</v>
      </c>
      <c r="C33" s="202">
        <f>+SUM(C28:C31)/3</f>
        <v>0.9</v>
      </c>
      <c r="D33" s="203">
        <f>+SUM(D28:D31)/3</f>
        <v>9.9999999999999992E-2</v>
      </c>
      <c r="E33" s="204">
        <f>+SUM(E28:E31)/3</f>
        <v>0</v>
      </c>
      <c r="F33" s="205">
        <f>+SUM(F28:F31)/3</f>
        <v>0</v>
      </c>
      <c r="G33" t="s">
        <v>224</v>
      </c>
      <c r="H33" t="s">
        <v>225</v>
      </c>
      <c r="I33" t="s">
        <v>477</v>
      </c>
      <c r="J33" s="206" t="s">
        <v>227</v>
      </c>
      <c r="K33" t="s">
        <v>228</v>
      </c>
      <c r="L33" t="s">
        <v>214</v>
      </c>
      <c r="M33" t="s">
        <v>129</v>
      </c>
      <c r="N33" s="199">
        <f>+IF(M33="MXN",O33/$N$2,IF(M33="BRL",O33/$N$3,O33))</f>
        <v>1969.2307692307693</v>
      </c>
      <c r="O33" s="207">
        <f>+SUM(P33:AA33)</f>
        <v>38400</v>
      </c>
      <c r="P33" s="209">
        <v>3200</v>
      </c>
      <c r="Q33" s="209">
        <v>3200</v>
      </c>
      <c r="R33" s="209">
        <v>3200</v>
      </c>
      <c r="S33" s="209">
        <v>3200</v>
      </c>
      <c r="T33" s="209">
        <v>3200</v>
      </c>
      <c r="U33" s="209">
        <v>3200</v>
      </c>
      <c r="V33" s="209">
        <v>3200</v>
      </c>
      <c r="W33" s="209">
        <v>3200</v>
      </c>
      <c r="X33" s="209">
        <v>3200</v>
      </c>
      <c r="Y33" s="209">
        <v>3200</v>
      </c>
      <c r="Z33" s="209">
        <v>3200</v>
      </c>
      <c r="AA33" s="209">
        <v>3200</v>
      </c>
    </row>
    <row r="34" spans="1:27">
      <c r="A34" t="s">
        <v>436</v>
      </c>
      <c r="B34" t="s">
        <v>437</v>
      </c>
      <c r="C34" s="202">
        <f>+SUM(C24,C28:C31)/4</f>
        <v>0.8</v>
      </c>
      <c r="D34" s="203">
        <f>+SUM(D24,D28:D31)/4</f>
        <v>0.2</v>
      </c>
      <c r="E34" s="204">
        <f>+SUM(E24,E28:E31)/4</f>
        <v>0</v>
      </c>
      <c r="F34" s="205">
        <f>+SUM(F24,F28:F31)/4</f>
        <v>0</v>
      </c>
      <c r="G34" t="s">
        <v>224</v>
      </c>
      <c r="H34" t="s">
        <v>229</v>
      </c>
      <c r="I34" t="s">
        <v>229</v>
      </c>
      <c r="J34" s="206" t="s">
        <v>231</v>
      </c>
      <c r="K34" t="s">
        <v>229</v>
      </c>
      <c r="L34" t="s">
        <v>214</v>
      </c>
      <c r="M34" t="s">
        <v>129</v>
      </c>
      <c r="N34" s="199">
        <f>+IF(M34="MXN",O34/$N$2,IF(M34="BRL",O34/$N$3,O34))</f>
        <v>5154.3717948717949</v>
      </c>
      <c r="O34" s="207">
        <f>+SUM(P34:AA34)</f>
        <v>100510.25</v>
      </c>
      <c r="P34" s="209">
        <v>0</v>
      </c>
      <c r="Q34" s="209">
        <v>0</v>
      </c>
      <c r="R34" s="209">
        <v>0</v>
      </c>
      <c r="S34" s="209">
        <v>0</v>
      </c>
      <c r="T34" s="209">
        <v>0</v>
      </c>
      <c r="U34" s="209">
        <v>0</v>
      </c>
      <c r="V34" s="209">
        <v>0</v>
      </c>
      <c r="W34" s="209">
        <v>0</v>
      </c>
      <c r="X34" s="209">
        <v>0</v>
      </c>
      <c r="Y34" s="209">
        <v>0</v>
      </c>
      <c r="Z34" s="209">
        <v>0</v>
      </c>
      <c r="AA34" s="209">
        <f>+AA24*0.7+SUM(AA28:AA31)/2</f>
        <v>100510.25</v>
      </c>
    </row>
    <row r="35" spans="1:27">
      <c r="A35" t="s">
        <v>436</v>
      </c>
      <c r="B35" t="s">
        <v>437</v>
      </c>
      <c r="C35" s="202">
        <f>+SUM(C28:C31)/3</f>
        <v>0.9</v>
      </c>
      <c r="D35" s="203">
        <f>+SUM(D28:D31)/3</f>
        <v>9.9999999999999992E-2</v>
      </c>
      <c r="E35" s="204">
        <f>+SUM(E28:E31)/3</f>
        <v>0</v>
      </c>
      <c r="F35" s="205">
        <f>+SUM(F28:F31)/3</f>
        <v>0</v>
      </c>
      <c r="G35" t="s">
        <v>224</v>
      </c>
      <c r="H35" t="s">
        <v>312</v>
      </c>
      <c r="I35" t="s">
        <v>312</v>
      </c>
      <c r="J35" s="206" t="s">
        <v>313</v>
      </c>
      <c r="K35" t="s">
        <v>314</v>
      </c>
      <c r="L35" t="s">
        <v>214</v>
      </c>
      <c r="M35" t="s">
        <v>129</v>
      </c>
      <c r="N35" s="199">
        <f>+IF(M35="MXN",O35/$N$2,IF(M35="BRL",O35/$N$3,O35))</f>
        <v>1135.9038461538462</v>
      </c>
      <c r="O35" s="207">
        <f>+SUM(P35:AA35)</f>
        <v>22150.125</v>
      </c>
      <c r="P35" s="209">
        <f>+SUM(P28:P31)*0.25/12</f>
        <v>1845.84375</v>
      </c>
      <c r="Q35" s="209">
        <f t="shared" ref="Q35:AA35" si="2">+SUM(Q28:Q31)*0.25/12</f>
        <v>1845.84375</v>
      </c>
      <c r="R35" s="209">
        <f t="shared" si="2"/>
        <v>1845.84375</v>
      </c>
      <c r="S35" s="209">
        <f t="shared" si="2"/>
        <v>1845.84375</v>
      </c>
      <c r="T35" s="209">
        <f t="shared" si="2"/>
        <v>1845.84375</v>
      </c>
      <c r="U35" s="209">
        <f t="shared" si="2"/>
        <v>1845.84375</v>
      </c>
      <c r="V35" s="209">
        <f t="shared" si="2"/>
        <v>1845.84375</v>
      </c>
      <c r="W35" s="209">
        <f t="shared" si="2"/>
        <v>1845.84375</v>
      </c>
      <c r="X35" s="209">
        <f t="shared" si="2"/>
        <v>1845.84375</v>
      </c>
      <c r="Y35" s="209">
        <f t="shared" si="2"/>
        <v>1845.84375</v>
      </c>
      <c r="Z35" s="209">
        <f t="shared" si="2"/>
        <v>1845.84375</v>
      </c>
      <c r="AA35" s="209">
        <f t="shared" si="2"/>
        <v>1845.84375</v>
      </c>
    </row>
    <row r="36" spans="1:27">
      <c r="A36" t="s">
        <v>436</v>
      </c>
      <c r="B36" t="s">
        <v>437</v>
      </c>
      <c r="C36" s="202">
        <f>+SUM(C28:C31)/3</f>
        <v>0.9</v>
      </c>
      <c r="D36" s="203">
        <f>+SUM(D28:D31)/3</f>
        <v>9.9999999999999992E-2</v>
      </c>
      <c r="E36" s="204">
        <f>+SUM(E28:E31)/3</f>
        <v>0</v>
      </c>
      <c r="F36" s="205">
        <f>+SUM(F28:F31)/4</f>
        <v>0</v>
      </c>
      <c r="G36" t="s">
        <v>209</v>
      </c>
      <c r="H36" s="52" t="s">
        <v>315</v>
      </c>
      <c r="I36" s="52" t="s">
        <v>316</v>
      </c>
      <c r="J36" s="206" t="s">
        <v>217</v>
      </c>
      <c r="K36" t="s">
        <v>218</v>
      </c>
      <c r="L36" t="s">
        <v>214</v>
      </c>
      <c r="M36" t="s">
        <v>129</v>
      </c>
      <c r="N36" s="199">
        <f>+IF(M36="MXN",O36/$N$2,IF(M36="BRL",O36/$N$3,O36))</f>
        <v>13085.612307692307</v>
      </c>
      <c r="O36" s="207">
        <f>+SUM(P36:AA36)</f>
        <v>255169.43999999997</v>
      </c>
      <c r="P36" s="272">
        <f>+SUM(P28:P31)*0.24</f>
        <v>21264.12</v>
      </c>
      <c r="Q36" s="272">
        <f t="shared" ref="Q36:AA36" si="3">+SUM(Q28:Q31)*0.24</f>
        <v>21264.12</v>
      </c>
      <c r="R36" s="272">
        <f t="shared" si="3"/>
        <v>21264.12</v>
      </c>
      <c r="S36" s="272">
        <f t="shared" si="3"/>
        <v>21264.12</v>
      </c>
      <c r="T36" s="272">
        <f t="shared" si="3"/>
        <v>21264.12</v>
      </c>
      <c r="U36" s="272">
        <f t="shared" si="3"/>
        <v>21264.12</v>
      </c>
      <c r="V36" s="272">
        <f t="shared" si="3"/>
        <v>21264.12</v>
      </c>
      <c r="W36" s="272">
        <f t="shared" si="3"/>
        <v>21264.12</v>
      </c>
      <c r="X36" s="272">
        <f t="shared" si="3"/>
        <v>21264.12</v>
      </c>
      <c r="Y36" s="272">
        <f t="shared" si="3"/>
        <v>21264.12</v>
      </c>
      <c r="Z36" s="272">
        <f t="shared" si="3"/>
        <v>21264.12</v>
      </c>
      <c r="AA36" s="272">
        <f t="shared" si="3"/>
        <v>21264.12</v>
      </c>
    </row>
    <row r="37" spans="1:27">
      <c r="A37" s="200" t="s">
        <v>242</v>
      </c>
      <c r="B37" s="200"/>
      <c r="C37" s="200"/>
      <c r="D37" s="201"/>
      <c r="E37" s="201"/>
      <c r="F37" s="201"/>
      <c r="G37" s="200"/>
      <c r="H37" s="200"/>
      <c r="I37" s="200"/>
      <c r="J37" s="200"/>
      <c r="K37" s="200"/>
      <c r="L37" s="200"/>
      <c r="M37" s="200"/>
      <c r="N37" s="200"/>
      <c r="O37" s="200"/>
      <c r="P37" s="200"/>
      <c r="Q37" s="200"/>
      <c r="R37" s="200"/>
      <c r="S37" s="200"/>
      <c r="T37" s="200"/>
      <c r="U37" s="200"/>
      <c r="V37" s="200"/>
      <c r="W37" s="200"/>
      <c r="X37" s="200"/>
      <c r="Y37" s="200"/>
      <c r="Z37" s="200"/>
      <c r="AA37" s="200"/>
    </row>
    <row r="38" spans="1:27">
      <c r="A38" t="s">
        <v>436</v>
      </c>
      <c r="B38" t="s">
        <v>437</v>
      </c>
      <c r="C38" s="202"/>
      <c r="D38" s="203"/>
      <c r="E38" s="204"/>
      <c r="F38" s="205">
        <v>1</v>
      </c>
      <c r="G38" t="s">
        <v>243</v>
      </c>
      <c r="H38" t="s">
        <v>244</v>
      </c>
      <c r="J38" s="214" t="s">
        <v>246</v>
      </c>
      <c r="K38" t="s">
        <v>247</v>
      </c>
      <c r="L38" t="s">
        <v>248</v>
      </c>
      <c r="M38" t="s">
        <v>129</v>
      </c>
      <c r="N38" s="199">
        <f>+IF(M38="MXN",O38/$N$2,IF(M38="BRL",O38/$N$3,O38))</f>
        <v>0</v>
      </c>
      <c r="O38" s="207">
        <f>+SUM(P38:AA38)</f>
        <v>0</v>
      </c>
      <c r="P38" s="209">
        <v>0</v>
      </c>
      <c r="Q38" s="209">
        <v>0</v>
      </c>
      <c r="R38" s="209">
        <v>0</v>
      </c>
      <c r="S38" s="209">
        <v>0</v>
      </c>
      <c r="T38" s="209">
        <v>0</v>
      </c>
      <c r="U38" s="209">
        <v>0</v>
      </c>
      <c r="V38" s="209">
        <v>0</v>
      </c>
      <c r="W38" s="209">
        <v>0</v>
      </c>
      <c r="X38" s="209">
        <v>0</v>
      </c>
      <c r="Y38" s="209">
        <v>0</v>
      </c>
      <c r="Z38" s="209">
        <v>0</v>
      </c>
      <c r="AA38" s="209">
        <v>0</v>
      </c>
    </row>
    <row r="39" spans="1:27">
      <c r="A39" t="s">
        <v>436</v>
      </c>
      <c r="B39" t="s">
        <v>437</v>
      </c>
      <c r="C39" s="202"/>
      <c r="D39" s="203"/>
      <c r="E39" s="204"/>
      <c r="F39" s="205">
        <v>1</v>
      </c>
      <c r="G39" t="s">
        <v>249</v>
      </c>
      <c r="H39" t="s">
        <v>244</v>
      </c>
      <c r="J39" s="214" t="s">
        <v>250</v>
      </c>
      <c r="K39" t="s">
        <v>251</v>
      </c>
      <c r="L39" t="s">
        <v>248</v>
      </c>
      <c r="M39" t="s">
        <v>129</v>
      </c>
      <c r="N39" s="199">
        <f>+IF(M39="MXN",O39/$N$2,IF(M39="BRL",O39/$N$3,O39))</f>
        <v>0</v>
      </c>
      <c r="O39" s="207">
        <f>+SUM(P39:AA39)</f>
        <v>0</v>
      </c>
      <c r="P39" s="209">
        <v>0</v>
      </c>
      <c r="Q39" s="209">
        <v>0</v>
      </c>
      <c r="R39" s="209">
        <v>0</v>
      </c>
      <c r="S39" s="209">
        <v>0</v>
      </c>
      <c r="T39" s="209">
        <v>0</v>
      </c>
      <c r="U39" s="209">
        <v>0</v>
      </c>
      <c r="V39" s="209">
        <v>0</v>
      </c>
      <c r="W39" s="209">
        <v>0</v>
      </c>
      <c r="X39" s="209">
        <v>0</v>
      </c>
      <c r="Y39" s="209">
        <v>0</v>
      </c>
      <c r="Z39" s="209">
        <v>0</v>
      </c>
      <c r="AA39" s="209">
        <v>0</v>
      </c>
    </row>
    <row r="40" spans="1:27">
      <c r="A40" t="s">
        <v>436</v>
      </c>
      <c r="B40" t="s">
        <v>437</v>
      </c>
      <c r="C40" s="202"/>
      <c r="D40" s="203"/>
      <c r="E40" s="204"/>
      <c r="F40" s="205">
        <v>1</v>
      </c>
      <c r="G40" t="s">
        <v>252</v>
      </c>
      <c r="H40" t="s">
        <v>244</v>
      </c>
      <c r="J40" s="214" t="s">
        <v>253</v>
      </c>
      <c r="K40" t="s">
        <v>254</v>
      </c>
      <c r="L40" t="s">
        <v>248</v>
      </c>
      <c r="M40" t="s">
        <v>129</v>
      </c>
      <c r="N40" s="199">
        <f>+IF(M40="MXN",O40/$N$2,IF(M40="BRL",O40/$N$3,O40))</f>
        <v>0</v>
      </c>
      <c r="O40" s="207">
        <f>+SUM(P40:AA40)</f>
        <v>0</v>
      </c>
      <c r="P40" s="582">
        <v>0</v>
      </c>
      <c r="Q40" s="582">
        <v>0</v>
      </c>
      <c r="R40" s="582">
        <v>0</v>
      </c>
      <c r="S40" s="582">
        <v>0</v>
      </c>
      <c r="T40" s="582">
        <v>0</v>
      </c>
      <c r="U40" s="582">
        <v>0</v>
      </c>
      <c r="V40" s="582">
        <v>0</v>
      </c>
      <c r="W40" s="582">
        <v>0</v>
      </c>
      <c r="X40" s="582">
        <v>0</v>
      </c>
      <c r="Y40" s="582">
        <v>0</v>
      </c>
      <c r="Z40" s="582">
        <v>0</v>
      </c>
      <c r="AA40" s="582">
        <v>0</v>
      </c>
    </row>
    <row r="41" spans="1:27">
      <c r="A41" t="s">
        <v>436</v>
      </c>
      <c r="B41" t="s">
        <v>437</v>
      </c>
      <c r="C41" s="202"/>
      <c r="D41" s="203"/>
      <c r="E41" s="204"/>
      <c r="F41" s="205">
        <v>1</v>
      </c>
      <c r="G41" t="s">
        <v>255</v>
      </c>
      <c r="H41" t="s">
        <v>244</v>
      </c>
      <c r="J41" s="214" t="s">
        <v>256</v>
      </c>
      <c r="K41" t="s">
        <v>257</v>
      </c>
      <c r="L41" t="s">
        <v>248</v>
      </c>
      <c r="M41" t="s">
        <v>129</v>
      </c>
      <c r="N41" s="199">
        <f>+IF(M41="MXN",O41/$N$2,IF(M41="BRL",O41/$N$3,O41))</f>
        <v>0</v>
      </c>
      <c r="O41" s="207">
        <f>+SUM(P41:AA41)</f>
        <v>0</v>
      </c>
      <c r="P41" s="209">
        <v>0</v>
      </c>
      <c r="Q41" s="209">
        <v>0</v>
      </c>
      <c r="R41" s="209">
        <v>0</v>
      </c>
      <c r="S41" s="209">
        <v>0</v>
      </c>
      <c r="T41" s="209">
        <v>0</v>
      </c>
      <c r="U41" s="209">
        <v>0</v>
      </c>
      <c r="V41" s="209">
        <v>0</v>
      </c>
      <c r="W41" s="209">
        <v>0</v>
      </c>
      <c r="X41" s="209">
        <v>0</v>
      </c>
      <c r="Y41" s="209">
        <v>0</v>
      </c>
      <c r="Z41" s="209">
        <v>0</v>
      </c>
      <c r="AA41" s="209">
        <v>0</v>
      </c>
    </row>
    <row r="42" spans="1:27">
      <c r="A42" s="200" t="s">
        <v>258</v>
      </c>
      <c r="B42" s="200"/>
      <c r="C42" s="200"/>
      <c r="D42" s="200"/>
      <c r="E42" s="200"/>
      <c r="F42" s="200"/>
      <c r="G42" s="200"/>
      <c r="H42" s="200"/>
      <c r="I42" s="200"/>
      <c r="J42" s="200"/>
      <c r="K42" s="200"/>
      <c r="L42" s="200"/>
      <c r="M42" s="200"/>
      <c r="N42" s="200"/>
      <c r="O42" s="200"/>
      <c r="P42" s="200"/>
      <c r="Q42" s="200"/>
      <c r="R42" s="200"/>
      <c r="S42" s="200"/>
      <c r="T42" s="200"/>
      <c r="U42" s="200"/>
      <c r="V42" s="200"/>
      <c r="W42" s="200"/>
      <c r="X42" s="200"/>
      <c r="Y42" s="200"/>
      <c r="Z42" s="200"/>
      <c r="AA42" s="200"/>
    </row>
    <row r="43" spans="1:27">
      <c r="A43" t="s">
        <v>436</v>
      </c>
      <c r="B43" t="s">
        <v>437</v>
      </c>
      <c r="C43" s="202"/>
      <c r="D43" s="203"/>
      <c r="E43" s="204"/>
      <c r="F43" s="205"/>
      <c r="G43" t="s">
        <v>478</v>
      </c>
      <c r="H43" t="s">
        <v>479</v>
      </c>
      <c r="I43" t="s">
        <v>480</v>
      </c>
      <c r="J43" s="206" t="s">
        <v>481</v>
      </c>
      <c r="K43" t="s">
        <v>482</v>
      </c>
      <c r="L43" t="s">
        <v>239</v>
      </c>
      <c r="M43" s="236" t="s">
        <v>128</v>
      </c>
      <c r="N43" s="199">
        <f>+IF(M43="MXN",O43/$N$2,IF(M43="BRL",O43/$N$3,O43))</f>
        <v>0</v>
      </c>
      <c r="O43" s="207">
        <f>+SUM(P43:AA43)</f>
        <v>0</v>
      </c>
      <c r="P43" s="209">
        <v>0</v>
      </c>
      <c r="Q43" s="209">
        <v>0</v>
      </c>
      <c r="R43" s="209">
        <v>0</v>
      </c>
      <c r="S43" s="209">
        <v>0</v>
      </c>
      <c r="T43" s="209">
        <v>0</v>
      </c>
      <c r="U43" s="209">
        <v>0</v>
      </c>
      <c r="V43" s="209">
        <v>0</v>
      </c>
      <c r="W43" s="209">
        <v>0</v>
      </c>
      <c r="X43" s="209">
        <v>0</v>
      </c>
      <c r="Y43" s="209">
        <v>0</v>
      </c>
      <c r="Z43" s="209">
        <v>0</v>
      </c>
      <c r="AA43" s="209">
        <v>0</v>
      </c>
    </row>
    <row r="46" spans="1:27">
      <c r="P46" s="68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24-Operational Dashboard</vt:lpstr>
      <vt:lpstr>CONSEJO</vt:lpstr>
      <vt:lpstr>Supuestos BD</vt:lpstr>
      <vt:lpstr>Supuestos</vt:lpstr>
      <vt:lpstr>Model</vt:lpstr>
      <vt:lpstr>Results CASH</vt:lpstr>
      <vt:lpstr>AHORRO</vt:lpstr>
      <vt:lpstr>DASHBOARD COSTS</vt:lpstr>
      <vt:lpstr>Consolidado Costos</vt:lpstr>
      <vt:lpstr>Admon 2025</vt:lpstr>
      <vt:lpstr>Product 2025</vt:lpstr>
      <vt:lpstr>Tech 2025</vt:lpstr>
      <vt:lpstr>Content 2025</vt:lpstr>
      <vt:lpstr>Marketing 2025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María Josefa Avalos Guzmán</dc:creator>
  <cp:keywords/>
  <dc:description/>
  <cp:lastModifiedBy>María Josefa Avalos Guzmán</cp:lastModifiedBy>
  <cp:revision/>
  <dcterms:created xsi:type="dcterms:W3CDTF">2024-11-07T18:33:47Z</dcterms:created>
  <dcterms:modified xsi:type="dcterms:W3CDTF">2025-10-22T22:05:35Z</dcterms:modified>
  <cp:category/>
  <cp:contentStatus/>
</cp:coreProperties>
</file>